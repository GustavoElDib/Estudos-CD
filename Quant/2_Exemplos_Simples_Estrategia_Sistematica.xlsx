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Quantamental Dropbox\Rafael Lavrado\Quant_Expert\Quant_Expert\"/>
    </mc:Choice>
  </mc:AlternateContent>
  <xr:revisionPtr revIDLastSave="0" documentId="13_ncr:1_{06C5742A-E494-4398-BEC4-C8C9BA0C9BCD}" xr6:coauthVersionLast="45" xr6:coauthVersionMax="45" xr10:uidLastSave="{00000000-0000-0000-0000-000000000000}"/>
  <bookViews>
    <workbookView xWindow="-108" yWindow="-108" windowWidth="23256" windowHeight="13176" xr2:uid="{0303FDE9-E1CA-44DF-A1E1-B5636926DCC2}"/>
  </bookViews>
  <sheets>
    <sheet name="Rebalance" sheetId="10" r:id="rId1"/>
    <sheet name="Aux" sheetId="14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1" i="14" l="1"/>
  <c r="AG14" i="10"/>
  <c r="AG13" i="10" a="1"/>
  <c r="AH13" i="10" a="1"/>
  <c r="AH13" i="10"/>
  <c r="AI13" i="10" a="1"/>
  <c r="AI13" i="10" s="1"/>
  <c r="AF13" i="10" a="1"/>
  <c r="AH3" i="10"/>
  <c r="AI3" i="10"/>
  <c r="AH4" i="10"/>
  <c r="AI4" i="10"/>
  <c r="AH5" i="10"/>
  <c r="AI5" i="10"/>
  <c r="AH6" i="10"/>
  <c r="AI6" i="10"/>
  <c r="AH7" i="10"/>
  <c r="AI7" i="10"/>
  <c r="AH8" i="10"/>
  <c r="AI8" i="10"/>
  <c r="AH9" i="10"/>
  <c r="AI9" i="10"/>
  <c r="AH10" i="10"/>
  <c r="AI10" i="10"/>
  <c r="AH11" i="10"/>
  <c r="AI11" i="10"/>
  <c r="AH12" i="10"/>
  <c r="AI12" i="10"/>
  <c r="Y4" i="10"/>
  <c r="Z4" i="10"/>
  <c r="Y5" i="10"/>
  <c r="Z5" i="10"/>
  <c r="Y6" i="10"/>
  <c r="Z6" i="10"/>
  <c r="Y7" i="10"/>
  <c r="Z7" i="10"/>
  <c r="Y8" i="10"/>
  <c r="Z8" i="10"/>
  <c r="Y9" i="10"/>
  <c r="Z9" i="10"/>
  <c r="Y10" i="10"/>
  <c r="Z10" i="10"/>
  <c r="Y11" i="10"/>
  <c r="Z11" i="10"/>
  <c r="Y12" i="10"/>
  <c r="Z12" i="10"/>
  <c r="Y13" i="10"/>
  <c r="Z13" i="10"/>
  <c r="Y14" i="10"/>
  <c r="Z14" i="10"/>
  <c r="Y15" i="10"/>
  <c r="Z15" i="10"/>
  <c r="Y16" i="10"/>
  <c r="Z16" i="10"/>
  <c r="Y17" i="10"/>
  <c r="Z17" i="10"/>
  <c r="Y18" i="10"/>
  <c r="Z18" i="10"/>
  <c r="Y19" i="10"/>
  <c r="Z19" i="10"/>
  <c r="Y20" i="10"/>
  <c r="Z20" i="10"/>
  <c r="Y21" i="10"/>
  <c r="Z21" i="10"/>
  <c r="Y22" i="10"/>
  <c r="Z22" i="10"/>
  <c r="Y23" i="10"/>
  <c r="Z23" i="10"/>
  <c r="Y24" i="10"/>
  <c r="Z24" i="10"/>
  <c r="Y25" i="10"/>
  <c r="Z25" i="10"/>
  <c r="Y26" i="10"/>
  <c r="Z26" i="10"/>
  <c r="Y27" i="10"/>
  <c r="Z27" i="10"/>
  <c r="Y28" i="10"/>
  <c r="Z28" i="10"/>
  <c r="Y29" i="10"/>
  <c r="Z29" i="10"/>
  <c r="Y30" i="10"/>
  <c r="Z30" i="10"/>
  <c r="Y31" i="10"/>
  <c r="Z31" i="10"/>
  <c r="Y32" i="10"/>
  <c r="Z32" i="10"/>
  <c r="Y33" i="10"/>
  <c r="Z33" i="10"/>
  <c r="Y34" i="10"/>
  <c r="Z34" i="10"/>
  <c r="Y35" i="10"/>
  <c r="Z35" i="10"/>
  <c r="Y36" i="10"/>
  <c r="Z36" i="10"/>
  <c r="Y37" i="10"/>
  <c r="Z37" i="10"/>
  <c r="Y38" i="10"/>
  <c r="Z38" i="10"/>
  <c r="Y39" i="10"/>
  <c r="Z39" i="10"/>
  <c r="Y40" i="10"/>
  <c r="Z40" i="10"/>
  <c r="Y41" i="10"/>
  <c r="Z41" i="10"/>
  <c r="Y42" i="10"/>
  <c r="Z42" i="10"/>
  <c r="Y43" i="10"/>
  <c r="Z43" i="10"/>
  <c r="Y44" i="10"/>
  <c r="Z44" i="10"/>
  <c r="Y45" i="10"/>
  <c r="Z45" i="10"/>
  <c r="Y46" i="10"/>
  <c r="Z46" i="10"/>
  <c r="Y47" i="10"/>
  <c r="Z47" i="10"/>
  <c r="Y48" i="10"/>
  <c r="Z48" i="10"/>
  <c r="Y49" i="10"/>
  <c r="Z49" i="10"/>
  <c r="Y50" i="10"/>
  <c r="Z50" i="10"/>
  <c r="Y51" i="10"/>
  <c r="Z51" i="10"/>
  <c r="Y52" i="10"/>
  <c r="Z52" i="10"/>
  <c r="Y53" i="10"/>
  <c r="Z53" i="10"/>
  <c r="Y54" i="10"/>
  <c r="Z54" i="10"/>
  <c r="Y55" i="10"/>
  <c r="Z55" i="10"/>
  <c r="Y56" i="10"/>
  <c r="Z56" i="10"/>
  <c r="Y57" i="10"/>
  <c r="Z57" i="10"/>
  <c r="Y58" i="10"/>
  <c r="Z58" i="10"/>
  <c r="Y59" i="10"/>
  <c r="Z59" i="10"/>
  <c r="Y60" i="10"/>
  <c r="Z60" i="10"/>
  <c r="Y61" i="10"/>
  <c r="Z61" i="10"/>
  <c r="Y62" i="10"/>
  <c r="Z62" i="10"/>
  <c r="Y63" i="10"/>
  <c r="Z63" i="10"/>
  <c r="Y64" i="10"/>
  <c r="Z64" i="10"/>
  <c r="Y65" i="10"/>
  <c r="Z65" i="10"/>
  <c r="Y66" i="10"/>
  <c r="Z66" i="10"/>
  <c r="Y67" i="10"/>
  <c r="Z67" i="10"/>
  <c r="Y68" i="10"/>
  <c r="Z68" i="10"/>
  <c r="Y69" i="10"/>
  <c r="Z69" i="10"/>
  <c r="Y70" i="10"/>
  <c r="Z70" i="10"/>
  <c r="Y71" i="10"/>
  <c r="Z71" i="10"/>
  <c r="Y72" i="10"/>
  <c r="Z72" i="10"/>
  <c r="Y73" i="10"/>
  <c r="Z73" i="10"/>
  <c r="Y74" i="10"/>
  <c r="Z74" i="10"/>
  <c r="Y75" i="10"/>
  <c r="Z75" i="10"/>
  <c r="Y76" i="10"/>
  <c r="Z76" i="10"/>
  <c r="Y77" i="10"/>
  <c r="Z77" i="10"/>
  <c r="Y78" i="10"/>
  <c r="Z78" i="10"/>
  <c r="Y79" i="10"/>
  <c r="Z79" i="10"/>
  <c r="Y80" i="10"/>
  <c r="Z80" i="10"/>
  <c r="Y81" i="10"/>
  <c r="Z81" i="10"/>
  <c r="Y82" i="10"/>
  <c r="Z82" i="10"/>
  <c r="Y83" i="10"/>
  <c r="Z83" i="10"/>
  <c r="Y84" i="10"/>
  <c r="Z84" i="10"/>
  <c r="Y85" i="10"/>
  <c r="Z85" i="10"/>
  <c r="Y86" i="10"/>
  <c r="Z86" i="10"/>
  <c r="Y87" i="10"/>
  <c r="Z87" i="10"/>
  <c r="Y88" i="10"/>
  <c r="Z88" i="10"/>
  <c r="Y89" i="10"/>
  <c r="Z89" i="10"/>
  <c r="Y90" i="10"/>
  <c r="Z90" i="10"/>
  <c r="Y91" i="10"/>
  <c r="Z91" i="10"/>
  <c r="Y92" i="10"/>
  <c r="Z92" i="10"/>
  <c r="Y93" i="10"/>
  <c r="Z93" i="10"/>
  <c r="Y94" i="10"/>
  <c r="Z94" i="10"/>
  <c r="Y95" i="10"/>
  <c r="Z95" i="10"/>
  <c r="Y96" i="10"/>
  <c r="Z96" i="10"/>
  <c r="Y97" i="10"/>
  <c r="Z97" i="10"/>
  <c r="Y98" i="10"/>
  <c r="Z98" i="10"/>
  <c r="Y99" i="10"/>
  <c r="Z99" i="10"/>
  <c r="Y100" i="10"/>
  <c r="Z100" i="10"/>
  <c r="Y101" i="10"/>
  <c r="Z101" i="10"/>
  <c r="Y102" i="10"/>
  <c r="Z102" i="10"/>
  <c r="Y103" i="10"/>
  <c r="Z103" i="10"/>
  <c r="Y104" i="10"/>
  <c r="Z104" i="10"/>
  <c r="Y105" i="10"/>
  <c r="Z105" i="10"/>
  <c r="Y106" i="10"/>
  <c r="Z106" i="10"/>
  <c r="Y107" i="10"/>
  <c r="Z107" i="10"/>
  <c r="Y108" i="10"/>
  <c r="Z108" i="10"/>
  <c r="Y109" i="10"/>
  <c r="Z109" i="10"/>
  <c r="Y110" i="10"/>
  <c r="Z110" i="10"/>
  <c r="Y111" i="10"/>
  <c r="Z111" i="10"/>
  <c r="Y112" i="10"/>
  <c r="Z112" i="10"/>
  <c r="Y113" i="10"/>
  <c r="Z113" i="10"/>
  <c r="Y114" i="10"/>
  <c r="Z114" i="10"/>
  <c r="Y115" i="10"/>
  <c r="Z115" i="10"/>
  <c r="Y116" i="10"/>
  <c r="Z116" i="10"/>
  <c r="Y117" i="10"/>
  <c r="Z117" i="10"/>
  <c r="Y118" i="10"/>
  <c r="Z118" i="10"/>
  <c r="Y119" i="10"/>
  <c r="Z119" i="10"/>
  <c r="Y120" i="10"/>
  <c r="Z120" i="10"/>
  <c r="Y121" i="10"/>
  <c r="Z121" i="10"/>
  <c r="Y122" i="10"/>
  <c r="Z122" i="10"/>
  <c r="Y123" i="10"/>
  <c r="Z123" i="10"/>
  <c r="Y124" i="10"/>
  <c r="Z124" i="10"/>
  <c r="Y125" i="10"/>
  <c r="Z125" i="10"/>
  <c r="Y126" i="10"/>
  <c r="Z126" i="10"/>
  <c r="Y127" i="10"/>
  <c r="Z127" i="10"/>
  <c r="Y128" i="10"/>
  <c r="Z128" i="10"/>
  <c r="Y129" i="10"/>
  <c r="Z129" i="10"/>
  <c r="Y130" i="10"/>
  <c r="Z130" i="10"/>
  <c r="Y131" i="10"/>
  <c r="Z131" i="10"/>
  <c r="Y132" i="10"/>
  <c r="Z132" i="10"/>
  <c r="Y133" i="10"/>
  <c r="Z133" i="10"/>
  <c r="Y134" i="10"/>
  <c r="Z134" i="10"/>
  <c r="Y135" i="10"/>
  <c r="Z135" i="10"/>
  <c r="Y136" i="10"/>
  <c r="Z136" i="10"/>
  <c r="Y137" i="10"/>
  <c r="Z137" i="10"/>
  <c r="Y138" i="10"/>
  <c r="Z138" i="10"/>
  <c r="Y139" i="10"/>
  <c r="Z139" i="10"/>
  <c r="Y140" i="10"/>
  <c r="Z140" i="10"/>
  <c r="Y141" i="10"/>
  <c r="Z141" i="10"/>
  <c r="Y142" i="10"/>
  <c r="Z142" i="10"/>
  <c r="Y143" i="10"/>
  <c r="Z143" i="10"/>
  <c r="Y144" i="10"/>
  <c r="Z144" i="10"/>
  <c r="Y145" i="10"/>
  <c r="Z145" i="10"/>
  <c r="Y146" i="10"/>
  <c r="Z146" i="10"/>
  <c r="Y147" i="10"/>
  <c r="Z147" i="10"/>
  <c r="Y148" i="10"/>
  <c r="Z148" i="10"/>
  <c r="Y149" i="10"/>
  <c r="Z149" i="10"/>
  <c r="Y150" i="10"/>
  <c r="Z150" i="10"/>
  <c r="Y151" i="10"/>
  <c r="Z151" i="10"/>
  <c r="Y152" i="10"/>
  <c r="Z152" i="10"/>
  <c r="Y153" i="10"/>
  <c r="Z153" i="10"/>
  <c r="Y154" i="10"/>
  <c r="Z154" i="10"/>
  <c r="Y155" i="10"/>
  <c r="Z155" i="10"/>
  <c r="Y156" i="10"/>
  <c r="Z156" i="10"/>
  <c r="Y157" i="10"/>
  <c r="Z157" i="10"/>
  <c r="Y158" i="10"/>
  <c r="Z158" i="10"/>
  <c r="Y159" i="10"/>
  <c r="Z159" i="10"/>
  <c r="Y160" i="10"/>
  <c r="Z160" i="10"/>
  <c r="Y161" i="10"/>
  <c r="Z161" i="10"/>
  <c r="Y162" i="10"/>
  <c r="Z162" i="10"/>
  <c r="Y163" i="10"/>
  <c r="Z163" i="10"/>
  <c r="Y164" i="10"/>
  <c r="Z164" i="10"/>
  <c r="Y165" i="10"/>
  <c r="Z165" i="10"/>
  <c r="Y166" i="10"/>
  <c r="Z166" i="10"/>
  <c r="Y167" i="10"/>
  <c r="Z167" i="10"/>
  <c r="Y168" i="10"/>
  <c r="Z168" i="10"/>
  <c r="Y169" i="10"/>
  <c r="Z169" i="10"/>
  <c r="Y170" i="10"/>
  <c r="Z170" i="10"/>
  <c r="Y171" i="10"/>
  <c r="Z171" i="10"/>
  <c r="Y172" i="10"/>
  <c r="Z172" i="10"/>
  <c r="Y173" i="10"/>
  <c r="Z173" i="10"/>
  <c r="Y174" i="10"/>
  <c r="Z174" i="10"/>
  <c r="Y175" i="10"/>
  <c r="Z175" i="10"/>
  <c r="Y176" i="10"/>
  <c r="Z176" i="10"/>
  <c r="Y177" i="10"/>
  <c r="Z177" i="10"/>
  <c r="Y178" i="10"/>
  <c r="Z178" i="10"/>
  <c r="Y179" i="10"/>
  <c r="Z179" i="10"/>
  <c r="Y180" i="10"/>
  <c r="Z180" i="10"/>
  <c r="Y181" i="10"/>
  <c r="Z181" i="10"/>
  <c r="Y182" i="10"/>
  <c r="Z182" i="10"/>
  <c r="Y183" i="10"/>
  <c r="Z183" i="10"/>
  <c r="Y184" i="10"/>
  <c r="Z184" i="10"/>
  <c r="Y185" i="10"/>
  <c r="Z185" i="10"/>
  <c r="Y186" i="10"/>
  <c r="Z186" i="10"/>
  <c r="Y187" i="10"/>
  <c r="Z187" i="10"/>
  <c r="Y188" i="10"/>
  <c r="Z188" i="10"/>
  <c r="Y189" i="10"/>
  <c r="Z189" i="10"/>
  <c r="Y190" i="10"/>
  <c r="Z190" i="10"/>
  <c r="Y191" i="10"/>
  <c r="Z191" i="10"/>
  <c r="Y192" i="10"/>
  <c r="Z192" i="10"/>
  <c r="Y193" i="10"/>
  <c r="Z193" i="10"/>
  <c r="Y194" i="10"/>
  <c r="Z194" i="10"/>
  <c r="Y195" i="10"/>
  <c r="Z195" i="10"/>
  <c r="Y196" i="10"/>
  <c r="Z196" i="10"/>
  <c r="Y197" i="10"/>
  <c r="Z197" i="10"/>
  <c r="Y198" i="10"/>
  <c r="Z198" i="10"/>
  <c r="Y199" i="10"/>
  <c r="Z199" i="10"/>
  <c r="Y200" i="10"/>
  <c r="Z200" i="10"/>
  <c r="Y201" i="10"/>
  <c r="Z201" i="10"/>
  <c r="Y202" i="10"/>
  <c r="Z202" i="10"/>
  <c r="Y203" i="10"/>
  <c r="Z203" i="10"/>
  <c r="Y204" i="10"/>
  <c r="Z204" i="10"/>
  <c r="Y205" i="10"/>
  <c r="Z205" i="10"/>
  <c r="Y206" i="10"/>
  <c r="Z206" i="10"/>
  <c r="Y207" i="10"/>
  <c r="Z207" i="10"/>
  <c r="Y208" i="10"/>
  <c r="Z208" i="10"/>
  <c r="Y209" i="10"/>
  <c r="Z209" i="10"/>
  <c r="Y210" i="10"/>
  <c r="Z210" i="10"/>
  <c r="Y211" i="10"/>
  <c r="Z211" i="10"/>
  <c r="Y212" i="10"/>
  <c r="Z212" i="10"/>
  <c r="Y213" i="10"/>
  <c r="Z213" i="10"/>
  <c r="Y214" i="10"/>
  <c r="Z214" i="10"/>
  <c r="Y215" i="10"/>
  <c r="Z215" i="10"/>
  <c r="Y216" i="10"/>
  <c r="Z216" i="10"/>
  <c r="Y217" i="10"/>
  <c r="Z217" i="10"/>
  <c r="Y218" i="10"/>
  <c r="Z218" i="10"/>
  <c r="Y219" i="10"/>
  <c r="Z219" i="10"/>
  <c r="Y220" i="10"/>
  <c r="Z220" i="10"/>
  <c r="Y221" i="10"/>
  <c r="Z221" i="10"/>
  <c r="Y222" i="10"/>
  <c r="Z222" i="10"/>
  <c r="Y223" i="10"/>
  <c r="Z223" i="10"/>
  <c r="Y224" i="10"/>
  <c r="Z224" i="10"/>
  <c r="Y225" i="10"/>
  <c r="Z225" i="10"/>
  <c r="Y226" i="10"/>
  <c r="Z226" i="10"/>
  <c r="Y227" i="10"/>
  <c r="Z227" i="10"/>
  <c r="Y228" i="10"/>
  <c r="Z228" i="10"/>
  <c r="Y229" i="10"/>
  <c r="Z229" i="10"/>
  <c r="Y230" i="10"/>
  <c r="Z230" i="10"/>
  <c r="Y231" i="10"/>
  <c r="Z231" i="10"/>
  <c r="Y232" i="10"/>
  <c r="Z232" i="10"/>
  <c r="Y233" i="10"/>
  <c r="Z233" i="10"/>
  <c r="Y234" i="10"/>
  <c r="Z234" i="10"/>
  <c r="Y235" i="10"/>
  <c r="Z235" i="10"/>
  <c r="Y236" i="10"/>
  <c r="Z236" i="10"/>
  <c r="Y237" i="10"/>
  <c r="Z237" i="10"/>
  <c r="Y238" i="10"/>
  <c r="Z238" i="10"/>
  <c r="Y239" i="10"/>
  <c r="Z239" i="10"/>
  <c r="Y240" i="10"/>
  <c r="Z240" i="10"/>
  <c r="Y241" i="10"/>
  <c r="Z241" i="10"/>
  <c r="Y242" i="10"/>
  <c r="Z242" i="10"/>
  <c r="Y243" i="10"/>
  <c r="Z243" i="10"/>
  <c r="Y244" i="10"/>
  <c r="Z244" i="10"/>
  <c r="Y245" i="10"/>
  <c r="Z245" i="10"/>
  <c r="Y246" i="10"/>
  <c r="Z246" i="10"/>
  <c r="Y247" i="10"/>
  <c r="Z247" i="10"/>
  <c r="Y248" i="10"/>
  <c r="Z248" i="10"/>
  <c r="Y249" i="10"/>
  <c r="Z249" i="10"/>
  <c r="Y250" i="10"/>
  <c r="Z250" i="10"/>
  <c r="Y251" i="10"/>
  <c r="Z251" i="10"/>
  <c r="Y252" i="10"/>
  <c r="Z252" i="10"/>
  <c r="Y253" i="10"/>
  <c r="Z253" i="10"/>
  <c r="Y254" i="10"/>
  <c r="Z254" i="10"/>
  <c r="Y255" i="10"/>
  <c r="Z255" i="10"/>
  <c r="Y256" i="10"/>
  <c r="Z256" i="10"/>
  <c r="Y257" i="10"/>
  <c r="Z257" i="10"/>
  <c r="Y258" i="10"/>
  <c r="Z258" i="10"/>
  <c r="Y259" i="10"/>
  <c r="Z259" i="10"/>
  <c r="Y260" i="10"/>
  <c r="Z260" i="10"/>
  <c r="Y261" i="10"/>
  <c r="Z261" i="10"/>
  <c r="Y262" i="10"/>
  <c r="Z262" i="10"/>
  <c r="Y263" i="10"/>
  <c r="Z263" i="10"/>
  <c r="Y264" i="10"/>
  <c r="Z264" i="10"/>
  <c r="Y265" i="10"/>
  <c r="Z265" i="10"/>
  <c r="Y266" i="10"/>
  <c r="Z266" i="10"/>
  <c r="Y267" i="10"/>
  <c r="Z267" i="10"/>
  <c r="Y268" i="10"/>
  <c r="Z268" i="10"/>
  <c r="Y269" i="10"/>
  <c r="Z269" i="10"/>
  <c r="Y270" i="10"/>
  <c r="Z270" i="10"/>
  <c r="Y271" i="10"/>
  <c r="Z271" i="10"/>
  <c r="Y272" i="10"/>
  <c r="Z272" i="10"/>
  <c r="Y273" i="10"/>
  <c r="Z273" i="10"/>
  <c r="Y274" i="10"/>
  <c r="Z274" i="10"/>
  <c r="Y275" i="10"/>
  <c r="Z275" i="10"/>
  <c r="Y276" i="10"/>
  <c r="Z276" i="10"/>
  <c r="Y277" i="10"/>
  <c r="Z277" i="10"/>
  <c r="Y278" i="10"/>
  <c r="Z278" i="10"/>
  <c r="Y279" i="10"/>
  <c r="Z279" i="10"/>
  <c r="Y280" i="10"/>
  <c r="Z280" i="10"/>
  <c r="Y281" i="10"/>
  <c r="Z281" i="10"/>
  <c r="Y282" i="10"/>
  <c r="Z282" i="10"/>
  <c r="Y283" i="10"/>
  <c r="Z283" i="10"/>
  <c r="Y284" i="10"/>
  <c r="Z284" i="10"/>
  <c r="Y285" i="10"/>
  <c r="Z285" i="10"/>
  <c r="Y286" i="10"/>
  <c r="Z286" i="10"/>
  <c r="Y287" i="10"/>
  <c r="Z287" i="10"/>
  <c r="Y288" i="10"/>
  <c r="Z288" i="10"/>
  <c r="Y289" i="10"/>
  <c r="Z289" i="10"/>
  <c r="Y290" i="10"/>
  <c r="Z290" i="10"/>
  <c r="Y291" i="10"/>
  <c r="Z291" i="10"/>
  <c r="Y292" i="10"/>
  <c r="Z292" i="10"/>
  <c r="Y293" i="10"/>
  <c r="Z293" i="10"/>
  <c r="Y294" i="10"/>
  <c r="Z294" i="10"/>
  <c r="Y295" i="10"/>
  <c r="Z295" i="10"/>
  <c r="Y296" i="10"/>
  <c r="Z296" i="10"/>
  <c r="Y297" i="10"/>
  <c r="Z297" i="10"/>
  <c r="Y298" i="10"/>
  <c r="Z298" i="10"/>
  <c r="Y299" i="10"/>
  <c r="Z299" i="10"/>
  <c r="Y300" i="10"/>
  <c r="Z300" i="10"/>
  <c r="Y301" i="10"/>
  <c r="Z301" i="10"/>
  <c r="Y302" i="10"/>
  <c r="Z302" i="10"/>
  <c r="Y303" i="10"/>
  <c r="Z303" i="10"/>
  <c r="Y304" i="10"/>
  <c r="Z304" i="10"/>
  <c r="Y305" i="10"/>
  <c r="Z305" i="10"/>
  <c r="Y306" i="10"/>
  <c r="Z306" i="10"/>
  <c r="Y307" i="10"/>
  <c r="Z307" i="10"/>
  <c r="Y308" i="10"/>
  <c r="Z308" i="10"/>
  <c r="Y309" i="10"/>
  <c r="Z309" i="10"/>
  <c r="Y310" i="10"/>
  <c r="Z310" i="10"/>
  <c r="Y311" i="10"/>
  <c r="Z311" i="10"/>
  <c r="Y312" i="10"/>
  <c r="Z312" i="10"/>
  <c r="Y313" i="10"/>
  <c r="Z313" i="10"/>
  <c r="Y314" i="10"/>
  <c r="Z314" i="10"/>
  <c r="Y315" i="10"/>
  <c r="Z315" i="10"/>
  <c r="Y316" i="10"/>
  <c r="Z316" i="10"/>
  <c r="Y317" i="10"/>
  <c r="Z317" i="10"/>
  <c r="Y318" i="10"/>
  <c r="Z318" i="10"/>
  <c r="Y319" i="10"/>
  <c r="Z319" i="10"/>
  <c r="Y320" i="10"/>
  <c r="Z320" i="10"/>
  <c r="Y321" i="10"/>
  <c r="Z321" i="10"/>
  <c r="Y322" i="10"/>
  <c r="Z322" i="10"/>
  <c r="Y323" i="10"/>
  <c r="Z323" i="10"/>
  <c r="Y324" i="10"/>
  <c r="Z324" i="10"/>
  <c r="Y325" i="10"/>
  <c r="Z325" i="10"/>
  <c r="Y326" i="10"/>
  <c r="Z326" i="10"/>
  <c r="Y327" i="10"/>
  <c r="Z327" i="10"/>
  <c r="Y328" i="10"/>
  <c r="Z328" i="10"/>
  <c r="Y329" i="10"/>
  <c r="Z329" i="10"/>
  <c r="Y330" i="10"/>
  <c r="Z330" i="10"/>
  <c r="Y331" i="10"/>
  <c r="Z331" i="10"/>
  <c r="Y332" i="10"/>
  <c r="Z332" i="10"/>
  <c r="Y333" i="10"/>
  <c r="Z333" i="10"/>
  <c r="Y334" i="10"/>
  <c r="Z334" i="10"/>
  <c r="Y335" i="10"/>
  <c r="Z335" i="10"/>
  <c r="Y336" i="10"/>
  <c r="Z336" i="10"/>
  <c r="Y337" i="10"/>
  <c r="Z337" i="10"/>
  <c r="Y338" i="10"/>
  <c r="Z338" i="10"/>
  <c r="Y339" i="10"/>
  <c r="Z339" i="10"/>
  <c r="Y340" i="10"/>
  <c r="Z340" i="10"/>
  <c r="Y341" i="10"/>
  <c r="Z341" i="10"/>
  <c r="Y342" i="10"/>
  <c r="Z342" i="10"/>
  <c r="Y343" i="10"/>
  <c r="Z343" i="10"/>
  <c r="Y344" i="10"/>
  <c r="Z344" i="10"/>
  <c r="Y345" i="10"/>
  <c r="Z345" i="10"/>
  <c r="Y346" i="10"/>
  <c r="Z346" i="10"/>
  <c r="Y347" i="10"/>
  <c r="Z347" i="10"/>
  <c r="Y348" i="10"/>
  <c r="Z348" i="10"/>
  <c r="Y349" i="10"/>
  <c r="Z349" i="10"/>
  <c r="Y350" i="10"/>
  <c r="Z350" i="10"/>
  <c r="Y351" i="10"/>
  <c r="Z351" i="10"/>
  <c r="Y352" i="10"/>
  <c r="Z352" i="10"/>
  <c r="Y353" i="10"/>
  <c r="Z353" i="10"/>
  <c r="Y354" i="10"/>
  <c r="Z354" i="10"/>
  <c r="Y355" i="10"/>
  <c r="Z355" i="10"/>
  <c r="Y356" i="10"/>
  <c r="Z356" i="10"/>
  <c r="Y357" i="10"/>
  <c r="Z357" i="10"/>
  <c r="Y358" i="10"/>
  <c r="Z358" i="10"/>
  <c r="Y359" i="10"/>
  <c r="Z359" i="10"/>
  <c r="Y360" i="10"/>
  <c r="Z360" i="10"/>
  <c r="Y361" i="10"/>
  <c r="Z361" i="10"/>
  <c r="Y362" i="10"/>
  <c r="Z362" i="10"/>
  <c r="Y363" i="10"/>
  <c r="Z363" i="10"/>
  <c r="Y364" i="10"/>
  <c r="Z364" i="10"/>
  <c r="Y365" i="10"/>
  <c r="Z365" i="10"/>
  <c r="Y366" i="10"/>
  <c r="Z366" i="10"/>
  <c r="Y367" i="10"/>
  <c r="Z367" i="10"/>
  <c r="Y368" i="10"/>
  <c r="Z368" i="10"/>
  <c r="Y369" i="10"/>
  <c r="Z369" i="10"/>
  <c r="Y370" i="10"/>
  <c r="Z370" i="10"/>
  <c r="Y371" i="10"/>
  <c r="Z371" i="10"/>
  <c r="Y372" i="10"/>
  <c r="Z372" i="10"/>
  <c r="Y373" i="10"/>
  <c r="Z373" i="10"/>
  <c r="Y374" i="10"/>
  <c r="Z374" i="10"/>
  <c r="Y375" i="10"/>
  <c r="Z375" i="10"/>
  <c r="Y376" i="10"/>
  <c r="Z376" i="10"/>
  <c r="Y377" i="10"/>
  <c r="Z377" i="10"/>
  <c r="Y378" i="10"/>
  <c r="Z378" i="10"/>
  <c r="Y379" i="10"/>
  <c r="Z379" i="10"/>
  <c r="Y380" i="10"/>
  <c r="Z380" i="10"/>
  <c r="Y381" i="10"/>
  <c r="Z381" i="10"/>
  <c r="Y382" i="10"/>
  <c r="Z382" i="10"/>
  <c r="Y383" i="10"/>
  <c r="Z383" i="10"/>
  <c r="Y384" i="10"/>
  <c r="Z384" i="10"/>
  <c r="Y385" i="10"/>
  <c r="Z385" i="10"/>
  <c r="Y386" i="10"/>
  <c r="Z386" i="10"/>
  <c r="Y387" i="10"/>
  <c r="Z387" i="10"/>
  <c r="Y388" i="10"/>
  <c r="Z388" i="10"/>
  <c r="Y389" i="10"/>
  <c r="Z389" i="10"/>
  <c r="Y390" i="10"/>
  <c r="Z390" i="10"/>
  <c r="Y391" i="10"/>
  <c r="Z391" i="10"/>
  <c r="Y392" i="10"/>
  <c r="Z392" i="10"/>
  <c r="Y393" i="10"/>
  <c r="Z393" i="10"/>
  <c r="Y394" i="10"/>
  <c r="Z394" i="10"/>
  <c r="Y395" i="10"/>
  <c r="Z395" i="10"/>
  <c r="Y396" i="10"/>
  <c r="Z396" i="10"/>
  <c r="Y397" i="10"/>
  <c r="Z397" i="10"/>
  <c r="Y398" i="10"/>
  <c r="Z398" i="10"/>
  <c r="Y399" i="10"/>
  <c r="Z399" i="10"/>
  <c r="Y400" i="10"/>
  <c r="Z400" i="10"/>
  <c r="Y401" i="10"/>
  <c r="Z401" i="10"/>
  <c r="Y402" i="10"/>
  <c r="Z402" i="10"/>
  <c r="Y403" i="10"/>
  <c r="Z403" i="10"/>
  <c r="Y404" i="10"/>
  <c r="Z404" i="10"/>
  <c r="Y405" i="10"/>
  <c r="Z405" i="10"/>
  <c r="Y406" i="10"/>
  <c r="Z406" i="10"/>
  <c r="Y407" i="10"/>
  <c r="Z407" i="10"/>
  <c r="Y408" i="10"/>
  <c r="Z408" i="10"/>
  <c r="Y409" i="10"/>
  <c r="Z409" i="10"/>
  <c r="Y410" i="10"/>
  <c r="Z410" i="10"/>
  <c r="Y411" i="10"/>
  <c r="Z411" i="10"/>
  <c r="Y412" i="10"/>
  <c r="Z412" i="10"/>
  <c r="Y413" i="10"/>
  <c r="Z413" i="10"/>
  <c r="Y414" i="10"/>
  <c r="Z414" i="10"/>
  <c r="Y415" i="10"/>
  <c r="Z415" i="10"/>
  <c r="Y416" i="10"/>
  <c r="Z416" i="10"/>
  <c r="Y417" i="10"/>
  <c r="Z417" i="10"/>
  <c r="Y418" i="10"/>
  <c r="Z418" i="10"/>
  <c r="Y419" i="10"/>
  <c r="Z419" i="10"/>
  <c r="Y420" i="10"/>
  <c r="Z420" i="10"/>
  <c r="Y421" i="10"/>
  <c r="Z421" i="10"/>
  <c r="Y422" i="10"/>
  <c r="Z422" i="10"/>
  <c r="Y423" i="10"/>
  <c r="Z423" i="10"/>
  <c r="Y424" i="10"/>
  <c r="Z424" i="10"/>
  <c r="Y425" i="10"/>
  <c r="Z425" i="10"/>
  <c r="Y426" i="10"/>
  <c r="Z426" i="10"/>
  <c r="Y427" i="10"/>
  <c r="Z427" i="10"/>
  <c r="Y428" i="10"/>
  <c r="Z428" i="10"/>
  <c r="Y429" i="10"/>
  <c r="Z429" i="10"/>
  <c r="Y430" i="10"/>
  <c r="Z430" i="10"/>
  <c r="Y431" i="10"/>
  <c r="Z431" i="10"/>
  <c r="Y432" i="10"/>
  <c r="Z432" i="10"/>
  <c r="Y433" i="10"/>
  <c r="Z433" i="10"/>
  <c r="Y434" i="10"/>
  <c r="Z434" i="10"/>
  <c r="Y435" i="10"/>
  <c r="Z435" i="10"/>
  <c r="Y436" i="10"/>
  <c r="Z436" i="10"/>
  <c r="Y437" i="10"/>
  <c r="Z437" i="10"/>
  <c r="Y438" i="10"/>
  <c r="Z438" i="10"/>
  <c r="Y439" i="10"/>
  <c r="Z439" i="10"/>
  <c r="Y440" i="10"/>
  <c r="Z440" i="10"/>
  <c r="Y441" i="10"/>
  <c r="Z441" i="10"/>
  <c r="Y442" i="10"/>
  <c r="Z442" i="10"/>
  <c r="Y443" i="10"/>
  <c r="Z443" i="10"/>
  <c r="Y444" i="10"/>
  <c r="Z444" i="10"/>
  <c r="Y445" i="10"/>
  <c r="Z445" i="10"/>
  <c r="Y446" i="10"/>
  <c r="Z446" i="10"/>
  <c r="Y447" i="10"/>
  <c r="Z447" i="10"/>
  <c r="Y448" i="10"/>
  <c r="Z448" i="10"/>
  <c r="Y449" i="10"/>
  <c r="Z449" i="10"/>
  <c r="Y450" i="10"/>
  <c r="Z450" i="10"/>
  <c r="Y451" i="10"/>
  <c r="Z451" i="10"/>
  <c r="Y452" i="10"/>
  <c r="Z452" i="10"/>
  <c r="Y453" i="10"/>
  <c r="Z453" i="10"/>
  <c r="Y454" i="10"/>
  <c r="Z454" i="10"/>
  <c r="Y455" i="10"/>
  <c r="Z455" i="10"/>
  <c r="Y456" i="10"/>
  <c r="Z456" i="10"/>
  <c r="Y457" i="10"/>
  <c r="Z457" i="10"/>
  <c r="Y458" i="10"/>
  <c r="Z458" i="10"/>
  <c r="Y459" i="10"/>
  <c r="Z459" i="10"/>
  <c r="Y460" i="10"/>
  <c r="Z460" i="10"/>
  <c r="Y461" i="10"/>
  <c r="Z461" i="10"/>
  <c r="Y462" i="10"/>
  <c r="Z462" i="10"/>
  <c r="Y463" i="10"/>
  <c r="Z463" i="10"/>
  <c r="Y464" i="10"/>
  <c r="Z464" i="10"/>
  <c r="Y465" i="10"/>
  <c r="Z465" i="10"/>
  <c r="Y466" i="10"/>
  <c r="Z466" i="10"/>
  <c r="Y467" i="10"/>
  <c r="Z467" i="10"/>
  <c r="Y468" i="10"/>
  <c r="Z468" i="10"/>
  <c r="Y469" i="10"/>
  <c r="Z469" i="10"/>
  <c r="Y470" i="10"/>
  <c r="Z470" i="10"/>
  <c r="Y471" i="10"/>
  <c r="Z471" i="10"/>
  <c r="Y472" i="10"/>
  <c r="Z472" i="10"/>
  <c r="Y473" i="10"/>
  <c r="Z473" i="10"/>
  <c r="Y474" i="10"/>
  <c r="Z474" i="10"/>
  <c r="Y475" i="10"/>
  <c r="Z475" i="10"/>
  <c r="Y476" i="10"/>
  <c r="Z476" i="10"/>
  <c r="Y477" i="10"/>
  <c r="Z477" i="10"/>
  <c r="Y478" i="10"/>
  <c r="Z478" i="10"/>
  <c r="Y479" i="10"/>
  <c r="Z479" i="10"/>
  <c r="Y480" i="10"/>
  <c r="Z480" i="10"/>
  <c r="Y481" i="10"/>
  <c r="Z481" i="10"/>
  <c r="Y482" i="10"/>
  <c r="Z482" i="10"/>
  <c r="Y483" i="10"/>
  <c r="Z483" i="10"/>
  <c r="Y484" i="10"/>
  <c r="Z484" i="10"/>
  <c r="Y485" i="10"/>
  <c r="Z485" i="10"/>
  <c r="Y486" i="10"/>
  <c r="Z486" i="10"/>
  <c r="Y487" i="10"/>
  <c r="Z487" i="10"/>
  <c r="Y488" i="10"/>
  <c r="Z488" i="10"/>
  <c r="Y489" i="10"/>
  <c r="Z489" i="10"/>
  <c r="Y490" i="10"/>
  <c r="Z490" i="10"/>
  <c r="Y491" i="10"/>
  <c r="Z491" i="10"/>
  <c r="Y492" i="10"/>
  <c r="Z492" i="10"/>
  <c r="Y493" i="10"/>
  <c r="Z493" i="10"/>
  <c r="Y494" i="10"/>
  <c r="Z494" i="10"/>
  <c r="Y495" i="10"/>
  <c r="Z495" i="10"/>
  <c r="Y496" i="10"/>
  <c r="Z496" i="10"/>
  <c r="Y497" i="10"/>
  <c r="Z497" i="10"/>
  <c r="Y498" i="10"/>
  <c r="Z498" i="10"/>
  <c r="Y499" i="10"/>
  <c r="Z499" i="10"/>
  <c r="Y500" i="10"/>
  <c r="Z500" i="10"/>
  <c r="Y501" i="10"/>
  <c r="Z501" i="10"/>
  <c r="Y502" i="10"/>
  <c r="Z502" i="10"/>
  <c r="Y503" i="10"/>
  <c r="Z503" i="10"/>
  <c r="Y504" i="10"/>
  <c r="Z504" i="10"/>
  <c r="Y505" i="10"/>
  <c r="Z505" i="10"/>
  <c r="Y506" i="10"/>
  <c r="Z506" i="10"/>
  <c r="Y507" i="10"/>
  <c r="Z507" i="10"/>
  <c r="Y508" i="10"/>
  <c r="Z508" i="10"/>
  <c r="Y509" i="10"/>
  <c r="Z509" i="10"/>
  <c r="Y510" i="10"/>
  <c r="Z510" i="10"/>
  <c r="Y511" i="10"/>
  <c r="Z511" i="10"/>
  <c r="Y512" i="10"/>
  <c r="Z512" i="10"/>
  <c r="Y513" i="10"/>
  <c r="Z513" i="10"/>
  <c r="Y514" i="10"/>
  <c r="Z514" i="10"/>
  <c r="Y515" i="10"/>
  <c r="Z515" i="10"/>
  <c r="Y516" i="10"/>
  <c r="Z516" i="10"/>
  <c r="Y517" i="10"/>
  <c r="Z517" i="10"/>
  <c r="Y518" i="10"/>
  <c r="Z518" i="10"/>
  <c r="Y519" i="10"/>
  <c r="Z519" i="10"/>
  <c r="Y520" i="10"/>
  <c r="Z520" i="10"/>
  <c r="Y521" i="10"/>
  <c r="Z521" i="10"/>
  <c r="Y522" i="10"/>
  <c r="Z522" i="10"/>
  <c r="Y523" i="10"/>
  <c r="Z523" i="10"/>
  <c r="Y524" i="10"/>
  <c r="Z524" i="10"/>
  <c r="Y525" i="10"/>
  <c r="Z525" i="10"/>
  <c r="Y526" i="10"/>
  <c r="Z526" i="10"/>
  <c r="Y527" i="10"/>
  <c r="Z527" i="10"/>
  <c r="Y528" i="10"/>
  <c r="Z528" i="10"/>
  <c r="Y529" i="10"/>
  <c r="Z529" i="10"/>
  <c r="Y530" i="10"/>
  <c r="Z530" i="10"/>
  <c r="Y531" i="10"/>
  <c r="Z531" i="10"/>
  <c r="Y532" i="10"/>
  <c r="Z532" i="10"/>
  <c r="Y533" i="10"/>
  <c r="Z533" i="10"/>
  <c r="Y534" i="10"/>
  <c r="Z534" i="10"/>
  <c r="Y535" i="10"/>
  <c r="Z535" i="10"/>
  <c r="Y536" i="10"/>
  <c r="Z536" i="10"/>
  <c r="Y537" i="10"/>
  <c r="Z537" i="10"/>
  <c r="Y538" i="10"/>
  <c r="Z538" i="10"/>
  <c r="Y539" i="10"/>
  <c r="Z539" i="10"/>
  <c r="Y540" i="10"/>
  <c r="Z540" i="10"/>
  <c r="Y541" i="10"/>
  <c r="Z541" i="10"/>
  <c r="Y542" i="10"/>
  <c r="Z542" i="10"/>
  <c r="Y543" i="10"/>
  <c r="Z543" i="10"/>
  <c r="Y544" i="10"/>
  <c r="Z544" i="10"/>
  <c r="Y545" i="10"/>
  <c r="Z545" i="10"/>
  <c r="Y546" i="10"/>
  <c r="Z546" i="10"/>
  <c r="Y547" i="10"/>
  <c r="Z547" i="10"/>
  <c r="Y548" i="10"/>
  <c r="Z548" i="10"/>
  <c r="Y549" i="10"/>
  <c r="Z549" i="10"/>
  <c r="Y550" i="10"/>
  <c r="Z550" i="10"/>
  <c r="Y551" i="10"/>
  <c r="Z551" i="10"/>
  <c r="Y552" i="10"/>
  <c r="Z552" i="10"/>
  <c r="Y553" i="10"/>
  <c r="Z553" i="10"/>
  <c r="Y554" i="10"/>
  <c r="Z554" i="10"/>
  <c r="Y555" i="10"/>
  <c r="Z555" i="10"/>
  <c r="Y556" i="10"/>
  <c r="Z556" i="10"/>
  <c r="Y557" i="10"/>
  <c r="Z557" i="10"/>
  <c r="Y558" i="10"/>
  <c r="Z558" i="10"/>
  <c r="Y559" i="10"/>
  <c r="Z559" i="10"/>
  <c r="Y560" i="10"/>
  <c r="Z560" i="10"/>
  <c r="Y561" i="10"/>
  <c r="Z561" i="10"/>
  <c r="Y562" i="10"/>
  <c r="Z562" i="10"/>
  <c r="Y563" i="10"/>
  <c r="Z563" i="10"/>
  <c r="Y564" i="10"/>
  <c r="Z564" i="10"/>
  <c r="Y565" i="10"/>
  <c r="Z565" i="10"/>
  <c r="Y566" i="10"/>
  <c r="Z566" i="10"/>
  <c r="Y567" i="10"/>
  <c r="Z567" i="10"/>
  <c r="Y568" i="10"/>
  <c r="Z568" i="10"/>
  <c r="Y569" i="10"/>
  <c r="Z569" i="10"/>
  <c r="Y570" i="10"/>
  <c r="Z570" i="10"/>
  <c r="Y571" i="10"/>
  <c r="Z571" i="10"/>
  <c r="Y572" i="10"/>
  <c r="Z572" i="10"/>
  <c r="Y573" i="10"/>
  <c r="Z573" i="10"/>
  <c r="Y574" i="10"/>
  <c r="Z574" i="10"/>
  <c r="Y575" i="10"/>
  <c r="Z575" i="10"/>
  <c r="Y576" i="10"/>
  <c r="Z576" i="10"/>
  <c r="Y577" i="10"/>
  <c r="Z577" i="10"/>
  <c r="Y578" i="10"/>
  <c r="Z578" i="10"/>
  <c r="Y579" i="10"/>
  <c r="Z579" i="10"/>
  <c r="Y580" i="10"/>
  <c r="Z580" i="10"/>
  <c r="Y581" i="10"/>
  <c r="Z581" i="10"/>
  <c r="Y582" i="10"/>
  <c r="Z582" i="10"/>
  <c r="Y583" i="10"/>
  <c r="Z583" i="10"/>
  <c r="Y584" i="10"/>
  <c r="Z584" i="10"/>
  <c r="Y585" i="10"/>
  <c r="Z585" i="10"/>
  <c r="Y586" i="10"/>
  <c r="Z586" i="10"/>
  <c r="Y587" i="10"/>
  <c r="Z587" i="10"/>
  <c r="Y588" i="10"/>
  <c r="Z588" i="10"/>
  <c r="Y589" i="10"/>
  <c r="Z589" i="10"/>
  <c r="Y590" i="10"/>
  <c r="Z590" i="10"/>
  <c r="Y591" i="10"/>
  <c r="Z591" i="10"/>
  <c r="Y592" i="10"/>
  <c r="Z592" i="10"/>
  <c r="Y593" i="10"/>
  <c r="Z593" i="10"/>
  <c r="Y594" i="10"/>
  <c r="Z594" i="10"/>
  <c r="Y595" i="10"/>
  <c r="Z595" i="10"/>
  <c r="Y596" i="10"/>
  <c r="Z596" i="10"/>
  <c r="Y597" i="10"/>
  <c r="Z597" i="10"/>
  <c r="Y598" i="10"/>
  <c r="Z598" i="10"/>
  <c r="Y599" i="10"/>
  <c r="Z599" i="10"/>
  <c r="Y600" i="10"/>
  <c r="Z600" i="10"/>
  <c r="Y601" i="10"/>
  <c r="Z601" i="10"/>
  <c r="Y602" i="10"/>
  <c r="Z602" i="10"/>
  <c r="Y603" i="10"/>
  <c r="Z603" i="10"/>
  <c r="Y604" i="10"/>
  <c r="Z604" i="10"/>
  <c r="Y605" i="10"/>
  <c r="Z605" i="10"/>
  <c r="Y606" i="10"/>
  <c r="Z606" i="10"/>
  <c r="Y607" i="10"/>
  <c r="Z607" i="10"/>
  <c r="Y608" i="10"/>
  <c r="Z608" i="10"/>
  <c r="Y609" i="10"/>
  <c r="Z609" i="10"/>
  <c r="Y610" i="10"/>
  <c r="Z610" i="10"/>
  <c r="Y611" i="10"/>
  <c r="Z611" i="10"/>
  <c r="Y612" i="10"/>
  <c r="Z612" i="10"/>
  <c r="Y613" i="10"/>
  <c r="Z613" i="10"/>
  <c r="Y614" i="10"/>
  <c r="Z614" i="10"/>
  <c r="Y615" i="10"/>
  <c r="Z615" i="10"/>
  <c r="Y616" i="10"/>
  <c r="Z616" i="10"/>
  <c r="Y617" i="10"/>
  <c r="Z617" i="10"/>
  <c r="Y618" i="10"/>
  <c r="Z618" i="10"/>
  <c r="Y619" i="10"/>
  <c r="Z619" i="10"/>
  <c r="Y620" i="10"/>
  <c r="Z620" i="10"/>
  <c r="Y621" i="10"/>
  <c r="Z621" i="10"/>
  <c r="Y622" i="10"/>
  <c r="Z622" i="10"/>
  <c r="Y623" i="10"/>
  <c r="Z623" i="10"/>
  <c r="Y624" i="10"/>
  <c r="Z624" i="10"/>
  <c r="Y625" i="10"/>
  <c r="Z625" i="10"/>
  <c r="Y626" i="10"/>
  <c r="Z626" i="10"/>
  <c r="Y627" i="10"/>
  <c r="Z627" i="10"/>
  <c r="Y628" i="10"/>
  <c r="Z628" i="10"/>
  <c r="Y629" i="10"/>
  <c r="Z629" i="10"/>
  <c r="Y630" i="10"/>
  <c r="Z630" i="10"/>
  <c r="Y631" i="10"/>
  <c r="Z631" i="10"/>
  <c r="Y632" i="10"/>
  <c r="Z632" i="10"/>
  <c r="Y633" i="10"/>
  <c r="Z633" i="10"/>
  <c r="Y634" i="10"/>
  <c r="Z634" i="10"/>
  <c r="Y635" i="10"/>
  <c r="Z635" i="10"/>
  <c r="Y636" i="10"/>
  <c r="Z636" i="10"/>
  <c r="Y637" i="10"/>
  <c r="Z637" i="10"/>
  <c r="Y638" i="10"/>
  <c r="Z638" i="10"/>
  <c r="Y639" i="10"/>
  <c r="Z639" i="10"/>
  <c r="Y640" i="10"/>
  <c r="Z640" i="10"/>
  <c r="Y641" i="10"/>
  <c r="Z641" i="10"/>
  <c r="Y642" i="10"/>
  <c r="Z642" i="10"/>
  <c r="Y643" i="10"/>
  <c r="Z643" i="10"/>
  <c r="Y644" i="10"/>
  <c r="Z644" i="10"/>
  <c r="Y645" i="10"/>
  <c r="Z645" i="10"/>
  <c r="Y646" i="10"/>
  <c r="Z646" i="10"/>
  <c r="Y647" i="10"/>
  <c r="Z647" i="10"/>
  <c r="Y648" i="10"/>
  <c r="Z648" i="10"/>
  <c r="Y649" i="10"/>
  <c r="Z649" i="10"/>
  <c r="Y650" i="10"/>
  <c r="Z650" i="10"/>
  <c r="Y651" i="10"/>
  <c r="Z651" i="10"/>
  <c r="Y652" i="10"/>
  <c r="Z652" i="10"/>
  <c r="Y653" i="10"/>
  <c r="Z653" i="10"/>
  <c r="Y654" i="10"/>
  <c r="Z654" i="10"/>
  <c r="Y655" i="10"/>
  <c r="Z655" i="10"/>
  <c r="Y656" i="10"/>
  <c r="Z656" i="10"/>
  <c r="Y657" i="10"/>
  <c r="Z657" i="10"/>
  <c r="Y658" i="10"/>
  <c r="Z658" i="10"/>
  <c r="Y659" i="10"/>
  <c r="Z659" i="10"/>
  <c r="Y660" i="10"/>
  <c r="Z660" i="10"/>
  <c r="Y661" i="10"/>
  <c r="Z661" i="10"/>
  <c r="Y662" i="10"/>
  <c r="Z662" i="10"/>
  <c r="Y663" i="10"/>
  <c r="Z663" i="10"/>
  <c r="Y664" i="10"/>
  <c r="Z664" i="10"/>
  <c r="Y665" i="10"/>
  <c r="Z665" i="10"/>
  <c r="Y666" i="10"/>
  <c r="Z666" i="10"/>
  <c r="Y667" i="10"/>
  <c r="Z667" i="10"/>
  <c r="Y668" i="10"/>
  <c r="Z668" i="10"/>
  <c r="Y669" i="10"/>
  <c r="Z669" i="10"/>
  <c r="Y670" i="10"/>
  <c r="Z670" i="10"/>
  <c r="Y671" i="10"/>
  <c r="Z671" i="10"/>
  <c r="Y672" i="10"/>
  <c r="Z672" i="10"/>
  <c r="Y673" i="10"/>
  <c r="Z673" i="10"/>
  <c r="Y674" i="10"/>
  <c r="Z674" i="10"/>
  <c r="Y675" i="10"/>
  <c r="Z675" i="10"/>
  <c r="Y676" i="10"/>
  <c r="Z676" i="10"/>
  <c r="Y677" i="10"/>
  <c r="Z677" i="10"/>
  <c r="Y678" i="10"/>
  <c r="Z678" i="10"/>
  <c r="Y679" i="10"/>
  <c r="Z679" i="10"/>
  <c r="Y680" i="10"/>
  <c r="Z680" i="10"/>
  <c r="Y681" i="10"/>
  <c r="Z681" i="10"/>
  <c r="Y682" i="10"/>
  <c r="Z682" i="10"/>
  <c r="Y683" i="10"/>
  <c r="Z683" i="10"/>
  <c r="Y684" i="10"/>
  <c r="Z684" i="10"/>
  <c r="Y685" i="10"/>
  <c r="Z685" i="10"/>
  <c r="Y686" i="10"/>
  <c r="Z686" i="10"/>
  <c r="Y687" i="10"/>
  <c r="Z687" i="10"/>
  <c r="Y688" i="10"/>
  <c r="Z688" i="10"/>
  <c r="Y689" i="10"/>
  <c r="Z689" i="10"/>
  <c r="Y690" i="10"/>
  <c r="Z690" i="10"/>
  <c r="Y691" i="10"/>
  <c r="Z691" i="10"/>
  <c r="Y692" i="10"/>
  <c r="Z692" i="10"/>
  <c r="Y693" i="10"/>
  <c r="Z693" i="10"/>
  <c r="Y694" i="10"/>
  <c r="Z694" i="10"/>
  <c r="Y695" i="10"/>
  <c r="Z695" i="10"/>
  <c r="Y696" i="10"/>
  <c r="Z696" i="10"/>
  <c r="Y697" i="10"/>
  <c r="Z697" i="10"/>
  <c r="Y698" i="10"/>
  <c r="Z698" i="10"/>
  <c r="Y699" i="10"/>
  <c r="Z699" i="10"/>
  <c r="Y700" i="10"/>
  <c r="Z700" i="10"/>
  <c r="Y701" i="10"/>
  <c r="Z701" i="10"/>
  <c r="Y702" i="10"/>
  <c r="Z702" i="10"/>
  <c r="Y703" i="10"/>
  <c r="Z703" i="10"/>
  <c r="Y704" i="10"/>
  <c r="Z704" i="10"/>
  <c r="Y705" i="10"/>
  <c r="Z705" i="10"/>
  <c r="Y706" i="10"/>
  <c r="Z706" i="10"/>
  <c r="Y707" i="10"/>
  <c r="Z707" i="10"/>
  <c r="Y708" i="10"/>
  <c r="Z708" i="10"/>
  <c r="Y709" i="10"/>
  <c r="Z709" i="10"/>
  <c r="Y710" i="10"/>
  <c r="Z710" i="10"/>
  <c r="Y711" i="10"/>
  <c r="Z711" i="10"/>
  <c r="Y712" i="10"/>
  <c r="Z712" i="10"/>
  <c r="Y713" i="10"/>
  <c r="Z713" i="10"/>
  <c r="Y714" i="10"/>
  <c r="Z714" i="10"/>
  <c r="Y715" i="10"/>
  <c r="Z715" i="10"/>
  <c r="Y716" i="10"/>
  <c r="Z716" i="10"/>
  <c r="Y717" i="10"/>
  <c r="Z717" i="10"/>
  <c r="Y718" i="10"/>
  <c r="Z718" i="10"/>
  <c r="Y719" i="10"/>
  <c r="Z719" i="10"/>
  <c r="Y720" i="10"/>
  <c r="Z720" i="10"/>
  <c r="Y721" i="10"/>
  <c r="Z721" i="10"/>
  <c r="Y722" i="10"/>
  <c r="Z722" i="10"/>
  <c r="Y723" i="10"/>
  <c r="Z723" i="10"/>
  <c r="Y724" i="10"/>
  <c r="Z724" i="10"/>
  <c r="Y725" i="10"/>
  <c r="Z725" i="10"/>
  <c r="Y726" i="10"/>
  <c r="Z726" i="10"/>
  <c r="Y727" i="10"/>
  <c r="Z727" i="10"/>
  <c r="Y728" i="10"/>
  <c r="Z728" i="10"/>
  <c r="Y729" i="10"/>
  <c r="Z729" i="10"/>
  <c r="Y730" i="10"/>
  <c r="Z730" i="10"/>
  <c r="Y731" i="10"/>
  <c r="Z731" i="10"/>
  <c r="Y732" i="10"/>
  <c r="Z732" i="10"/>
  <c r="Y733" i="10"/>
  <c r="Z733" i="10"/>
  <c r="Y734" i="10"/>
  <c r="Z734" i="10"/>
  <c r="Y735" i="10"/>
  <c r="Z735" i="10"/>
  <c r="Y736" i="10"/>
  <c r="Z736" i="10"/>
  <c r="Y737" i="10"/>
  <c r="Z737" i="10"/>
  <c r="Y738" i="10"/>
  <c r="Z738" i="10"/>
  <c r="Y739" i="10"/>
  <c r="Z739" i="10"/>
  <c r="Y740" i="10"/>
  <c r="Z740" i="10"/>
  <c r="Y741" i="10"/>
  <c r="Z741" i="10"/>
  <c r="Y742" i="10"/>
  <c r="Z742" i="10"/>
  <c r="Y743" i="10"/>
  <c r="Z743" i="10"/>
  <c r="Y744" i="10"/>
  <c r="Z744" i="10"/>
  <c r="Y745" i="10"/>
  <c r="Z745" i="10"/>
  <c r="Y746" i="10"/>
  <c r="Z746" i="10"/>
  <c r="Y747" i="10"/>
  <c r="Z747" i="10"/>
  <c r="Y748" i="10"/>
  <c r="Z748" i="10"/>
  <c r="Y749" i="10"/>
  <c r="Z749" i="10"/>
  <c r="Y750" i="10"/>
  <c r="Z750" i="10"/>
  <c r="Y751" i="10"/>
  <c r="Z751" i="10"/>
  <c r="Y752" i="10"/>
  <c r="Z752" i="10"/>
  <c r="Y753" i="10"/>
  <c r="Z753" i="10"/>
  <c r="Y754" i="10"/>
  <c r="Z754" i="10"/>
  <c r="Y755" i="10"/>
  <c r="Z755" i="10"/>
  <c r="Y756" i="10"/>
  <c r="Z756" i="10"/>
  <c r="Y757" i="10"/>
  <c r="Z757" i="10"/>
  <c r="Y758" i="10"/>
  <c r="Z758" i="10"/>
  <c r="Y759" i="10"/>
  <c r="Z759" i="10"/>
  <c r="Y760" i="10"/>
  <c r="Z760" i="10"/>
  <c r="Y761" i="10"/>
  <c r="Z761" i="10"/>
  <c r="Y762" i="10"/>
  <c r="Z762" i="10"/>
  <c r="Y763" i="10"/>
  <c r="Z763" i="10"/>
  <c r="Y764" i="10"/>
  <c r="Z764" i="10"/>
  <c r="Y765" i="10"/>
  <c r="Z765" i="10"/>
  <c r="Y766" i="10"/>
  <c r="Z766" i="10"/>
  <c r="Y767" i="10"/>
  <c r="Z767" i="10"/>
  <c r="Y768" i="10"/>
  <c r="Z768" i="10"/>
  <c r="Y769" i="10"/>
  <c r="Z769" i="10"/>
  <c r="Y770" i="10"/>
  <c r="Z770" i="10"/>
  <c r="Y771" i="10"/>
  <c r="Z771" i="10"/>
  <c r="Y772" i="10"/>
  <c r="Z772" i="10"/>
  <c r="Y773" i="10"/>
  <c r="Z773" i="10"/>
  <c r="Y774" i="10"/>
  <c r="Z774" i="10"/>
  <c r="Y775" i="10"/>
  <c r="Z775" i="10"/>
  <c r="Y776" i="10"/>
  <c r="Z776" i="10"/>
  <c r="Y777" i="10"/>
  <c r="Z777" i="10"/>
  <c r="Y778" i="10"/>
  <c r="Z778" i="10"/>
  <c r="Y779" i="10"/>
  <c r="Z779" i="10"/>
  <c r="Y780" i="10"/>
  <c r="Z780" i="10"/>
  <c r="Y781" i="10"/>
  <c r="Z781" i="10"/>
  <c r="Y782" i="10"/>
  <c r="Z782" i="10"/>
  <c r="Y783" i="10"/>
  <c r="Z783" i="10"/>
  <c r="Y784" i="10"/>
  <c r="Z784" i="10"/>
  <c r="Y785" i="10"/>
  <c r="Z785" i="10"/>
  <c r="Y786" i="10"/>
  <c r="Z786" i="10"/>
  <c r="Y787" i="10"/>
  <c r="Z787" i="10"/>
  <c r="Y788" i="10"/>
  <c r="Z788" i="10"/>
  <c r="Y789" i="10"/>
  <c r="Z789" i="10"/>
  <c r="Y790" i="10"/>
  <c r="Z790" i="10"/>
  <c r="Y791" i="10"/>
  <c r="Z791" i="10"/>
  <c r="Y792" i="10"/>
  <c r="Z792" i="10"/>
  <c r="Y793" i="10"/>
  <c r="Z793" i="10"/>
  <c r="Y794" i="10"/>
  <c r="Z794" i="10"/>
  <c r="Y795" i="10"/>
  <c r="Z795" i="10"/>
  <c r="Y796" i="10"/>
  <c r="Z796" i="10"/>
  <c r="Y797" i="10"/>
  <c r="Z797" i="10"/>
  <c r="Y798" i="10"/>
  <c r="Z798" i="10"/>
  <c r="Y799" i="10"/>
  <c r="Z799" i="10"/>
  <c r="Y800" i="10"/>
  <c r="Z800" i="10"/>
  <c r="Y801" i="10"/>
  <c r="Z801" i="10"/>
  <c r="Y802" i="10"/>
  <c r="Z802" i="10"/>
  <c r="Y803" i="10"/>
  <c r="Z803" i="10"/>
  <c r="Y804" i="10"/>
  <c r="Z804" i="10"/>
  <c r="Y805" i="10"/>
  <c r="Z805" i="10"/>
  <c r="Y806" i="10"/>
  <c r="Z806" i="10"/>
  <c r="Y807" i="10"/>
  <c r="Z807" i="10"/>
  <c r="Y808" i="10"/>
  <c r="Z808" i="10"/>
  <c r="Y809" i="10"/>
  <c r="Z809" i="10"/>
  <c r="Y810" i="10"/>
  <c r="Z810" i="10"/>
  <c r="Y811" i="10"/>
  <c r="Z811" i="10"/>
  <c r="Y812" i="10"/>
  <c r="Z812" i="10"/>
  <c r="Y813" i="10"/>
  <c r="Z813" i="10"/>
  <c r="Y814" i="10"/>
  <c r="Z814" i="10"/>
  <c r="Y815" i="10"/>
  <c r="Z815" i="10"/>
  <c r="Y816" i="10"/>
  <c r="Z816" i="10"/>
  <c r="Y817" i="10"/>
  <c r="Z817" i="10"/>
  <c r="Y818" i="10"/>
  <c r="Z818" i="10"/>
  <c r="Y819" i="10"/>
  <c r="Z819" i="10"/>
  <c r="Y820" i="10"/>
  <c r="Z820" i="10"/>
  <c r="Y821" i="10"/>
  <c r="Z821" i="10"/>
  <c r="Y822" i="10"/>
  <c r="Z822" i="10"/>
  <c r="Y823" i="10"/>
  <c r="Z823" i="10"/>
  <c r="Y824" i="10"/>
  <c r="Z824" i="10"/>
  <c r="Y825" i="10"/>
  <c r="Z825" i="10"/>
  <c r="Y826" i="10"/>
  <c r="Z826" i="10"/>
  <c r="Y827" i="10"/>
  <c r="Z827" i="10"/>
  <c r="Y828" i="10"/>
  <c r="Z828" i="10"/>
  <c r="Y829" i="10"/>
  <c r="Z829" i="10"/>
  <c r="Y830" i="10"/>
  <c r="Z830" i="10"/>
  <c r="Y831" i="10"/>
  <c r="Z831" i="10"/>
  <c r="Y832" i="10"/>
  <c r="Z832" i="10"/>
  <c r="Y833" i="10"/>
  <c r="Z833" i="10"/>
  <c r="Y834" i="10"/>
  <c r="Z834" i="10"/>
  <c r="Y835" i="10"/>
  <c r="Z835" i="10"/>
  <c r="Y836" i="10"/>
  <c r="Z836" i="10"/>
  <c r="Y837" i="10"/>
  <c r="Z837" i="10"/>
  <c r="Y838" i="10"/>
  <c r="Z838" i="10"/>
  <c r="Y839" i="10"/>
  <c r="Z839" i="10"/>
  <c r="Y840" i="10"/>
  <c r="Z840" i="10"/>
  <c r="Y841" i="10"/>
  <c r="Z841" i="10"/>
  <c r="Y842" i="10"/>
  <c r="Z842" i="10"/>
  <c r="Y843" i="10"/>
  <c r="Z843" i="10"/>
  <c r="Y844" i="10"/>
  <c r="Z844" i="10"/>
  <c r="Y845" i="10"/>
  <c r="Z845" i="10"/>
  <c r="Y846" i="10"/>
  <c r="Z846" i="10"/>
  <c r="Y847" i="10"/>
  <c r="Z847" i="10"/>
  <c r="Y848" i="10"/>
  <c r="Z848" i="10"/>
  <c r="Y849" i="10"/>
  <c r="Z849" i="10"/>
  <c r="Y850" i="10"/>
  <c r="Z850" i="10"/>
  <c r="Y851" i="10"/>
  <c r="Z851" i="10"/>
  <c r="Y852" i="10"/>
  <c r="Z852" i="10"/>
  <c r="Y853" i="10"/>
  <c r="Z853" i="10"/>
  <c r="Y854" i="10"/>
  <c r="Z854" i="10"/>
  <c r="Y855" i="10"/>
  <c r="Z855" i="10"/>
  <c r="Y856" i="10"/>
  <c r="Z856" i="10"/>
  <c r="Y857" i="10"/>
  <c r="Z857" i="10"/>
  <c r="Y858" i="10"/>
  <c r="Z858" i="10"/>
  <c r="Y859" i="10"/>
  <c r="Z859" i="10"/>
  <c r="Y860" i="10"/>
  <c r="Z860" i="10"/>
  <c r="Y861" i="10"/>
  <c r="Z861" i="10"/>
  <c r="Y862" i="10"/>
  <c r="Z862" i="10"/>
  <c r="Y863" i="10"/>
  <c r="Z863" i="10"/>
  <c r="Y864" i="10"/>
  <c r="Z864" i="10"/>
  <c r="Y865" i="10"/>
  <c r="Z865" i="10"/>
  <c r="Y866" i="10"/>
  <c r="Z866" i="10"/>
  <c r="Y867" i="10"/>
  <c r="Z867" i="10"/>
  <c r="Y868" i="10"/>
  <c r="Z868" i="10"/>
  <c r="Y869" i="10"/>
  <c r="Z869" i="10"/>
  <c r="Y870" i="10"/>
  <c r="Z870" i="10"/>
  <c r="Y871" i="10"/>
  <c r="Z871" i="10"/>
  <c r="Y872" i="10"/>
  <c r="Z872" i="10"/>
  <c r="Y873" i="10"/>
  <c r="Z873" i="10"/>
  <c r="Y874" i="10"/>
  <c r="Z874" i="10"/>
  <c r="Y875" i="10"/>
  <c r="Z875" i="10"/>
  <c r="Y876" i="10"/>
  <c r="Z876" i="10"/>
  <c r="Y877" i="10"/>
  <c r="Z877" i="10"/>
  <c r="Y878" i="10"/>
  <c r="Z878" i="10"/>
  <c r="Y879" i="10"/>
  <c r="Z879" i="10"/>
  <c r="Y880" i="10"/>
  <c r="Z880" i="10"/>
  <c r="Y881" i="10"/>
  <c r="Z881" i="10"/>
  <c r="Y882" i="10"/>
  <c r="Z882" i="10"/>
  <c r="Y883" i="10"/>
  <c r="Z883" i="10"/>
  <c r="Y884" i="10"/>
  <c r="Z884" i="10"/>
  <c r="Y885" i="10"/>
  <c r="Z885" i="10"/>
  <c r="Y886" i="10"/>
  <c r="Z886" i="10"/>
  <c r="Y887" i="10"/>
  <c r="Z887" i="10"/>
  <c r="Y888" i="10"/>
  <c r="Z888" i="10"/>
  <c r="Y889" i="10"/>
  <c r="Z889" i="10"/>
  <c r="Y890" i="10"/>
  <c r="Z890" i="10"/>
  <c r="Y891" i="10"/>
  <c r="Z891" i="10"/>
  <c r="Y892" i="10"/>
  <c r="Z892" i="10"/>
  <c r="Y893" i="10"/>
  <c r="Z893" i="10"/>
  <c r="Y894" i="10"/>
  <c r="Z894" i="10"/>
  <c r="Y895" i="10"/>
  <c r="Z895" i="10"/>
  <c r="Y896" i="10"/>
  <c r="Z896" i="10"/>
  <c r="Y897" i="10"/>
  <c r="Z897" i="10"/>
  <c r="Y898" i="10"/>
  <c r="Z898" i="10"/>
  <c r="Y899" i="10"/>
  <c r="Z899" i="10"/>
  <c r="Y900" i="10"/>
  <c r="Z900" i="10"/>
  <c r="Y901" i="10"/>
  <c r="Z901" i="10"/>
  <c r="Y902" i="10"/>
  <c r="Z902" i="10"/>
  <c r="Y903" i="10"/>
  <c r="Z903" i="10"/>
  <c r="Y904" i="10"/>
  <c r="Z904" i="10"/>
  <c r="Y905" i="10"/>
  <c r="Z905" i="10"/>
  <c r="Y906" i="10"/>
  <c r="Z906" i="10"/>
  <c r="Y907" i="10"/>
  <c r="Z907" i="10"/>
  <c r="Y908" i="10"/>
  <c r="Z908" i="10"/>
  <c r="Y909" i="10"/>
  <c r="Z909" i="10"/>
  <c r="Y910" i="10"/>
  <c r="Z910" i="10"/>
  <c r="Y911" i="10"/>
  <c r="Z911" i="10"/>
  <c r="Y912" i="10"/>
  <c r="Z912" i="10"/>
  <c r="Y913" i="10"/>
  <c r="Z913" i="10"/>
  <c r="Y914" i="10"/>
  <c r="Z914" i="10"/>
  <c r="Y915" i="10"/>
  <c r="Z915" i="10"/>
  <c r="Y916" i="10"/>
  <c r="Z916" i="10"/>
  <c r="Y917" i="10"/>
  <c r="Z917" i="10"/>
  <c r="Y918" i="10"/>
  <c r="Z918" i="10"/>
  <c r="Y919" i="10"/>
  <c r="Z919" i="10"/>
  <c r="Y920" i="10"/>
  <c r="Z920" i="10"/>
  <c r="Y921" i="10"/>
  <c r="Z921" i="10"/>
  <c r="Y922" i="10"/>
  <c r="Z922" i="10"/>
  <c r="Y923" i="10"/>
  <c r="Z923" i="10"/>
  <c r="Y924" i="10"/>
  <c r="Z924" i="10"/>
  <c r="Y925" i="10"/>
  <c r="Z925" i="10"/>
  <c r="Y926" i="10"/>
  <c r="Z926" i="10"/>
  <c r="Y927" i="10"/>
  <c r="Z927" i="10"/>
  <c r="Y928" i="10"/>
  <c r="Z928" i="10"/>
  <c r="Y929" i="10"/>
  <c r="Z929" i="10"/>
  <c r="Y930" i="10"/>
  <c r="Z930" i="10"/>
  <c r="Y931" i="10"/>
  <c r="Z931" i="10"/>
  <c r="Y932" i="10"/>
  <c r="Z932" i="10"/>
  <c r="Y933" i="10"/>
  <c r="Z933" i="10"/>
  <c r="Y934" i="10"/>
  <c r="Z934" i="10"/>
  <c r="Y935" i="10"/>
  <c r="Z935" i="10"/>
  <c r="Y936" i="10"/>
  <c r="Z936" i="10"/>
  <c r="Y937" i="10"/>
  <c r="Z937" i="10"/>
  <c r="Y938" i="10"/>
  <c r="Z938" i="10"/>
  <c r="Y939" i="10"/>
  <c r="Z939" i="10"/>
  <c r="Y940" i="10"/>
  <c r="Z940" i="10"/>
  <c r="Y941" i="10"/>
  <c r="Z941" i="10"/>
  <c r="Y942" i="10"/>
  <c r="Z942" i="10"/>
  <c r="Y943" i="10"/>
  <c r="Z943" i="10"/>
  <c r="Y944" i="10"/>
  <c r="Z944" i="10"/>
  <c r="Y945" i="10"/>
  <c r="Z945" i="10"/>
  <c r="Y946" i="10"/>
  <c r="Z946" i="10"/>
  <c r="Y947" i="10"/>
  <c r="Z947" i="10"/>
  <c r="Y948" i="10"/>
  <c r="Z948" i="10"/>
  <c r="Y949" i="10"/>
  <c r="Z949" i="10"/>
  <c r="Y950" i="10"/>
  <c r="Z950" i="10"/>
  <c r="Y951" i="10"/>
  <c r="Z951" i="10"/>
  <c r="Y952" i="10"/>
  <c r="Z952" i="10"/>
  <c r="Y953" i="10"/>
  <c r="Z953" i="10"/>
  <c r="Y954" i="10"/>
  <c r="Z954" i="10"/>
  <c r="Y955" i="10"/>
  <c r="Z955" i="10"/>
  <c r="Y956" i="10"/>
  <c r="Z956" i="10"/>
  <c r="Y957" i="10"/>
  <c r="Z957" i="10"/>
  <c r="Y958" i="10"/>
  <c r="Z958" i="10"/>
  <c r="Y959" i="10"/>
  <c r="Z959" i="10"/>
  <c r="Y960" i="10"/>
  <c r="Z960" i="10"/>
  <c r="Y961" i="10"/>
  <c r="Z961" i="10"/>
  <c r="Y962" i="10"/>
  <c r="Z962" i="10"/>
  <c r="Y963" i="10"/>
  <c r="Z963" i="10"/>
  <c r="Y964" i="10"/>
  <c r="Z964" i="10"/>
  <c r="Y965" i="10"/>
  <c r="Z965" i="10"/>
  <c r="Y966" i="10"/>
  <c r="Z966" i="10"/>
  <c r="Y967" i="10"/>
  <c r="Z967" i="10"/>
  <c r="Y968" i="10"/>
  <c r="Z968" i="10"/>
  <c r="Y969" i="10"/>
  <c r="Z969" i="10"/>
  <c r="Y970" i="10"/>
  <c r="Z970" i="10"/>
  <c r="Y971" i="10"/>
  <c r="Z971" i="10"/>
  <c r="Y972" i="10"/>
  <c r="Z972" i="10"/>
  <c r="Y973" i="10"/>
  <c r="Z973" i="10"/>
  <c r="Y974" i="10"/>
  <c r="Z974" i="10"/>
  <c r="Y975" i="10"/>
  <c r="Z975" i="10"/>
  <c r="Y976" i="10"/>
  <c r="Z976" i="10"/>
  <c r="Y977" i="10"/>
  <c r="Z977" i="10"/>
  <c r="Y978" i="10"/>
  <c r="Z978" i="10"/>
  <c r="Y979" i="10"/>
  <c r="Z979" i="10"/>
  <c r="Y980" i="10"/>
  <c r="Z980" i="10"/>
  <c r="Y981" i="10"/>
  <c r="Z981" i="10"/>
  <c r="Y982" i="10"/>
  <c r="Z982" i="10"/>
  <c r="Y983" i="10"/>
  <c r="Z983" i="10"/>
  <c r="Y984" i="10"/>
  <c r="Z984" i="10"/>
  <c r="Y985" i="10"/>
  <c r="Z985" i="10"/>
  <c r="Y986" i="10"/>
  <c r="Z986" i="10"/>
  <c r="Y987" i="10"/>
  <c r="Z987" i="10"/>
  <c r="Y988" i="10"/>
  <c r="Z988" i="10"/>
  <c r="Y989" i="10"/>
  <c r="Z989" i="10"/>
  <c r="Y990" i="10"/>
  <c r="Z990" i="10"/>
  <c r="Y991" i="10"/>
  <c r="Z991" i="10"/>
  <c r="Y992" i="10"/>
  <c r="Z992" i="10"/>
  <c r="Y993" i="10"/>
  <c r="Z993" i="10"/>
  <c r="Y994" i="10"/>
  <c r="Z994" i="10"/>
  <c r="Y995" i="10"/>
  <c r="Z995" i="10"/>
  <c r="Y996" i="10"/>
  <c r="Z996" i="10"/>
  <c r="Y997" i="10"/>
  <c r="Z997" i="10"/>
  <c r="Y998" i="10"/>
  <c r="Z998" i="10"/>
  <c r="Y999" i="10"/>
  <c r="Z999" i="10"/>
  <c r="Y1000" i="10"/>
  <c r="Z1000" i="10"/>
  <c r="Y1001" i="10"/>
  <c r="Z1001" i="10"/>
  <c r="Y1002" i="10"/>
  <c r="Z1002" i="10"/>
  <c r="Y1003" i="10"/>
  <c r="Z1003" i="10"/>
  <c r="Y1004" i="10"/>
  <c r="Z1004" i="10"/>
  <c r="Y1005" i="10"/>
  <c r="Z1005" i="10"/>
  <c r="Y1006" i="10"/>
  <c r="Z1006" i="10"/>
  <c r="Y1007" i="10"/>
  <c r="Z1007" i="10"/>
  <c r="Y1008" i="10"/>
  <c r="Z1008" i="10"/>
  <c r="Y1009" i="10"/>
  <c r="Z1009" i="10"/>
  <c r="Y1010" i="10"/>
  <c r="Z1010" i="10"/>
  <c r="Y1011" i="10"/>
  <c r="Z1011" i="10"/>
  <c r="Y1012" i="10"/>
  <c r="Z1012" i="10"/>
  <c r="Y1013" i="10"/>
  <c r="Z1013" i="10"/>
  <c r="Y1014" i="10"/>
  <c r="Z1014" i="10"/>
  <c r="Y1015" i="10"/>
  <c r="Z1015" i="10"/>
  <c r="Y1016" i="10"/>
  <c r="Z1016" i="10"/>
  <c r="Y1017" i="10"/>
  <c r="Z1017" i="10"/>
  <c r="Y1018" i="10"/>
  <c r="Z1018" i="10"/>
  <c r="Y1019" i="10"/>
  <c r="Z1019" i="10"/>
  <c r="Y1020" i="10"/>
  <c r="Z1020" i="10"/>
  <c r="Y1021" i="10"/>
  <c r="Z1021" i="10"/>
  <c r="Y1022" i="10"/>
  <c r="Z1022" i="10"/>
  <c r="Y1023" i="10"/>
  <c r="Z1023" i="10"/>
  <c r="Y1024" i="10"/>
  <c r="Z1024" i="10"/>
  <c r="Y1025" i="10"/>
  <c r="Z1025" i="10"/>
  <c r="Y1026" i="10"/>
  <c r="Z1026" i="10"/>
  <c r="Y1027" i="10"/>
  <c r="Z1027" i="10"/>
  <c r="Y1028" i="10"/>
  <c r="Z1028" i="10"/>
  <c r="Y1029" i="10"/>
  <c r="Z1029" i="10"/>
  <c r="Y1030" i="10"/>
  <c r="Z1030" i="10"/>
  <c r="Y1031" i="10"/>
  <c r="Z1031" i="10"/>
  <c r="Y1032" i="10"/>
  <c r="Z1032" i="10"/>
  <c r="Y1033" i="10"/>
  <c r="Z1033" i="10"/>
  <c r="Y1034" i="10"/>
  <c r="Z1034" i="10"/>
  <c r="Y1035" i="10"/>
  <c r="Z1035" i="10"/>
  <c r="Y1036" i="10"/>
  <c r="Z1036" i="10"/>
  <c r="Y1037" i="10"/>
  <c r="Z1037" i="10"/>
  <c r="Y1038" i="10"/>
  <c r="Z1038" i="10"/>
  <c r="Y1039" i="10"/>
  <c r="Z1039" i="10"/>
  <c r="Y1040" i="10"/>
  <c r="Z1040" i="10"/>
  <c r="Y1041" i="10"/>
  <c r="Z1041" i="10"/>
  <c r="Y1042" i="10"/>
  <c r="Z1042" i="10"/>
  <c r="Y1043" i="10"/>
  <c r="Z1043" i="10"/>
  <c r="Y1044" i="10"/>
  <c r="Z1044" i="10"/>
  <c r="Y1045" i="10"/>
  <c r="Z1045" i="10"/>
  <c r="Y1046" i="10"/>
  <c r="Z1046" i="10"/>
  <c r="Y1047" i="10"/>
  <c r="Z1047" i="10"/>
  <c r="Y1048" i="10"/>
  <c r="Z1048" i="10"/>
  <c r="Y1049" i="10"/>
  <c r="Z1049" i="10"/>
  <c r="Y1050" i="10"/>
  <c r="Z1050" i="10"/>
  <c r="Y1051" i="10"/>
  <c r="Z1051" i="10"/>
  <c r="Y1052" i="10"/>
  <c r="Z1052" i="10"/>
  <c r="Y1053" i="10"/>
  <c r="Z1053" i="10"/>
  <c r="Y1054" i="10"/>
  <c r="Z1054" i="10"/>
  <c r="Y1055" i="10"/>
  <c r="Z1055" i="10"/>
  <c r="Y1056" i="10"/>
  <c r="Z1056" i="10"/>
  <c r="Y1057" i="10"/>
  <c r="Z1057" i="10"/>
  <c r="Y1058" i="10"/>
  <c r="Z1058" i="10"/>
  <c r="Y1059" i="10"/>
  <c r="Z1059" i="10"/>
  <c r="Y1060" i="10"/>
  <c r="Z1060" i="10"/>
  <c r="Y1061" i="10"/>
  <c r="Z1061" i="10"/>
  <c r="Y1062" i="10"/>
  <c r="Z1062" i="10"/>
  <c r="Y1063" i="10"/>
  <c r="Z1063" i="10"/>
  <c r="Y1064" i="10"/>
  <c r="Z1064" i="10"/>
  <c r="Y1065" i="10"/>
  <c r="Z1065" i="10"/>
  <c r="Y1066" i="10"/>
  <c r="Z1066" i="10"/>
  <c r="Y1067" i="10"/>
  <c r="Z1067" i="10"/>
  <c r="Y1068" i="10"/>
  <c r="Z1068" i="10"/>
  <c r="Y1069" i="10"/>
  <c r="Z1069" i="10"/>
  <c r="Y1070" i="10"/>
  <c r="Z1070" i="10"/>
  <c r="Y1071" i="10"/>
  <c r="Z1071" i="10"/>
  <c r="Y1072" i="10"/>
  <c r="Z1072" i="10"/>
  <c r="Y1073" i="10"/>
  <c r="Z1073" i="10"/>
  <c r="Y1074" i="10"/>
  <c r="Z1074" i="10"/>
  <c r="Y1075" i="10"/>
  <c r="Z1075" i="10"/>
  <c r="Y1076" i="10"/>
  <c r="Z1076" i="10"/>
  <c r="Y1077" i="10"/>
  <c r="Z1077" i="10"/>
  <c r="Y1078" i="10"/>
  <c r="Z1078" i="10"/>
  <c r="Y1079" i="10"/>
  <c r="Z1079" i="10"/>
  <c r="Y1080" i="10"/>
  <c r="Z1080" i="10"/>
  <c r="Y1081" i="10"/>
  <c r="Z1081" i="10"/>
  <c r="Y1082" i="10"/>
  <c r="Z1082" i="10"/>
  <c r="Y1083" i="10"/>
  <c r="Z1083" i="10"/>
  <c r="Y1084" i="10"/>
  <c r="Z1084" i="10"/>
  <c r="Y1085" i="10"/>
  <c r="Z1085" i="10"/>
  <c r="Y1086" i="10"/>
  <c r="Z1086" i="10"/>
  <c r="Y1087" i="10"/>
  <c r="Z1087" i="10"/>
  <c r="Y1088" i="10"/>
  <c r="Z1088" i="10"/>
  <c r="Y1089" i="10"/>
  <c r="Z1089" i="10"/>
  <c r="Y1090" i="10"/>
  <c r="Z1090" i="10"/>
  <c r="Y1091" i="10"/>
  <c r="Z1091" i="10"/>
  <c r="Y1092" i="10"/>
  <c r="Z1092" i="10"/>
  <c r="Y1093" i="10"/>
  <c r="Z1093" i="10"/>
  <c r="Y1094" i="10"/>
  <c r="Z1094" i="10"/>
  <c r="Y1095" i="10"/>
  <c r="Z1095" i="10"/>
  <c r="Y1096" i="10"/>
  <c r="Z1096" i="10"/>
  <c r="Y1097" i="10"/>
  <c r="Z1097" i="10"/>
  <c r="Y1098" i="10"/>
  <c r="Z1098" i="10"/>
  <c r="Y1099" i="10"/>
  <c r="Z1099" i="10"/>
  <c r="Y1100" i="10"/>
  <c r="Z1100" i="10"/>
  <c r="Y1101" i="10"/>
  <c r="Z1101" i="10"/>
  <c r="Y1102" i="10"/>
  <c r="Z1102" i="10"/>
  <c r="Y1103" i="10"/>
  <c r="Z1103" i="10"/>
  <c r="Y1104" i="10"/>
  <c r="Z1104" i="10"/>
  <c r="Y1105" i="10"/>
  <c r="Z1105" i="10"/>
  <c r="Y1106" i="10"/>
  <c r="Z1106" i="10"/>
  <c r="Y1107" i="10"/>
  <c r="Z1107" i="10"/>
  <c r="Y1108" i="10"/>
  <c r="Z1108" i="10"/>
  <c r="Y1109" i="10"/>
  <c r="Z1109" i="10"/>
  <c r="Y1110" i="10"/>
  <c r="Z1110" i="10"/>
  <c r="Y1111" i="10"/>
  <c r="Z1111" i="10"/>
  <c r="Y1112" i="10"/>
  <c r="Z1112" i="10"/>
  <c r="Y1113" i="10"/>
  <c r="Z1113" i="10"/>
  <c r="Y1114" i="10"/>
  <c r="Z1114" i="10"/>
  <c r="Y1115" i="10"/>
  <c r="Z1115" i="10"/>
  <c r="Y1116" i="10"/>
  <c r="Z1116" i="10"/>
  <c r="Y1117" i="10"/>
  <c r="Z1117" i="10"/>
  <c r="Y1118" i="10"/>
  <c r="Z1118" i="10"/>
  <c r="Y1119" i="10"/>
  <c r="Z1119" i="10"/>
  <c r="Y1120" i="10"/>
  <c r="Z1120" i="10"/>
  <c r="Y1121" i="10"/>
  <c r="Z1121" i="10"/>
  <c r="Y1122" i="10"/>
  <c r="Z1122" i="10"/>
  <c r="Y1123" i="10"/>
  <c r="Z1123" i="10"/>
  <c r="Y1124" i="10"/>
  <c r="Z1124" i="10"/>
  <c r="Y1125" i="10"/>
  <c r="Z1125" i="10"/>
  <c r="Y1126" i="10"/>
  <c r="Z1126" i="10"/>
  <c r="Y1127" i="10"/>
  <c r="Z1127" i="10"/>
  <c r="Y1128" i="10"/>
  <c r="Z1128" i="10"/>
  <c r="Y1129" i="10"/>
  <c r="Z1129" i="10"/>
  <c r="Y1130" i="10"/>
  <c r="Z1130" i="10"/>
  <c r="Y1131" i="10"/>
  <c r="Z1131" i="10"/>
  <c r="Y1132" i="10"/>
  <c r="Z1132" i="10"/>
  <c r="Y1133" i="10"/>
  <c r="Z1133" i="10"/>
  <c r="Y1134" i="10"/>
  <c r="Z1134" i="10"/>
  <c r="Y1135" i="10"/>
  <c r="Z1135" i="10"/>
  <c r="Y1136" i="10"/>
  <c r="Z1136" i="10"/>
  <c r="Y1137" i="10"/>
  <c r="Z1137" i="10"/>
  <c r="Y1138" i="10"/>
  <c r="Z1138" i="10"/>
  <c r="Y1139" i="10"/>
  <c r="Z1139" i="10"/>
  <c r="Y1140" i="10"/>
  <c r="Z1140" i="10"/>
  <c r="Y1141" i="10"/>
  <c r="Z1141" i="10"/>
  <c r="Y1142" i="10"/>
  <c r="Z1142" i="10"/>
  <c r="Y1143" i="10"/>
  <c r="Z1143" i="10"/>
  <c r="Y1144" i="10"/>
  <c r="Z1144" i="10"/>
  <c r="Y1145" i="10"/>
  <c r="Z1145" i="10"/>
  <c r="Y1146" i="10"/>
  <c r="Z1146" i="10"/>
  <c r="Y1147" i="10"/>
  <c r="Z1147" i="10"/>
  <c r="Y1148" i="10"/>
  <c r="Z1148" i="10"/>
  <c r="Y1149" i="10"/>
  <c r="Z1149" i="10"/>
  <c r="Y1150" i="10"/>
  <c r="Z1150" i="10"/>
  <c r="Y1151" i="10"/>
  <c r="Z1151" i="10"/>
  <c r="Y1152" i="10"/>
  <c r="Z1152" i="10"/>
  <c r="Y1153" i="10"/>
  <c r="Z1153" i="10"/>
  <c r="Y1154" i="10"/>
  <c r="Z1154" i="10"/>
  <c r="Y1155" i="10"/>
  <c r="Z1155" i="10"/>
  <c r="Y1156" i="10"/>
  <c r="Z1156" i="10"/>
  <c r="Y1157" i="10"/>
  <c r="Z1157" i="10"/>
  <c r="Y1158" i="10"/>
  <c r="Z1158" i="10"/>
  <c r="Y1159" i="10"/>
  <c r="Z1159" i="10"/>
  <c r="Y1160" i="10"/>
  <c r="Z1160" i="10"/>
  <c r="Y1161" i="10"/>
  <c r="Z1161" i="10"/>
  <c r="Y1162" i="10"/>
  <c r="Z1162" i="10"/>
  <c r="Y1163" i="10"/>
  <c r="Z1163" i="10"/>
  <c r="Y1164" i="10"/>
  <c r="Z1164" i="10"/>
  <c r="Y1165" i="10"/>
  <c r="Z1165" i="10"/>
  <c r="Y1166" i="10"/>
  <c r="Z1166" i="10"/>
  <c r="Y1167" i="10"/>
  <c r="Z1167" i="10"/>
  <c r="Y1168" i="10"/>
  <c r="Z1168" i="10"/>
  <c r="Y1169" i="10"/>
  <c r="Z1169" i="10"/>
  <c r="Y1170" i="10"/>
  <c r="Z1170" i="10"/>
  <c r="Y1171" i="10"/>
  <c r="Z1171" i="10"/>
  <c r="Y1172" i="10"/>
  <c r="Z1172" i="10"/>
  <c r="Y1173" i="10"/>
  <c r="Z1173" i="10"/>
  <c r="Y1174" i="10"/>
  <c r="Z1174" i="10"/>
  <c r="Y1175" i="10"/>
  <c r="Z1175" i="10"/>
  <c r="Y1176" i="10"/>
  <c r="Z1176" i="10"/>
  <c r="Y1177" i="10"/>
  <c r="Z1177" i="10"/>
  <c r="Y1178" i="10"/>
  <c r="Z1178" i="10"/>
  <c r="Y1179" i="10"/>
  <c r="Z1179" i="10"/>
  <c r="Y1180" i="10"/>
  <c r="Z1180" i="10"/>
  <c r="Y1181" i="10"/>
  <c r="Z1181" i="10"/>
  <c r="Y1182" i="10"/>
  <c r="Z1182" i="10"/>
  <c r="Y1183" i="10"/>
  <c r="Z1183" i="10"/>
  <c r="Y1184" i="10"/>
  <c r="Z1184" i="10"/>
  <c r="Y1185" i="10"/>
  <c r="Z1185" i="10"/>
  <c r="Y1186" i="10"/>
  <c r="Z1186" i="10"/>
  <c r="Y1187" i="10"/>
  <c r="Z1187" i="10"/>
  <c r="Y1188" i="10"/>
  <c r="Z1188" i="10"/>
  <c r="Y1189" i="10"/>
  <c r="Z1189" i="10"/>
  <c r="Y1190" i="10"/>
  <c r="Z1190" i="10"/>
  <c r="Y1191" i="10"/>
  <c r="Z1191" i="10"/>
  <c r="Y1192" i="10"/>
  <c r="Z1192" i="10"/>
  <c r="Y1193" i="10"/>
  <c r="Z1193" i="10"/>
  <c r="Y1194" i="10"/>
  <c r="Z1194" i="10"/>
  <c r="Y1195" i="10"/>
  <c r="Z1195" i="10"/>
  <c r="Y1196" i="10"/>
  <c r="Z1196" i="10"/>
  <c r="Y1197" i="10"/>
  <c r="Z1197" i="10"/>
  <c r="Y1198" i="10"/>
  <c r="Z1198" i="10"/>
  <c r="Y1199" i="10"/>
  <c r="Z1199" i="10"/>
  <c r="Y1200" i="10"/>
  <c r="Z1200" i="10"/>
  <c r="Y1201" i="10"/>
  <c r="Z1201" i="10"/>
  <c r="Y1202" i="10"/>
  <c r="Z1202" i="10"/>
  <c r="Y1203" i="10"/>
  <c r="Z1203" i="10"/>
  <c r="Y1204" i="10"/>
  <c r="Z1204" i="10"/>
  <c r="Y1205" i="10"/>
  <c r="Z1205" i="10"/>
  <c r="Y1206" i="10"/>
  <c r="Z1206" i="10"/>
  <c r="Y1207" i="10"/>
  <c r="Z1207" i="10"/>
  <c r="Y1208" i="10"/>
  <c r="Z1208" i="10"/>
  <c r="Y1209" i="10"/>
  <c r="Z1209" i="10"/>
  <c r="Y1210" i="10"/>
  <c r="Z1210" i="10"/>
  <c r="Y1211" i="10"/>
  <c r="Z1211" i="10"/>
  <c r="Y1212" i="10"/>
  <c r="Z1212" i="10"/>
  <c r="Y1213" i="10"/>
  <c r="Z1213" i="10"/>
  <c r="Y1214" i="10"/>
  <c r="Z1214" i="10"/>
  <c r="Y1215" i="10"/>
  <c r="Z1215" i="10"/>
  <c r="Y1216" i="10"/>
  <c r="Z1216" i="10"/>
  <c r="Y1217" i="10"/>
  <c r="Z1217" i="10"/>
  <c r="Y1218" i="10"/>
  <c r="Z1218" i="10"/>
  <c r="Y1219" i="10"/>
  <c r="Z1219" i="10"/>
  <c r="Y1220" i="10"/>
  <c r="Z1220" i="10"/>
  <c r="Y1221" i="10"/>
  <c r="Z1221" i="10"/>
  <c r="Y1222" i="10"/>
  <c r="Z1222" i="10"/>
  <c r="Y1223" i="10"/>
  <c r="Z1223" i="10"/>
  <c r="Y1224" i="10"/>
  <c r="Z1224" i="10"/>
  <c r="Y1225" i="10"/>
  <c r="Z1225" i="10"/>
  <c r="Y1226" i="10"/>
  <c r="Z1226" i="10"/>
  <c r="Y1227" i="10"/>
  <c r="Z1227" i="10"/>
  <c r="Y1228" i="10"/>
  <c r="Z1228" i="10"/>
  <c r="Y1229" i="10"/>
  <c r="Z1229" i="10"/>
  <c r="Y1230" i="10"/>
  <c r="Z1230" i="10"/>
  <c r="Y1231" i="10"/>
  <c r="Z1231" i="10"/>
  <c r="Y1232" i="10"/>
  <c r="Z1232" i="10"/>
  <c r="Y1233" i="10"/>
  <c r="Z1233" i="10"/>
  <c r="Y1234" i="10"/>
  <c r="Z1234" i="10"/>
  <c r="Y1235" i="10"/>
  <c r="Z1235" i="10"/>
  <c r="Y1236" i="10"/>
  <c r="Z1236" i="10"/>
  <c r="Y1237" i="10"/>
  <c r="Z1237" i="10"/>
  <c r="Y1238" i="10"/>
  <c r="Z1238" i="10"/>
  <c r="Y1239" i="10"/>
  <c r="Z1239" i="10"/>
  <c r="Y1240" i="10"/>
  <c r="Z1240" i="10"/>
  <c r="Y1241" i="10"/>
  <c r="Z1241" i="10"/>
  <c r="Y1242" i="10"/>
  <c r="Z1242" i="10"/>
  <c r="Y1243" i="10"/>
  <c r="Z1243" i="10"/>
  <c r="Y1244" i="10"/>
  <c r="Z1244" i="10"/>
  <c r="Y1245" i="10"/>
  <c r="Z1245" i="10"/>
  <c r="Y1246" i="10"/>
  <c r="Z1246" i="10"/>
  <c r="Y1247" i="10"/>
  <c r="Z1247" i="10"/>
  <c r="Y1248" i="10"/>
  <c r="Z1248" i="10"/>
  <c r="Y1249" i="10"/>
  <c r="Z1249" i="10"/>
  <c r="Y1250" i="10"/>
  <c r="Z1250" i="10"/>
  <c r="Y1251" i="10"/>
  <c r="Z1251" i="10"/>
  <c r="Y1252" i="10"/>
  <c r="Z1252" i="10"/>
  <c r="Y1253" i="10"/>
  <c r="Z1253" i="10"/>
  <c r="Y1254" i="10"/>
  <c r="Z1254" i="10"/>
  <c r="Y1255" i="10"/>
  <c r="Z1255" i="10"/>
  <c r="Y1256" i="10"/>
  <c r="Z1256" i="10"/>
  <c r="Y1257" i="10"/>
  <c r="Z1257" i="10"/>
  <c r="Y1258" i="10"/>
  <c r="Z1258" i="10"/>
  <c r="Y1259" i="10"/>
  <c r="Z1259" i="10"/>
  <c r="Y1260" i="10"/>
  <c r="Z1260" i="10"/>
  <c r="Y1261" i="10"/>
  <c r="Z1261" i="10"/>
  <c r="Y1262" i="10"/>
  <c r="Z1262" i="10"/>
  <c r="Y1263" i="10"/>
  <c r="Z1263" i="10"/>
  <c r="Y1264" i="10"/>
  <c r="Z1264" i="10"/>
  <c r="Y1265" i="10"/>
  <c r="Z1265" i="10"/>
  <c r="Y1266" i="10"/>
  <c r="Z1266" i="10"/>
  <c r="Y1267" i="10"/>
  <c r="Z1267" i="10"/>
  <c r="Y1268" i="10"/>
  <c r="Z1268" i="10"/>
  <c r="Y1269" i="10"/>
  <c r="Z1269" i="10"/>
  <c r="Y1270" i="10"/>
  <c r="Z1270" i="10"/>
  <c r="Y1271" i="10"/>
  <c r="Z1271" i="10"/>
  <c r="Y1272" i="10"/>
  <c r="Z1272" i="10"/>
  <c r="Y1273" i="10"/>
  <c r="Z1273" i="10"/>
  <c r="Y1274" i="10"/>
  <c r="Z1274" i="10"/>
  <c r="Y1275" i="10"/>
  <c r="Z1275" i="10"/>
  <c r="Y1276" i="10"/>
  <c r="Z1276" i="10"/>
  <c r="Y1277" i="10"/>
  <c r="Z1277" i="10"/>
  <c r="Y1278" i="10"/>
  <c r="Z1278" i="10"/>
  <c r="Y1279" i="10"/>
  <c r="Z1279" i="10"/>
  <c r="Y1280" i="10"/>
  <c r="Z1280" i="10"/>
  <c r="Y1281" i="10"/>
  <c r="Z1281" i="10"/>
  <c r="Y1282" i="10"/>
  <c r="Z1282" i="10"/>
  <c r="Y1283" i="10"/>
  <c r="Z1283" i="10"/>
  <c r="Y1284" i="10"/>
  <c r="Z1284" i="10"/>
  <c r="Y1285" i="10"/>
  <c r="Z1285" i="10"/>
  <c r="Y1286" i="10"/>
  <c r="Z1286" i="10"/>
  <c r="Y1287" i="10"/>
  <c r="Z1287" i="10"/>
  <c r="Y1288" i="10"/>
  <c r="Z1288" i="10"/>
  <c r="Y1289" i="10"/>
  <c r="Z1289" i="10"/>
  <c r="Y1290" i="10"/>
  <c r="Z1290" i="10"/>
  <c r="Y1291" i="10"/>
  <c r="Z1291" i="10"/>
  <c r="Y1292" i="10"/>
  <c r="Z1292" i="10"/>
  <c r="Y1293" i="10"/>
  <c r="Z1293" i="10"/>
  <c r="Y1294" i="10"/>
  <c r="Z1294" i="10"/>
  <c r="Y1295" i="10"/>
  <c r="Z1295" i="10"/>
  <c r="Y1296" i="10"/>
  <c r="Z1296" i="10"/>
  <c r="Y1297" i="10"/>
  <c r="Z1297" i="10"/>
  <c r="Y1298" i="10"/>
  <c r="Z1298" i="10"/>
  <c r="Y1299" i="10"/>
  <c r="Z1299" i="10"/>
  <c r="Y1300" i="10"/>
  <c r="Z1300" i="10"/>
  <c r="Y1301" i="10"/>
  <c r="Z1301" i="10"/>
  <c r="Y1302" i="10"/>
  <c r="Z1302" i="10"/>
  <c r="Y1303" i="10"/>
  <c r="Z1303" i="10"/>
  <c r="Y1304" i="10"/>
  <c r="Z1304" i="10"/>
  <c r="Y1305" i="10"/>
  <c r="Z1305" i="10"/>
  <c r="Y1306" i="10"/>
  <c r="Z1306" i="10"/>
  <c r="Y1307" i="10"/>
  <c r="Z1307" i="10"/>
  <c r="Y1308" i="10"/>
  <c r="Z1308" i="10"/>
  <c r="Y1309" i="10"/>
  <c r="Z1309" i="10"/>
  <c r="Y1310" i="10"/>
  <c r="Z1310" i="10"/>
  <c r="Y1311" i="10"/>
  <c r="Z1311" i="10"/>
  <c r="Y1312" i="10"/>
  <c r="Z1312" i="10"/>
  <c r="Y1313" i="10"/>
  <c r="Z1313" i="10"/>
  <c r="Y1314" i="10"/>
  <c r="Z1314" i="10"/>
  <c r="Y1315" i="10"/>
  <c r="Z1315" i="10"/>
  <c r="Y1316" i="10"/>
  <c r="Z1316" i="10"/>
  <c r="Y1317" i="10"/>
  <c r="Z1317" i="10"/>
  <c r="Y1318" i="10"/>
  <c r="Z1318" i="10"/>
  <c r="Y1319" i="10"/>
  <c r="Z1319" i="10"/>
  <c r="Y1320" i="10"/>
  <c r="Z1320" i="10"/>
  <c r="Y1321" i="10"/>
  <c r="Z1321" i="10"/>
  <c r="Y1322" i="10"/>
  <c r="Z1322" i="10"/>
  <c r="Y1323" i="10"/>
  <c r="Z1323" i="10"/>
  <c r="Y1324" i="10"/>
  <c r="Z1324" i="10"/>
  <c r="Y1325" i="10"/>
  <c r="Z1325" i="10"/>
  <c r="Y1326" i="10"/>
  <c r="Z1326" i="10"/>
  <c r="Y1327" i="10"/>
  <c r="Z1327" i="10"/>
  <c r="Y1328" i="10"/>
  <c r="Z1328" i="10"/>
  <c r="Y1329" i="10"/>
  <c r="Z1329" i="10"/>
  <c r="Y1330" i="10"/>
  <c r="Z1330" i="10"/>
  <c r="Y1331" i="10"/>
  <c r="Z1331" i="10"/>
  <c r="Y1332" i="10"/>
  <c r="Z1332" i="10"/>
  <c r="Y1333" i="10"/>
  <c r="Z1333" i="10"/>
  <c r="Y1334" i="10"/>
  <c r="Z1334" i="10"/>
  <c r="Y1335" i="10"/>
  <c r="Z1335" i="10"/>
  <c r="Y1336" i="10"/>
  <c r="Z1336" i="10"/>
  <c r="Y1337" i="10"/>
  <c r="Z1337" i="10"/>
  <c r="Y1338" i="10"/>
  <c r="Z1338" i="10"/>
  <c r="Y1339" i="10"/>
  <c r="Z1339" i="10"/>
  <c r="Y1340" i="10"/>
  <c r="Z1340" i="10"/>
  <c r="Y1341" i="10"/>
  <c r="Z1341" i="10"/>
  <c r="Y1342" i="10"/>
  <c r="Z1342" i="10"/>
  <c r="Y1343" i="10"/>
  <c r="Z1343" i="10"/>
  <c r="Y1344" i="10"/>
  <c r="Z1344" i="10"/>
  <c r="Y1345" i="10"/>
  <c r="Z1345" i="10"/>
  <c r="Y1346" i="10"/>
  <c r="Z1346" i="10"/>
  <c r="Y1347" i="10"/>
  <c r="Z1347" i="10"/>
  <c r="Y1348" i="10"/>
  <c r="Z1348" i="10"/>
  <c r="Y1349" i="10"/>
  <c r="Z1349" i="10"/>
  <c r="Y1350" i="10"/>
  <c r="Z1350" i="10"/>
  <c r="Y1351" i="10"/>
  <c r="Z1351" i="10"/>
  <c r="Y1352" i="10"/>
  <c r="Z1352" i="10"/>
  <c r="Y1353" i="10"/>
  <c r="Z1353" i="10"/>
  <c r="Y1354" i="10"/>
  <c r="Z1354" i="10"/>
  <c r="Y1355" i="10"/>
  <c r="Z1355" i="10"/>
  <c r="Y1356" i="10"/>
  <c r="Z1356" i="10"/>
  <c r="Y1357" i="10"/>
  <c r="Z1357" i="10"/>
  <c r="Y1358" i="10"/>
  <c r="Z1358" i="10"/>
  <c r="Y1359" i="10"/>
  <c r="Z1359" i="10"/>
  <c r="Y1360" i="10"/>
  <c r="Z1360" i="10"/>
  <c r="Y1361" i="10"/>
  <c r="Z1361" i="10"/>
  <c r="Y1362" i="10"/>
  <c r="Z1362" i="10"/>
  <c r="Y1363" i="10"/>
  <c r="Z1363" i="10"/>
  <c r="Y1364" i="10"/>
  <c r="Z1364" i="10"/>
  <c r="Y1365" i="10"/>
  <c r="Z1365" i="10"/>
  <c r="Y1366" i="10"/>
  <c r="Z1366" i="10"/>
  <c r="Y1367" i="10"/>
  <c r="Z1367" i="10"/>
  <c r="Y1368" i="10"/>
  <c r="Z1368" i="10"/>
  <c r="Y1369" i="10"/>
  <c r="Z1369" i="10"/>
  <c r="Y1370" i="10"/>
  <c r="Z1370" i="10"/>
  <c r="Y1371" i="10"/>
  <c r="Z1371" i="10"/>
  <c r="Y1372" i="10"/>
  <c r="Z1372" i="10"/>
  <c r="Y1373" i="10"/>
  <c r="Z1373" i="10"/>
  <c r="Y1374" i="10"/>
  <c r="Z1374" i="10"/>
  <c r="Y1375" i="10"/>
  <c r="Z1375" i="10"/>
  <c r="Y1376" i="10"/>
  <c r="Z1376" i="10"/>
  <c r="Y1377" i="10"/>
  <c r="Z1377" i="10"/>
  <c r="Y1378" i="10"/>
  <c r="Z1378" i="10"/>
  <c r="Y1379" i="10"/>
  <c r="Z1379" i="10"/>
  <c r="Y1380" i="10"/>
  <c r="Z1380" i="10"/>
  <c r="Y1381" i="10"/>
  <c r="Z1381" i="10"/>
  <c r="Y1382" i="10"/>
  <c r="Z1382" i="10"/>
  <c r="Y1383" i="10"/>
  <c r="Z1383" i="10"/>
  <c r="Y1384" i="10"/>
  <c r="Z1384" i="10"/>
  <c r="Y1385" i="10"/>
  <c r="Z1385" i="10"/>
  <c r="Y1386" i="10"/>
  <c r="Z1386" i="10"/>
  <c r="Y1387" i="10"/>
  <c r="Z1387" i="10"/>
  <c r="Y1388" i="10"/>
  <c r="Z1388" i="10"/>
  <c r="Y1389" i="10"/>
  <c r="Z1389" i="10"/>
  <c r="Y1390" i="10"/>
  <c r="Z1390" i="10"/>
  <c r="Y1391" i="10"/>
  <c r="Z1391" i="10"/>
  <c r="Y1392" i="10"/>
  <c r="Z1392" i="10"/>
  <c r="Y1393" i="10"/>
  <c r="Z1393" i="10"/>
  <c r="Y1394" i="10"/>
  <c r="Z1394" i="10"/>
  <c r="Y1395" i="10"/>
  <c r="Z1395" i="10"/>
  <c r="Y1396" i="10"/>
  <c r="Z1396" i="10"/>
  <c r="Y1397" i="10"/>
  <c r="Z1397" i="10"/>
  <c r="Y1398" i="10"/>
  <c r="Z1398" i="10"/>
  <c r="Y1399" i="10"/>
  <c r="Z1399" i="10"/>
  <c r="Y1400" i="10"/>
  <c r="Z1400" i="10"/>
  <c r="Y1401" i="10"/>
  <c r="Z1401" i="10"/>
  <c r="Y1402" i="10"/>
  <c r="Z1402" i="10"/>
  <c r="Y1403" i="10"/>
  <c r="Z1403" i="10"/>
  <c r="Y1404" i="10"/>
  <c r="Z1404" i="10"/>
  <c r="Y1405" i="10"/>
  <c r="Z1405" i="10"/>
  <c r="Y1406" i="10"/>
  <c r="Z1406" i="10"/>
  <c r="Y1407" i="10"/>
  <c r="Z1407" i="10"/>
  <c r="Y1408" i="10"/>
  <c r="Z1408" i="10"/>
  <c r="Y1409" i="10"/>
  <c r="Z1409" i="10"/>
  <c r="Y1410" i="10"/>
  <c r="Z1410" i="10"/>
  <c r="Y1411" i="10"/>
  <c r="Z1411" i="10"/>
  <c r="Y1412" i="10"/>
  <c r="Z1412" i="10"/>
  <c r="Y1413" i="10"/>
  <c r="Z1413" i="10"/>
  <c r="Y1414" i="10"/>
  <c r="Z1414" i="10"/>
  <c r="Y1415" i="10"/>
  <c r="Z1415" i="10"/>
  <c r="Y1416" i="10"/>
  <c r="Z1416" i="10"/>
  <c r="Y1417" i="10"/>
  <c r="Z1417" i="10"/>
  <c r="Y1418" i="10"/>
  <c r="Z1418" i="10"/>
  <c r="Y1419" i="10"/>
  <c r="Z1419" i="10"/>
  <c r="Y1420" i="10"/>
  <c r="Z1420" i="10"/>
  <c r="Y1421" i="10"/>
  <c r="Z1421" i="10"/>
  <c r="Y1422" i="10"/>
  <c r="Z1422" i="10"/>
  <c r="Y1423" i="10"/>
  <c r="Z1423" i="10"/>
  <c r="Y1424" i="10"/>
  <c r="Z1424" i="10"/>
  <c r="Y1425" i="10"/>
  <c r="Z1425" i="10"/>
  <c r="Y1426" i="10"/>
  <c r="Z1426" i="10"/>
  <c r="Y1427" i="10"/>
  <c r="Z1427" i="10"/>
  <c r="Y1428" i="10"/>
  <c r="Z1428" i="10"/>
  <c r="Y1429" i="10"/>
  <c r="Z1429" i="10"/>
  <c r="Y1430" i="10"/>
  <c r="Z1430" i="10"/>
  <c r="Y1431" i="10"/>
  <c r="Z1431" i="10"/>
  <c r="Y1432" i="10"/>
  <c r="Z1432" i="10"/>
  <c r="Y1433" i="10"/>
  <c r="Z1433" i="10"/>
  <c r="Y1434" i="10"/>
  <c r="Z1434" i="10"/>
  <c r="Y1435" i="10"/>
  <c r="Z1435" i="10"/>
  <c r="Y1436" i="10"/>
  <c r="Z1436" i="10"/>
  <c r="Y1437" i="10"/>
  <c r="Z1437" i="10"/>
  <c r="Y1438" i="10"/>
  <c r="Z1438" i="10"/>
  <c r="Y1439" i="10"/>
  <c r="Z1439" i="10"/>
  <c r="Y1440" i="10"/>
  <c r="Z1440" i="10"/>
  <c r="Y1441" i="10"/>
  <c r="Z1441" i="10"/>
  <c r="Y1442" i="10"/>
  <c r="Z1442" i="10"/>
  <c r="Y1443" i="10"/>
  <c r="Z1443" i="10"/>
  <c r="Y1444" i="10"/>
  <c r="Z1444" i="10"/>
  <c r="Y1445" i="10"/>
  <c r="Z1445" i="10"/>
  <c r="Y1446" i="10"/>
  <c r="Z1446" i="10"/>
  <c r="Y1447" i="10"/>
  <c r="Z1447" i="10"/>
  <c r="Y1448" i="10"/>
  <c r="Z1448" i="10"/>
  <c r="Y1449" i="10"/>
  <c r="Z1449" i="10"/>
  <c r="Y1450" i="10"/>
  <c r="Z1450" i="10"/>
  <c r="Y1451" i="10"/>
  <c r="Z1451" i="10"/>
  <c r="Y1452" i="10"/>
  <c r="Z1452" i="10"/>
  <c r="Y1453" i="10"/>
  <c r="Z1453" i="10"/>
  <c r="Y1454" i="10"/>
  <c r="Z1454" i="10"/>
  <c r="Y1455" i="10"/>
  <c r="Z1455" i="10"/>
  <c r="Y1456" i="10"/>
  <c r="Z1456" i="10"/>
  <c r="Y1457" i="10"/>
  <c r="Z1457" i="10"/>
  <c r="Y1458" i="10"/>
  <c r="Z1458" i="10"/>
  <c r="Y1459" i="10"/>
  <c r="Z1459" i="10"/>
  <c r="Y1460" i="10"/>
  <c r="Z1460" i="10"/>
  <c r="Y1461" i="10"/>
  <c r="Z1461" i="10"/>
  <c r="Y1462" i="10"/>
  <c r="Z1462" i="10"/>
  <c r="Y1463" i="10"/>
  <c r="Z1463" i="10"/>
  <c r="Y1464" i="10"/>
  <c r="Z1464" i="10"/>
  <c r="Y1465" i="10"/>
  <c r="Z1465" i="10"/>
  <c r="Y1466" i="10"/>
  <c r="Z1466" i="10"/>
  <c r="Y1467" i="10"/>
  <c r="Z1467" i="10"/>
  <c r="Y1468" i="10"/>
  <c r="Z1468" i="10"/>
  <c r="Y1469" i="10"/>
  <c r="Z1469" i="10"/>
  <c r="Y1470" i="10"/>
  <c r="Z1470" i="10"/>
  <c r="Y1471" i="10"/>
  <c r="Z1471" i="10"/>
  <c r="Y1472" i="10"/>
  <c r="Z1472" i="10"/>
  <c r="Y1473" i="10"/>
  <c r="Z1473" i="10"/>
  <c r="Y1474" i="10"/>
  <c r="Z1474" i="10"/>
  <c r="Y1475" i="10"/>
  <c r="Z1475" i="10"/>
  <c r="Y1476" i="10"/>
  <c r="Z1476" i="10"/>
  <c r="Y1477" i="10"/>
  <c r="Z1477" i="10"/>
  <c r="Y1478" i="10"/>
  <c r="Z1478" i="10"/>
  <c r="Y1479" i="10"/>
  <c r="Z1479" i="10"/>
  <c r="Y1480" i="10"/>
  <c r="Z1480" i="10"/>
  <c r="Y1481" i="10"/>
  <c r="Z1481" i="10"/>
  <c r="Y1482" i="10"/>
  <c r="Z1482" i="10"/>
  <c r="Y1483" i="10"/>
  <c r="Z1483" i="10"/>
  <c r="Y1484" i="10"/>
  <c r="Z1484" i="10"/>
  <c r="Y1485" i="10"/>
  <c r="Z1485" i="10"/>
  <c r="Y1486" i="10"/>
  <c r="Z1486" i="10"/>
  <c r="Y1487" i="10"/>
  <c r="Z1487" i="10"/>
  <c r="Y1488" i="10"/>
  <c r="Z1488" i="10"/>
  <c r="Y1489" i="10"/>
  <c r="Z1489" i="10"/>
  <c r="Y1490" i="10"/>
  <c r="Z1490" i="10"/>
  <c r="Y1491" i="10"/>
  <c r="Z1491" i="10"/>
  <c r="Y1492" i="10"/>
  <c r="Z1492" i="10"/>
  <c r="Y1493" i="10"/>
  <c r="Z1493" i="10"/>
  <c r="Y1494" i="10"/>
  <c r="Z1494" i="10"/>
  <c r="Y1495" i="10"/>
  <c r="Z1495" i="10"/>
  <c r="Y1496" i="10"/>
  <c r="Z1496" i="10"/>
  <c r="Y1497" i="10"/>
  <c r="Z1497" i="10"/>
  <c r="Y1498" i="10"/>
  <c r="Z1498" i="10"/>
  <c r="Y1499" i="10"/>
  <c r="Z1499" i="10"/>
  <c r="Y1500" i="10"/>
  <c r="Z1500" i="10"/>
  <c r="Y1501" i="10"/>
  <c r="Z1501" i="10"/>
  <c r="Y1502" i="10"/>
  <c r="Z1502" i="10"/>
  <c r="Y1503" i="10"/>
  <c r="Z1503" i="10"/>
  <c r="Y1504" i="10"/>
  <c r="Z1504" i="10"/>
  <c r="Y1505" i="10"/>
  <c r="Z1505" i="10"/>
  <c r="Y1506" i="10"/>
  <c r="Z1506" i="10"/>
  <c r="Y1507" i="10"/>
  <c r="Z1507" i="10"/>
  <c r="Y1508" i="10"/>
  <c r="Z1508" i="10"/>
  <c r="Y1509" i="10"/>
  <c r="Z1509" i="10"/>
  <c r="Y1510" i="10"/>
  <c r="Z1510" i="10"/>
  <c r="Y1511" i="10"/>
  <c r="Z1511" i="10"/>
  <c r="Y1512" i="10"/>
  <c r="Z1512" i="10"/>
  <c r="Y1513" i="10"/>
  <c r="Z1513" i="10"/>
  <c r="Y1514" i="10"/>
  <c r="Z1514" i="10"/>
  <c r="Y1515" i="10"/>
  <c r="Z1515" i="10"/>
  <c r="Y1516" i="10"/>
  <c r="Z1516" i="10"/>
  <c r="Y1517" i="10"/>
  <c r="Z1517" i="10"/>
  <c r="Y1518" i="10"/>
  <c r="Z1518" i="10"/>
  <c r="Y1519" i="10"/>
  <c r="Z1519" i="10"/>
  <c r="Y1520" i="10"/>
  <c r="Z1520" i="10"/>
  <c r="Y1521" i="10"/>
  <c r="Z1521" i="10"/>
  <c r="Y1522" i="10"/>
  <c r="Z1522" i="10"/>
  <c r="Y1523" i="10"/>
  <c r="Z1523" i="10"/>
  <c r="Y1524" i="10"/>
  <c r="Z1524" i="10"/>
  <c r="Y1525" i="10"/>
  <c r="Z1525" i="10"/>
  <c r="Y1526" i="10"/>
  <c r="Z1526" i="10"/>
  <c r="Y1527" i="10"/>
  <c r="Z1527" i="10"/>
  <c r="Y1528" i="10"/>
  <c r="Z1528" i="10"/>
  <c r="Y1529" i="10"/>
  <c r="Z1529" i="10"/>
  <c r="Y1530" i="10"/>
  <c r="Z1530" i="10"/>
  <c r="Y1531" i="10"/>
  <c r="Z1531" i="10"/>
  <c r="Y1532" i="10"/>
  <c r="Z1532" i="10"/>
  <c r="Y1533" i="10"/>
  <c r="Z1533" i="10"/>
  <c r="Y1534" i="10"/>
  <c r="Z1534" i="10"/>
  <c r="Y1535" i="10"/>
  <c r="Z1535" i="10"/>
  <c r="Y1536" i="10"/>
  <c r="Z1536" i="10"/>
  <c r="Y1537" i="10"/>
  <c r="Z1537" i="10"/>
  <c r="Y1538" i="10"/>
  <c r="Z1538" i="10"/>
  <c r="Y1539" i="10"/>
  <c r="Z1539" i="10"/>
  <c r="Y1540" i="10"/>
  <c r="Z1540" i="10"/>
  <c r="Y1541" i="10"/>
  <c r="Z1541" i="10"/>
  <c r="Y1542" i="10"/>
  <c r="Z1542" i="10"/>
  <c r="Y1543" i="10"/>
  <c r="Z1543" i="10"/>
  <c r="Y1544" i="10"/>
  <c r="Z1544" i="10"/>
  <c r="Y1545" i="10"/>
  <c r="Z1545" i="10"/>
  <c r="Y1546" i="10"/>
  <c r="Z1546" i="10"/>
  <c r="Y1547" i="10"/>
  <c r="Z1547" i="10"/>
  <c r="Y1548" i="10"/>
  <c r="Z1548" i="10"/>
  <c r="Y1549" i="10"/>
  <c r="Z1549" i="10"/>
  <c r="Y1550" i="10"/>
  <c r="Z1550" i="10"/>
  <c r="Y1551" i="10"/>
  <c r="Z1551" i="10"/>
  <c r="Y1552" i="10"/>
  <c r="Z1552" i="10"/>
  <c r="Y1553" i="10"/>
  <c r="Z1553" i="10"/>
  <c r="Y1554" i="10"/>
  <c r="Z1554" i="10"/>
  <c r="Y1555" i="10"/>
  <c r="Z1555" i="10"/>
  <c r="Y1556" i="10"/>
  <c r="Z1556" i="10"/>
  <c r="Y1557" i="10"/>
  <c r="Z1557" i="10"/>
  <c r="Y1558" i="10"/>
  <c r="Z1558" i="10"/>
  <c r="Y1559" i="10"/>
  <c r="Z1559" i="10"/>
  <c r="Y1560" i="10"/>
  <c r="Z1560" i="10"/>
  <c r="Y1561" i="10"/>
  <c r="Z1561" i="10"/>
  <c r="Y1562" i="10"/>
  <c r="Z1562" i="10"/>
  <c r="Y1563" i="10"/>
  <c r="Z1563" i="10"/>
  <c r="Y1564" i="10"/>
  <c r="Z1564" i="10"/>
  <c r="Y1565" i="10"/>
  <c r="Z1565" i="10"/>
  <c r="Y1566" i="10"/>
  <c r="Z1566" i="10"/>
  <c r="Y1567" i="10"/>
  <c r="Z1567" i="10"/>
  <c r="Y1568" i="10"/>
  <c r="Z1568" i="10"/>
  <c r="Y1569" i="10"/>
  <c r="Z1569" i="10"/>
  <c r="Y1570" i="10"/>
  <c r="Z1570" i="10"/>
  <c r="Y1571" i="10"/>
  <c r="Z1571" i="10"/>
  <c r="Y1572" i="10"/>
  <c r="Z1572" i="10"/>
  <c r="Y1573" i="10"/>
  <c r="Z1573" i="10"/>
  <c r="Y1574" i="10"/>
  <c r="Z1574" i="10"/>
  <c r="Y1575" i="10"/>
  <c r="Z1575" i="10"/>
  <c r="Y1576" i="10"/>
  <c r="Z1576" i="10"/>
  <c r="Y1577" i="10"/>
  <c r="Z1577" i="10"/>
  <c r="Y1578" i="10"/>
  <c r="Z1578" i="10"/>
  <c r="Y1579" i="10"/>
  <c r="Z1579" i="10"/>
  <c r="Y1580" i="10"/>
  <c r="Z1580" i="10"/>
  <c r="Y1581" i="10"/>
  <c r="Z1581" i="10"/>
  <c r="Y1582" i="10"/>
  <c r="Z1582" i="10"/>
  <c r="Y1583" i="10"/>
  <c r="Z1583" i="10"/>
  <c r="Y1584" i="10"/>
  <c r="Z1584" i="10"/>
  <c r="Y1585" i="10"/>
  <c r="Z1585" i="10"/>
  <c r="Y1586" i="10"/>
  <c r="Z1586" i="10"/>
  <c r="Y1587" i="10"/>
  <c r="Z1587" i="10"/>
  <c r="Y1588" i="10"/>
  <c r="Z1588" i="10"/>
  <c r="Y1589" i="10"/>
  <c r="Z1589" i="10"/>
  <c r="Y1590" i="10"/>
  <c r="Z1590" i="10"/>
  <c r="Y1591" i="10"/>
  <c r="Z1591" i="10"/>
  <c r="Y1592" i="10"/>
  <c r="Z1592" i="10"/>
  <c r="Y1593" i="10"/>
  <c r="Z1593" i="10"/>
  <c r="Y1594" i="10"/>
  <c r="Z1594" i="10"/>
  <c r="Y1595" i="10"/>
  <c r="Z1595" i="10"/>
  <c r="Y1596" i="10"/>
  <c r="Z1596" i="10"/>
  <c r="Y1597" i="10"/>
  <c r="Z1597" i="10"/>
  <c r="Y1598" i="10"/>
  <c r="Z1598" i="10"/>
  <c r="Y1599" i="10"/>
  <c r="Z1599" i="10"/>
  <c r="Y1600" i="10"/>
  <c r="Z1600" i="10"/>
  <c r="Y1601" i="10"/>
  <c r="Z1601" i="10"/>
  <c r="Y1602" i="10"/>
  <c r="Z1602" i="10"/>
  <c r="Y1603" i="10"/>
  <c r="Z1603" i="10"/>
  <c r="Y1604" i="10"/>
  <c r="Z1604" i="10"/>
  <c r="Y1605" i="10"/>
  <c r="Z1605" i="10"/>
  <c r="Y1606" i="10"/>
  <c r="Z1606" i="10"/>
  <c r="Y1607" i="10"/>
  <c r="Z1607" i="10"/>
  <c r="Y1608" i="10"/>
  <c r="Z1608" i="10"/>
  <c r="Y1609" i="10"/>
  <c r="Z1609" i="10"/>
  <c r="Y1610" i="10"/>
  <c r="Z1610" i="10"/>
  <c r="Y1611" i="10"/>
  <c r="Z1611" i="10"/>
  <c r="Y1612" i="10"/>
  <c r="Z1612" i="10"/>
  <c r="Y1613" i="10"/>
  <c r="Z1613" i="10"/>
  <c r="Y1614" i="10"/>
  <c r="Z1614" i="10"/>
  <c r="Y1615" i="10"/>
  <c r="Z1615" i="10"/>
  <c r="Y1616" i="10"/>
  <c r="Z1616" i="10"/>
  <c r="Y1617" i="10"/>
  <c r="Z1617" i="10"/>
  <c r="Y1618" i="10"/>
  <c r="Z1618" i="10"/>
  <c r="Y1619" i="10"/>
  <c r="Z1619" i="10"/>
  <c r="Y1620" i="10"/>
  <c r="Z1620" i="10"/>
  <c r="Y1621" i="10"/>
  <c r="Z1621" i="10"/>
  <c r="Y1622" i="10"/>
  <c r="Z1622" i="10"/>
  <c r="Y1623" i="10"/>
  <c r="Z1623" i="10"/>
  <c r="Y1624" i="10"/>
  <c r="Z1624" i="10"/>
  <c r="Y1625" i="10"/>
  <c r="Z1625" i="10"/>
  <c r="Y1626" i="10"/>
  <c r="Z1626" i="10"/>
  <c r="Y1627" i="10"/>
  <c r="Z1627" i="10"/>
  <c r="Y1628" i="10"/>
  <c r="Z1628" i="10"/>
  <c r="Y1629" i="10"/>
  <c r="Z1629" i="10"/>
  <c r="Y1630" i="10"/>
  <c r="Z1630" i="10"/>
  <c r="Y1631" i="10"/>
  <c r="Z1631" i="10"/>
  <c r="Y1632" i="10"/>
  <c r="Z1632" i="10"/>
  <c r="Y1633" i="10"/>
  <c r="Z1633" i="10"/>
  <c r="Y1634" i="10"/>
  <c r="Z1634" i="10"/>
  <c r="Y1635" i="10"/>
  <c r="Z1635" i="10"/>
  <c r="Y1636" i="10"/>
  <c r="Z1636" i="10"/>
  <c r="Y1637" i="10"/>
  <c r="Z1637" i="10"/>
  <c r="Y1638" i="10"/>
  <c r="Z1638" i="10"/>
  <c r="Y1639" i="10"/>
  <c r="Z1639" i="10"/>
  <c r="Y1640" i="10"/>
  <c r="Z1640" i="10"/>
  <c r="Y1641" i="10"/>
  <c r="Z1641" i="10"/>
  <c r="Y1642" i="10"/>
  <c r="Z1642" i="10"/>
  <c r="Y1643" i="10"/>
  <c r="Z1643" i="10"/>
  <c r="Y1644" i="10"/>
  <c r="Z1644" i="10"/>
  <c r="Y1645" i="10"/>
  <c r="Z1645" i="10"/>
  <c r="Y1646" i="10"/>
  <c r="Z1646" i="10"/>
  <c r="Y1647" i="10"/>
  <c r="Z1647" i="10"/>
  <c r="Y1648" i="10"/>
  <c r="Z1648" i="10"/>
  <c r="Y1649" i="10"/>
  <c r="Z1649" i="10"/>
  <c r="Y1650" i="10"/>
  <c r="Z1650" i="10"/>
  <c r="Y1651" i="10"/>
  <c r="Z1651" i="10"/>
  <c r="Y1652" i="10"/>
  <c r="Z1652" i="10"/>
  <c r="Y1653" i="10"/>
  <c r="Z1653" i="10"/>
  <c r="Y1654" i="10"/>
  <c r="Z1654" i="10"/>
  <c r="Y1655" i="10"/>
  <c r="Z1655" i="10"/>
  <c r="Y1656" i="10"/>
  <c r="Z1656" i="10"/>
  <c r="Y1657" i="10"/>
  <c r="Z1657" i="10"/>
  <c r="Y1658" i="10"/>
  <c r="Z1658" i="10"/>
  <c r="Y1659" i="10"/>
  <c r="Z1659" i="10"/>
  <c r="Y1660" i="10"/>
  <c r="Z1660" i="10"/>
  <c r="Y1661" i="10"/>
  <c r="Z1661" i="10"/>
  <c r="Y1662" i="10"/>
  <c r="Z1662" i="10"/>
  <c r="Y1663" i="10"/>
  <c r="Z1663" i="10"/>
  <c r="Y1664" i="10"/>
  <c r="Z1664" i="10"/>
  <c r="Y1665" i="10"/>
  <c r="Z1665" i="10"/>
  <c r="Y1666" i="10"/>
  <c r="Z1666" i="10"/>
  <c r="Y1667" i="10"/>
  <c r="Z1667" i="10"/>
  <c r="Y1668" i="10"/>
  <c r="Z1668" i="10"/>
  <c r="Y1669" i="10"/>
  <c r="Z1669" i="10"/>
  <c r="Y1670" i="10"/>
  <c r="Z1670" i="10"/>
  <c r="Y1671" i="10"/>
  <c r="Z1671" i="10"/>
  <c r="Y1672" i="10"/>
  <c r="Z1672" i="10"/>
  <c r="Y1673" i="10"/>
  <c r="Z1673" i="10"/>
  <c r="Y1674" i="10"/>
  <c r="Z1674" i="10"/>
  <c r="Y1675" i="10"/>
  <c r="Z1675" i="10"/>
  <c r="Y1676" i="10"/>
  <c r="Z1676" i="10"/>
  <c r="Y1677" i="10"/>
  <c r="Z1677" i="10"/>
  <c r="Y1678" i="10"/>
  <c r="Z1678" i="10"/>
  <c r="Y1679" i="10"/>
  <c r="Z1679" i="10"/>
  <c r="Y1680" i="10"/>
  <c r="Z1680" i="10"/>
  <c r="Y1681" i="10"/>
  <c r="Z1681" i="10"/>
  <c r="Y1682" i="10"/>
  <c r="Z1682" i="10"/>
  <c r="Y1683" i="10"/>
  <c r="Z1683" i="10"/>
  <c r="Y1684" i="10"/>
  <c r="Z1684" i="10"/>
  <c r="Y1685" i="10"/>
  <c r="Z1685" i="10"/>
  <c r="Y1686" i="10"/>
  <c r="Z1686" i="10"/>
  <c r="Y1687" i="10"/>
  <c r="Z1687" i="10"/>
  <c r="Y1688" i="10"/>
  <c r="Z1688" i="10"/>
  <c r="Y1689" i="10"/>
  <c r="Z1689" i="10"/>
  <c r="Y1690" i="10"/>
  <c r="Z1690" i="10"/>
  <c r="Y1691" i="10"/>
  <c r="Z1691" i="10"/>
  <c r="Y1692" i="10"/>
  <c r="Z1692" i="10"/>
  <c r="Y1693" i="10"/>
  <c r="Z1693" i="10"/>
  <c r="Y1694" i="10"/>
  <c r="Z1694" i="10"/>
  <c r="Y1695" i="10"/>
  <c r="Z1695" i="10"/>
  <c r="Y1696" i="10"/>
  <c r="Z1696" i="10"/>
  <c r="Y1697" i="10"/>
  <c r="Z1697" i="10"/>
  <c r="Y1698" i="10"/>
  <c r="Z1698" i="10"/>
  <c r="Y1699" i="10"/>
  <c r="Z1699" i="10"/>
  <c r="Y1700" i="10"/>
  <c r="Z1700" i="10"/>
  <c r="Y1701" i="10"/>
  <c r="Z1701" i="10"/>
  <c r="Y1702" i="10"/>
  <c r="Z1702" i="10"/>
  <c r="Y1703" i="10"/>
  <c r="Z1703" i="10"/>
  <c r="Y1704" i="10"/>
  <c r="Z1704" i="10"/>
  <c r="Y1705" i="10"/>
  <c r="Z1705" i="10"/>
  <c r="Y1706" i="10"/>
  <c r="Z1706" i="10"/>
  <c r="Y1707" i="10"/>
  <c r="Z1707" i="10"/>
  <c r="Y1708" i="10"/>
  <c r="Z1708" i="10"/>
  <c r="Y1709" i="10"/>
  <c r="Z1709" i="10"/>
  <c r="Y1710" i="10"/>
  <c r="Z1710" i="10"/>
  <c r="Y1711" i="10"/>
  <c r="Z1711" i="10"/>
  <c r="Y1712" i="10"/>
  <c r="Z1712" i="10"/>
  <c r="Y1713" i="10"/>
  <c r="Z1713" i="10"/>
  <c r="Y1714" i="10"/>
  <c r="Z1714" i="10"/>
  <c r="Y1715" i="10"/>
  <c r="Z1715" i="10"/>
  <c r="Y1716" i="10"/>
  <c r="Z1716" i="10"/>
  <c r="Y1717" i="10"/>
  <c r="Z1717" i="10"/>
  <c r="Y1718" i="10"/>
  <c r="Z1718" i="10"/>
  <c r="Y1719" i="10"/>
  <c r="Z1719" i="10"/>
  <c r="Y1720" i="10"/>
  <c r="Z1720" i="10"/>
  <c r="Y1721" i="10"/>
  <c r="Z1721" i="10"/>
  <c r="Y1722" i="10"/>
  <c r="Z1722" i="10"/>
  <c r="Y1723" i="10"/>
  <c r="Z1723" i="10"/>
  <c r="Y1724" i="10"/>
  <c r="Z1724" i="10"/>
  <c r="Y1725" i="10"/>
  <c r="Z1725" i="10"/>
  <c r="Y1726" i="10"/>
  <c r="Z1726" i="10"/>
  <c r="Y1727" i="10"/>
  <c r="Z1727" i="10"/>
  <c r="Y1728" i="10"/>
  <c r="Z1728" i="10"/>
  <c r="Y1729" i="10"/>
  <c r="Z1729" i="10"/>
  <c r="Y1730" i="10"/>
  <c r="Z1730" i="10"/>
  <c r="Y1731" i="10"/>
  <c r="Z1731" i="10"/>
  <c r="Y1732" i="10"/>
  <c r="Z1732" i="10"/>
  <c r="Y1733" i="10"/>
  <c r="Z1733" i="10"/>
  <c r="Y1734" i="10"/>
  <c r="Z1734" i="10"/>
  <c r="Y1735" i="10"/>
  <c r="Z1735" i="10"/>
  <c r="Y1736" i="10"/>
  <c r="Z1736" i="10"/>
  <c r="Y1737" i="10"/>
  <c r="Z1737" i="10"/>
  <c r="Y1738" i="10"/>
  <c r="Z1738" i="10"/>
  <c r="Y1739" i="10"/>
  <c r="Z1739" i="10"/>
  <c r="Y1740" i="10"/>
  <c r="Z1740" i="10"/>
  <c r="Y1741" i="10"/>
  <c r="Z1741" i="10"/>
  <c r="Y1742" i="10"/>
  <c r="Z1742" i="10"/>
  <c r="Y1743" i="10"/>
  <c r="Z1743" i="10"/>
  <c r="Y1744" i="10"/>
  <c r="Z1744" i="10"/>
  <c r="Y1745" i="10"/>
  <c r="Z1745" i="10"/>
  <c r="Y1746" i="10"/>
  <c r="Z1746" i="10"/>
  <c r="Y1747" i="10"/>
  <c r="Z1747" i="10"/>
  <c r="Y1748" i="10"/>
  <c r="Z1748" i="10"/>
  <c r="Y1749" i="10"/>
  <c r="Z1749" i="10"/>
  <c r="Y1750" i="10"/>
  <c r="Z1750" i="10"/>
  <c r="Y1751" i="10"/>
  <c r="Z1751" i="10"/>
  <c r="Y1752" i="10"/>
  <c r="Z1752" i="10"/>
  <c r="Y1753" i="10"/>
  <c r="Z1753" i="10"/>
  <c r="Y1754" i="10"/>
  <c r="Z1754" i="10"/>
  <c r="Y1755" i="10"/>
  <c r="Z1755" i="10"/>
  <c r="Y1756" i="10"/>
  <c r="Z1756" i="10"/>
  <c r="Y1757" i="10"/>
  <c r="Z1757" i="10"/>
  <c r="Y1758" i="10"/>
  <c r="Z1758" i="10"/>
  <c r="Y1759" i="10"/>
  <c r="Z1759" i="10"/>
  <c r="Y1760" i="10"/>
  <c r="Z1760" i="10"/>
  <c r="Y1761" i="10"/>
  <c r="Z1761" i="10"/>
  <c r="Y1762" i="10"/>
  <c r="Z1762" i="10"/>
  <c r="Y1763" i="10"/>
  <c r="Z1763" i="10"/>
  <c r="Y1764" i="10"/>
  <c r="Z1764" i="10"/>
  <c r="Y1765" i="10"/>
  <c r="Z1765" i="10"/>
  <c r="Y1766" i="10"/>
  <c r="Z1766" i="10"/>
  <c r="Y1767" i="10"/>
  <c r="Z1767" i="10"/>
  <c r="Y1768" i="10"/>
  <c r="Z1768" i="10"/>
  <c r="Y1769" i="10"/>
  <c r="Z1769" i="10"/>
  <c r="Y1770" i="10"/>
  <c r="Z1770" i="10"/>
  <c r="Y1771" i="10"/>
  <c r="Z1771" i="10"/>
  <c r="Y1772" i="10"/>
  <c r="Z1772" i="10"/>
  <c r="Y1773" i="10"/>
  <c r="Z1773" i="10"/>
  <c r="Y1774" i="10"/>
  <c r="Z1774" i="10"/>
  <c r="Y1775" i="10"/>
  <c r="Z1775" i="10"/>
  <c r="Y1776" i="10"/>
  <c r="Z1776" i="10"/>
  <c r="Y1777" i="10"/>
  <c r="Z1777" i="10"/>
  <c r="Y1778" i="10"/>
  <c r="Z1778" i="10"/>
  <c r="Y1779" i="10"/>
  <c r="Z1779" i="10"/>
  <c r="Y1780" i="10"/>
  <c r="Z1780" i="10"/>
  <c r="Y1781" i="10"/>
  <c r="Z1781" i="10"/>
  <c r="Y1782" i="10"/>
  <c r="Z1782" i="10"/>
  <c r="Y1783" i="10"/>
  <c r="Z1783" i="10"/>
  <c r="Y1784" i="10"/>
  <c r="Z1784" i="10"/>
  <c r="Y1785" i="10"/>
  <c r="Z1785" i="10"/>
  <c r="Y1786" i="10"/>
  <c r="Z1786" i="10"/>
  <c r="Y1787" i="10"/>
  <c r="Z1787" i="10"/>
  <c r="Y1788" i="10"/>
  <c r="Z1788" i="10"/>
  <c r="Y1789" i="10"/>
  <c r="Z1789" i="10"/>
  <c r="Y1790" i="10"/>
  <c r="Z1790" i="10"/>
  <c r="Y1791" i="10"/>
  <c r="Z1791" i="10"/>
  <c r="Y1792" i="10"/>
  <c r="Z1792" i="10"/>
  <c r="Y1793" i="10"/>
  <c r="Z1793" i="10"/>
  <c r="Y1794" i="10"/>
  <c r="Z1794" i="10"/>
  <c r="Y1795" i="10"/>
  <c r="Z1795" i="10"/>
  <c r="Y1796" i="10"/>
  <c r="Z1796" i="10"/>
  <c r="Y1797" i="10"/>
  <c r="Z1797" i="10"/>
  <c r="Y1798" i="10"/>
  <c r="Z1798" i="10"/>
  <c r="Y1799" i="10"/>
  <c r="Z1799" i="10"/>
  <c r="Y1800" i="10"/>
  <c r="Z1800" i="10"/>
  <c r="Y1801" i="10"/>
  <c r="Z1801" i="10"/>
  <c r="Y1802" i="10"/>
  <c r="Z1802" i="10"/>
  <c r="Y1803" i="10"/>
  <c r="Z1803" i="10"/>
  <c r="Y1804" i="10"/>
  <c r="Z1804" i="10"/>
  <c r="Y1805" i="10"/>
  <c r="Z1805" i="10"/>
  <c r="Y1806" i="10"/>
  <c r="Z1806" i="10"/>
  <c r="Y1807" i="10"/>
  <c r="Z1807" i="10"/>
  <c r="Y1808" i="10"/>
  <c r="Z1808" i="10"/>
  <c r="Y1809" i="10"/>
  <c r="Z1809" i="10"/>
  <c r="Y1810" i="10"/>
  <c r="Z1810" i="10"/>
  <c r="Y1811" i="10"/>
  <c r="Z1811" i="10"/>
  <c r="Y1812" i="10"/>
  <c r="Z1812" i="10"/>
  <c r="Y1813" i="10"/>
  <c r="Z1813" i="10"/>
  <c r="Y1814" i="10"/>
  <c r="Z1814" i="10"/>
  <c r="Y1815" i="10"/>
  <c r="Z1815" i="10"/>
  <c r="Y1816" i="10"/>
  <c r="Z1816" i="10"/>
  <c r="Y1817" i="10"/>
  <c r="Z1817" i="10"/>
  <c r="Y1818" i="10"/>
  <c r="Z1818" i="10"/>
  <c r="Y1819" i="10"/>
  <c r="Z1819" i="10"/>
  <c r="Y1820" i="10"/>
  <c r="Z1820" i="10"/>
  <c r="Y1821" i="10"/>
  <c r="Z1821" i="10"/>
  <c r="Y1822" i="10"/>
  <c r="Z1822" i="10"/>
  <c r="Y1823" i="10"/>
  <c r="Z1823" i="10"/>
  <c r="Y1824" i="10"/>
  <c r="Z1824" i="10"/>
  <c r="Y1825" i="10"/>
  <c r="Z1825" i="10"/>
  <c r="Y1826" i="10"/>
  <c r="Z1826" i="10"/>
  <c r="Y1827" i="10"/>
  <c r="Z1827" i="10"/>
  <c r="Y1828" i="10"/>
  <c r="Z1828" i="10"/>
  <c r="Y1829" i="10"/>
  <c r="Z1829" i="10"/>
  <c r="Y1830" i="10"/>
  <c r="Z1830" i="10"/>
  <c r="Y1831" i="10"/>
  <c r="Z1831" i="10"/>
  <c r="Y1832" i="10"/>
  <c r="Z1832" i="10"/>
  <c r="Y1833" i="10"/>
  <c r="Z1833" i="10"/>
  <c r="Y1834" i="10"/>
  <c r="Z1834" i="10"/>
  <c r="Y1835" i="10"/>
  <c r="Z1835" i="10"/>
  <c r="Y1836" i="10"/>
  <c r="Z1836" i="10"/>
  <c r="Y1837" i="10"/>
  <c r="Z1837" i="10"/>
  <c r="Y1838" i="10"/>
  <c r="Z1838" i="10"/>
  <c r="Y1839" i="10"/>
  <c r="Z1839" i="10"/>
  <c r="Y1840" i="10"/>
  <c r="Z1840" i="10"/>
  <c r="Y1841" i="10"/>
  <c r="Z1841" i="10"/>
  <c r="Y1842" i="10"/>
  <c r="Z1842" i="10"/>
  <c r="Y1843" i="10"/>
  <c r="Z1843" i="10"/>
  <c r="Y1844" i="10"/>
  <c r="Z1844" i="10"/>
  <c r="Y1845" i="10"/>
  <c r="Z1845" i="10"/>
  <c r="Y1846" i="10"/>
  <c r="Z1846" i="10"/>
  <c r="Y1847" i="10"/>
  <c r="Z1847" i="10"/>
  <c r="Y1848" i="10"/>
  <c r="Z1848" i="10"/>
  <c r="Y1849" i="10"/>
  <c r="Z1849" i="10"/>
  <c r="Y1850" i="10"/>
  <c r="Z1850" i="10"/>
  <c r="Y1851" i="10"/>
  <c r="Z1851" i="10"/>
  <c r="Y1852" i="10"/>
  <c r="Z1852" i="10"/>
  <c r="Y1853" i="10"/>
  <c r="Z1853" i="10"/>
  <c r="Y1854" i="10"/>
  <c r="Z1854" i="10"/>
  <c r="Y1855" i="10"/>
  <c r="Z1855" i="10"/>
  <c r="Y1856" i="10"/>
  <c r="Z1856" i="10"/>
  <c r="Y1857" i="10"/>
  <c r="Z1857" i="10"/>
  <c r="Y1858" i="10"/>
  <c r="Z1858" i="10"/>
  <c r="Y1859" i="10"/>
  <c r="Z1859" i="10"/>
  <c r="Y1860" i="10"/>
  <c r="Z1860" i="10"/>
  <c r="Y1861" i="10"/>
  <c r="Z1861" i="10"/>
  <c r="Y1862" i="10"/>
  <c r="Z1862" i="10"/>
  <c r="Y1863" i="10"/>
  <c r="Z1863" i="10"/>
  <c r="Y1864" i="10"/>
  <c r="Z1864" i="10"/>
  <c r="Y1865" i="10"/>
  <c r="Z1865" i="10"/>
  <c r="Y1866" i="10"/>
  <c r="Z1866" i="10"/>
  <c r="Y1867" i="10"/>
  <c r="Z1867" i="10"/>
  <c r="Y1868" i="10"/>
  <c r="Z1868" i="10"/>
  <c r="Y1869" i="10"/>
  <c r="Z1869" i="10"/>
  <c r="Y1870" i="10"/>
  <c r="Z1870" i="10"/>
  <c r="Y1871" i="10"/>
  <c r="Z1871" i="10"/>
  <c r="Y1872" i="10"/>
  <c r="Z1872" i="10"/>
  <c r="Y1873" i="10"/>
  <c r="Z1873" i="10"/>
  <c r="Y1874" i="10"/>
  <c r="Z1874" i="10"/>
  <c r="Y1875" i="10"/>
  <c r="Z1875" i="10"/>
  <c r="Y1876" i="10"/>
  <c r="Z1876" i="10"/>
  <c r="Y1877" i="10"/>
  <c r="Z1877" i="10"/>
  <c r="Y1878" i="10"/>
  <c r="Z1878" i="10"/>
  <c r="Y1879" i="10"/>
  <c r="Z1879" i="10"/>
  <c r="Y1880" i="10"/>
  <c r="Z1880" i="10"/>
  <c r="Y1881" i="10"/>
  <c r="Z1881" i="10"/>
  <c r="Y1882" i="10"/>
  <c r="Z1882" i="10"/>
  <c r="Y1883" i="10"/>
  <c r="Z1883" i="10"/>
  <c r="Y1884" i="10"/>
  <c r="Z1884" i="10"/>
  <c r="Y1885" i="10"/>
  <c r="Z1885" i="10"/>
  <c r="Y1886" i="10"/>
  <c r="Z1886" i="10"/>
  <c r="Y1887" i="10"/>
  <c r="Z1887" i="10"/>
  <c r="Y1888" i="10"/>
  <c r="Z1888" i="10"/>
  <c r="Y1889" i="10"/>
  <c r="Z1889" i="10"/>
  <c r="Y1890" i="10"/>
  <c r="Z1890" i="10"/>
  <c r="Y1891" i="10"/>
  <c r="Z1891" i="10"/>
  <c r="Y1892" i="10"/>
  <c r="Z1892" i="10"/>
  <c r="Y1893" i="10"/>
  <c r="Z1893" i="10"/>
  <c r="Y1894" i="10"/>
  <c r="Z1894" i="10"/>
  <c r="Y1895" i="10"/>
  <c r="Z1895" i="10"/>
  <c r="Y1896" i="10"/>
  <c r="Z1896" i="10"/>
  <c r="Y1897" i="10"/>
  <c r="Z1897" i="10"/>
  <c r="Y1898" i="10"/>
  <c r="Z1898" i="10"/>
  <c r="Y1899" i="10"/>
  <c r="Z1899" i="10"/>
  <c r="Y1900" i="10"/>
  <c r="Z1900" i="10"/>
  <c r="Y1901" i="10"/>
  <c r="Z1901" i="10"/>
  <c r="Y1902" i="10"/>
  <c r="Z1902" i="10"/>
  <c r="Y1903" i="10"/>
  <c r="Z1903" i="10"/>
  <c r="Y1904" i="10"/>
  <c r="Z1904" i="10"/>
  <c r="Y1905" i="10"/>
  <c r="Z1905" i="10"/>
  <c r="Y1906" i="10"/>
  <c r="Z1906" i="10"/>
  <c r="Y1907" i="10"/>
  <c r="Z1907" i="10"/>
  <c r="Y1908" i="10"/>
  <c r="Z1908" i="10"/>
  <c r="Y1909" i="10"/>
  <c r="Z1909" i="10"/>
  <c r="Y1910" i="10"/>
  <c r="Z1910" i="10"/>
  <c r="Y1911" i="10"/>
  <c r="Z1911" i="10"/>
  <c r="Y1912" i="10"/>
  <c r="Z1912" i="10"/>
  <c r="Y1913" i="10"/>
  <c r="Z1913" i="10"/>
  <c r="Y1914" i="10"/>
  <c r="Z1914" i="10"/>
  <c r="Y1915" i="10"/>
  <c r="Z1915" i="10"/>
  <c r="Y1916" i="10"/>
  <c r="Z1916" i="10"/>
  <c r="Y1917" i="10"/>
  <c r="Z1917" i="10"/>
  <c r="Y1918" i="10"/>
  <c r="Z1918" i="10"/>
  <c r="Y1919" i="10"/>
  <c r="Z1919" i="10"/>
  <c r="Y1920" i="10"/>
  <c r="Z1920" i="10"/>
  <c r="Y1921" i="10"/>
  <c r="Z1921" i="10"/>
  <c r="Y1922" i="10"/>
  <c r="Z1922" i="10"/>
  <c r="Y1923" i="10"/>
  <c r="Z1923" i="10"/>
  <c r="Y1924" i="10"/>
  <c r="Z1924" i="10"/>
  <c r="Y1925" i="10"/>
  <c r="Z1925" i="10"/>
  <c r="Y1926" i="10"/>
  <c r="Z1926" i="10"/>
  <c r="Y1927" i="10"/>
  <c r="Z1927" i="10"/>
  <c r="Y1928" i="10"/>
  <c r="Z1928" i="10"/>
  <c r="Y1929" i="10"/>
  <c r="Z1929" i="10"/>
  <c r="Y1930" i="10"/>
  <c r="Z1930" i="10"/>
  <c r="Y1931" i="10"/>
  <c r="Z1931" i="10"/>
  <c r="Y1932" i="10"/>
  <c r="Z1932" i="10"/>
  <c r="Y1933" i="10"/>
  <c r="Z1933" i="10"/>
  <c r="Y1934" i="10"/>
  <c r="Z1934" i="10"/>
  <c r="Y1935" i="10"/>
  <c r="Z1935" i="10"/>
  <c r="Y1936" i="10"/>
  <c r="Z1936" i="10"/>
  <c r="Y1937" i="10"/>
  <c r="Z1937" i="10"/>
  <c r="Y1938" i="10"/>
  <c r="Z1938" i="10"/>
  <c r="Y1939" i="10"/>
  <c r="Z1939" i="10"/>
  <c r="Y1940" i="10"/>
  <c r="Z1940" i="10"/>
  <c r="Y1941" i="10"/>
  <c r="Z1941" i="10"/>
  <c r="Y1942" i="10"/>
  <c r="Z1942" i="10"/>
  <c r="Y1943" i="10"/>
  <c r="Z1943" i="10"/>
  <c r="Y1944" i="10"/>
  <c r="Z1944" i="10"/>
  <c r="Y1945" i="10"/>
  <c r="Z1945" i="10"/>
  <c r="Y1946" i="10"/>
  <c r="Z1946" i="10"/>
  <c r="Y1947" i="10"/>
  <c r="Z1947" i="10"/>
  <c r="Y1948" i="10"/>
  <c r="Z1948" i="10"/>
  <c r="Y1949" i="10"/>
  <c r="Z1949" i="10"/>
  <c r="Y1950" i="10"/>
  <c r="Z1950" i="10"/>
  <c r="Y1951" i="10"/>
  <c r="Z1951" i="10"/>
  <c r="Y1952" i="10"/>
  <c r="Z1952" i="10"/>
  <c r="Y1953" i="10"/>
  <c r="Z1953" i="10"/>
  <c r="Y1954" i="10"/>
  <c r="Z1954" i="10"/>
  <c r="Y1955" i="10"/>
  <c r="Z1955" i="10"/>
  <c r="Y1956" i="10"/>
  <c r="Z1956" i="10"/>
  <c r="Y1957" i="10"/>
  <c r="Z1957" i="10"/>
  <c r="Y1958" i="10"/>
  <c r="Z1958" i="10"/>
  <c r="Y1959" i="10"/>
  <c r="Z1959" i="10"/>
  <c r="Y1960" i="10"/>
  <c r="Z1960" i="10"/>
  <c r="Y1961" i="10"/>
  <c r="Z1961" i="10"/>
  <c r="Y1962" i="10"/>
  <c r="Z1962" i="10"/>
  <c r="Y1963" i="10"/>
  <c r="Z1963" i="10"/>
  <c r="Y1964" i="10"/>
  <c r="Z1964" i="10"/>
  <c r="Y1965" i="10"/>
  <c r="Z1965" i="10"/>
  <c r="Y1966" i="10"/>
  <c r="Z1966" i="10"/>
  <c r="Y1967" i="10"/>
  <c r="Z1967" i="10"/>
  <c r="Y1968" i="10"/>
  <c r="Z1968" i="10"/>
  <c r="Y1969" i="10"/>
  <c r="Z1969" i="10"/>
  <c r="Y1970" i="10"/>
  <c r="Z1970" i="10"/>
  <c r="Y1971" i="10"/>
  <c r="Z1971" i="10"/>
  <c r="Y1972" i="10"/>
  <c r="Z1972" i="10"/>
  <c r="Y1973" i="10"/>
  <c r="Z1973" i="10"/>
  <c r="Y1974" i="10"/>
  <c r="Z1974" i="10"/>
  <c r="Y1975" i="10"/>
  <c r="Z1975" i="10"/>
  <c r="Y1976" i="10"/>
  <c r="Z1976" i="10"/>
  <c r="Y1977" i="10"/>
  <c r="Z1977" i="10"/>
  <c r="Y1978" i="10"/>
  <c r="Z1978" i="10"/>
  <c r="Y1979" i="10"/>
  <c r="Z1979" i="10"/>
  <c r="Y1980" i="10"/>
  <c r="Z1980" i="10"/>
  <c r="Y1981" i="10"/>
  <c r="Z1981" i="10"/>
  <c r="Y1982" i="10"/>
  <c r="Z1982" i="10"/>
  <c r="Y1983" i="10"/>
  <c r="Z1983" i="10"/>
  <c r="Y1984" i="10"/>
  <c r="Z1984" i="10"/>
  <c r="Y1985" i="10"/>
  <c r="Z1985" i="10"/>
  <c r="Y1986" i="10"/>
  <c r="Z1986" i="10"/>
  <c r="Y1987" i="10"/>
  <c r="Z1987" i="10"/>
  <c r="Y1988" i="10"/>
  <c r="Z1988" i="10"/>
  <c r="Y1989" i="10"/>
  <c r="Z1989" i="10"/>
  <c r="Y1990" i="10"/>
  <c r="Z1990" i="10"/>
  <c r="Y1991" i="10"/>
  <c r="Z1991" i="10"/>
  <c r="Y1992" i="10"/>
  <c r="Z1992" i="10"/>
  <c r="Y1993" i="10"/>
  <c r="Z1993" i="10"/>
  <c r="Y1994" i="10"/>
  <c r="Z1994" i="10"/>
  <c r="Y1995" i="10"/>
  <c r="Z1995" i="10"/>
  <c r="Y1996" i="10"/>
  <c r="Z1996" i="10"/>
  <c r="Y1997" i="10"/>
  <c r="Z1997" i="10"/>
  <c r="Y1998" i="10"/>
  <c r="Z1998" i="10"/>
  <c r="Y1999" i="10"/>
  <c r="Z1999" i="10"/>
  <c r="Y2000" i="10"/>
  <c r="Z2000" i="10"/>
  <c r="Y2001" i="10"/>
  <c r="Z2001" i="10"/>
  <c r="Y2002" i="10"/>
  <c r="Z2002" i="10"/>
  <c r="Y2003" i="10"/>
  <c r="Z2003" i="10"/>
  <c r="Y2004" i="10"/>
  <c r="Z2004" i="10"/>
  <c r="Y2005" i="10"/>
  <c r="Z2005" i="10"/>
  <c r="Y2006" i="10"/>
  <c r="Z2006" i="10"/>
  <c r="Y2007" i="10"/>
  <c r="Z2007" i="10"/>
  <c r="Y2008" i="10"/>
  <c r="Z2008" i="10"/>
  <c r="Y2009" i="10"/>
  <c r="Z2009" i="10"/>
  <c r="Y2010" i="10"/>
  <c r="Z2010" i="10"/>
  <c r="Y2011" i="10"/>
  <c r="Z2011" i="10"/>
  <c r="Y2012" i="10"/>
  <c r="Z2012" i="10"/>
  <c r="Y2013" i="10"/>
  <c r="Z2013" i="10"/>
  <c r="Y2014" i="10"/>
  <c r="Z2014" i="10"/>
  <c r="Y2015" i="10"/>
  <c r="Z2015" i="10"/>
  <c r="Y2016" i="10"/>
  <c r="Z2016" i="10"/>
  <c r="Y2017" i="10"/>
  <c r="Z2017" i="10"/>
  <c r="Y2018" i="10"/>
  <c r="Z2018" i="10"/>
  <c r="Y2019" i="10"/>
  <c r="Z2019" i="10"/>
  <c r="Y2020" i="10"/>
  <c r="Z2020" i="10"/>
  <c r="Y2021" i="10"/>
  <c r="Z2021" i="10"/>
  <c r="Y2022" i="10"/>
  <c r="Z2022" i="10"/>
  <c r="Y2023" i="10"/>
  <c r="Z2023" i="10"/>
  <c r="Y2024" i="10"/>
  <c r="Z2024" i="10"/>
  <c r="Y2025" i="10"/>
  <c r="Z2025" i="10"/>
  <c r="Y2026" i="10"/>
  <c r="Z2026" i="10"/>
  <c r="Y2027" i="10"/>
  <c r="Z2027" i="10"/>
  <c r="Y2028" i="10"/>
  <c r="Z2028" i="10"/>
  <c r="Y2029" i="10"/>
  <c r="Z2029" i="10"/>
  <c r="Y2030" i="10"/>
  <c r="Z2030" i="10"/>
  <c r="Y2031" i="10"/>
  <c r="Z2031" i="10"/>
  <c r="Y2032" i="10"/>
  <c r="Z2032" i="10"/>
  <c r="Y2033" i="10"/>
  <c r="Z2033" i="10"/>
  <c r="Y2034" i="10"/>
  <c r="Z2034" i="10"/>
  <c r="Y2035" i="10"/>
  <c r="Z2035" i="10"/>
  <c r="Y2036" i="10"/>
  <c r="Z2036" i="10"/>
  <c r="Y2037" i="10"/>
  <c r="Z2037" i="10"/>
  <c r="Y2038" i="10"/>
  <c r="Z2038" i="10"/>
  <c r="Y2039" i="10"/>
  <c r="Z2039" i="10"/>
  <c r="Y2040" i="10"/>
  <c r="Z2040" i="10"/>
  <c r="Y2041" i="10"/>
  <c r="Z2041" i="10"/>
  <c r="Y2042" i="10"/>
  <c r="Z2042" i="10"/>
  <c r="Y2043" i="10"/>
  <c r="Z2043" i="10"/>
  <c r="Y2044" i="10"/>
  <c r="Z2044" i="10"/>
  <c r="Y2045" i="10"/>
  <c r="Z2045" i="10"/>
  <c r="Y2046" i="10"/>
  <c r="Z2046" i="10"/>
  <c r="Y2047" i="10"/>
  <c r="Z2047" i="10"/>
  <c r="Y2048" i="10"/>
  <c r="Z2048" i="10"/>
  <c r="Y2049" i="10"/>
  <c r="Z2049" i="10"/>
  <c r="Y2050" i="10"/>
  <c r="Z2050" i="10"/>
  <c r="Y2051" i="10"/>
  <c r="Z2051" i="10"/>
  <c r="Y2052" i="10"/>
  <c r="Z2052" i="10"/>
  <c r="Y2053" i="10"/>
  <c r="Z2053" i="10"/>
  <c r="Y2054" i="10"/>
  <c r="Z2054" i="10"/>
  <c r="Y2055" i="10"/>
  <c r="Z2055" i="10"/>
  <c r="Y2056" i="10"/>
  <c r="Z2056" i="10"/>
  <c r="Y2057" i="10"/>
  <c r="Z2057" i="10"/>
  <c r="Y2058" i="10"/>
  <c r="Z2058" i="10"/>
  <c r="Y2059" i="10"/>
  <c r="Z2059" i="10"/>
  <c r="Y2060" i="10"/>
  <c r="Z2060" i="10"/>
  <c r="Y2061" i="10"/>
  <c r="Z2061" i="10"/>
  <c r="Y2062" i="10"/>
  <c r="Z2062" i="10"/>
  <c r="Y2063" i="10"/>
  <c r="Z2063" i="10"/>
  <c r="Y2064" i="10"/>
  <c r="Z2064" i="10"/>
  <c r="Y2065" i="10"/>
  <c r="Z2065" i="10"/>
  <c r="Y2066" i="10"/>
  <c r="Z2066" i="10"/>
  <c r="Y2067" i="10"/>
  <c r="Z2067" i="10"/>
  <c r="Y2068" i="10"/>
  <c r="Z2068" i="10"/>
  <c r="Y2069" i="10"/>
  <c r="Z2069" i="10"/>
  <c r="Y2070" i="10"/>
  <c r="Z2070" i="10"/>
  <c r="Y2071" i="10"/>
  <c r="Z2071" i="10"/>
  <c r="Y2072" i="10"/>
  <c r="Z2072" i="10"/>
  <c r="Y2073" i="10"/>
  <c r="Z2073" i="10"/>
  <c r="Y2074" i="10"/>
  <c r="Z2074" i="10"/>
  <c r="Y2075" i="10"/>
  <c r="Z2075" i="10"/>
  <c r="Y2076" i="10"/>
  <c r="Z2076" i="10"/>
  <c r="Y2077" i="10"/>
  <c r="Z2077" i="10"/>
  <c r="Y2078" i="10"/>
  <c r="Z2078" i="10"/>
  <c r="Y2079" i="10"/>
  <c r="Z2079" i="10"/>
  <c r="Y2080" i="10"/>
  <c r="Z2080" i="10"/>
  <c r="Y2081" i="10"/>
  <c r="Z2081" i="10"/>
  <c r="Y2082" i="10"/>
  <c r="Z2082" i="10"/>
  <c r="Y2083" i="10"/>
  <c r="Z2083" i="10"/>
  <c r="Y2084" i="10"/>
  <c r="Z2084" i="10"/>
  <c r="Y2085" i="10"/>
  <c r="Z2085" i="10"/>
  <c r="Y2086" i="10"/>
  <c r="Z2086" i="10"/>
  <c r="Y2087" i="10"/>
  <c r="Z2087" i="10"/>
  <c r="Y2088" i="10"/>
  <c r="Z2088" i="10"/>
  <c r="Y2089" i="10"/>
  <c r="Z2089" i="10"/>
  <c r="Y2090" i="10"/>
  <c r="Z2090" i="10"/>
  <c r="Y2091" i="10"/>
  <c r="Z2091" i="10"/>
  <c r="Y2092" i="10"/>
  <c r="Z2092" i="10"/>
  <c r="Y2093" i="10"/>
  <c r="Z2093" i="10"/>
  <c r="Y2094" i="10"/>
  <c r="Z2094" i="10"/>
  <c r="Y2095" i="10"/>
  <c r="Z2095" i="10"/>
  <c r="Y2096" i="10"/>
  <c r="Z2096" i="10"/>
  <c r="Y2097" i="10"/>
  <c r="Z2097" i="10"/>
  <c r="Y2098" i="10"/>
  <c r="Z2098" i="10"/>
  <c r="Y2099" i="10"/>
  <c r="Z2099" i="10"/>
  <c r="Y2100" i="10"/>
  <c r="Z2100" i="10"/>
  <c r="Y2101" i="10"/>
  <c r="Z2101" i="10"/>
  <c r="Y2102" i="10"/>
  <c r="Z2102" i="10"/>
  <c r="Y2103" i="10"/>
  <c r="Z2103" i="10"/>
  <c r="Y2104" i="10"/>
  <c r="Z2104" i="10"/>
  <c r="Y2105" i="10"/>
  <c r="Z2105" i="10"/>
  <c r="Y2106" i="10"/>
  <c r="Z2106" i="10"/>
  <c r="Y2107" i="10"/>
  <c r="Z2107" i="10"/>
  <c r="Y2108" i="10"/>
  <c r="Z2108" i="10"/>
  <c r="Y2109" i="10"/>
  <c r="Z2109" i="10"/>
  <c r="Y2110" i="10"/>
  <c r="Z2110" i="10"/>
  <c r="Y2111" i="10"/>
  <c r="Z2111" i="10"/>
  <c r="Y2112" i="10"/>
  <c r="Z2112" i="10"/>
  <c r="Y2113" i="10"/>
  <c r="Z2113" i="10"/>
  <c r="Y2114" i="10"/>
  <c r="Z2114" i="10"/>
  <c r="Y2115" i="10"/>
  <c r="Z2115" i="10"/>
  <c r="Y2116" i="10"/>
  <c r="Z2116" i="10"/>
  <c r="Y2117" i="10"/>
  <c r="Z2117" i="10"/>
  <c r="Y2118" i="10"/>
  <c r="Z2118" i="10"/>
  <c r="Y2119" i="10"/>
  <c r="Z2119" i="10"/>
  <c r="Y2120" i="10"/>
  <c r="Z2120" i="10"/>
  <c r="Y2121" i="10"/>
  <c r="Z2121" i="10"/>
  <c r="Y2122" i="10"/>
  <c r="Z2122" i="10"/>
  <c r="Y2123" i="10"/>
  <c r="Z2123" i="10"/>
  <c r="Y2124" i="10"/>
  <c r="Z2124" i="10"/>
  <c r="Y2125" i="10"/>
  <c r="Z2125" i="10"/>
  <c r="Y2126" i="10"/>
  <c r="Z2126" i="10"/>
  <c r="Y2127" i="10"/>
  <c r="Z2127" i="10"/>
  <c r="Y2128" i="10"/>
  <c r="Z2128" i="10"/>
  <c r="Y2129" i="10"/>
  <c r="Z2129" i="10"/>
  <c r="Y2130" i="10"/>
  <c r="Z2130" i="10"/>
  <c r="Y2131" i="10"/>
  <c r="Z2131" i="10"/>
  <c r="Y2132" i="10"/>
  <c r="Z2132" i="10"/>
  <c r="Y2133" i="10"/>
  <c r="Z2133" i="10"/>
  <c r="Y2134" i="10"/>
  <c r="Z2134" i="10"/>
  <c r="Y2135" i="10"/>
  <c r="Z2135" i="10"/>
  <c r="Y2136" i="10"/>
  <c r="Z2136" i="10"/>
  <c r="Y2137" i="10"/>
  <c r="Z2137" i="10"/>
  <c r="Y2138" i="10"/>
  <c r="Z2138" i="10"/>
  <c r="Y2139" i="10"/>
  <c r="Z2139" i="10"/>
  <c r="Y2140" i="10"/>
  <c r="Z2140" i="10"/>
  <c r="Y2141" i="10"/>
  <c r="Z2141" i="10"/>
  <c r="Y2142" i="10"/>
  <c r="Z2142" i="10"/>
  <c r="Y2143" i="10"/>
  <c r="Z2143" i="10"/>
  <c r="Y2144" i="10"/>
  <c r="Z2144" i="10"/>
  <c r="Y2145" i="10"/>
  <c r="Z2145" i="10"/>
  <c r="Y2146" i="10"/>
  <c r="Z2146" i="10"/>
  <c r="Y2147" i="10"/>
  <c r="Z2147" i="10"/>
  <c r="Y2148" i="10"/>
  <c r="Z2148" i="10"/>
  <c r="Y2149" i="10"/>
  <c r="Z2149" i="10"/>
  <c r="Y2150" i="10"/>
  <c r="Z2150" i="10"/>
  <c r="Y2151" i="10"/>
  <c r="Z2151" i="10"/>
  <c r="Y2152" i="10"/>
  <c r="Z2152" i="10"/>
  <c r="Y2153" i="10"/>
  <c r="Z2153" i="10"/>
  <c r="Y2154" i="10"/>
  <c r="Z2154" i="10"/>
  <c r="Y2155" i="10"/>
  <c r="Z2155" i="10"/>
  <c r="Y2156" i="10"/>
  <c r="Z2156" i="10"/>
  <c r="Y2157" i="10"/>
  <c r="Z2157" i="10"/>
  <c r="Y2158" i="10"/>
  <c r="Z2158" i="10"/>
  <c r="Y2159" i="10"/>
  <c r="Z2159" i="10"/>
  <c r="Y2160" i="10"/>
  <c r="Z2160" i="10"/>
  <c r="Y2161" i="10"/>
  <c r="Z2161" i="10"/>
  <c r="Y2162" i="10"/>
  <c r="Z2162" i="10"/>
  <c r="Y2163" i="10"/>
  <c r="Z2163" i="10"/>
  <c r="Y2164" i="10"/>
  <c r="Z2164" i="10"/>
  <c r="Y2165" i="10"/>
  <c r="Z2165" i="10"/>
  <c r="Y2166" i="10"/>
  <c r="Z2166" i="10"/>
  <c r="Y2167" i="10"/>
  <c r="Z2167" i="10"/>
  <c r="Y2168" i="10"/>
  <c r="Z2168" i="10"/>
  <c r="Y2169" i="10"/>
  <c r="Z2169" i="10"/>
  <c r="Y2170" i="10"/>
  <c r="Z2170" i="10"/>
  <c r="Y2171" i="10"/>
  <c r="Z2171" i="10"/>
  <c r="Y2172" i="10"/>
  <c r="Z2172" i="10"/>
  <c r="Y2173" i="10"/>
  <c r="Z2173" i="10"/>
  <c r="Y2174" i="10"/>
  <c r="Z2174" i="10"/>
  <c r="Y2175" i="10"/>
  <c r="Z2175" i="10"/>
  <c r="Y2176" i="10"/>
  <c r="Z2176" i="10"/>
  <c r="Y2177" i="10"/>
  <c r="Z2177" i="10"/>
  <c r="Y2178" i="10"/>
  <c r="Z2178" i="10"/>
  <c r="Y2179" i="10"/>
  <c r="Z2179" i="10"/>
  <c r="Y2180" i="10"/>
  <c r="Z2180" i="10"/>
  <c r="Y2181" i="10"/>
  <c r="Z2181" i="10"/>
  <c r="Y2182" i="10"/>
  <c r="Z2182" i="10"/>
  <c r="Y2183" i="10"/>
  <c r="Z2183" i="10"/>
  <c r="Y2184" i="10"/>
  <c r="Z2184" i="10"/>
  <c r="Y2185" i="10"/>
  <c r="Z2185" i="10"/>
  <c r="Y2186" i="10"/>
  <c r="Z2186" i="10"/>
  <c r="Y2187" i="10"/>
  <c r="Z2187" i="10"/>
  <c r="Y2188" i="10"/>
  <c r="Z2188" i="10"/>
  <c r="Y2189" i="10"/>
  <c r="Z2189" i="10"/>
  <c r="Y2190" i="10"/>
  <c r="Z2190" i="10"/>
  <c r="Y2191" i="10"/>
  <c r="Z2191" i="10"/>
  <c r="Y2192" i="10"/>
  <c r="Z2192" i="10"/>
  <c r="Y2193" i="10"/>
  <c r="Z2193" i="10"/>
  <c r="Y2194" i="10"/>
  <c r="Z2194" i="10"/>
  <c r="Y2195" i="10"/>
  <c r="Z2195" i="10"/>
  <c r="Y2196" i="10"/>
  <c r="Z2196" i="10"/>
  <c r="Y2197" i="10"/>
  <c r="Z2197" i="10"/>
  <c r="Y2198" i="10"/>
  <c r="Z2198" i="10"/>
  <c r="Y2199" i="10"/>
  <c r="Z2199" i="10"/>
  <c r="Y2200" i="10"/>
  <c r="Z2200" i="10"/>
  <c r="Y2201" i="10"/>
  <c r="Z2201" i="10"/>
  <c r="Y2202" i="10"/>
  <c r="Z2202" i="10"/>
  <c r="Y2203" i="10"/>
  <c r="Z2203" i="10"/>
  <c r="Y2204" i="10"/>
  <c r="Z2204" i="10"/>
  <c r="Y2205" i="10"/>
  <c r="Z2205" i="10"/>
  <c r="Y2206" i="10"/>
  <c r="Z2206" i="10"/>
  <c r="Y2207" i="10"/>
  <c r="Z2207" i="10"/>
  <c r="Y2208" i="10"/>
  <c r="Z2208" i="10"/>
  <c r="Y2209" i="10"/>
  <c r="Z2209" i="10"/>
  <c r="Y2210" i="10"/>
  <c r="Z2210" i="10"/>
  <c r="Y2211" i="10"/>
  <c r="Z2211" i="10"/>
  <c r="Y2212" i="10"/>
  <c r="Z2212" i="10"/>
  <c r="Y2213" i="10"/>
  <c r="Z2213" i="10"/>
  <c r="Y2214" i="10"/>
  <c r="Z2214" i="10"/>
  <c r="Y2215" i="10"/>
  <c r="Z2215" i="10"/>
  <c r="Y2216" i="10"/>
  <c r="Z2216" i="10"/>
  <c r="Y2217" i="10"/>
  <c r="Z2217" i="10"/>
  <c r="Y2218" i="10"/>
  <c r="Z2218" i="10"/>
  <c r="Y2219" i="10"/>
  <c r="Z2219" i="10"/>
  <c r="Y2220" i="10"/>
  <c r="Z2220" i="10"/>
  <c r="Y2221" i="10"/>
  <c r="Z2221" i="10"/>
  <c r="Y2222" i="10"/>
  <c r="Z2222" i="10"/>
  <c r="Y2223" i="10"/>
  <c r="Z2223" i="10"/>
  <c r="Y2224" i="10"/>
  <c r="Z2224" i="10"/>
  <c r="Y2225" i="10"/>
  <c r="Z2225" i="10"/>
  <c r="Y2226" i="10"/>
  <c r="Z2226" i="10"/>
  <c r="Y2227" i="10"/>
  <c r="Z2227" i="10"/>
  <c r="Y2228" i="10"/>
  <c r="Z2228" i="10"/>
  <c r="Y2229" i="10"/>
  <c r="Z2229" i="10"/>
  <c r="Y2230" i="10"/>
  <c r="Z2230" i="10"/>
  <c r="Y2231" i="10"/>
  <c r="Z2231" i="10"/>
  <c r="Y2232" i="10"/>
  <c r="Z2232" i="10"/>
  <c r="Y2233" i="10"/>
  <c r="Z2233" i="10"/>
  <c r="Y2234" i="10"/>
  <c r="Z2234" i="10"/>
  <c r="Y2235" i="10"/>
  <c r="Z2235" i="10"/>
  <c r="Y2236" i="10"/>
  <c r="Z2236" i="10"/>
  <c r="Y2237" i="10"/>
  <c r="Z2237" i="10"/>
  <c r="Y2238" i="10"/>
  <c r="Z2238" i="10"/>
  <c r="Y2239" i="10"/>
  <c r="Z2239" i="10"/>
  <c r="Y2240" i="10"/>
  <c r="Z2240" i="10"/>
  <c r="Y2241" i="10"/>
  <c r="Z2241" i="10"/>
  <c r="Y2242" i="10"/>
  <c r="Z2242" i="10"/>
  <c r="Y2243" i="10"/>
  <c r="Z2243" i="10"/>
  <c r="Y2244" i="10"/>
  <c r="Z2244" i="10"/>
  <c r="Y2245" i="10"/>
  <c r="Z2245" i="10"/>
  <c r="Y2246" i="10"/>
  <c r="Z2246" i="10"/>
  <c r="Y2247" i="10"/>
  <c r="Z2247" i="10"/>
  <c r="Y2248" i="10"/>
  <c r="Z2248" i="10"/>
  <c r="Y2249" i="10"/>
  <c r="Z2249" i="10"/>
  <c r="Y2250" i="10"/>
  <c r="Z2250" i="10"/>
  <c r="Y2251" i="10"/>
  <c r="Z2251" i="10"/>
  <c r="Y2252" i="10"/>
  <c r="Z2252" i="10"/>
  <c r="Y2253" i="10"/>
  <c r="Z2253" i="10"/>
  <c r="Y2254" i="10"/>
  <c r="Z2254" i="10"/>
  <c r="Y2255" i="10"/>
  <c r="Z2255" i="10"/>
  <c r="Y2256" i="10"/>
  <c r="Z2256" i="10"/>
  <c r="Y2257" i="10"/>
  <c r="Z2257" i="10"/>
  <c r="Y2258" i="10"/>
  <c r="Z2258" i="10"/>
  <c r="Y2259" i="10"/>
  <c r="Z2259" i="10"/>
  <c r="Y2260" i="10"/>
  <c r="Z2260" i="10"/>
  <c r="Y2261" i="10"/>
  <c r="Z2261" i="10"/>
  <c r="Y2262" i="10"/>
  <c r="Z2262" i="10"/>
  <c r="Y2263" i="10"/>
  <c r="Z2263" i="10"/>
  <c r="Y2264" i="10"/>
  <c r="Z2264" i="10"/>
  <c r="Y2265" i="10"/>
  <c r="Z2265" i="10"/>
  <c r="Y2266" i="10"/>
  <c r="Z2266" i="10"/>
  <c r="Y2267" i="10"/>
  <c r="Z2267" i="10"/>
  <c r="Y2268" i="10"/>
  <c r="Z2268" i="10"/>
  <c r="Y2269" i="10"/>
  <c r="Z2269" i="10"/>
  <c r="Y2270" i="10"/>
  <c r="Z2270" i="10"/>
  <c r="Y2271" i="10"/>
  <c r="Z2271" i="10"/>
  <c r="Y2272" i="10"/>
  <c r="Z2272" i="10"/>
  <c r="Y2273" i="10"/>
  <c r="Z2273" i="10"/>
  <c r="Y2274" i="10"/>
  <c r="Z2274" i="10"/>
  <c r="Y2275" i="10"/>
  <c r="Z2275" i="10"/>
  <c r="Y2276" i="10"/>
  <c r="Z2276" i="10"/>
  <c r="Y2277" i="10"/>
  <c r="Z2277" i="10"/>
  <c r="Y2278" i="10"/>
  <c r="Z2278" i="10"/>
  <c r="Y2279" i="10"/>
  <c r="Z2279" i="10"/>
  <c r="Y2280" i="10"/>
  <c r="Z2280" i="10"/>
  <c r="Y2281" i="10"/>
  <c r="Z2281" i="10"/>
  <c r="Y2282" i="10"/>
  <c r="Z2282" i="10"/>
  <c r="Y2283" i="10"/>
  <c r="Z2283" i="10"/>
  <c r="Y2284" i="10"/>
  <c r="Z2284" i="10"/>
  <c r="Y2285" i="10"/>
  <c r="Z2285" i="10"/>
  <c r="Y2286" i="10"/>
  <c r="Z2286" i="10"/>
  <c r="Y2287" i="10"/>
  <c r="Z2287" i="10"/>
  <c r="Y2288" i="10"/>
  <c r="Z2288" i="10"/>
  <c r="Y2289" i="10"/>
  <c r="Z2289" i="10"/>
  <c r="Y2290" i="10"/>
  <c r="Z2290" i="10"/>
  <c r="Y2291" i="10"/>
  <c r="Z2291" i="10"/>
  <c r="Y2292" i="10"/>
  <c r="Z2292" i="10"/>
  <c r="Y2293" i="10"/>
  <c r="Z2293" i="10"/>
  <c r="Y2294" i="10"/>
  <c r="Z2294" i="10"/>
  <c r="Y2295" i="10"/>
  <c r="Z2295" i="10"/>
  <c r="Y2296" i="10"/>
  <c r="Z2296" i="10"/>
  <c r="Y2297" i="10"/>
  <c r="Z2297" i="10"/>
  <c r="Y2298" i="10"/>
  <c r="Z2298" i="10"/>
  <c r="Y2299" i="10"/>
  <c r="Z2299" i="10"/>
  <c r="Y2300" i="10"/>
  <c r="Z2300" i="10"/>
  <c r="Y2301" i="10"/>
  <c r="Z2301" i="10"/>
  <c r="Y2302" i="10"/>
  <c r="Z2302" i="10"/>
  <c r="Y2303" i="10"/>
  <c r="Z2303" i="10"/>
  <c r="Y2304" i="10"/>
  <c r="Z2304" i="10"/>
  <c r="Y2305" i="10"/>
  <c r="Z2305" i="10"/>
  <c r="Y2306" i="10"/>
  <c r="Z2306" i="10"/>
  <c r="Y2307" i="10"/>
  <c r="Z2307" i="10"/>
  <c r="Y2308" i="10"/>
  <c r="Z2308" i="10"/>
  <c r="Y2309" i="10"/>
  <c r="Z2309" i="10"/>
  <c r="Y2310" i="10"/>
  <c r="Z2310" i="10"/>
  <c r="Y2311" i="10"/>
  <c r="Z2311" i="10"/>
  <c r="Y2312" i="10"/>
  <c r="Z2312" i="10"/>
  <c r="Y2313" i="10"/>
  <c r="Z2313" i="10"/>
  <c r="Y2314" i="10"/>
  <c r="Z2314" i="10"/>
  <c r="Y2315" i="10"/>
  <c r="Z2315" i="10"/>
  <c r="Y2316" i="10"/>
  <c r="Z2316" i="10"/>
  <c r="Y2317" i="10"/>
  <c r="Z2317" i="10"/>
  <c r="Y2318" i="10"/>
  <c r="Z2318" i="10"/>
  <c r="Y2319" i="10"/>
  <c r="Z2319" i="10"/>
  <c r="Y2320" i="10"/>
  <c r="Z2320" i="10"/>
  <c r="Y2321" i="10"/>
  <c r="Z2321" i="10"/>
  <c r="Y2322" i="10"/>
  <c r="Z2322" i="10"/>
  <c r="Y2323" i="10"/>
  <c r="Z2323" i="10"/>
  <c r="Y2324" i="10"/>
  <c r="Z2324" i="10"/>
  <c r="Y2325" i="10"/>
  <c r="Z2325" i="10"/>
  <c r="Y2326" i="10"/>
  <c r="Z2326" i="10"/>
  <c r="Y2327" i="10"/>
  <c r="Z2327" i="10"/>
  <c r="Y2328" i="10"/>
  <c r="Z2328" i="10"/>
  <c r="Y2329" i="10"/>
  <c r="Z2329" i="10"/>
  <c r="Y2330" i="10"/>
  <c r="Z2330" i="10"/>
  <c r="Y2331" i="10"/>
  <c r="Z2331" i="10"/>
  <c r="Y2332" i="10"/>
  <c r="Z2332" i="10"/>
  <c r="Y2333" i="10"/>
  <c r="Z2333" i="10"/>
  <c r="Y2334" i="10"/>
  <c r="Z2334" i="10"/>
  <c r="Y2335" i="10"/>
  <c r="Z2335" i="10"/>
  <c r="Y2336" i="10"/>
  <c r="Z2336" i="10"/>
  <c r="Y2337" i="10"/>
  <c r="Z2337" i="10"/>
  <c r="Y2338" i="10"/>
  <c r="Z2338" i="10"/>
  <c r="Y2339" i="10"/>
  <c r="Z2339" i="10"/>
  <c r="Y2340" i="10"/>
  <c r="Z2340" i="10"/>
  <c r="Y2341" i="10"/>
  <c r="Z2341" i="10"/>
  <c r="Y2342" i="10"/>
  <c r="Z2342" i="10"/>
  <c r="Y2343" i="10"/>
  <c r="Z2343" i="10"/>
  <c r="Y2344" i="10"/>
  <c r="Z2344" i="10"/>
  <c r="Y2345" i="10"/>
  <c r="Z2345" i="10"/>
  <c r="Y2346" i="10"/>
  <c r="Z2346" i="10"/>
  <c r="Y2347" i="10"/>
  <c r="Z2347" i="10"/>
  <c r="Y2348" i="10"/>
  <c r="Z2348" i="10"/>
  <c r="Y2349" i="10"/>
  <c r="Z2349" i="10"/>
  <c r="Y2350" i="10"/>
  <c r="Z2350" i="10"/>
  <c r="Y2351" i="10"/>
  <c r="Z2351" i="10"/>
  <c r="Y2352" i="10"/>
  <c r="Z2352" i="10"/>
  <c r="Y2353" i="10"/>
  <c r="Z2353" i="10"/>
  <c r="Y2354" i="10"/>
  <c r="Z2354" i="10"/>
  <c r="Y2355" i="10"/>
  <c r="Z2355" i="10"/>
  <c r="Y2356" i="10"/>
  <c r="Z2356" i="10"/>
  <c r="Y2357" i="10"/>
  <c r="Z2357" i="10"/>
  <c r="Y2358" i="10"/>
  <c r="Z2358" i="10"/>
  <c r="Y2359" i="10"/>
  <c r="Z2359" i="10"/>
  <c r="Y2360" i="10"/>
  <c r="Z2360" i="10"/>
  <c r="Y2361" i="10"/>
  <c r="Z2361" i="10"/>
  <c r="Y2362" i="10"/>
  <c r="Z2362" i="10"/>
  <c r="Y2363" i="10"/>
  <c r="Z2363" i="10"/>
  <c r="Y2364" i="10"/>
  <c r="Z2364" i="10"/>
  <c r="Y2365" i="10"/>
  <c r="Z2365" i="10"/>
  <c r="Y2366" i="10"/>
  <c r="Z2366" i="10"/>
  <c r="Y2367" i="10"/>
  <c r="Z2367" i="10"/>
  <c r="Y2368" i="10"/>
  <c r="Z2368" i="10"/>
  <c r="Y2369" i="10"/>
  <c r="Z2369" i="10"/>
  <c r="Y2370" i="10"/>
  <c r="Z2370" i="10"/>
  <c r="Y2371" i="10"/>
  <c r="Z2371" i="10"/>
  <c r="Y2372" i="10"/>
  <c r="Z2372" i="10"/>
  <c r="Y2373" i="10"/>
  <c r="Z2373" i="10"/>
  <c r="Y2374" i="10"/>
  <c r="Z2374" i="10"/>
  <c r="Y2375" i="10"/>
  <c r="Z2375" i="10"/>
  <c r="Y2376" i="10"/>
  <c r="Z2376" i="10"/>
  <c r="Y2377" i="10"/>
  <c r="Z2377" i="10"/>
  <c r="Y2378" i="10"/>
  <c r="Z2378" i="10"/>
  <c r="Y2379" i="10"/>
  <c r="Z2379" i="10"/>
  <c r="Y2380" i="10"/>
  <c r="Z2380" i="10"/>
  <c r="Y2381" i="10"/>
  <c r="Z2381" i="10"/>
  <c r="Y2382" i="10"/>
  <c r="Z2382" i="10"/>
  <c r="Y2383" i="10"/>
  <c r="Z2383" i="10"/>
  <c r="Y2384" i="10"/>
  <c r="Z2384" i="10"/>
  <c r="Y2385" i="10"/>
  <c r="Z2385" i="10"/>
  <c r="Y2386" i="10"/>
  <c r="Z2386" i="10"/>
  <c r="Y2387" i="10"/>
  <c r="Z2387" i="10"/>
  <c r="Y2388" i="10"/>
  <c r="Z2388" i="10"/>
  <c r="Y2389" i="10"/>
  <c r="Z2389" i="10"/>
  <c r="Y2390" i="10"/>
  <c r="Z2390" i="10"/>
  <c r="Y2391" i="10"/>
  <c r="Z2391" i="10"/>
  <c r="Y2392" i="10"/>
  <c r="Z2392" i="10"/>
  <c r="Y2393" i="10"/>
  <c r="Z2393" i="10"/>
  <c r="Y2394" i="10"/>
  <c r="Z2394" i="10"/>
  <c r="Y2395" i="10"/>
  <c r="Z2395" i="10"/>
  <c r="Y2396" i="10"/>
  <c r="Z2396" i="10"/>
  <c r="Y2397" i="10"/>
  <c r="Z2397" i="10"/>
  <c r="Y2398" i="10"/>
  <c r="Z2398" i="10"/>
  <c r="Y2399" i="10"/>
  <c r="Z2399" i="10"/>
  <c r="Y2400" i="10"/>
  <c r="Z2400" i="10"/>
  <c r="Y2401" i="10"/>
  <c r="Z2401" i="10"/>
  <c r="Y2402" i="10"/>
  <c r="Z2402" i="10"/>
  <c r="Y2403" i="10"/>
  <c r="Z2403" i="10"/>
  <c r="Y2404" i="10"/>
  <c r="Z2404" i="10"/>
  <c r="Y2405" i="10"/>
  <c r="Z2405" i="10"/>
  <c r="Y2406" i="10"/>
  <c r="Z2406" i="10"/>
  <c r="Y2407" i="10"/>
  <c r="Z2407" i="10"/>
  <c r="Y2408" i="10"/>
  <c r="Z2408" i="10"/>
  <c r="Y2409" i="10"/>
  <c r="Z2409" i="10"/>
  <c r="Y2410" i="10"/>
  <c r="Z2410" i="10"/>
  <c r="Y2411" i="10"/>
  <c r="Z2411" i="10"/>
  <c r="Y2412" i="10"/>
  <c r="Z2412" i="10"/>
  <c r="Y2413" i="10"/>
  <c r="Z2413" i="10"/>
  <c r="Y2414" i="10"/>
  <c r="Z2414" i="10"/>
  <c r="Y2415" i="10"/>
  <c r="Z2415" i="10"/>
  <c r="Y2416" i="10"/>
  <c r="Z2416" i="10"/>
  <c r="Y2417" i="10"/>
  <c r="Z2417" i="10"/>
  <c r="Y2418" i="10"/>
  <c r="Z2418" i="10"/>
  <c r="Y2419" i="10"/>
  <c r="Z2419" i="10"/>
  <c r="Y2420" i="10"/>
  <c r="Z2420" i="10"/>
  <c r="Y2421" i="10"/>
  <c r="Z2421" i="10"/>
  <c r="Y2422" i="10"/>
  <c r="Z2422" i="10"/>
  <c r="Y2423" i="10"/>
  <c r="Z2423" i="10"/>
  <c r="Y2424" i="10"/>
  <c r="Z2424" i="10"/>
  <c r="Y2425" i="10"/>
  <c r="Z2425" i="10"/>
  <c r="Y2426" i="10"/>
  <c r="Z2426" i="10"/>
  <c r="Y2427" i="10"/>
  <c r="Z2427" i="10"/>
  <c r="Y2428" i="10"/>
  <c r="Z2428" i="10"/>
  <c r="Y2429" i="10"/>
  <c r="Z2429" i="10"/>
  <c r="Y2430" i="10"/>
  <c r="Z2430" i="10"/>
  <c r="Y2431" i="10"/>
  <c r="Z2431" i="10"/>
  <c r="Y2432" i="10"/>
  <c r="Z2432" i="10"/>
  <c r="Y2433" i="10"/>
  <c r="Z2433" i="10"/>
  <c r="Y2434" i="10"/>
  <c r="Z2434" i="10"/>
  <c r="Y2435" i="10"/>
  <c r="Z2435" i="10"/>
  <c r="Y2436" i="10"/>
  <c r="Z2436" i="10"/>
  <c r="Y2437" i="10"/>
  <c r="Z2437" i="10"/>
  <c r="Y2438" i="10"/>
  <c r="Z2438" i="10"/>
  <c r="Y2439" i="10"/>
  <c r="Z2439" i="10"/>
  <c r="Y2440" i="10"/>
  <c r="Z2440" i="10"/>
  <c r="Y2441" i="10"/>
  <c r="Z2441" i="10"/>
  <c r="Y2442" i="10"/>
  <c r="Z2442" i="10"/>
  <c r="Y2443" i="10"/>
  <c r="Z2443" i="10"/>
  <c r="Y2444" i="10"/>
  <c r="Z2444" i="10"/>
  <c r="Y2445" i="10"/>
  <c r="Z2445" i="10"/>
  <c r="Y2446" i="10"/>
  <c r="Z2446" i="10"/>
  <c r="Y2447" i="10"/>
  <c r="Z2447" i="10"/>
  <c r="Y2448" i="10"/>
  <c r="Z2448" i="10"/>
  <c r="Y2449" i="10"/>
  <c r="Z2449" i="10"/>
  <c r="Y2450" i="10"/>
  <c r="Z2450" i="10"/>
  <c r="Y2451" i="10"/>
  <c r="Z2451" i="10"/>
  <c r="Y2452" i="10"/>
  <c r="Z2452" i="10"/>
  <c r="Y2453" i="10"/>
  <c r="Z2453" i="10"/>
  <c r="Y2454" i="10"/>
  <c r="Z2454" i="10"/>
  <c r="Y2455" i="10"/>
  <c r="Z2455" i="10"/>
  <c r="Y2456" i="10"/>
  <c r="Z2456" i="10"/>
  <c r="Y2457" i="10"/>
  <c r="Z2457" i="10"/>
  <c r="Y2458" i="10"/>
  <c r="Z2458" i="10"/>
  <c r="Y2459" i="10"/>
  <c r="Z2459" i="10"/>
  <c r="Y2460" i="10"/>
  <c r="Z2460" i="10"/>
  <c r="Y2461" i="10"/>
  <c r="Z2461" i="10"/>
  <c r="Y2462" i="10"/>
  <c r="Z2462" i="10"/>
  <c r="Y2463" i="10"/>
  <c r="Z2463" i="10"/>
  <c r="Y2464" i="10"/>
  <c r="Z2464" i="10"/>
  <c r="Y2465" i="10"/>
  <c r="Z2465" i="10"/>
  <c r="Y2466" i="10"/>
  <c r="Z2466" i="10"/>
  <c r="Y2467" i="10"/>
  <c r="Z2467" i="10"/>
  <c r="Y2468" i="10"/>
  <c r="Z2468" i="10"/>
  <c r="Y2469" i="10"/>
  <c r="Z2469" i="10"/>
  <c r="Y2470" i="10"/>
  <c r="Z2470" i="10"/>
  <c r="Y2471" i="10"/>
  <c r="Z2471" i="10"/>
  <c r="Y2472" i="10"/>
  <c r="Z2472" i="10"/>
  <c r="Y2473" i="10"/>
  <c r="Z2473" i="10"/>
  <c r="Y2474" i="10"/>
  <c r="Z2474" i="10"/>
  <c r="Z3" i="10"/>
  <c r="Y3" i="10"/>
  <c r="AC4" i="10"/>
  <c r="AD4" i="10"/>
  <c r="AC5" i="10"/>
  <c r="AD5" i="10"/>
  <c r="AC6" i="10"/>
  <c r="AD6" i="10"/>
  <c r="AC7" i="10"/>
  <c r="AD7" i="10"/>
  <c r="AC8" i="10"/>
  <c r="AD8" i="10"/>
  <c r="AC9" i="10"/>
  <c r="AD9" i="10"/>
  <c r="AC10" i="10"/>
  <c r="AD10" i="10"/>
  <c r="AC11" i="10"/>
  <c r="AD11" i="10"/>
  <c r="AC12" i="10"/>
  <c r="AD12" i="10"/>
  <c r="AD3" i="10"/>
  <c r="AC3" i="10"/>
  <c r="A1" i="14"/>
  <c r="C495" i="14" s="1"/>
  <c r="G495" i="10" s="1"/>
  <c r="C2469" i="14" l="1"/>
  <c r="G2469" i="10" s="1"/>
  <c r="C2463" i="14"/>
  <c r="G2463" i="10" s="1"/>
  <c r="C2453" i="14"/>
  <c r="G2453" i="10" s="1"/>
  <c r="C2442" i="14"/>
  <c r="G2442" i="10" s="1"/>
  <c r="C2431" i="14"/>
  <c r="G2431" i="10" s="1"/>
  <c r="C2421" i="14"/>
  <c r="G2421" i="10" s="1"/>
  <c r="C2410" i="14"/>
  <c r="G2410" i="10" s="1"/>
  <c r="C2399" i="14"/>
  <c r="G2399" i="10" s="1"/>
  <c r="C2389" i="14"/>
  <c r="G2389" i="10" s="1"/>
  <c r="C2378" i="14"/>
  <c r="G2378" i="10" s="1"/>
  <c r="C2367" i="14"/>
  <c r="G2367" i="10" s="1"/>
  <c r="C2357" i="14"/>
  <c r="G2357" i="10" s="1"/>
  <c r="C2346" i="14"/>
  <c r="G2346" i="10" s="1"/>
  <c r="C2335" i="14"/>
  <c r="G2335" i="10" s="1"/>
  <c r="C2473" i="14"/>
  <c r="G2473" i="10" s="1"/>
  <c r="C2467" i="14"/>
  <c r="G2467" i="10" s="1"/>
  <c r="C2462" i="14"/>
  <c r="G2462" i="10" s="1"/>
  <c r="C2457" i="14"/>
  <c r="G2457" i="10" s="1"/>
  <c r="C2451" i="14"/>
  <c r="G2451" i="10" s="1"/>
  <c r="C2446" i="14"/>
  <c r="G2446" i="10" s="1"/>
  <c r="C2441" i="14"/>
  <c r="G2441" i="10" s="1"/>
  <c r="C2435" i="14"/>
  <c r="G2435" i="10" s="1"/>
  <c r="C2430" i="14"/>
  <c r="G2430" i="10" s="1"/>
  <c r="C2425" i="14"/>
  <c r="G2425" i="10" s="1"/>
  <c r="C2419" i="14"/>
  <c r="G2419" i="10" s="1"/>
  <c r="C2414" i="14"/>
  <c r="G2414" i="10" s="1"/>
  <c r="C2409" i="14"/>
  <c r="G2409" i="10" s="1"/>
  <c r="C2403" i="14"/>
  <c r="G2403" i="10" s="1"/>
  <c r="C2398" i="14"/>
  <c r="G2398" i="10" s="1"/>
  <c r="C2393" i="14"/>
  <c r="G2393" i="10" s="1"/>
  <c r="C2387" i="14"/>
  <c r="G2387" i="10" s="1"/>
  <c r="C2382" i="14"/>
  <c r="G2382" i="10" s="1"/>
  <c r="C2377" i="14"/>
  <c r="G2377" i="10" s="1"/>
  <c r="C2371" i="14"/>
  <c r="G2371" i="10" s="1"/>
  <c r="C2366" i="14"/>
  <c r="G2366" i="10" s="1"/>
  <c r="C2361" i="14"/>
  <c r="G2361" i="10" s="1"/>
  <c r="C2355" i="14"/>
  <c r="G2355" i="10" s="1"/>
  <c r="C2350" i="14"/>
  <c r="G2350" i="10" s="1"/>
  <c r="C2345" i="14"/>
  <c r="G2345" i="10" s="1"/>
  <c r="C2339" i="14"/>
  <c r="G2339" i="10" s="1"/>
  <c r="C2334" i="14"/>
  <c r="G2334" i="10" s="1"/>
  <c r="C2329" i="14"/>
  <c r="G2329" i="10" s="1"/>
  <c r="C2323" i="14"/>
  <c r="G2323" i="10" s="1"/>
  <c r="C2318" i="14"/>
  <c r="G2318" i="10" s="1"/>
  <c r="C2313" i="14"/>
  <c r="G2313" i="10" s="1"/>
  <c r="C2303" i="14"/>
  <c r="G2303" i="10" s="1"/>
  <c r="C2287" i="14"/>
  <c r="G2287" i="10" s="1"/>
  <c r="C2266" i="14"/>
  <c r="G2266" i="10" s="1"/>
  <c r="C2245" i="14"/>
  <c r="G2245" i="10" s="1"/>
  <c r="C2223" i="14"/>
  <c r="G2223" i="10" s="1"/>
  <c r="C2202" i="14"/>
  <c r="G2202" i="10" s="1"/>
  <c r="C2181" i="14"/>
  <c r="G2181" i="10" s="1"/>
  <c r="C2159" i="14"/>
  <c r="G2159" i="10" s="1"/>
  <c r="C2138" i="14"/>
  <c r="G2138" i="10" s="1"/>
  <c r="C2117" i="14"/>
  <c r="G2117" i="10" s="1"/>
  <c r="C2095" i="14"/>
  <c r="G2095" i="10" s="1"/>
  <c r="C2074" i="14"/>
  <c r="G2074" i="10" s="1"/>
  <c r="C2053" i="14"/>
  <c r="G2053" i="10" s="1"/>
  <c r="C2031" i="14"/>
  <c r="G2031" i="10" s="1"/>
  <c r="C1985" i="14"/>
  <c r="G1985" i="10" s="1"/>
  <c r="C1921" i="14"/>
  <c r="G1921" i="10" s="1"/>
  <c r="C1845" i="14"/>
  <c r="G1845" i="10" s="1"/>
  <c r="C1607" i="14"/>
  <c r="G1607" i="10" s="1"/>
  <c r="C1350" i="14"/>
  <c r="G1350" i="10" s="1"/>
  <c r="C1009" i="14"/>
  <c r="G1009" i="10" s="1"/>
  <c r="C655" i="14"/>
  <c r="G655" i="10" s="1"/>
  <c r="C2471" i="14"/>
  <c r="G2471" i="10" s="1"/>
  <c r="C2461" i="14"/>
  <c r="G2461" i="10" s="1"/>
  <c r="C2445" i="14"/>
  <c r="G2445" i="10" s="1"/>
  <c r="C2434" i="14"/>
  <c r="G2434" i="10" s="1"/>
  <c r="C2423" i="14"/>
  <c r="G2423" i="10" s="1"/>
  <c r="C2413" i="14"/>
  <c r="G2413" i="10" s="1"/>
  <c r="C2402" i="14"/>
  <c r="G2402" i="10" s="1"/>
  <c r="C2391" i="14"/>
  <c r="G2391" i="10" s="1"/>
  <c r="C2381" i="14"/>
  <c r="G2381" i="10" s="1"/>
  <c r="C2370" i="14"/>
  <c r="G2370" i="10" s="1"/>
  <c r="C2359" i="14"/>
  <c r="G2359" i="10" s="1"/>
  <c r="C2349" i="14"/>
  <c r="G2349" i="10" s="1"/>
  <c r="C2338" i="14"/>
  <c r="G2338" i="10" s="1"/>
  <c r="C2333" i="14"/>
  <c r="G2333" i="10" s="1"/>
  <c r="C2327" i="14"/>
  <c r="G2327" i="10" s="1"/>
  <c r="C2317" i="14"/>
  <c r="G2317" i="10" s="1"/>
  <c r="C2311" i="14"/>
  <c r="G2311" i="10" s="1"/>
  <c r="C2301" i="14"/>
  <c r="G2301" i="10" s="1"/>
  <c r="C2282" i="14"/>
  <c r="G2282" i="10" s="1"/>
  <c r="C2261" i="14"/>
  <c r="G2261" i="10" s="1"/>
  <c r="C2239" i="14"/>
  <c r="G2239" i="10" s="1"/>
  <c r="C2218" i="14"/>
  <c r="G2218" i="10" s="1"/>
  <c r="C2197" i="14"/>
  <c r="G2197" i="10" s="1"/>
  <c r="C2175" i="14"/>
  <c r="G2175" i="10" s="1"/>
  <c r="C2154" i="14"/>
  <c r="G2154" i="10" s="1"/>
  <c r="C2133" i="14"/>
  <c r="G2133" i="10" s="1"/>
  <c r="C2111" i="14"/>
  <c r="G2111" i="10" s="1"/>
  <c r="C2090" i="14"/>
  <c r="G2090" i="10" s="1"/>
  <c r="C2069" i="14"/>
  <c r="G2069" i="10" s="1"/>
  <c r="C2047" i="14"/>
  <c r="G2047" i="10" s="1"/>
  <c r="C2025" i="14"/>
  <c r="G2025" i="10" s="1"/>
  <c r="C1969" i="14"/>
  <c r="G1969" i="10" s="1"/>
  <c r="C1905" i="14"/>
  <c r="G1905" i="10" s="1"/>
  <c r="C1799" i="14"/>
  <c r="G1799" i="10" s="1"/>
  <c r="C1543" i="14"/>
  <c r="G1543" i="10" s="1"/>
  <c r="C1265" i="14"/>
  <c r="G1265" i="10" s="1"/>
  <c r="C923" i="14"/>
  <c r="G923" i="10" s="1"/>
  <c r="C26" i="14"/>
  <c r="G26" i="10" s="1"/>
  <c r="C197" i="14"/>
  <c r="G197" i="10" s="1"/>
  <c r="C367" i="14"/>
  <c r="G367" i="10" s="1"/>
  <c r="C538" i="14"/>
  <c r="G538" i="10" s="1"/>
  <c r="C685" i="14"/>
  <c r="G685" i="10" s="1"/>
  <c r="C774" i="14"/>
  <c r="G774" i="10" s="1"/>
  <c r="C859" i="14"/>
  <c r="G859" i="10" s="1"/>
  <c r="C945" i="14"/>
  <c r="G945" i="10" s="1"/>
  <c r="C1030" i="14"/>
  <c r="G1030" i="10" s="1"/>
  <c r="C1115" i="14"/>
  <c r="G1115" i="10" s="1"/>
  <c r="C1201" i="14"/>
  <c r="G1201" i="10" s="1"/>
  <c r="C1286" i="14"/>
  <c r="G1286" i="10" s="1"/>
  <c r="C1367" i="14"/>
  <c r="G1367" i="10" s="1"/>
  <c r="C1431" i="14"/>
  <c r="G1431" i="10" s="1"/>
  <c r="C1495" i="14"/>
  <c r="G1495" i="10" s="1"/>
  <c r="C1559" i="14"/>
  <c r="G1559" i="10" s="1"/>
  <c r="C1623" i="14"/>
  <c r="G1623" i="10" s="1"/>
  <c r="C1687" i="14"/>
  <c r="G1687" i="10" s="1"/>
  <c r="C1751" i="14"/>
  <c r="G1751" i="10" s="1"/>
  <c r="C1815" i="14"/>
  <c r="G1815" i="10" s="1"/>
  <c r="C1853" i="14"/>
  <c r="G1853" i="10" s="1"/>
  <c r="C1877" i="14"/>
  <c r="G1877" i="10" s="1"/>
  <c r="C1893" i="14"/>
  <c r="G1893" i="10" s="1"/>
  <c r="C1909" i="14"/>
  <c r="G1909" i="10" s="1"/>
  <c r="C1925" i="14"/>
  <c r="G1925" i="10" s="1"/>
  <c r="C1941" i="14"/>
  <c r="G1941" i="10" s="1"/>
  <c r="C1957" i="14"/>
  <c r="G1957" i="10" s="1"/>
  <c r="C1973" i="14"/>
  <c r="G1973" i="10" s="1"/>
  <c r="C1989" i="14"/>
  <c r="G1989" i="10" s="1"/>
  <c r="C2005" i="14"/>
  <c r="G2005" i="10" s="1"/>
  <c r="C2019" i="14"/>
  <c r="G2019" i="10" s="1"/>
  <c r="C2027" i="14"/>
  <c r="G2027" i="10" s="1"/>
  <c r="C2033" i="14"/>
  <c r="G2033" i="10" s="1"/>
  <c r="C2038" i="14"/>
  <c r="G2038" i="10" s="1"/>
  <c r="C2043" i="14"/>
  <c r="G2043" i="10" s="1"/>
  <c r="C2049" i="14"/>
  <c r="G2049" i="10" s="1"/>
  <c r="C2054" i="14"/>
  <c r="G2054" i="10" s="1"/>
  <c r="C2059" i="14"/>
  <c r="G2059" i="10" s="1"/>
  <c r="C2065" i="14"/>
  <c r="G2065" i="10" s="1"/>
  <c r="C2070" i="14"/>
  <c r="G2070" i="10" s="1"/>
  <c r="C2075" i="14"/>
  <c r="G2075" i="10" s="1"/>
  <c r="C2081" i="14"/>
  <c r="G2081" i="10" s="1"/>
  <c r="C2086" i="14"/>
  <c r="G2086" i="10" s="1"/>
  <c r="C2091" i="14"/>
  <c r="G2091" i="10" s="1"/>
  <c r="C2097" i="14"/>
  <c r="G2097" i="10" s="1"/>
  <c r="C2102" i="14"/>
  <c r="G2102" i="10" s="1"/>
  <c r="C2107" i="14"/>
  <c r="G2107" i="10" s="1"/>
  <c r="C2113" i="14"/>
  <c r="G2113" i="10" s="1"/>
  <c r="C2118" i="14"/>
  <c r="G2118" i="10" s="1"/>
  <c r="C2123" i="14"/>
  <c r="G2123" i="10" s="1"/>
  <c r="C2129" i="14"/>
  <c r="G2129" i="10" s="1"/>
  <c r="C2134" i="14"/>
  <c r="G2134" i="10" s="1"/>
  <c r="C2139" i="14"/>
  <c r="G2139" i="10" s="1"/>
  <c r="C2145" i="14"/>
  <c r="G2145" i="10" s="1"/>
  <c r="C2150" i="14"/>
  <c r="G2150" i="10" s="1"/>
  <c r="C2155" i="14"/>
  <c r="G2155" i="10" s="1"/>
  <c r="C2161" i="14"/>
  <c r="G2161" i="10" s="1"/>
  <c r="C2166" i="14"/>
  <c r="G2166" i="10" s="1"/>
  <c r="C2171" i="14"/>
  <c r="G2171" i="10" s="1"/>
  <c r="C2177" i="14"/>
  <c r="G2177" i="10" s="1"/>
  <c r="C2182" i="14"/>
  <c r="G2182" i="10" s="1"/>
  <c r="C2187" i="14"/>
  <c r="G2187" i="10" s="1"/>
  <c r="C2193" i="14"/>
  <c r="G2193" i="10" s="1"/>
  <c r="C2198" i="14"/>
  <c r="G2198" i="10" s="1"/>
  <c r="C2203" i="14"/>
  <c r="G2203" i="10" s="1"/>
  <c r="C2209" i="14"/>
  <c r="G2209" i="10" s="1"/>
  <c r="C2214" i="14"/>
  <c r="G2214" i="10" s="1"/>
  <c r="C2219" i="14"/>
  <c r="G2219" i="10" s="1"/>
  <c r="C2225" i="14"/>
  <c r="G2225" i="10" s="1"/>
  <c r="C2230" i="14"/>
  <c r="G2230" i="10" s="1"/>
  <c r="C2235" i="14"/>
  <c r="G2235" i="10" s="1"/>
  <c r="C2241" i="14"/>
  <c r="G2241" i="10" s="1"/>
  <c r="C2246" i="14"/>
  <c r="G2246" i="10" s="1"/>
  <c r="C2251" i="14"/>
  <c r="G2251" i="10" s="1"/>
  <c r="C2257" i="14"/>
  <c r="G2257" i="10" s="1"/>
  <c r="C2262" i="14"/>
  <c r="G2262" i="10" s="1"/>
  <c r="C2267" i="14"/>
  <c r="G2267" i="10" s="1"/>
  <c r="C2273" i="14"/>
  <c r="G2273" i="10" s="1"/>
  <c r="C2278" i="14"/>
  <c r="G2278" i="10" s="1"/>
  <c r="C2283" i="14"/>
  <c r="G2283" i="10" s="1"/>
  <c r="C2289" i="14"/>
  <c r="G2289" i="10" s="1"/>
  <c r="C2294" i="14"/>
  <c r="G2294" i="10" s="1"/>
  <c r="C2299" i="14"/>
  <c r="G2299" i="10" s="1"/>
  <c r="C2305" i="14"/>
  <c r="G2305" i="10" s="1"/>
  <c r="C2310" i="14"/>
  <c r="G2310" i="10" s="1"/>
  <c r="C69" i="14"/>
  <c r="G69" i="10" s="1"/>
  <c r="C239" i="14"/>
  <c r="G239" i="10" s="1"/>
  <c r="C410" i="14"/>
  <c r="G410" i="10" s="1"/>
  <c r="C581" i="14"/>
  <c r="G581" i="10" s="1"/>
  <c r="C710" i="14"/>
  <c r="G710" i="10" s="1"/>
  <c r="C795" i="14"/>
  <c r="G795" i="10" s="1"/>
  <c r="C881" i="14"/>
  <c r="G881" i="10" s="1"/>
  <c r="C966" i="14"/>
  <c r="G966" i="10" s="1"/>
  <c r="C1051" i="14"/>
  <c r="G1051" i="10" s="1"/>
  <c r="C1137" i="14"/>
  <c r="G1137" i="10" s="1"/>
  <c r="C1222" i="14"/>
  <c r="G1222" i="10" s="1"/>
  <c r="C1307" i="14"/>
  <c r="G1307" i="10" s="1"/>
  <c r="C1383" i="14"/>
  <c r="G1383" i="10" s="1"/>
  <c r="C1447" i="14"/>
  <c r="G1447" i="10" s="1"/>
  <c r="C1511" i="14"/>
  <c r="G1511" i="10" s="1"/>
  <c r="C1575" i="14"/>
  <c r="G1575" i="10" s="1"/>
  <c r="C1639" i="14"/>
  <c r="G1639" i="10" s="1"/>
  <c r="C1703" i="14"/>
  <c r="G1703" i="10" s="1"/>
  <c r="C1767" i="14"/>
  <c r="G1767" i="10" s="1"/>
  <c r="C1829" i="14"/>
  <c r="G1829" i="10" s="1"/>
  <c r="C1861" i="14"/>
  <c r="G1861" i="10" s="1"/>
  <c r="C1881" i="14"/>
  <c r="G1881" i="10" s="1"/>
  <c r="C1897" i="14"/>
  <c r="G1897" i="10" s="1"/>
  <c r="C1913" i="14"/>
  <c r="G1913" i="10" s="1"/>
  <c r="C1929" i="14"/>
  <c r="G1929" i="10" s="1"/>
  <c r="C1945" i="14"/>
  <c r="G1945" i="10" s="1"/>
  <c r="C1961" i="14"/>
  <c r="G1961" i="10" s="1"/>
  <c r="C1977" i="14"/>
  <c r="G1977" i="10" s="1"/>
  <c r="C1993" i="14"/>
  <c r="G1993" i="10" s="1"/>
  <c r="C2009" i="14"/>
  <c r="G2009" i="10" s="1"/>
  <c r="C2021" i="14"/>
  <c r="G2021" i="10" s="1"/>
  <c r="C2029" i="14"/>
  <c r="G2029" i="10" s="1"/>
  <c r="C2034" i="14"/>
  <c r="G2034" i="10" s="1"/>
  <c r="C2039" i="14"/>
  <c r="G2039" i="10" s="1"/>
  <c r="C2045" i="14"/>
  <c r="G2045" i="10" s="1"/>
  <c r="C2050" i="14"/>
  <c r="G2050" i="10" s="1"/>
  <c r="C2055" i="14"/>
  <c r="G2055" i="10" s="1"/>
  <c r="C2061" i="14"/>
  <c r="G2061" i="10" s="1"/>
  <c r="C2066" i="14"/>
  <c r="G2066" i="10" s="1"/>
  <c r="C2071" i="14"/>
  <c r="G2071" i="10" s="1"/>
  <c r="C2077" i="14"/>
  <c r="G2077" i="10" s="1"/>
  <c r="C2082" i="14"/>
  <c r="G2082" i="10" s="1"/>
  <c r="C2087" i="14"/>
  <c r="G2087" i="10" s="1"/>
  <c r="C2093" i="14"/>
  <c r="G2093" i="10" s="1"/>
  <c r="C2098" i="14"/>
  <c r="G2098" i="10" s="1"/>
  <c r="C2103" i="14"/>
  <c r="G2103" i="10" s="1"/>
  <c r="C2109" i="14"/>
  <c r="G2109" i="10" s="1"/>
  <c r="C2114" i="14"/>
  <c r="G2114" i="10" s="1"/>
  <c r="C2119" i="14"/>
  <c r="G2119" i="10" s="1"/>
  <c r="C2125" i="14"/>
  <c r="G2125" i="10" s="1"/>
  <c r="C2130" i="14"/>
  <c r="G2130" i="10" s="1"/>
  <c r="C2135" i="14"/>
  <c r="G2135" i="10" s="1"/>
  <c r="C2141" i="14"/>
  <c r="G2141" i="10" s="1"/>
  <c r="C2146" i="14"/>
  <c r="G2146" i="10" s="1"/>
  <c r="C2151" i="14"/>
  <c r="G2151" i="10" s="1"/>
  <c r="C2157" i="14"/>
  <c r="G2157" i="10" s="1"/>
  <c r="C2162" i="14"/>
  <c r="G2162" i="10" s="1"/>
  <c r="C2167" i="14"/>
  <c r="G2167" i="10" s="1"/>
  <c r="C2173" i="14"/>
  <c r="G2173" i="10" s="1"/>
  <c r="C2178" i="14"/>
  <c r="G2178" i="10" s="1"/>
  <c r="C2183" i="14"/>
  <c r="G2183" i="10" s="1"/>
  <c r="C2189" i="14"/>
  <c r="G2189" i="10" s="1"/>
  <c r="C2194" i="14"/>
  <c r="G2194" i="10" s="1"/>
  <c r="C2199" i="14"/>
  <c r="G2199" i="10" s="1"/>
  <c r="C2205" i="14"/>
  <c r="G2205" i="10" s="1"/>
  <c r="C2210" i="14"/>
  <c r="G2210" i="10" s="1"/>
  <c r="C2215" i="14"/>
  <c r="G2215" i="10" s="1"/>
  <c r="C2221" i="14"/>
  <c r="G2221" i="10" s="1"/>
  <c r="C2226" i="14"/>
  <c r="G2226" i="10" s="1"/>
  <c r="C2231" i="14"/>
  <c r="G2231" i="10" s="1"/>
  <c r="C2237" i="14"/>
  <c r="G2237" i="10" s="1"/>
  <c r="C2242" i="14"/>
  <c r="G2242" i="10" s="1"/>
  <c r="C2247" i="14"/>
  <c r="G2247" i="10" s="1"/>
  <c r="C2253" i="14"/>
  <c r="G2253" i="10" s="1"/>
  <c r="C2258" i="14"/>
  <c r="G2258" i="10" s="1"/>
  <c r="C2263" i="14"/>
  <c r="G2263" i="10" s="1"/>
  <c r="C2269" i="14"/>
  <c r="G2269" i="10" s="1"/>
  <c r="C2274" i="14"/>
  <c r="G2274" i="10" s="1"/>
  <c r="C2279" i="14"/>
  <c r="G2279" i="10" s="1"/>
  <c r="C2285" i="14"/>
  <c r="G2285" i="10" s="1"/>
  <c r="C2290" i="14"/>
  <c r="G2290" i="10" s="1"/>
  <c r="C2295" i="14"/>
  <c r="G2295" i="10" s="1"/>
  <c r="C111" i="14"/>
  <c r="G111" i="10" s="1"/>
  <c r="C282" i="14"/>
  <c r="G282" i="10" s="1"/>
  <c r="C453" i="14"/>
  <c r="G453" i="10" s="1"/>
  <c r="C623" i="14"/>
  <c r="G623" i="10" s="1"/>
  <c r="C731" i="14"/>
  <c r="G731" i="10" s="1"/>
  <c r="C817" i="14"/>
  <c r="G817" i="10" s="1"/>
  <c r="C902" i="14"/>
  <c r="G902" i="10" s="1"/>
  <c r="C987" i="14"/>
  <c r="G987" i="10" s="1"/>
  <c r="C1073" i="14"/>
  <c r="G1073" i="10" s="1"/>
  <c r="C1158" i="14"/>
  <c r="G1158" i="10" s="1"/>
  <c r="C1243" i="14"/>
  <c r="G1243" i="10" s="1"/>
  <c r="C1329" i="14"/>
  <c r="G1329" i="10" s="1"/>
  <c r="C1399" i="14"/>
  <c r="G1399" i="10" s="1"/>
  <c r="C1463" i="14"/>
  <c r="G1463" i="10" s="1"/>
  <c r="C1527" i="14"/>
  <c r="G1527" i="10" s="1"/>
  <c r="C1591" i="14"/>
  <c r="G1591" i="10" s="1"/>
  <c r="C1655" i="14"/>
  <c r="G1655" i="10" s="1"/>
  <c r="C1719" i="14"/>
  <c r="G1719" i="10" s="1"/>
  <c r="C1783" i="14"/>
  <c r="G1783" i="10" s="1"/>
  <c r="C1837" i="14"/>
  <c r="G1837" i="10" s="1"/>
  <c r="C1869" i="14"/>
  <c r="G1869" i="10" s="1"/>
  <c r="C1885" i="14"/>
  <c r="G1885" i="10" s="1"/>
  <c r="C1901" i="14"/>
  <c r="G1901" i="10" s="1"/>
  <c r="C1917" i="14"/>
  <c r="G1917" i="10" s="1"/>
  <c r="C1933" i="14"/>
  <c r="G1933" i="10" s="1"/>
  <c r="C1949" i="14"/>
  <c r="G1949" i="10" s="1"/>
  <c r="C1965" i="14"/>
  <c r="G1965" i="10" s="1"/>
  <c r="C1981" i="14"/>
  <c r="G1981" i="10" s="1"/>
  <c r="C1997" i="14"/>
  <c r="G1997" i="10" s="1"/>
  <c r="C2013" i="14"/>
  <c r="G2013" i="10" s="1"/>
  <c r="C2023" i="14"/>
  <c r="G2023" i="10" s="1"/>
  <c r="C2030" i="14"/>
  <c r="G2030" i="10" s="1"/>
  <c r="C2035" i="14"/>
  <c r="G2035" i="10" s="1"/>
  <c r="C2041" i="14"/>
  <c r="G2041" i="10" s="1"/>
  <c r="C2046" i="14"/>
  <c r="G2046" i="10" s="1"/>
  <c r="C2051" i="14"/>
  <c r="G2051" i="10" s="1"/>
  <c r="C2057" i="14"/>
  <c r="G2057" i="10" s="1"/>
  <c r="C2062" i="14"/>
  <c r="G2062" i="10" s="1"/>
  <c r="C2067" i="14"/>
  <c r="G2067" i="10" s="1"/>
  <c r="C2073" i="14"/>
  <c r="G2073" i="10" s="1"/>
  <c r="C2078" i="14"/>
  <c r="G2078" i="10" s="1"/>
  <c r="C2083" i="14"/>
  <c r="G2083" i="10" s="1"/>
  <c r="C2089" i="14"/>
  <c r="G2089" i="10" s="1"/>
  <c r="C2094" i="14"/>
  <c r="G2094" i="10" s="1"/>
  <c r="C2099" i="14"/>
  <c r="G2099" i="10" s="1"/>
  <c r="C2105" i="14"/>
  <c r="G2105" i="10" s="1"/>
  <c r="C2110" i="14"/>
  <c r="G2110" i="10" s="1"/>
  <c r="C2115" i="14"/>
  <c r="G2115" i="10" s="1"/>
  <c r="C2121" i="14"/>
  <c r="G2121" i="10" s="1"/>
  <c r="C2126" i="14"/>
  <c r="G2126" i="10" s="1"/>
  <c r="C2131" i="14"/>
  <c r="G2131" i="10" s="1"/>
  <c r="C2137" i="14"/>
  <c r="G2137" i="10" s="1"/>
  <c r="C2142" i="14"/>
  <c r="G2142" i="10" s="1"/>
  <c r="C2147" i="14"/>
  <c r="G2147" i="10" s="1"/>
  <c r="C2153" i="14"/>
  <c r="G2153" i="10" s="1"/>
  <c r="C2158" i="14"/>
  <c r="G2158" i="10" s="1"/>
  <c r="C2163" i="14"/>
  <c r="G2163" i="10" s="1"/>
  <c r="C2169" i="14"/>
  <c r="G2169" i="10" s="1"/>
  <c r="C2174" i="14"/>
  <c r="G2174" i="10" s="1"/>
  <c r="C2179" i="14"/>
  <c r="G2179" i="10" s="1"/>
  <c r="C2185" i="14"/>
  <c r="G2185" i="10" s="1"/>
  <c r="C2190" i="14"/>
  <c r="G2190" i="10" s="1"/>
  <c r="C2195" i="14"/>
  <c r="G2195" i="10" s="1"/>
  <c r="C2201" i="14"/>
  <c r="G2201" i="10" s="1"/>
  <c r="C2206" i="14"/>
  <c r="G2206" i="10" s="1"/>
  <c r="C2211" i="14"/>
  <c r="G2211" i="10" s="1"/>
  <c r="C2217" i="14"/>
  <c r="G2217" i="10" s="1"/>
  <c r="C2222" i="14"/>
  <c r="G2222" i="10" s="1"/>
  <c r="C2227" i="14"/>
  <c r="G2227" i="10" s="1"/>
  <c r="C2233" i="14"/>
  <c r="G2233" i="10" s="1"/>
  <c r="C2238" i="14"/>
  <c r="G2238" i="10" s="1"/>
  <c r="C2243" i="14"/>
  <c r="G2243" i="10" s="1"/>
  <c r="C2249" i="14"/>
  <c r="G2249" i="10" s="1"/>
  <c r="C2254" i="14"/>
  <c r="G2254" i="10" s="1"/>
  <c r="C2259" i="14"/>
  <c r="G2259" i="10" s="1"/>
  <c r="C2265" i="14"/>
  <c r="G2265" i="10" s="1"/>
  <c r="C2270" i="14"/>
  <c r="G2270" i="10" s="1"/>
  <c r="C2275" i="14"/>
  <c r="G2275" i="10" s="1"/>
  <c r="C2281" i="14"/>
  <c r="G2281" i="10" s="1"/>
  <c r="C2286" i="14"/>
  <c r="G2286" i="10" s="1"/>
  <c r="C2291" i="14"/>
  <c r="G2291" i="10" s="1"/>
  <c r="C2297" i="14"/>
  <c r="G2297" i="10" s="1"/>
  <c r="C2302" i="14"/>
  <c r="G2302" i="10" s="1"/>
  <c r="C2307" i="14"/>
  <c r="G2307" i="10" s="1"/>
  <c r="C2466" i="14"/>
  <c r="G2466" i="10" s="1"/>
  <c r="C2455" i="14"/>
  <c r="G2455" i="10" s="1"/>
  <c r="C2450" i="14"/>
  <c r="G2450" i="10" s="1"/>
  <c r="C2439" i="14"/>
  <c r="G2439" i="10" s="1"/>
  <c r="C2429" i="14"/>
  <c r="G2429" i="10" s="1"/>
  <c r="C2418" i="14"/>
  <c r="G2418" i="10" s="1"/>
  <c r="C2407" i="14"/>
  <c r="G2407" i="10" s="1"/>
  <c r="C2397" i="14"/>
  <c r="G2397" i="10" s="1"/>
  <c r="C2386" i="14"/>
  <c r="G2386" i="10" s="1"/>
  <c r="C2375" i="14"/>
  <c r="G2375" i="10" s="1"/>
  <c r="C2365" i="14"/>
  <c r="G2365" i="10" s="1"/>
  <c r="C2354" i="14"/>
  <c r="G2354" i="10" s="1"/>
  <c r="C2343" i="14"/>
  <c r="G2343" i="10" s="1"/>
  <c r="C2322" i="14"/>
  <c r="G2322" i="10" s="1"/>
  <c r="C2" i="14"/>
  <c r="G2" i="10" s="1"/>
  <c r="C2470" i="14"/>
  <c r="G2470" i="10" s="1"/>
  <c r="C2465" i="14"/>
  <c r="G2465" i="10" s="1"/>
  <c r="C2459" i="14"/>
  <c r="G2459" i="10" s="1"/>
  <c r="C2454" i="14"/>
  <c r="G2454" i="10" s="1"/>
  <c r="C2449" i="14"/>
  <c r="G2449" i="10" s="1"/>
  <c r="C2443" i="14"/>
  <c r="G2443" i="10" s="1"/>
  <c r="C2438" i="14"/>
  <c r="G2438" i="10" s="1"/>
  <c r="C2433" i="14"/>
  <c r="G2433" i="10" s="1"/>
  <c r="C2427" i="14"/>
  <c r="G2427" i="10" s="1"/>
  <c r="C2422" i="14"/>
  <c r="G2422" i="10" s="1"/>
  <c r="C2417" i="14"/>
  <c r="G2417" i="10" s="1"/>
  <c r="C2411" i="14"/>
  <c r="G2411" i="10" s="1"/>
  <c r="C2406" i="14"/>
  <c r="G2406" i="10" s="1"/>
  <c r="C2401" i="14"/>
  <c r="G2401" i="10" s="1"/>
  <c r="C2395" i="14"/>
  <c r="G2395" i="10" s="1"/>
  <c r="C2390" i="14"/>
  <c r="G2390" i="10" s="1"/>
  <c r="C2385" i="14"/>
  <c r="G2385" i="10" s="1"/>
  <c r="C2379" i="14"/>
  <c r="G2379" i="10" s="1"/>
  <c r="C2374" i="14"/>
  <c r="G2374" i="10" s="1"/>
  <c r="C2369" i="14"/>
  <c r="G2369" i="10" s="1"/>
  <c r="C2363" i="14"/>
  <c r="G2363" i="10" s="1"/>
  <c r="C2358" i="14"/>
  <c r="G2358" i="10" s="1"/>
  <c r="C2353" i="14"/>
  <c r="G2353" i="10" s="1"/>
  <c r="C2347" i="14"/>
  <c r="G2347" i="10" s="1"/>
  <c r="C2342" i="14"/>
  <c r="G2342" i="10" s="1"/>
  <c r="C2337" i="14"/>
  <c r="G2337" i="10" s="1"/>
  <c r="C2331" i="14"/>
  <c r="G2331" i="10" s="1"/>
  <c r="C2326" i="14"/>
  <c r="G2326" i="10" s="1"/>
  <c r="C2321" i="14"/>
  <c r="G2321" i="10" s="1"/>
  <c r="C2315" i="14"/>
  <c r="G2315" i="10" s="1"/>
  <c r="C2309" i="14"/>
  <c r="G2309" i="10" s="1"/>
  <c r="C2298" i="14"/>
  <c r="G2298" i="10" s="1"/>
  <c r="C2277" i="14"/>
  <c r="G2277" i="10" s="1"/>
  <c r="C2255" i="14"/>
  <c r="G2255" i="10" s="1"/>
  <c r="C2234" i="14"/>
  <c r="G2234" i="10" s="1"/>
  <c r="C2213" i="14"/>
  <c r="G2213" i="10" s="1"/>
  <c r="C2191" i="14"/>
  <c r="G2191" i="10" s="1"/>
  <c r="C2170" i="14"/>
  <c r="G2170" i="10" s="1"/>
  <c r="C2149" i="14"/>
  <c r="G2149" i="10" s="1"/>
  <c r="C2127" i="14"/>
  <c r="G2127" i="10" s="1"/>
  <c r="C2106" i="14"/>
  <c r="G2106" i="10" s="1"/>
  <c r="C2085" i="14"/>
  <c r="G2085" i="10" s="1"/>
  <c r="C2063" i="14"/>
  <c r="G2063" i="10" s="1"/>
  <c r="C2042" i="14"/>
  <c r="G2042" i="10" s="1"/>
  <c r="C2017" i="14"/>
  <c r="G2017" i="10" s="1"/>
  <c r="C1953" i="14"/>
  <c r="G1953" i="10" s="1"/>
  <c r="C1889" i="14"/>
  <c r="G1889" i="10" s="1"/>
  <c r="C1735" i="14"/>
  <c r="G1735" i="10" s="1"/>
  <c r="C1479" i="14"/>
  <c r="G1479" i="10" s="1"/>
  <c r="C1179" i="14"/>
  <c r="G1179" i="10" s="1"/>
  <c r="C838" i="14"/>
  <c r="G838" i="10" s="1"/>
  <c r="C325" i="14"/>
  <c r="G325" i="10" s="1"/>
  <c r="C2474" i="14"/>
  <c r="G2474" i="10" s="1"/>
  <c r="C2458" i="14"/>
  <c r="G2458" i="10" s="1"/>
  <c r="C2447" i="14"/>
  <c r="G2447" i="10" s="1"/>
  <c r="C2437" i="14"/>
  <c r="G2437" i="10" s="1"/>
  <c r="C2426" i="14"/>
  <c r="G2426" i="10" s="1"/>
  <c r="C2415" i="14"/>
  <c r="G2415" i="10" s="1"/>
  <c r="C2405" i="14"/>
  <c r="G2405" i="10" s="1"/>
  <c r="C2394" i="14"/>
  <c r="G2394" i="10" s="1"/>
  <c r="C2383" i="14"/>
  <c r="G2383" i="10" s="1"/>
  <c r="C2373" i="14"/>
  <c r="G2373" i="10" s="1"/>
  <c r="C2362" i="14"/>
  <c r="G2362" i="10" s="1"/>
  <c r="C2351" i="14"/>
  <c r="G2351" i="10" s="1"/>
  <c r="C2341" i="14"/>
  <c r="G2341" i="10" s="1"/>
  <c r="C2330" i="14"/>
  <c r="G2330" i="10" s="1"/>
  <c r="C2325" i="14"/>
  <c r="G2325" i="10" s="1"/>
  <c r="C2319" i="14"/>
  <c r="G2319" i="10" s="1"/>
  <c r="C2314" i="14"/>
  <c r="G2314" i="10" s="1"/>
  <c r="C2306" i="14"/>
  <c r="G2306" i="10" s="1"/>
  <c r="C2293" i="14"/>
  <c r="G2293" i="10" s="1"/>
  <c r="C2271" i="14"/>
  <c r="G2271" i="10" s="1"/>
  <c r="C2250" i="14"/>
  <c r="G2250" i="10" s="1"/>
  <c r="C2229" i="14"/>
  <c r="G2229" i="10" s="1"/>
  <c r="C2207" i="14"/>
  <c r="G2207" i="10" s="1"/>
  <c r="C2186" i="14"/>
  <c r="G2186" i="10" s="1"/>
  <c r="C2165" i="14"/>
  <c r="G2165" i="10" s="1"/>
  <c r="C2143" i="14"/>
  <c r="G2143" i="10" s="1"/>
  <c r="C2122" i="14"/>
  <c r="G2122" i="10" s="1"/>
  <c r="C2101" i="14"/>
  <c r="G2101" i="10" s="1"/>
  <c r="C2079" i="14"/>
  <c r="G2079" i="10" s="1"/>
  <c r="C2058" i="14"/>
  <c r="G2058" i="10" s="1"/>
  <c r="C2037" i="14"/>
  <c r="G2037" i="10" s="1"/>
  <c r="C2001" i="14"/>
  <c r="G2001" i="10" s="1"/>
  <c r="C1937" i="14"/>
  <c r="G1937" i="10" s="1"/>
  <c r="C1873" i="14"/>
  <c r="G1873" i="10" s="1"/>
  <c r="C1671" i="14"/>
  <c r="G1671" i="10" s="1"/>
  <c r="C1415" i="14"/>
  <c r="G1415" i="10" s="1"/>
  <c r="C1094" i="14"/>
  <c r="G1094" i="10" s="1"/>
  <c r="C753" i="14"/>
  <c r="G753" i="10" s="1"/>
  <c r="C154" i="14"/>
  <c r="G154" i="10" s="1"/>
  <c r="C4" i="14"/>
  <c r="G4" i="10" s="1"/>
  <c r="C8" i="14"/>
  <c r="G8" i="10" s="1"/>
  <c r="C12" i="14"/>
  <c r="G12" i="10" s="1"/>
  <c r="C16" i="14"/>
  <c r="G16" i="10" s="1"/>
  <c r="C20" i="14"/>
  <c r="G20" i="10" s="1"/>
  <c r="C24" i="14"/>
  <c r="G24" i="10" s="1"/>
  <c r="C28" i="14"/>
  <c r="G28" i="10" s="1"/>
  <c r="C32" i="14"/>
  <c r="G32" i="10" s="1"/>
  <c r="C36" i="14"/>
  <c r="G36" i="10" s="1"/>
  <c r="C40" i="14"/>
  <c r="G40" i="10" s="1"/>
  <c r="C44" i="14"/>
  <c r="G44" i="10" s="1"/>
  <c r="C48" i="14"/>
  <c r="G48" i="10" s="1"/>
  <c r="C52" i="14"/>
  <c r="G52" i="10" s="1"/>
  <c r="C56" i="14"/>
  <c r="G56" i="10" s="1"/>
  <c r="C60" i="14"/>
  <c r="G60" i="10" s="1"/>
  <c r="C64" i="14"/>
  <c r="G64" i="10" s="1"/>
  <c r="C68" i="14"/>
  <c r="G68" i="10" s="1"/>
  <c r="C72" i="14"/>
  <c r="G72" i="10" s="1"/>
  <c r="C76" i="14"/>
  <c r="G76" i="10" s="1"/>
  <c r="C80" i="14"/>
  <c r="G80" i="10" s="1"/>
  <c r="C84" i="14"/>
  <c r="G84" i="10" s="1"/>
  <c r="C88" i="14"/>
  <c r="G88" i="10" s="1"/>
  <c r="C92" i="14"/>
  <c r="G92" i="10" s="1"/>
  <c r="C96" i="14"/>
  <c r="G96" i="10" s="1"/>
  <c r="C100" i="14"/>
  <c r="G100" i="10" s="1"/>
  <c r="C104" i="14"/>
  <c r="G104" i="10" s="1"/>
  <c r="C108" i="14"/>
  <c r="G108" i="10" s="1"/>
  <c r="C112" i="14"/>
  <c r="G112" i="10" s="1"/>
  <c r="C116" i="14"/>
  <c r="G116" i="10" s="1"/>
  <c r="C120" i="14"/>
  <c r="G120" i="10" s="1"/>
  <c r="C124" i="14"/>
  <c r="G124" i="10" s="1"/>
  <c r="C128" i="14"/>
  <c r="G128" i="10" s="1"/>
  <c r="C132" i="14"/>
  <c r="G132" i="10" s="1"/>
  <c r="C136" i="14"/>
  <c r="G136" i="10" s="1"/>
  <c r="C140" i="14"/>
  <c r="G140" i="10" s="1"/>
  <c r="C144" i="14"/>
  <c r="G144" i="10" s="1"/>
  <c r="C148" i="14"/>
  <c r="G148" i="10" s="1"/>
  <c r="C152" i="14"/>
  <c r="G152" i="10" s="1"/>
  <c r="C156" i="14"/>
  <c r="G156" i="10" s="1"/>
  <c r="C160" i="14"/>
  <c r="G160" i="10" s="1"/>
  <c r="C164" i="14"/>
  <c r="G164" i="10" s="1"/>
  <c r="C168" i="14"/>
  <c r="G168" i="10" s="1"/>
  <c r="C172" i="14"/>
  <c r="G172" i="10" s="1"/>
  <c r="C176" i="14"/>
  <c r="G176" i="10" s="1"/>
  <c r="C180" i="14"/>
  <c r="G180" i="10" s="1"/>
  <c r="C184" i="14"/>
  <c r="G184" i="10" s="1"/>
  <c r="C188" i="14"/>
  <c r="G188" i="10" s="1"/>
  <c r="C192" i="14"/>
  <c r="G192" i="10" s="1"/>
  <c r="C196" i="14"/>
  <c r="G196" i="10" s="1"/>
  <c r="C200" i="14"/>
  <c r="G200" i="10" s="1"/>
  <c r="C204" i="14"/>
  <c r="G204" i="10" s="1"/>
  <c r="C208" i="14"/>
  <c r="G208" i="10" s="1"/>
  <c r="C212" i="14"/>
  <c r="G212" i="10" s="1"/>
  <c r="C216" i="14"/>
  <c r="G216" i="10" s="1"/>
  <c r="C220" i="14"/>
  <c r="G220" i="10" s="1"/>
  <c r="C224" i="14"/>
  <c r="G224" i="10" s="1"/>
  <c r="C228" i="14"/>
  <c r="G228" i="10" s="1"/>
  <c r="C232" i="14"/>
  <c r="G232" i="10" s="1"/>
  <c r="C236" i="14"/>
  <c r="G236" i="10" s="1"/>
  <c r="C240" i="14"/>
  <c r="G240" i="10" s="1"/>
  <c r="C244" i="14"/>
  <c r="G244" i="10" s="1"/>
  <c r="C248" i="14"/>
  <c r="G248" i="10" s="1"/>
  <c r="C252" i="14"/>
  <c r="G252" i="10" s="1"/>
  <c r="C256" i="14"/>
  <c r="G256" i="10" s="1"/>
  <c r="C260" i="14"/>
  <c r="G260" i="10" s="1"/>
  <c r="C264" i="14"/>
  <c r="G264" i="10" s="1"/>
  <c r="C268" i="14"/>
  <c r="G268" i="10" s="1"/>
  <c r="C272" i="14"/>
  <c r="G272" i="10" s="1"/>
  <c r="C276" i="14"/>
  <c r="G276" i="10" s="1"/>
  <c r="C280" i="14"/>
  <c r="G280" i="10" s="1"/>
  <c r="C284" i="14"/>
  <c r="G284" i="10" s="1"/>
  <c r="C288" i="14"/>
  <c r="G288" i="10" s="1"/>
  <c r="C292" i="14"/>
  <c r="G292" i="10" s="1"/>
  <c r="C296" i="14"/>
  <c r="G296" i="10" s="1"/>
  <c r="C300" i="14"/>
  <c r="G300" i="10" s="1"/>
  <c r="C304" i="14"/>
  <c r="G304" i="10" s="1"/>
  <c r="C308" i="14"/>
  <c r="G308" i="10" s="1"/>
  <c r="C312" i="14"/>
  <c r="G312" i="10" s="1"/>
  <c r="C316" i="14"/>
  <c r="G316" i="10" s="1"/>
  <c r="C320" i="14"/>
  <c r="G320" i="10" s="1"/>
  <c r="C324" i="14"/>
  <c r="G324" i="10" s="1"/>
  <c r="C328" i="14"/>
  <c r="G328" i="10" s="1"/>
  <c r="C332" i="14"/>
  <c r="G332" i="10" s="1"/>
  <c r="C336" i="14"/>
  <c r="G336" i="10" s="1"/>
  <c r="C340" i="14"/>
  <c r="G340" i="10" s="1"/>
  <c r="C344" i="14"/>
  <c r="G344" i="10" s="1"/>
  <c r="C348" i="14"/>
  <c r="G348" i="10" s="1"/>
  <c r="C352" i="14"/>
  <c r="G352" i="10" s="1"/>
  <c r="C356" i="14"/>
  <c r="G356" i="10" s="1"/>
  <c r="C360" i="14"/>
  <c r="G360" i="10" s="1"/>
  <c r="C364" i="14"/>
  <c r="G364" i="10" s="1"/>
  <c r="C368" i="14"/>
  <c r="G368" i="10" s="1"/>
  <c r="C372" i="14"/>
  <c r="G372" i="10" s="1"/>
  <c r="C376" i="14"/>
  <c r="G376" i="10" s="1"/>
  <c r="C380" i="14"/>
  <c r="G380" i="10" s="1"/>
  <c r="C384" i="14"/>
  <c r="G384" i="10" s="1"/>
  <c r="C388" i="14"/>
  <c r="G388" i="10" s="1"/>
  <c r="C392" i="14"/>
  <c r="G392" i="10" s="1"/>
  <c r="C396" i="14"/>
  <c r="G396" i="10" s="1"/>
  <c r="C400" i="14"/>
  <c r="G400" i="10" s="1"/>
  <c r="C404" i="14"/>
  <c r="G404" i="10" s="1"/>
  <c r="C408" i="14"/>
  <c r="G408" i="10" s="1"/>
  <c r="C412" i="14"/>
  <c r="G412" i="10" s="1"/>
  <c r="C416" i="14"/>
  <c r="G416" i="10" s="1"/>
  <c r="C420" i="14"/>
  <c r="G420" i="10" s="1"/>
  <c r="C424" i="14"/>
  <c r="G424" i="10" s="1"/>
  <c r="C428" i="14"/>
  <c r="G428" i="10" s="1"/>
  <c r="C432" i="14"/>
  <c r="G432" i="10" s="1"/>
  <c r="C436" i="14"/>
  <c r="G436" i="10" s="1"/>
  <c r="C440" i="14"/>
  <c r="G440" i="10" s="1"/>
  <c r="C444" i="14"/>
  <c r="G444" i="10" s="1"/>
  <c r="C448" i="14"/>
  <c r="G448" i="10" s="1"/>
  <c r="C452" i="14"/>
  <c r="G452" i="10" s="1"/>
  <c r="C456" i="14"/>
  <c r="G456" i="10" s="1"/>
  <c r="C460" i="14"/>
  <c r="G460" i="10" s="1"/>
  <c r="C464" i="14"/>
  <c r="G464" i="10" s="1"/>
  <c r="C468" i="14"/>
  <c r="G468" i="10" s="1"/>
  <c r="C472" i="14"/>
  <c r="G472" i="10" s="1"/>
  <c r="C476" i="14"/>
  <c r="G476" i="10" s="1"/>
  <c r="C480" i="14"/>
  <c r="G480" i="10" s="1"/>
  <c r="C484" i="14"/>
  <c r="G484" i="10" s="1"/>
  <c r="C488" i="14"/>
  <c r="G488" i="10" s="1"/>
  <c r="C492" i="14"/>
  <c r="G492" i="10" s="1"/>
  <c r="C496" i="14"/>
  <c r="G496" i="10" s="1"/>
  <c r="C500" i="14"/>
  <c r="G500" i="10" s="1"/>
  <c r="C504" i="14"/>
  <c r="G504" i="10" s="1"/>
  <c r="C508" i="14"/>
  <c r="G508" i="10" s="1"/>
  <c r="C512" i="14"/>
  <c r="G512" i="10" s="1"/>
  <c r="C516" i="14"/>
  <c r="G516" i="10" s="1"/>
  <c r="C520" i="14"/>
  <c r="G520" i="10" s="1"/>
  <c r="C524" i="14"/>
  <c r="G524" i="10" s="1"/>
  <c r="C528" i="14"/>
  <c r="G528" i="10" s="1"/>
  <c r="C532" i="14"/>
  <c r="G532" i="10" s="1"/>
  <c r="C536" i="14"/>
  <c r="G536" i="10" s="1"/>
  <c r="C540" i="14"/>
  <c r="G540" i="10" s="1"/>
  <c r="C544" i="14"/>
  <c r="G544" i="10" s="1"/>
  <c r="C548" i="14"/>
  <c r="G548" i="10" s="1"/>
  <c r="C552" i="14"/>
  <c r="G552" i="10" s="1"/>
  <c r="C556" i="14"/>
  <c r="G556" i="10" s="1"/>
  <c r="C560" i="14"/>
  <c r="G560" i="10" s="1"/>
  <c r="C564" i="14"/>
  <c r="G564" i="10" s="1"/>
  <c r="C568" i="14"/>
  <c r="G568" i="10" s="1"/>
  <c r="C572" i="14"/>
  <c r="G572" i="10" s="1"/>
  <c r="C576" i="14"/>
  <c r="G576" i="10" s="1"/>
  <c r="C580" i="14"/>
  <c r="G580" i="10" s="1"/>
  <c r="C584" i="14"/>
  <c r="G584" i="10" s="1"/>
  <c r="C588" i="14"/>
  <c r="G588" i="10" s="1"/>
  <c r="C592" i="14"/>
  <c r="G592" i="10" s="1"/>
  <c r="C596" i="14"/>
  <c r="G596" i="10" s="1"/>
  <c r="C600" i="14"/>
  <c r="G600" i="10" s="1"/>
  <c r="C604" i="14"/>
  <c r="G604" i="10" s="1"/>
  <c r="C608" i="14"/>
  <c r="G608" i="10" s="1"/>
  <c r="C612" i="14"/>
  <c r="G612" i="10" s="1"/>
  <c r="C616" i="14"/>
  <c r="G616" i="10" s="1"/>
  <c r="C620" i="14"/>
  <c r="G620" i="10" s="1"/>
  <c r="C624" i="14"/>
  <c r="G624" i="10" s="1"/>
  <c r="C628" i="14"/>
  <c r="G628" i="10" s="1"/>
  <c r="C632" i="14"/>
  <c r="G632" i="10" s="1"/>
  <c r="C636" i="14"/>
  <c r="G636" i="10" s="1"/>
  <c r="C640" i="14"/>
  <c r="G640" i="10" s="1"/>
  <c r="C644" i="14"/>
  <c r="G644" i="10" s="1"/>
  <c r="C648" i="14"/>
  <c r="G648" i="10" s="1"/>
  <c r="C652" i="14"/>
  <c r="G652" i="10" s="1"/>
  <c r="C656" i="14"/>
  <c r="G656" i="10" s="1"/>
  <c r="C660" i="14"/>
  <c r="G660" i="10" s="1"/>
  <c r="C664" i="14"/>
  <c r="G664" i="10" s="1"/>
  <c r="C668" i="14"/>
  <c r="G668" i="10" s="1"/>
  <c r="C672" i="14"/>
  <c r="G672" i="10" s="1"/>
  <c r="C676" i="14"/>
  <c r="G676" i="10" s="1"/>
  <c r="C680" i="14"/>
  <c r="G680" i="10" s="1"/>
  <c r="C684" i="14"/>
  <c r="G684" i="10" s="1"/>
  <c r="C688" i="14"/>
  <c r="G688" i="10" s="1"/>
  <c r="C692" i="14"/>
  <c r="G692" i="10" s="1"/>
  <c r="C696" i="14"/>
  <c r="G696" i="10" s="1"/>
  <c r="C700" i="14"/>
  <c r="G700" i="10" s="1"/>
  <c r="C6" i="14"/>
  <c r="G6" i="10" s="1"/>
  <c r="C11" i="14"/>
  <c r="G11" i="10" s="1"/>
  <c r="C17" i="14"/>
  <c r="G17" i="10" s="1"/>
  <c r="C22" i="14"/>
  <c r="G22" i="10" s="1"/>
  <c r="C27" i="14"/>
  <c r="G27" i="10" s="1"/>
  <c r="C33" i="14"/>
  <c r="G33" i="10" s="1"/>
  <c r="C38" i="14"/>
  <c r="G38" i="10" s="1"/>
  <c r="C43" i="14"/>
  <c r="G43" i="10" s="1"/>
  <c r="C49" i="14"/>
  <c r="G49" i="10" s="1"/>
  <c r="C54" i="14"/>
  <c r="G54" i="10" s="1"/>
  <c r="C59" i="14"/>
  <c r="G59" i="10" s="1"/>
  <c r="C65" i="14"/>
  <c r="G65" i="10" s="1"/>
  <c r="C70" i="14"/>
  <c r="G70" i="10" s="1"/>
  <c r="C75" i="14"/>
  <c r="G75" i="10" s="1"/>
  <c r="C81" i="14"/>
  <c r="G81" i="10" s="1"/>
  <c r="C86" i="14"/>
  <c r="G86" i="10" s="1"/>
  <c r="C91" i="14"/>
  <c r="G91" i="10" s="1"/>
  <c r="C97" i="14"/>
  <c r="G97" i="10" s="1"/>
  <c r="C102" i="14"/>
  <c r="G102" i="10" s="1"/>
  <c r="C107" i="14"/>
  <c r="G107" i="10" s="1"/>
  <c r="C113" i="14"/>
  <c r="G113" i="10" s="1"/>
  <c r="C118" i="14"/>
  <c r="G118" i="10" s="1"/>
  <c r="C123" i="14"/>
  <c r="G123" i="10" s="1"/>
  <c r="C129" i="14"/>
  <c r="G129" i="10" s="1"/>
  <c r="C134" i="14"/>
  <c r="G134" i="10" s="1"/>
  <c r="C139" i="14"/>
  <c r="G139" i="10" s="1"/>
  <c r="C145" i="14"/>
  <c r="G145" i="10" s="1"/>
  <c r="C150" i="14"/>
  <c r="G150" i="10" s="1"/>
  <c r="C155" i="14"/>
  <c r="G155" i="10" s="1"/>
  <c r="C161" i="14"/>
  <c r="G161" i="10" s="1"/>
  <c r="C166" i="14"/>
  <c r="G166" i="10" s="1"/>
  <c r="C171" i="14"/>
  <c r="G171" i="10" s="1"/>
  <c r="C177" i="14"/>
  <c r="G177" i="10" s="1"/>
  <c r="C182" i="14"/>
  <c r="G182" i="10" s="1"/>
  <c r="C187" i="14"/>
  <c r="G187" i="10" s="1"/>
  <c r="C193" i="14"/>
  <c r="G193" i="10" s="1"/>
  <c r="C198" i="14"/>
  <c r="G198" i="10" s="1"/>
  <c r="C203" i="14"/>
  <c r="G203" i="10" s="1"/>
  <c r="C209" i="14"/>
  <c r="G209" i="10" s="1"/>
  <c r="C214" i="14"/>
  <c r="G214" i="10" s="1"/>
  <c r="C219" i="14"/>
  <c r="G219" i="10" s="1"/>
  <c r="C225" i="14"/>
  <c r="G225" i="10" s="1"/>
  <c r="C230" i="14"/>
  <c r="G230" i="10" s="1"/>
  <c r="C235" i="14"/>
  <c r="G235" i="10" s="1"/>
  <c r="C241" i="14"/>
  <c r="G241" i="10" s="1"/>
  <c r="C246" i="14"/>
  <c r="G246" i="10" s="1"/>
  <c r="C251" i="14"/>
  <c r="G251" i="10" s="1"/>
  <c r="C257" i="14"/>
  <c r="G257" i="10" s="1"/>
  <c r="C262" i="14"/>
  <c r="G262" i="10" s="1"/>
  <c r="C267" i="14"/>
  <c r="G267" i="10" s="1"/>
  <c r="C273" i="14"/>
  <c r="G273" i="10" s="1"/>
  <c r="C278" i="14"/>
  <c r="G278" i="10" s="1"/>
  <c r="C283" i="14"/>
  <c r="G283" i="10" s="1"/>
  <c r="C289" i="14"/>
  <c r="G289" i="10" s="1"/>
  <c r="C294" i="14"/>
  <c r="G294" i="10" s="1"/>
  <c r="C299" i="14"/>
  <c r="G299" i="10" s="1"/>
  <c r="C305" i="14"/>
  <c r="G305" i="10" s="1"/>
  <c r="C310" i="14"/>
  <c r="G310" i="10" s="1"/>
  <c r="C315" i="14"/>
  <c r="G315" i="10" s="1"/>
  <c r="C321" i="14"/>
  <c r="G321" i="10" s="1"/>
  <c r="C326" i="14"/>
  <c r="G326" i="10" s="1"/>
  <c r="C331" i="14"/>
  <c r="G331" i="10" s="1"/>
  <c r="C337" i="14"/>
  <c r="G337" i="10" s="1"/>
  <c r="C342" i="14"/>
  <c r="G342" i="10" s="1"/>
  <c r="C347" i="14"/>
  <c r="G347" i="10" s="1"/>
  <c r="C353" i="14"/>
  <c r="G353" i="10" s="1"/>
  <c r="C358" i="14"/>
  <c r="G358" i="10" s="1"/>
  <c r="C363" i="14"/>
  <c r="G363" i="10" s="1"/>
  <c r="C369" i="14"/>
  <c r="G369" i="10" s="1"/>
  <c r="C374" i="14"/>
  <c r="G374" i="10" s="1"/>
  <c r="C379" i="14"/>
  <c r="G379" i="10" s="1"/>
  <c r="C385" i="14"/>
  <c r="G385" i="10" s="1"/>
  <c r="C390" i="14"/>
  <c r="G390" i="10" s="1"/>
  <c r="C395" i="14"/>
  <c r="G395" i="10" s="1"/>
  <c r="C401" i="14"/>
  <c r="G401" i="10" s="1"/>
  <c r="C406" i="14"/>
  <c r="G406" i="10" s="1"/>
  <c r="C411" i="14"/>
  <c r="G411" i="10" s="1"/>
  <c r="C417" i="14"/>
  <c r="G417" i="10" s="1"/>
  <c r="C422" i="14"/>
  <c r="G422" i="10" s="1"/>
  <c r="C427" i="14"/>
  <c r="G427" i="10" s="1"/>
  <c r="C433" i="14"/>
  <c r="G433" i="10" s="1"/>
  <c r="C438" i="14"/>
  <c r="G438" i="10" s="1"/>
  <c r="C443" i="14"/>
  <c r="G443" i="10" s="1"/>
  <c r="C449" i="14"/>
  <c r="G449" i="10" s="1"/>
  <c r="C454" i="14"/>
  <c r="G454" i="10" s="1"/>
  <c r="C459" i="14"/>
  <c r="G459" i="10" s="1"/>
  <c r="C465" i="14"/>
  <c r="G465" i="10" s="1"/>
  <c r="C470" i="14"/>
  <c r="G470" i="10" s="1"/>
  <c r="C475" i="14"/>
  <c r="G475" i="10" s="1"/>
  <c r="C481" i="14"/>
  <c r="G481" i="10" s="1"/>
  <c r="C486" i="14"/>
  <c r="G486" i="10" s="1"/>
  <c r="C491" i="14"/>
  <c r="G491" i="10" s="1"/>
  <c r="C497" i="14"/>
  <c r="G497" i="10" s="1"/>
  <c r="C502" i="14"/>
  <c r="G502" i="10" s="1"/>
  <c r="C507" i="14"/>
  <c r="G507" i="10" s="1"/>
  <c r="C513" i="14"/>
  <c r="G513" i="10" s="1"/>
  <c r="C518" i="14"/>
  <c r="G518" i="10" s="1"/>
  <c r="C523" i="14"/>
  <c r="G523" i="10" s="1"/>
  <c r="C529" i="14"/>
  <c r="G529" i="10" s="1"/>
  <c r="C534" i="14"/>
  <c r="G534" i="10" s="1"/>
  <c r="C539" i="14"/>
  <c r="G539" i="10" s="1"/>
  <c r="C545" i="14"/>
  <c r="G545" i="10" s="1"/>
  <c r="C550" i="14"/>
  <c r="G550" i="10" s="1"/>
  <c r="C555" i="14"/>
  <c r="G555" i="10" s="1"/>
  <c r="C561" i="14"/>
  <c r="G561" i="10" s="1"/>
  <c r="C566" i="14"/>
  <c r="G566" i="10" s="1"/>
  <c r="C571" i="14"/>
  <c r="G571" i="10" s="1"/>
  <c r="C577" i="14"/>
  <c r="G577" i="10" s="1"/>
  <c r="C582" i="14"/>
  <c r="G582" i="10" s="1"/>
  <c r="C587" i="14"/>
  <c r="G587" i="10" s="1"/>
  <c r="C593" i="14"/>
  <c r="G593" i="10" s="1"/>
  <c r="C598" i="14"/>
  <c r="G598" i="10" s="1"/>
  <c r="C603" i="14"/>
  <c r="G603" i="10" s="1"/>
  <c r="C609" i="14"/>
  <c r="G609" i="10" s="1"/>
  <c r="C614" i="14"/>
  <c r="G614" i="10" s="1"/>
  <c r="C619" i="14"/>
  <c r="G619" i="10" s="1"/>
  <c r="C625" i="14"/>
  <c r="G625" i="10" s="1"/>
  <c r="C630" i="14"/>
  <c r="G630" i="10" s="1"/>
  <c r="C635" i="14"/>
  <c r="G635" i="10" s="1"/>
  <c r="C641" i="14"/>
  <c r="G641" i="10" s="1"/>
  <c r="C646" i="14"/>
  <c r="G646" i="10" s="1"/>
  <c r="C651" i="14"/>
  <c r="G651" i="10" s="1"/>
  <c r="C657" i="14"/>
  <c r="G657" i="10" s="1"/>
  <c r="C662" i="14"/>
  <c r="G662" i="10" s="1"/>
  <c r="C667" i="14"/>
  <c r="G667" i="10" s="1"/>
  <c r="C673" i="14"/>
  <c r="G673" i="10" s="1"/>
  <c r="C678" i="14"/>
  <c r="G678" i="10" s="1"/>
  <c r="C683" i="14"/>
  <c r="G683" i="10" s="1"/>
  <c r="C689" i="14"/>
  <c r="G689" i="10" s="1"/>
  <c r="C694" i="14"/>
  <c r="G694" i="10" s="1"/>
  <c r="C699" i="14"/>
  <c r="G699" i="10" s="1"/>
  <c r="C704" i="14"/>
  <c r="G704" i="10" s="1"/>
  <c r="C708" i="14"/>
  <c r="G708" i="10" s="1"/>
  <c r="C712" i="14"/>
  <c r="G712" i="10" s="1"/>
  <c r="C716" i="14"/>
  <c r="G716" i="10" s="1"/>
  <c r="C720" i="14"/>
  <c r="G720" i="10" s="1"/>
  <c r="C724" i="14"/>
  <c r="G724" i="10" s="1"/>
  <c r="C728" i="14"/>
  <c r="G728" i="10" s="1"/>
  <c r="C732" i="14"/>
  <c r="G732" i="10" s="1"/>
  <c r="C736" i="14"/>
  <c r="G736" i="10" s="1"/>
  <c r="C740" i="14"/>
  <c r="G740" i="10" s="1"/>
  <c r="C744" i="14"/>
  <c r="G744" i="10" s="1"/>
  <c r="C748" i="14"/>
  <c r="G748" i="10" s="1"/>
  <c r="C752" i="14"/>
  <c r="G752" i="10" s="1"/>
  <c r="C756" i="14"/>
  <c r="G756" i="10" s="1"/>
  <c r="C760" i="14"/>
  <c r="G760" i="10" s="1"/>
  <c r="C764" i="14"/>
  <c r="G764" i="10" s="1"/>
  <c r="C768" i="14"/>
  <c r="G768" i="10" s="1"/>
  <c r="C772" i="14"/>
  <c r="G772" i="10" s="1"/>
  <c r="C776" i="14"/>
  <c r="G776" i="10" s="1"/>
  <c r="C780" i="14"/>
  <c r="G780" i="10" s="1"/>
  <c r="C784" i="14"/>
  <c r="G784" i="10" s="1"/>
  <c r="C788" i="14"/>
  <c r="G788" i="10" s="1"/>
  <c r="C792" i="14"/>
  <c r="G792" i="10" s="1"/>
  <c r="C796" i="14"/>
  <c r="G796" i="10" s="1"/>
  <c r="C800" i="14"/>
  <c r="G800" i="10" s="1"/>
  <c r="C804" i="14"/>
  <c r="G804" i="10" s="1"/>
  <c r="C808" i="14"/>
  <c r="G808" i="10" s="1"/>
  <c r="C812" i="14"/>
  <c r="G812" i="10" s="1"/>
  <c r="C816" i="14"/>
  <c r="G816" i="10" s="1"/>
  <c r="C820" i="14"/>
  <c r="G820" i="10" s="1"/>
  <c r="C824" i="14"/>
  <c r="G824" i="10" s="1"/>
  <c r="C828" i="14"/>
  <c r="G828" i="10" s="1"/>
  <c r="C832" i="14"/>
  <c r="G832" i="10" s="1"/>
  <c r="C836" i="14"/>
  <c r="G836" i="10" s="1"/>
  <c r="C840" i="14"/>
  <c r="G840" i="10" s="1"/>
  <c r="C844" i="14"/>
  <c r="G844" i="10" s="1"/>
  <c r="C848" i="14"/>
  <c r="G848" i="10" s="1"/>
  <c r="C852" i="14"/>
  <c r="G852" i="10" s="1"/>
  <c r="C856" i="14"/>
  <c r="G856" i="10" s="1"/>
  <c r="C860" i="14"/>
  <c r="G860" i="10" s="1"/>
  <c r="C864" i="14"/>
  <c r="G864" i="10" s="1"/>
  <c r="C868" i="14"/>
  <c r="G868" i="10" s="1"/>
  <c r="C872" i="14"/>
  <c r="G872" i="10" s="1"/>
  <c r="C876" i="14"/>
  <c r="G876" i="10" s="1"/>
  <c r="C880" i="14"/>
  <c r="G880" i="10" s="1"/>
  <c r="C884" i="14"/>
  <c r="G884" i="10" s="1"/>
  <c r="C888" i="14"/>
  <c r="G888" i="10" s="1"/>
  <c r="C892" i="14"/>
  <c r="G892" i="10" s="1"/>
  <c r="C896" i="14"/>
  <c r="G896" i="10" s="1"/>
  <c r="C900" i="14"/>
  <c r="G900" i="10" s="1"/>
  <c r="C904" i="14"/>
  <c r="G904" i="10" s="1"/>
  <c r="C908" i="14"/>
  <c r="G908" i="10" s="1"/>
  <c r="C912" i="14"/>
  <c r="G912" i="10" s="1"/>
  <c r="C916" i="14"/>
  <c r="G916" i="10" s="1"/>
  <c r="C920" i="14"/>
  <c r="G920" i="10" s="1"/>
  <c r="C924" i="14"/>
  <c r="G924" i="10" s="1"/>
  <c r="C928" i="14"/>
  <c r="G928" i="10" s="1"/>
  <c r="C932" i="14"/>
  <c r="G932" i="10" s="1"/>
  <c r="C936" i="14"/>
  <c r="G936" i="10" s="1"/>
  <c r="C940" i="14"/>
  <c r="G940" i="10" s="1"/>
  <c r="C944" i="14"/>
  <c r="G944" i="10" s="1"/>
  <c r="C948" i="14"/>
  <c r="G948" i="10" s="1"/>
  <c r="C952" i="14"/>
  <c r="G952" i="10" s="1"/>
  <c r="C956" i="14"/>
  <c r="G956" i="10" s="1"/>
  <c r="C960" i="14"/>
  <c r="G960" i="10" s="1"/>
  <c r="C964" i="14"/>
  <c r="G964" i="10" s="1"/>
  <c r="C968" i="14"/>
  <c r="G968" i="10" s="1"/>
  <c r="C972" i="14"/>
  <c r="G972" i="10" s="1"/>
  <c r="C976" i="14"/>
  <c r="G976" i="10" s="1"/>
  <c r="C980" i="14"/>
  <c r="G980" i="10" s="1"/>
  <c r="C984" i="14"/>
  <c r="G984" i="10" s="1"/>
  <c r="C988" i="14"/>
  <c r="G988" i="10" s="1"/>
  <c r="C992" i="14"/>
  <c r="G992" i="10" s="1"/>
  <c r="C996" i="14"/>
  <c r="G996" i="10" s="1"/>
  <c r="C1000" i="14"/>
  <c r="G1000" i="10" s="1"/>
  <c r="C1004" i="14"/>
  <c r="G1004" i="10" s="1"/>
  <c r="C1008" i="14"/>
  <c r="G1008" i="10" s="1"/>
  <c r="C1012" i="14"/>
  <c r="G1012" i="10" s="1"/>
  <c r="C1016" i="14"/>
  <c r="G1016" i="10" s="1"/>
  <c r="C1020" i="14"/>
  <c r="G1020" i="10" s="1"/>
  <c r="C1024" i="14"/>
  <c r="G1024" i="10" s="1"/>
  <c r="C1028" i="14"/>
  <c r="G1028" i="10" s="1"/>
  <c r="C1032" i="14"/>
  <c r="G1032" i="10" s="1"/>
  <c r="C1036" i="14"/>
  <c r="G1036" i="10" s="1"/>
  <c r="C1040" i="14"/>
  <c r="G1040" i="10" s="1"/>
  <c r="C1044" i="14"/>
  <c r="G1044" i="10" s="1"/>
  <c r="C1048" i="14"/>
  <c r="G1048" i="10" s="1"/>
  <c r="C1052" i="14"/>
  <c r="G1052" i="10" s="1"/>
  <c r="C1056" i="14"/>
  <c r="G1056" i="10" s="1"/>
  <c r="C1060" i="14"/>
  <c r="G1060" i="10" s="1"/>
  <c r="C1064" i="14"/>
  <c r="G1064" i="10" s="1"/>
  <c r="C1068" i="14"/>
  <c r="G1068" i="10" s="1"/>
  <c r="C1072" i="14"/>
  <c r="G1072" i="10" s="1"/>
  <c r="C1076" i="14"/>
  <c r="G1076" i="10" s="1"/>
  <c r="C1080" i="14"/>
  <c r="G1080" i="10" s="1"/>
  <c r="C1084" i="14"/>
  <c r="G1084" i="10" s="1"/>
  <c r="C1088" i="14"/>
  <c r="G1088" i="10" s="1"/>
  <c r="C1092" i="14"/>
  <c r="G1092" i="10" s="1"/>
  <c r="C1096" i="14"/>
  <c r="G1096" i="10" s="1"/>
  <c r="C1100" i="14"/>
  <c r="G1100" i="10" s="1"/>
  <c r="C1104" i="14"/>
  <c r="G1104" i="10" s="1"/>
  <c r="C1108" i="14"/>
  <c r="G1108" i="10" s="1"/>
  <c r="C1112" i="14"/>
  <c r="G1112" i="10" s="1"/>
  <c r="C1116" i="14"/>
  <c r="G1116" i="10" s="1"/>
  <c r="C1120" i="14"/>
  <c r="G1120" i="10" s="1"/>
  <c r="C1124" i="14"/>
  <c r="G1124" i="10" s="1"/>
  <c r="C1128" i="14"/>
  <c r="G1128" i="10" s="1"/>
  <c r="C1132" i="14"/>
  <c r="G1132" i="10" s="1"/>
  <c r="C1136" i="14"/>
  <c r="G1136" i="10" s="1"/>
  <c r="C1140" i="14"/>
  <c r="G1140" i="10" s="1"/>
  <c r="C1144" i="14"/>
  <c r="G1144" i="10" s="1"/>
  <c r="C1148" i="14"/>
  <c r="G1148" i="10" s="1"/>
  <c r="C1152" i="14"/>
  <c r="G1152" i="10" s="1"/>
  <c r="C1156" i="14"/>
  <c r="G1156" i="10" s="1"/>
  <c r="C1160" i="14"/>
  <c r="G1160" i="10" s="1"/>
  <c r="C1164" i="14"/>
  <c r="G1164" i="10" s="1"/>
  <c r="C1168" i="14"/>
  <c r="G1168" i="10" s="1"/>
  <c r="C1172" i="14"/>
  <c r="G1172" i="10" s="1"/>
  <c r="C1176" i="14"/>
  <c r="G1176" i="10" s="1"/>
  <c r="C1180" i="14"/>
  <c r="G1180" i="10" s="1"/>
  <c r="C1184" i="14"/>
  <c r="G1184" i="10" s="1"/>
  <c r="C1188" i="14"/>
  <c r="G1188" i="10" s="1"/>
  <c r="C1192" i="14"/>
  <c r="G1192" i="10" s="1"/>
  <c r="C1196" i="14"/>
  <c r="G1196" i="10" s="1"/>
  <c r="C1200" i="14"/>
  <c r="G1200" i="10" s="1"/>
  <c r="C1204" i="14"/>
  <c r="G1204" i="10" s="1"/>
  <c r="C1208" i="14"/>
  <c r="G1208" i="10" s="1"/>
  <c r="C1212" i="14"/>
  <c r="G1212" i="10" s="1"/>
  <c r="C1216" i="14"/>
  <c r="G1216" i="10" s="1"/>
  <c r="C1220" i="14"/>
  <c r="G1220" i="10" s="1"/>
  <c r="C1224" i="14"/>
  <c r="G1224" i="10" s="1"/>
  <c r="C1228" i="14"/>
  <c r="G1228" i="10" s="1"/>
  <c r="C1232" i="14"/>
  <c r="G1232" i="10" s="1"/>
  <c r="C1236" i="14"/>
  <c r="G1236" i="10" s="1"/>
  <c r="C1240" i="14"/>
  <c r="G1240" i="10" s="1"/>
  <c r="C1244" i="14"/>
  <c r="G1244" i="10" s="1"/>
  <c r="C1248" i="14"/>
  <c r="G1248" i="10" s="1"/>
  <c r="C1252" i="14"/>
  <c r="G1252" i="10" s="1"/>
  <c r="C1256" i="14"/>
  <c r="G1256" i="10" s="1"/>
  <c r="C1260" i="14"/>
  <c r="G1260" i="10" s="1"/>
  <c r="C1264" i="14"/>
  <c r="G1264" i="10" s="1"/>
  <c r="C1268" i="14"/>
  <c r="G1268" i="10" s="1"/>
  <c r="C1272" i="14"/>
  <c r="G1272" i="10" s="1"/>
  <c r="C1276" i="14"/>
  <c r="G1276" i="10" s="1"/>
  <c r="C1280" i="14"/>
  <c r="G1280" i="10" s="1"/>
  <c r="C1284" i="14"/>
  <c r="G1284" i="10" s="1"/>
  <c r="C1288" i="14"/>
  <c r="G1288" i="10" s="1"/>
  <c r="C1292" i="14"/>
  <c r="G1292" i="10" s="1"/>
  <c r="C1296" i="14"/>
  <c r="G1296" i="10" s="1"/>
  <c r="C1300" i="14"/>
  <c r="G1300" i="10" s="1"/>
  <c r="C1304" i="14"/>
  <c r="G1304" i="10" s="1"/>
  <c r="C1308" i="14"/>
  <c r="G1308" i="10" s="1"/>
  <c r="C1312" i="14"/>
  <c r="G1312" i="10" s="1"/>
  <c r="C1316" i="14"/>
  <c r="G1316" i="10" s="1"/>
  <c r="C1320" i="14"/>
  <c r="G1320" i="10" s="1"/>
  <c r="C1324" i="14"/>
  <c r="G1324" i="10" s="1"/>
  <c r="C1328" i="14"/>
  <c r="G1328" i="10" s="1"/>
  <c r="C1332" i="14"/>
  <c r="G1332" i="10" s="1"/>
  <c r="C1336" i="14"/>
  <c r="G1336" i="10" s="1"/>
  <c r="C1340" i="14"/>
  <c r="G1340" i="10" s="1"/>
  <c r="C1344" i="14"/>
  <c r="G1344" i="10" s="1"/>
  <c r="C1348" i="14"/>
  <c r="G1348" i="10" s="1"/>
  <c r="C1352" i="14"/>
  <c r="G1352" i="10" s="1"/>
  <c r="C7" i="14"/>
  <c r="G7" i="10" s="1"/>
  <c r="C13" i="14"/>
  <c r="G13" i="10" s="1"/>
  <c r="C18" i="14"/>
  <c r="G18" i="10" s="1"/>
  <c r="C23" i="14"/>
  <c r="G23" i="10" s="1"/>
  <c r="C29" i="14"/>
  <c r="G29" i="10" s="1"/>
  <c r="C34" i="14"/>
  <c r="G34" i="10" s="1"/>
  <c r="C39" i="14"/>
  <c r="G39" i="10" s="1"/>
  <c r="C45" i="14"/>
  <c r="G45" i="10" s="1"/>
  <c r="C50" i="14"/>
  <c r="G50" i="10" s="1"/>
  <c r="C55" i="14"/>
  <c r="G55" i="10" s="1"/>
  <c r="C61" i="14"/>
  <c r="G61" i="10" s="1"/>
  <c r="C66" i="14"/>
  <c r="G66" i="10" s="1"/>
  <c r="C71" i="14"/>
  <c r="G71" i="10" s="1"/>
  <c r="C77" i="14"/>
  <c r="G77" i="10" s="1"/>
  <c r="C82" i="14"/>
  <c r="G82" i="10" s="1"/>
  <c r="C87" i="14"/>
  <c r="G87" i="10" s="1"/>
  <c r="C93" i="14"/>
  <c r="G93" i="10" s="1"/>
  <c r="C98" i="14"/>
  <c r="G98" i="10" s="1"/>
  <c r="C103" i="14"/>
  <c r="G103" i="10" s="1"/>
  <c r="C109" i="14"/>
  <c r="G109" i="10" s="1"/>
  <c r="C114" i="14"/>
  <c r="G114" i="10" s="1"/>
  <c r="C119" i="14"/>
  <c r="G119" i="10" s="1"/>
  <c r="C125" i="14"/>
  <c r="G125" i="10" s="1"/>
  <c r="C130" i="14"/>
  <c r="G130" i="10" s="1"/>
  <c r="C135" i="14"/>
  <c r="G135" i="10" s="1"/>
  <c r="C141" i="14"/>
  <c r="G141" i="10" s="1"/>
  <c r="C146" i="14"/>
  <c r="G146" i="10" s="1"/>
  <c r="C151" i="14"/>
  <c r="G151" i="10" s="1"/>
  <c r="C157" i="14"/>
  <c r="G157" i="10" s="1"/>
  <c r="C162" i="14"/>
  <c r="G162" i="10" s="1"/>
  <c r="C167" i="14"/>
  <c r="G167" i="10" s="1"/>
  <c r="C173" i="14"/>
  <c r="G173" i="10" s="1"/>
  <c r="C178" i="14"/>
  <c r="G178" i="10" s="1"/>
  <c r="C183" i="14"/>
  <c r="G183" i="10" s="1"/>
  <c r="C189" i="14"/>
  <c r="G189" i="10" s="1"/>
  <c r="C194" i="14"/>
  <c r="G194" i="10" s="1"/>
  <c r="C199" i="14"/>
  <c r="G199" i="10" s="1"/>
  <c r="C205" i="14"/>
  <c r="G205" i="10" s="1"/>
  <c r="C210" i="14"/>
  <c r="G210" i="10" s="1"/>
  <c r="C215" i="14"/>
  <c r="G215" i="10" s="1"/>
  <c r="C221" i="14"/>
  <c r="G221" i="10" s="1"/>
  <c r="C226" i="14"/>
  <c r="G226" i="10" s="1"/>
  <c r="C231" i="14"/>
  <c r="G231" i="10" s="1"/>
  <c r="C237" i="14"/>
  <c r="G237" i="10" s="1"/>
  <c r="C242" i="14"/>
  <c r="G242" i="10" s="1"/>
  <c r="C247" i="14"/>
  <c r="G247" i="10" s="1"/>
  <c r="C253" i="14"/>
  <c r="G253" i="10" s="1"/>
  <c r="C258" i="14"/>
  <c r="G258" i="10" s="1"/>
  <c r="C263" i="14"/>
  <c r="G263" i="10" s="1"/>
  <c r="C269" i="14"/>
  <c r="G269" i="10" s="1"/>
  <c r="C274" i="14"/>
  <c r="G274" i="10" s="1"/>
  <c r="C279" i="14"/>
  <c r="G279" i="10" s="1"/>
  <c r="C285" i="14"/>
  <c r="G285" i="10" s="1"/>
  <c r="C290" i="14"/>
  <c r="G290" i="10" s="1"/>
  <c r="C295" i="14"/>
  <c r="G295" i="10" s="1"/>
  <c r="C301" i="14"/>
  <c r="G301" i="10" s="1"/>
  <c r="C306" i="14"/>
  <c r="G306" i="10" s="1"/>
  <c r="C311" i="14"/>
  <c r="G311" i="10" s="1"/>
  <c r="C317" i="14"/>
  <c r="G317" i="10" s="1"/>
  <c r="C322" i="14"/>
  <c r="G322" i="10" s="1"/>
  <c r="C327" i="14"/>
  <c r="G327" i="10" s="1"/>
  <c r="C333" i="14"/>
  <c r="G333" i="10" s="1"/>
  <c r="C338" i="14"/>
  <c r="G338" i="10" s="1"/>
  <c r="C343" i="14"/>
  <c r="G343" i="10" s="1"/>
  <c r="C349" i="14"/>
  <c r="G349" i="10" s="1"/>
  <c r="C354" i="14"/>
  <c r="G354" i="10" s="1"/>
  <c r="C359" i="14"/>
  <c r="G359" i="10" s="1"/>
  <c r="C365" i="14"/>
  <c r="G365" i="10" s="1"/>
  <c r="C370" i="14"/>
  <c r="G370" i="10" s="1"/>
  <c r="C375" i="14"/>
  <c r="G375" i="10" s="1"/>
  <c r="C381" i="14"/>
  <c r="G381" i="10" s="1"/>
  <c r="C386" i="14"/>
  <c r="G386" i="10" s="1"/>
  <c r="C391" i="14"/>
  <c r="G391" i="10" s="1"/>
  <c r="C397" i="14"/>
  <c r="G397" i="10" s="1"/>
  <c r="C402" i="14"/>
  <c r="G402" i="10" s="1"/>
  <c r="C407" i="14"/>
  <c r="G407" i="10" s="1"/>
  <c r="C413" i="14"/>
  <c r="G413" i="10" s="1"/>
  <c r="C418" i="14"/>
  <c r="G418" i="10" s="1"/>
  <c r="C423" i="14"/>
  <c r="G423" i="10" s="1"/>
  <c r="C429" i="14"/>
  <c r="G429" i="10" s="1"/>
  <c r="C434" i="14"/>
  <c r="G434" i="10" s="1"/>
  <c r="C439" i="14"/>
  <c r="G439" i="10" s="1"/>
  <c r="C445" i="14"/>
  <c r="G445" i="10" s="1"/>
  <c r="C450" i="14"/>
  <c r="G450" i="10" s="1"/>
  <c r="C455" i="14"/>
  <c r="G455" i="10" s="1"/>
  <c r="C461" i="14"/>
  <c r="G461" i="10" s="1"/>
  <c r="C466" i="14"/>
  <c r="G466" i="10" s="1"/>
  <c r="C471" i="14"/>
  <c r="G471" i="10" s="1"/>
  <c r="C477" i="14"/>
  <c r="G477" i="10" s="1"/>
  <c r="C482" i="14"/>
  <c r="G482" i="10" s="1"/>
  <c r="C487" i="14"/>
  <c r="G487" i="10" s="1"/>
  <c r="C493" i="14"/>
  <c r="G493" i="10" s="1"/>
  <c r="C498" i="14"/>
  <c r="G498" i="10" s="1"/>
  <c r="C503" i="14"/>
  <c r="G503" i="10" s="1"/>
  <c r="C509" i="14"/>
  <c r="G509" i="10" s="1"/>
  <c r="C514" i="14"/>
  <c r="G514" i="10" s="1"/>
  <c r="C519" i="14"/>
  <c r="G519" i="10" s="1"/>
  <c r="C525" i="14"/>
  <c r="G525" i="10" s="1"/>
  <c r="C530" i="14"/>
  <c r="G530" i="10" s="1"/>
  <c r="C535" i="14"/>
  <c r="G535" i="10" s="1"/>
  <c r="C541" i="14"/>
  <c r="G541" i="10" s="1"/>
  <c r="C546" i="14"/>
  <c r="G546" i="10" s="1"/>
  <c r="C551" i="14"/>
  <c r="G551" i="10" s="1"/>
  <c r="C557" i="14"/>
  <c r="G557" i="10" s="1"/>
  <c r="C562" i="14"/>
  <c r="G562" i="10" s="1"/>
  <c r="C567" i="14"/>
  <c r="G567" i="10" s="1"/>
  <c r="C573" i="14"/>
  <c r="G573" i="10" s="1"/>
  <c r="C578" i="14"/>
  <c r="G578" i="10" s="1"/>
  <c r="C583" i="14"/>
  <c r="G583" i="10" s="1"/>
  <c r="C589" i="14"/>
  <c r="G589" i="10" s="1"/>
  <c r="C594" i="14"/>
  <c r="G594" i="10" s="1"/>
  <c r="C599" i="14"/>
  <c r="G599" i="10" s="1"/>
  <c r="C605" i="14"/>
  <c r="G605" i="10" s="1"/>
  <c r="C610" i="14"/>
  <c r="G610" i="10" s="1"/>
  <c r="C615" i="14"/>
  <c r="G615" i="10" s="1"/>
  <c r="C621" i="14"/>
  <c r="G621" i="10" s="1"/>
  <c r="C626" i="14"/>
  <c r="G626" i="10" s="1"/>
  <c r="C631" i="14"/>
  <c r="G631" i="10" s="1"/>
  <c r="C9" i="14"/>
  <c r="G9" i="10" s="1"/>
  <c r="C19" i="14"/>
  <c r="G19" i="10" s="1"/>
  <c r="C30" i="14"/>
  <c r="G30" i="10" s="1"/>
  <c r="C41" i="14"/>
  <c r="G41" i="10" s="1"/>
  <c r="C51" i="14"/>
  <c r="G51" i="10" s="1"/>
  <c r="C62" i="14"/>
  <c r="G62" i="10" s="1"/>
  <c r="C73" i="14"/>
  <c r="G73" i="10" s="1"/>
  <c r="C83" i="14"/>
  <c r="G83" i="10" s="1"/>
  <c r="C94" i="14"/>
  <c r="G94" i="10" s="1"/>
  <c r="C105" i="14"/>
  <c r="G105" i="10" s="1"/>
  <c r="C115" i="14"/>
  <c r="G115" i="10" s="1"/>
  <c r="C126" i="14"/>
  <c r="G126" i="10" s="1"/>
  <c r="C137" i="14"/>
  <c r="G137" i="10" s="1"/>
  <c r="C147" i="14"/>
  <c r="G147" i="10" s="1"/>
  <c r="C158" i="14"/>
  <c r="G158" i="10" s="1"/>
  <c r="C169" i="14"/>
  <c r="G169" i="10" s="1"/>
  <c r="C179" i="14"/>
  <c r="G179" i="10" s="1"/>
  <c r="C190" i="14"/>
  <c r="G190" i="10" s="1"/>
  <c r="C201" i="14"/>
  <c r="G201" i="10" s="1"/>
  <c r="C211" i="14"/>
  <c r="G211" i="10" s="1"/>
  <c r="C222" i="14"/>
  <c r="G222" i="10" s="1"/>
  <c r="C233" i="14"/>
  <c r="G233" i="10" s="1"/>
  <c r="C243" i="14"/>
  <c r="G243" i="10" s="1"/>
  <c r="C254" i="14"/>
  <c r="G254" i="10" s="1"/>
  <c r="C265" i="14"/>
  <c r="G265" i="10" s="1"/>
  <c r="C275" i="14"/>
  <c r="G275" i="10" s="1"/>
  <c r="C286" i="14"/>
  <c r="G286" i="10" s="1"/>
  <c r="C297" i="14"/>
  <c r="G297" i="10" s="1"/>
  <c r="C307" i="14"/>
  <c r="G307" i="10" s="1"/>
  <c r="C318" i="14"/>
  <c r="G318" i="10" s="1"/>
  <c r="C329" i="14"/>
  <c r="G329" i="10" s="1"/>
  <c r="C339" i="14"/>
  <c r="G339" i="10" s="1"/>
  <c r="C350" i="14"/>
  <c r="G350" i="10" s="1"/>
  <c r="C361" i="14"/>
  <c r="G361" i="10" s="1"/>
  <c r="C371" i="14"/>
  <c r="G371" i="10" s="1"/>
  <c r="C382" i="14"/>
  <c r="G382" i="10" s="1"/>
  <c r="C393" i="14"/>
  <c r="G393" i="10" s="1"/>
  <c r="C403" i="14"/>
  <c r="G403" i="10" s="1"/>
  <c r="C414" i="14"/>
  <c r="G414" i="10" s="1"/>
  <c r="C425" i="14"/>
  <c r="G425" i="10" s="1"/>
  <c r="C435" i="14"/>
  <c r="G435" i="10" s="1"/>
  <c r="C446" i="14"/>
  <c r="G446" i="10" s="1"/>
  <c r="C457" i="14"/>
  <c r="G457" i="10" s="1"/>
  <c r="C467" i="14"/>
  <c r="G467" i="10" s="1"/>
  <c r="C478" i="14"/>
  <c r="G478" i="10" s="1"/>
  <c r="C489" i="14"/>
  <c r="G489" i="10" s="1"/>
  <c r="C499" i="14"/>
  <c r="G499" i="10" s="1"/>
  <c r="C510" i="14"/>
  <c r="G510" i="10" s="1"/>
  <c r="C521" i="14"/>
  <c r="G521" i="10" s="1"/>
  <c r="C531" i="14"/>
  <c r="G531" i="10" s="1"/>
  <c r="C542" i="14"/>
  <c r="G542" i="10" s="1"/>
  <c r="C553" i="14"/>
  <c r="G553" i="10" s="1"/>
  <c r="C563" i="14"/>
  <c r="G563" i="10" s="1"/>
  <c r="C574" i="14"/>
  <c r="G574" i="10" s="1"/>
  <c r="C585" i="14"/>
  <c r="G585" i="10" s="1"/>
  <c r="C595" i="14"/>
  <c r="G595" i="10" s="1"/>
  <c r="C606" i="14"/>
  <c r="G606" i="10" s="1"/>
  <c r="C617" i="14"/>
  <c r="G617" i="10" s="1"/>
  <c r="C627" i="14"/>
  <c r="G627" i="10" s="1"/>
  <c r="C637" i="14"/>
  <c r="G637" i="10" s="1"/>
  <c r="C643" i="14"/>
  <c r="G643" i="10" s="1"/>
  <c r="C650" i="14"/>
  <c r="G650" i="10" s="1"/>
  <c r="C658" i="14"/>
  <c r="G658" i="10" s="1"/>
  <c r="C665" i="14"/>
  <c r="G665" i="10" s="1"/>
  <c r="C671" i="14"/>
  <c r="G671" i="10" s="1"/>
  <c r="C679" i="14"/>
  <c r="G679" i="10" s="1"/>
  <c r="C686" i="14"/>
  <c r="G686" i="10" s="1"/>
  <c r="C693" i="14"/>
  <c r="G693" i="10" s="1"/>
  <c r="C701" i="14"/>
  <c r="G701" i="10" s="1"/>
  <c r="C706" i="14"/>
  <c r="G706" i="10" s="1"/>
  <c r="C711" i="14"/>
  <c r="G711" i="10" s="1"/>
  <c r="C717" i="14"/>
  <c r="G717" i="10" s="1"/>
  <c r="C722" i="14"/>
  <c r="G722" i="10" s="1"/>
  <c r="C727" i="14"/>
  <c r="G727" i="10" s="1"/>
  <c r="C733" i="14"/>
  <c r="G733" i="10" s="1"/>
  <c r="C738" i="14"/>
  <c r="G738" i="10" s="1"/>
  <c r="C743" i="14"/>
  <c r="G743" i="10" s="1"/>
  <c r="C749" i="14"/>
  <c r="G749" i="10" s="1"/>
  <c r="C754" i="14"/>
  <c r="G754" i="10" s="1"/>
  <c r="C759" i="14"/>
  <c r="G759" i="10" s="1"/>
  <c r="C765" i="14"/>
  <c r="G765" i="10" s="1"/>
  <c r="C770" i="14"/>
  <c r="G770" i="10" s="1"/>
  <c r="C775" i="14"/>
  <c r="G775" i="10" s="1"/>
  <c r="C781" i="14"/>
  <c r="G781" i="10" s="1"/>
  <c r="C786" i="14"/>
  <c r="G786" i="10" s="1"/>
  <c r="C791" i="14"/>
  <c r="G791" i="10" s="1"/>
  <c r="C797" i="14"/>
  <c r="G797" i="10" s="1"/>
  <c r="C802" i="14"/>
  <c r="G802" i="10" s="1"/>
  <c r="C807" i="14"/>
  <c r="G807" i="10" s="1"/>
  <c r="C813" i="14"/>
  <c r="G813" i="10" s="1"/>
  <c r="C818" i="14"/>
  <c r="G818" i="10" s="1"/>
  <c r="C823" i="14"/>
  <c r="G823" i="10" s="1"/>
  <c r="C829" i="14"/>
  <c r="G829" i="10" s="1"/>
  <c r="C834" i="14"/>
  <c r="G834" i="10" s="1"/>
  <c r="C839" i="14"/>
  <c r="G839" i="10" s="1"/>
  <c r="C845" i="14"/>
  <c r="G845" i="10" s="1"/>
  <c r="C850" i="14"/>
  <c r="G850" i="10" s="1"/>
  <c r="C855" i="14"/>
  <c r="G855" i="10" s="1"/>
  <c r="C861" i="14"/>
  <c r="G861" i="10" s="1"/>
  <c r="C866" i="14"/>
  <c r="G866" i="10" s="1"/>
  <c r="C871" i="14"/>
  <c r="G871" i="10" s="1"/>
  <c r="C877" i="14"/>
  <c r="G877" i="10" s="1"/>
  <c r="C882" i="14"/>
  <c r="G882" i="10" s="1"/>
  <c r="C887" i="14"/>
  <c r="G887" i="10" s="1"/>
  <c r="C893" i="14"/>
  <c r="G893" i="10" s="1"/>
  <c r="C898" i="14"/>
  <c r="G898" i="10" s="1"/>
  <c r="C903" i="14"/>
  <c r="G903" i="10" s="1"/>
  <c r="C909" i="14"/>
  <c r="G909" i="10" s="1"/>
  <c r="C914" i="14"/>
  <c r="G914" i="10" s="1"/>
  <c r="C919" i="14"/>
  <c r="G919" i="10" s="1"/>
  <c r="C925" i="14"/>
  <c r="G925" i="10" s="1"/>
  <c r="C930" i="14"/>
  <c r="G930" i="10" s="1"/>
  <c r="C935" i="14"/>
  <c r="G935" i="10" s="1"/>
  <c r="C941" i="14"/>
  <c r="G941" i="10" s="1"/>
  <c r="C946" i="14"/>
  <c r="G946" i="10" s="1"/>
  <c r="C951" i="14"/>
  <c r="G951" i="10" s="1"/>
  <c r="C957" i="14"/>
  <c r="G957" i="10" s="1"/>
  <c r="C962" i="14"/>
  <c r="G962" i="10" s="1"/>
  <c r="C967" i="14"/>
  <c r="G967" i="10" s="1"/>
  <c r="C973" i="14"/>
  <c r="G973" i="10" s="1"/>
  <c r="C978" i="14"/>
  <c r="G978" i="10" s="1"/>
  <c r="C983" i="14"/>
  <c r="G983" i="10" s="1"/>
  <c r="C989" i="14"/>
  <c r="G989" i="10" s="1"/>
  <c r="C994" i="14"/>
  <c r="G994" i="10" s="1"/>
  <c r="C999" i="14"/>
  <c r="G999" i="10" s="1"/>
  <c r="C1005" i="14"/>
  <c r="G1005" i="10" s="1"/>
  <c r="C1010" i="14"/>
  <c r="G1010" i="10" s="1"/>
  <c r="C1015" i="14"/>
  <c r="G1015" i="10" s="1"/>
  <c r="C1021" i="14"/>
  <c r="G1021" i="10" s="1"/>
  <c r="C1026" i="14"/>
  <c r="G1026" i="10" s="1"/>
  <c r="C1031" i="14"/>
  <c r="G1031" i="10" s="1"/>
  <c r="C1037" i="14"/>
  <c r="G1037" i="10" s="1"/>
  <c r="C1042" i="14"/>
  <c r="G1042" i="10" s="1"/>
  <c r="C1047" i="14"/>
  <c r="G1047" i="10" s="1"/>
  <c r="C1053" i="14"/>
  <c r="G1053" i="10" s="1"/>
  <c r="C1058" i="14"/>
  <c r="G1058" i="10" s="1"/>
  <c r="C1063" i="14"/>
  <c r="G1063" i="10" s="1"/>
  <c r="C1069" i="14"/>
  <c r="G1069" i="10" s="1"/>
  <c r="C1074" i="14"/>
  <c r="G1074" i="10" s="1"/>
  <c r="C1079" i="14"/>
  <c r="G1079" i="10" s="1"/>
  <c r="C1085" i="14"/>
  <c r="G1085" i="10" s="1"/>
  <c r="C1090" i="14"/>
  <c r="G1090" i="10" s="1"/>
  <c r="C1095" i="14"/>
  <c r="G1095" i="10" s="1"/>
  <c r="C1101" i="14"/>
  <c r="G1101" i="10" s="1"/>
  <c r="C1106" i="14"/>
  <c r="G1106" i="10" s="1"/>
  <c r="C1111" i="14"/>
  <c r="G1111" i="10" s="1"/>
  <c r="C1117" i="14"/>
  <c r="G1117" i="10" s="1"/>
  <c r="C1122" i="14"/>
  <c r="G1122" i="10" s="1"/>
  <c r="C1127" i="14"/>
  <c r="G1127" i="10" s="1"/>
  <c r="C1133" i="14"/>
  <c r="G1133" i="10" s="1"/>
  <c r="C1138" i="14"/>
  <c r="G1138" i="10" s="1"/>
  <c r="C1143" i="14"/>
  <c r="G1143" i="10" s="1"/>
  <c r="C1149" i="14"/>
  <c r="G1149" i="10" s="1"/>
  <c r="C1154" i="14"/>
  <c r="G1154" i="10" s="1"/>
  <c r="C1159" i="14"/>
  <c r="G1159" i="10" s="1"/>
  <c r="C1165" i="14"/>
  <c r="G1165" i="10" s="1"/>
  <c r="C1170" i="14"/>
  <c r="G1170" i="10" s="1"/>
  <c r="C1175" i="14"/>
  <c r="G1175" i="10" s="1"/>
  <c r="C1181" i="14"/>
  <c r="G1181" i="10" s="1"/>
  <c r="C1186" i="14"/>
  <c r="G1186" i="10" s="1"/>
  <c r="C1191" i="14"/>
  <c r="G1191" i="10" s="1"/>
  <c r="C1197" i="14"/>
  <c r="G1197" i="10" s="1"/>
  <c r="C1202" i="14"/>
  <c r="G1202" i="10" s="1"/>
  <c r="C1207" i="14"/>
  <c r="G1207" i="10" s="1"/>
  <c r="C1213" i="14"/>
  <c r="G1213" i="10" s="1"/>
  <c r="C1218" i="14"/>
  <c r="G1218" i="10" s="1"/>
  <c r="C1223" i="14"/>
  <c r="G1223" i="10" s="1"/>
  <c r="C1229" i="14"/>
  <c r="G1229" i="10" s="1"/>
  <c r="C1234" i="14"/>
  <c r="G1234" i="10" s="1"/>
  <c r="C1239" i="14"/>
  <c r="G1239" i="10" s="1"/>
  <c r="C1245" i="14"/>
  <c r="G1245" i="10" s="1"/>
  <c r="C1250" i="14"/>
  <c r="G1250" i="10" s="1"/>
  <c r="C1255" i="14"/>
  <c r="G1255" i="10" s="1"/>
  <c r="C1261" i="14"/>
  <c r="G1261" i="10" s="1"/>
  <c r="C1266" i="14"/>
  <c r="G1266" i="10" s="1"/>
  <c r="C1271" i="14"/>
  <c r="G1271" i="10" s="1"/>
  <c r="C1277" i="14"/>
  <c r="G1277" i="10" s="1"/>
  <c r="C1282" i="14"/>
  <c r="G1282" i="10" s="1"/>
  <c r="C1287" i="14"/>
  <c r="G1287" i="10" s="1"/>
  <c r="C1293" i="14"/>
  <c r="G1293" i="10" s="1"/>
  <c r="C1298" i="14"/>
  <c r="G1298" i="10" s="1"/>
  <c r="C1303" i="14"/>
  <c r="G1303" i="10" s="1"/>
  <c r="C1309" i="14"/>
  <c r="G1309" i="10" s="1"/>
  <c r="C1314" i="14"/>
  <c r="G1314" i="10" s="1"/>
  <c r="C1319" i="14"/>
  <c r="G1319" i="10" s="1"/>
  <c r="C1325" i="14"/>
  <c r="G1325" i="10" s="1"/>
  <c r="C1330" i="14"/>
  <c r="G1330" i="10" s="1"/>
  <c r="C1335" i="14"/>
  <c r="G1335" i="10" s="1"/>
  <c r="C1341" i="14"/>
  <c r="G1341" i="10" s="1"/>
  <c r="C1346" i="14"/>
  <c r="G1346" i="10" s="1"/>
  <c r="C1351" i="14"/>
  <c r="G1351" i="10" s="1"/>
  <c r="C1356" i="14"/>
  <c r="G1356" i="10" s="1"/>
  <c r="C1360" i="14"/>
  <c r="G1360" i="10" s="1"/>
  <c r="C1364" i="14"/>
  <c r="G1364" i="10" s="1"/>
  <c r="C1368" i="14"/>
  <c r="G1368" i="10" s="1"/>
  <c r="C1372" i="14"/>
  <c r="G1372" i="10" s="1"/>
  <c r="C1376" i="14"/>
  <c r="G1376" i="10" s="1"/>
  <c r="C1380" i="14"/>
  <c r="G1380" i="10" s="1"/>
  <c r="C1384" i="14"/>
  <c r="G1384" i="10" s="1"/>
  <c r="C1388" i="14"/>
  <c r="G1388" i="10" s="1"/>
  <c r="C1392" i="14"/>
  <c r="G1392" i="10" s="1"/>
  <c r="C1396" i="14"/>
  <c r="G1396" i="10" s="1"/>
  <c r="C1400" i="14"/>
  <c r="G1400" i="10" s="1"/>
  <c r="C1404" i="14"/>
  <c r="G1404" i="10" s="1"/>
  <c r="C1408" i="14"/>
  <c r="G1408" i="10" s="1"/>
  <c r="C1412" i="14"/>
  <c r="G1412" i="10" s="1"/>
  <c r="C1416" i="14"/>
  <c r="G1416" i="10" s="1"/>
  <c r="C1420" i="14"/>
  <c r="G1420" i="10" s="1"/>
  <c r="C1424" i="14"/>
  <c r="G1424" i="10" s="1"/>
  <c r="C1428" i="14"/>
  <c r="G1428" i="10" s="1"/>
  <c r="C1432" i="14"/>
  <c r="G1432" i="10" s="1"/>
  <c r="C1436" i="14"/>
  <c r="G1436" i="10" s="1"/>
  <c r="C1440" i="14"/>
  <c r="G1440" i="10" s="1"/>
  <c r="C1444" i="14"/>
  <c r="G1444" i="10" s="1"/>
  <c r="C1448" i="14"/>
  <c r="G1448" i="10" s="1"/>
  <c r="C1452" i="14"/>
  <c r="G1452" i="10" s="1"/>
  <c r="C1456" i="14"/>
  <c r="G1456" i="10" s="1"/>
  <c r="C1460" i="14"/>
  <c r="G1460" i="10" s="1"/>
  <c r="C1464" i="14"/>
  <c r="G1464" i="10" s="1"/>
  <c r="C1468" i="14"/>
  <c r="G1468" i="10" s="1"/>
  <c r="C1472" i="14"/>
  <c r="G1472" i="10" s="1"/>
  <c r="C1476" i="14"/>
  <c r="G1476" i="10" s="1"/>
  <c r="C1480" i="14"/>
  <c r="G1480" i="10" s="1"/>
  <c r="C1484" i="14"/>
  <c r="G1484" i="10" s="1"/>
  <c r="C1488" i="14"/>
  <c r="G1488" i="10" s="1"/>
  <c r="C1492" i="14"/>
  <c r="G1492" i="10" s="1"/>
  <c r="C1496" i="14"/>
  <c r="G1496" i="10" s="1"/>
  <c r="C1500" i="14"/>
  <c r="G1500" i="10" s="1"/>
  <c r="C1504" i="14"/>
  <c r="G1504" i="10" s="1"/>
  <c r="C1508" i="14"/>
  <c r="G1508" i="10" s="1"/>
  <c r="C1512" i="14"/>
  <c r="G1512" i="10" s="1"/>
  <c r="C1516" i="14"/>
  <c r="G1516" i="10" s="1"/>
  <c r="C1520" i="14"/>
  <c r="G1520" i="10" s="1"/>
  <c r="C1524" i="14"/>
  <c r="G1524" i="10" s="1"/>
  <c r="C1528" i="14"/>
  <c r="G1528" i="10" s="1"/>
  <c r="C1532" i="14"/>
  <c r="G1532" i="10" s="1"/>
  <c r="C1536" i="14"/>
  <c r="G1536" i="10" s="1"/>
  <c r="C1540" i="14"/>
  <c r="G1540" i="10" s="1"/>
  <c r="C1544" i="14"/>
  <c r="G1544" i="10" s="1"/>
  <c r="C1548" i="14"/>
  <c r="G1548" i="10" s="1"/>
  <c r="C1552" i="14"/>
  <c r="G1552" i="10" s="1"/>
  <c r="C1556" i="14"/>
  <c r="G1556" i="10" s="1"/>
  <c r="C1560" i="14"/>
  <c r="G1560" i="10" s="1"/>
  <c r="C1564" i="14"/>
  <c r="G1564" i="10" s="1"/>
  <c r="C1568" i="14"/>
  <c r="G1568" i="10" s="1"/>
  <c r="C1572" i="14"/>
  <c r="G1572" i="10" s="1"/>
  <c r="C1576" i="14"/>
  <c r="G1576" i="10" s="1"/>
  <c r="C1580" i="14"/>
  <c r="G1580" i="10" s="1"/>
  <c r="C1584" i="14"/>
  <c r="G1584" i="10" s="1"/>
  <c r="C1588" i="14"/>
  <c r="G1588" i="10" s="1"/>
  <c r="C1592" i="14"/>
  <c r="G1592" i="10" s="1"/>
  <c r="C1596" i="14"/>
  <c r="G1596" i="10" s="1"/>
  <c r="C1600" i="14"/>
  <c r="G1600" i="10" s="1"/>
  <c r="C1604" i="14"/>
  <c r="G1604" i="10" s="1"/>
  <c r="C1608" i="14"/>
  <c r="G1608" i="10" s="1"/>
  <c r="C1612" i="14"/>
  <c r="G1612" i="10" s="1"/>
  <c r="C1616" i="14"/>
  <c r="G1616" i="10" s="1"/>
  <c r="C1620" i="14"/>
  <c r="G1620" i="10" s="1"/>
  <c r="C1624" i="14"/>
  <c r="G1624" i="10" s="1"/>
  <c r="C1628" i="14"/>
  <c r="G1628" i="10" s="1"/>
  <c r="C1632" i="14"/>
  <c r="G1632" i="10" s="1"/>
  <c r="C1636" i="14"/>
  <c r="G1636" i="10" s="1"/>
  <c r="C1640" i="14"/>
  <c r="G1640" i="10" s="1"/>
  <c r="C1644" i="14"/>
  <c r="G1644" i="10" s="1"/>
  <c r="C1648" i="14"/>
  <c r="G1648" i="10" s="1"/>
  <c r="C1652" i="14"/>
  <c r="G1652" i="10" s="1"/>
  <c r="C1656" i="14"/>
  <c r="G1656" i="10" s="1"/>
  <c r="C1660" i="14"/>
  <c r="G1660" i="10" s="1"/>
  <c r="C1664" i="14"/>
  <c r="G1664" i="10" s="1"/>
  <c r="C1668" i="14"/>
  <c r="G1668" i="10" s="1"/>
  <c r="C1672" i="14"/>
  <c r="G1672" i="10" s="1"/>
  <c r="C1676" i="14"/>
  <c r="G1676" i="10" s="1"/>
  <c r="C1680" i="14"/>
  <c r="G1680" i="10" s="1"/>
  <c r="C1684" i="14"/>
  <c r="G1684" i="10" s="1"/>
  <c r="C1688" i="14"/>
  <c r="G1688" i="10" s="1"/>
  <c r="C1692" i="14"/>
  <c r="G1692" i="10" s="1"/>
  <c r="C1696" i="14"/>
  <c r="G1696" i="10" s="1"/>
  <c r="C1700" i="14"/>
  <c r="G1700" i="10" s="1"/>
  <c r="C1704" i="14"/>
  <c r="G1704" i="10" s="1"/>
  <c r="C1708" i="14"/>
  <c r="G1708" i="10" s="1"/>
  <c r="C1712" i="14"/>
  <c r="G1712" i="10" s="1"/>
  <c r="C1716" i="14"/>
  <c r="G1716" i="10" s="1"/>
  <c r="C1720" i="14"/>
  <c r="G1720" i="10" s="1"/>
  <c r="C1724" i="14"/>
  <c r="G1724" i="10" s="1"/>
  <c r="C1728" i="14"/>
  <c r="G1728" i="10" s="1"/>
  <c r="C1732" i="14"/>
  <c r="G1732" i="10" s="1"/>
  <c r="C1736" i="14"/>
  <c r="G1736" i="10" s="1"/>
  <c r="C1740" i="14"/>
  <c r="G1740" i="10" s="1"/>
  <c r="C1744" i="14"/>
  <c r="G1744" i="10" s="1"/>
  <c r="C1748" i="14"/>
  <c r="G1748" i="10" s="1"/>
  <c r="C1752" i="14"/>
  <c r="G1752" i="10" s="1"/>
  <c r="C1756" i="14"/>
  <c r="G1756" i="10" s="1"/>
  <c r="C1760" i="14"/>
  <c r="G1760" i="10" s="1"/>
  <c r="C1764" i="14"/>
  <c r="G1764" i="10" s="1"/>
  <c r="C1768" i="14"/>
  <c r="G1768" i="10" s="1"/>
  <c r="C1772" i="14"/>
  <c r="G1772" i="10" s="1"/>
  <c r="C1776" i="14"/>
  <c r="G1776" i="10" s="1"/>
  <c r="C1780" i="14"/>
  <c r="G1780" i="10" s="1"/>
  <c r="C1784" i="14"/>
  <c r="G1784" i="10" s="1"/>
  <c r="C1788" i="14"/>
  <c r="G1788" i="10" s="1"/>
  <c r="C1792" i="14"/>
  <c r="G1792" i="10" s="1"/>
  <c r="C1796" i="14"/>
  <c r="G1796" i="10" s="1"/>
  <c r="C1800" i="14"/>
  <c r="G1800" i="10" s="1"/>
  <c r="C1804" i="14"/>
  <c r="G1804" i="10" s="1"/>
  <c r="C1808" i="14"/>
  <c r="G1808" i="10" s="1"/>
  <c r="C1812" i="14"/>
  <c r="G1812" i="10" s="1"/>
  <c r="C1816" i="14"/>
  <c r="G1816" i="10" s="1"/>
  <c r="C1820" i="14"/>
  <c r="G1820" i="10" s="1"/>
  <c r="C1824" i="14"/>
  <c r="G1824" i="10" s="1"/>
  <c r="C1828" i="14"/>
  <c r="G1828" i="10" s="1"/>
  <c r="C1832" i="14"/>
  <c r="G1832" i="10" s="1"/>
  <c r="C1836" i="14"/>
  <c r="G1836" i="10" s="1"/>
  <c r="C1840" i="14"/>
  <c r="G1840" i="10" s="1"/>
  <c r="C1844" i="14"/>
  <c r="G1844" i="10" s="1"/>
  <c r="C1848" i="14"/>
  <c r="G1848" i="10" s="1"/>
  <c r="C1852" i="14"/>
  <c r="G1852" i="10" s="1"/>
  <c r="C1856" i="14"/>
  <c r="G1856" i="10" s="1"/>
  <c r="C1860" i="14"/>
  <c r="G1860" i="10" s="1"/>
  <c r="C1864" i="14"/>
  <c r="G1864" i="10" s="1"/>
  <c r="C1868" i="14"/>
  <c r="G1868" i="10" s="1"/>
  <c r="C10" i="14"/>
  <c r="G10" i="10" s="1"/>
  <c r="C21" i="14"/>
  <c r="G21" i="10" s="1"/>
  <c r="C31" i="14"/>
  <c r="G31" i="10" s="1"/>
  <c r="C42" i="14"/>
  <c r="G42" i="10" s="1"/>
  <c r="C53" i="14"/>
  <c r="G53" i="10" s="1"/>
  <c r="C63" i="14"/>
  <c r="G63" i="10" s="1"/>
  <c r="C74" i="14"/>
  <c r="G74" i="10" s="1"/>
  <c r="C85" i="14"/>
  <c r="G85" i="10" s="1"/>
  <c r="C95" i="14"/>
  <c r="G95" i="10" s="1"/>
  <c r="C106" i="14"/>
  <c r="G106" i="10" s="1"/>
  <c r="C117" i="14"/>
  <c r="G117" i="10" s="1"/>
  <c r="C127" i="14"/>
  <c r="G127" i="10" s="1"/>
  <c r="C138" i="14"/>
  <c r="G138" i="10" s="1"/>
  <c r="C149" i="14"/>
  <c r="G149" i="10" s="1"/>
  <c r="C159" i="14"/>
  <c r="G159" i="10" s="1"/>
  <c r="C170" i="14"/>
  <c r="G170" i="10" s="1"/>
  <c r="C181" i="14"/>
  <c r="G181" i="10" s="1"/>
  <c r="C191" i="14"/>
  <c r="G191" i="10" s="1"/>
  <c r="C202" i="14"/>
  <c r="G202" i="10" s="1"/>
  <c r="C213" i="14"/>
  <c r="G213" i="10" s="1"/>
  <c r="C223" i="14"/>
  <c r="G223" i="10" s="1"/>
  <c r="C234" i="14"/>
  <c r="G234" i="10" s="1"/>
  <c r="C245" i="14"/>
  <c r="G245" i="10" s="1"/>
  <c r="C255" i="14"/>
  <c r="G255" i="10" s="1"/>
  <c r="C266" i="14"/>
  <c r="G266" i="10" s="1"/>
  <c r="C277" i="14"/>
  <c r="G277" i="10" s="1"/>
  <c r="C287" i="14"/>
  <c r="G287" i="10" s="1"/>
  <c r="C298" i="14"/>
  <c r="G298" i="10" s="1"/>
  <c r="C309" i="14"/>
  <c r="G309" i="10" s="1"/>
  <c r="C319" i="14"/>
  <c r="G319" i="10" s="1"/>
  <c r="C330" i="14"/>
  <c r="G330" i="10" s="1"/>
  <c r="C341" i="14"/>
  <c r="G341" i="10" s="1"/>
  <c r="C351" i="14"/>
  <c r="G351" i="10" s="1"/>
  <c r="C362" i="14"/>
  <c r="G362" i="10" s="1"/>
  <c r="C373" i="14"/>
  <c r="G373" i="10" s="1"/>
  <c r="C383" i="14"/>
  <c r="G383" i="10" s="1"/>
  <c r="C394" i="14"/>
  <c r="G394" i="10" s="1"/>
  <c r="C405" i="14"/>
  <c r="G405" i="10" s="1"/>
  <c r="C415" i="14"/>
  <c r="G415" i="10" s="1"/>
  <c r="C426" i="14"/>
  <c r="G426" i="10" s="1"/>
  <c r="C437" i="14"/>
  <c r="G437" i="10" s="1"/>
  <c r="C447" i="14"/>
  <c r="G447" i="10" s="1"/>
  <c r="C458" i="14"/>
  <c r="G458" i="10" s="1"/>
  <c r="C469" i="14"/>
  <c r="G469" i="10" s="1"/>
  <c r="C479" i="14"/>
  <c r="G479" i="10" s="1"/>
  <c r="C490" i="14"/>
  <c r="G490" i="10" s="1"/>
  <c r="C501" i="14"/>
  <c r="G501" i="10" s="1"/>
  <c r="C511" i="14"/>
  <c r="G511" i="10" s="1"/>
  <c r="C522" i="14"/>
  <c r="G522" i="10" s="1"/>
  <c r="C533" i="14"/>
  <c r="G533" i="10" s="1"/>
  <c r="C543" i="14"/>
  <c r="G543" i="10" s="1"/>
  <c r="C554" i="14"/>
  <c r="G554" i="10" s="1"/>
  <c r="C565" i="14"/>
  <c r="G565" i="10" s="1"/>
  <c r="C575" i="14"/>
  <c r="G575" i="10" s="1"/>
  <c r="C586" i="14"/>
  <c r="G586" i="10" s="1"/>
  <c r="C597" i="14"/>
  <c r="G597" i="10" s="1"/>
  <c r="C607" i="14"/>
  <c r="G607" i="10" s="1"/>
  <c r="C618" i="14"/>
  <c r="G618" i="10" s="1"/>
  <c r="C629" i="14"/>
  <c r="G629" i="10" s="1"/>
  <c r="C638" i="14"/>
  <c r="G638" i="10" s="1"/>
  <c r="C645" i="14"/>
  <c r="G645" i="10" s="1"/>
  <c r="C653" i="14"/>
  <c r="G653" i="10" s="1"/>
  <c r="C659" i="14"/>
  <c r="G659" i="10" s="1"/>
  <c r="C666" i="14"/>
  <c r="G666" i="10" s="1"/>
  <c r="C674" i="14"/>
  <c r="G674" i="10" s="1"/>
  <c r="C681" i="14"/>
  <c r="G681" i="10" s="1"/>
  <c r="C687" i="14"/>
  <c r="G687" i="10" s="1"/>
  <c r="C695" i="14"/>
  <c r="G695" i="10" s="1"/>
  <c r="C702" i="14"/>
  <c r="G702" i="10" s="1"/>
  <c r="C707" i="14"/>
  <c r="G707" i="10" s="1"/>
  <c r="C713" i="14"/>
  <c r="G713" i="10" s="1"/>
  <c r="C718" i="14"/>
  <c r="G718" i="10" s="1"/>
  <c r="C723" i="14"/>
  <c r="G723" i="10" s="1"/>
  <c r="C729" i="14"/>
  <c r="G729" i="10" s="1"/>
  <c r="C734" i="14"/>
  <c r="G734" i="10" s="1"/>
  <c r="C739" i="14"/>
  <c r="G739" i="10" s="1"/>
  <c r="C745" i="14"/>
  <c r="G745" i="10" s="1"/>
  <c r="C750" i="14"/>
  <c r="G750" i="10" s="1"/>
  <c r="C755" i="14"/>
  <c r="G755" i="10" s="1"/>
  <c r="C761" i="14"/>
  <c r="G761" i="10" s="1"/>
  <c r="C766" i="14"/>
  <c r="G766" i="10" s="1"/>
  <c r="C771" i="14"/>
  <c r="G771" i="10" s="1"/>
  <c r="C777" i="14"/>
  <c r="G777" i="10" s="1"/>
  <c r="C782" i="14"/>
  <c r="G782" i="10" s="1"/>
  <c r="C787" i="14"/>
  <c r="G787" i="10" s="1"/>
  <c r="C793" i="14"/>
  <c r="G793" i="10" s="1"/>
  <c r="C798" i="14"/>
  <c r="G798" i="10" s="1"/>
  <c r="C803" i="14"/>
  <c r="G803" i="10" s="1"/>
  <c r="C809" i="14"/>
  <c r="G809" i="10" s="1"/>
  <c r="C814" i="14"/>
  <c r="G814" i="10" s="1"/>
  <c r="C819" i="14"/>
  <c r="G819" i="10" s="1"/>
  <c r="C825" i="14"/>
  <c r="G825" i="10" s="1"/>
  <c r="C830" i="14"/>
  <c r="G830" i="10" s="1"/>
  <c r="C835" i="14"/>
  <c r="G835" i="10" s="1"/>
  <c r="C841" i="14"/>
  <c r="G841" i="10" s="1"/>
  <c r="C846" i="14"/>
  <c r="G846" i="10" s="1"/>
  <c r="C851" i="14"/>
  <c r="G851" i="10" s="1"/>
  <c r="C857" i="14"/>
  <c r="G857" i="10" s="1"/>
  <c r="C862" i="14"/>
  <c r="G862" i="10" s="1"/>
  <c r="C867" i="14"/>
  <c r="G867" i="10" s="1"/>
  <c r="C873" i="14"/>
  <c r="G873" i="10" s="1"/>
  <c r="C878" i="14"/>
  <c r="G878" i="10" s="1"/>
  <c r="C883" i="14"/>
  <c r="G883" i="10" s="1"/>
  <c r="C889" i="14"/>
  <c r="G889" i="10" s="1"/>
  <c r="C894" i="14"/>
  <c r="G894" i="10" s="1"/>
  <c r="C899" i="14"/>
  <c r="G899" i="10" s="1"/>
  <c r="C905" i="14"/>
  <c r="G905" i="10" s="1"/>
  <c r="C910" i="14"/>
  <c r="G910" i="10" s="1"/>
  <c r="C915" i="14"/>
  <c r="G915" i="10" s="1"/>
  <c r="C921" i="14"/>
  <c r="G921" i="10" s="1"/>
  <c r="C926" i="14"/>
  <c r="G926" i="10" s="1"/>
  <c r="C931" i="14"/>
  <c r="G931" i="10" s="1"/>
  <c r="C937" i="14"/>
  <c r="G937" i="10" s="1"/>
  <c r="C942" i="14"/>
  <c r="G942" i="10" s="1"/>
  <c r="C947" i="14"/>
  <c r="G947" i="10" s="1"/>
  <c r="C953" i="14"/>
  <c r="G953" i="10" s="1"/>
  <c r="C958" i="14"/>
  <c r="G958" i="10" s="1"/>
  <c r="C963" i="14"/>
  <c r="G963" i="10" s="1"/>
  <c r="C969" i="14"/>
  <c r="G969" i="10" s="1"/>
  <c r="C974" i="14"/>
  <c r="G974" i="10" s="1"/>
  <c r="C979" i="14"/>
  <c r="G979" i="10" s="1"/>
  <c r="C985" i="14"/>
  <c r="G985" i="10" s="1"/>
  <c r="C990" i="14"/>
  <c r="G990" i="10" s="1"/>
  <c r="C995" i="14"/>
  <c r="G995" i="10" s="1"/>
  <c r="C1001" i="14"/>
  <c r="G1001" i="10" s="1"/>
  <c r="C1006" i="14"/>
  <c r="G1006" i="10" s="1"/>
  <c r="C1011" i="14"/>
  <c r="G1011" i="10" s="1"/>
  <c r="C1017" i="14"/>
  <c r="G1017" i="10" s="1"/>
  <c r="C1022" i="14"/>
  <c r="G1022" i="10" s="1"/>
  <c r="C1027" i="14"/>
  <c r="G1027" i="10" s="1"/>
  <c r="C1033" i="14"/>
  <c r="G1033" i="10" s="1"/>
  <c r="C1038" i="14"/>
  <c r="G1038" i="10" s="1"/>
  <c r="C1043" i="14"/>
  <c r="G1043" i="10" s="1"/>
  <c r="C1049" i="14"/>
  <c r="G1049" i="10" s="1"/>
  <c r="C1054" i="14"/>
  <c r="G1054" i="10" s="1"/>
  <c r="C1059" i="14"/>
  <c r="G1059" i="10" s="1"/>
  <c r="C1065" i="14"/>
  <c r="G1065" i="10" s="1"/>
  <c r="C1070" i="14"/>
  <c r="G1070" i="10" s="1"/>
  <c r="C1075" i="14"/>
  <c r="G1075" i="10" s="1"/>
  <c r="C1081" i="14"/>
  <c r="G1081" i="10" s="1"/>
  <c r="C1086" i="14"/>
  <c r="G1086" i="10" s="1"/>
  <c r="C1091" i="14"/>
  <c r="G1091" i="10" s="1"/>
  <c r="C1097" i="14"/>
  <c r="G1097" i="10" s="1"/>
  <c r="C1102" i="14"/>
  <c r="G1102" i="10" s="1"/>
  <c r="C1107" i="14"/>
  <c r="G1107" i="10" s="1"/>
  <c r="C1113" i="14"/>
  <c r="G1113" i="10" s="1"/>
  <c r="C1118" i="14"/>
  <c r="G1118" i="10" s="1"/>
  <c r="C1123" i="14"/>
  <c r="G1123" i="10" s="1"/>
  <c r="C1129" i="14"/>
  <c r="G1129" i="10" s="1"/>
  <c r="C1134" i="14"/>
  <c r="G1134" i="10" s="1"/>
  <c r="C1139" i="14"/>
  <c r="G1139" i="10" s="1"/>
  <c r="C1145" i="14"/>
  <c r="G1145" i="10" s="1"/>
  <c r="C1150" i="14"/>
  <c r="G1150" i="10" s="1"/>
  <c r="C1155" i="14"/>
  <c r="G1155" i="10" s="1"/>
  <c r="C1161" i="14"/>
  <c r="G1161" i="10" s="1"/>
  <c r="C1166" i="14"/>
  <c r="G1166" i="10" s="1"/>
  <c r="C1171" i="14"/>
  <c r="G1171" i="10" s="1"/>
  <c r="C1177" i="14"/>
  <c r="G1177" i="10" s="1"/>
  <c r="C1182" i="14"/>
  <c r="G1182" i="10" s="1"/>
  <c r="C1187" i="14"/>
  <c r="G1187" i="10" s="1"/>
  <c r="C1193" i="14"/>
  <c r="G1193" i="10" s="1"/>
  <c r="C1198" i="14"/>
  <c r="G1198" i="10" s="1"/>
  <c r="C1203" i="14"/>
  <c r="G1203" i="10" s="1"/>
  <c r="C1209" i="14"/>
  <c r="G1209" i="10" s="1"/>
  <c r="C1214" i="14"/>
  <c r="G1214" i="10" s="1"/>
  <c r="C1219" i="14"/>
  <c r="G1219" i="10" s="1"/>
  <c r="C1225" i="14"/>
  <c r="G1225" i="10" s="1"/>
  <c r="C1230" i="14"/>
  <c r="G1230" i="10" s="1"/>
  <c r="C1235" i="14"/>
  <c r="G1235" i="10" s="1"/>
  <c r="C1241" i="14"/>
  <c r="G1241" i="10" s="1"/>
  <c r="C1246" i="14"/>
  <c r="G1246" i="10" s="1"/>
  <c r="C1251" i="14"/>
  <c r="G1251" i="10" s="1"/>
  <c r="C1257" i="14"/>
  <c r="G1257" i="10" s="1"/>
  <c r="C1262" i="14"/>
  <c r="G1262" i="10" s="1"/>
  <c r="C1267" i="14"/>
  <c r="G1267" i="10" s="1"/>
  <c r="C1273" i="14"/>
  <c r="G1273" i="10" s="1"/>
  <c r="C1278" i="14"/>
  <c r="G1278" i="10" s="1"/>
  <c r="C1283" i="14"/>
  <c r="G1283" i="10" s="1"/>
  <c r="C1289" i="14"/>
  <c r="G1289" i="10" s="1"/>
  <c r="C1294" i="14"/>
  <c r="G1294" i="10" s="1"/>
  <c r="C1299" i="14"/>
  <c r="G1299" i="10" s="1"/>
  <c r="C1305" i="14"/>
  <c r="G1305" i="10" s="1"/>
  <c r="C1310" i="14"/>
  <c r="G1310" i="10" s="1"/>
  <c r="C1315" i="14"/>
  <c r="G1315" i="10" s="1"/>
  <c r="C1321" i="14"/>
  <c r="G1321" i="10" s="1"/>
  <c r="C1326" i="14"/>
  <c r="G1326" i="10" s="1"/>
  <c r="C1331" i="14"/>
  <c r="G1331" i="10" s="1"/>
  <c r="C1337" i="14"/>
  <c r="G1337" i="10" s="1"/>
  <c r="C1342" i="14"/>
  <c r="G1342" i="10" s="1"/>
  <c r="C1347" i="14"/>
  <c r="G1347" i="10" s="1"/>
  <c r="C1353" i="14"/>
  <c r="G1353" i="10" s="1"/>
  <c r="C1357" i="14"/>
  <c r="G1357" i="10" s="1"/>
  <c r="C1361" i="14"/>
  <c r="G1361" i="10" s="1"/>
  <c r="C1365" i="14"/>
  <c r="G1365" i="10" s="1"/>
  <c r="C1369" i="14"/>
  <c r="G1369" i="10" s="1"/>
  <c r="C1373" i="14"/>
  <c r="G1373" i="10" s="1"/>
  <c r="C1377" i="14"/>
  <c r="G1377" i="10" s="1"/>
  <c r="C1381" i="14"/>
  <c r="G1381" i="10" s="1"/>
  <c r="C1385" i="14"/>
  <c r="G1385" i="10" s="1"/>
  <c r="C1389" i="14"/>
  <c r="G1389" i="10" s="1"/>
  <c r="C1393" i="14"/>
  <c r="G1393" i="10" s="1"/>
  <c r="C1397" i="14"/>
  <c r="G1397" i="10" s="1"/>
  <c r="C1401" i="14"/>
  <c r="G1401" i="10" s="1"/>
  <c r="C1405" i="14"/>
  <c r="G1405" i="10" s="1"/>
  <c r="C1409" i="14"/>
  <c r="G1409" i="10" s="1"/>
  <c r="C1413" i="14"/>
  <c r="G1413" i="10" s="1"/>
  <c r="C1417" i="14"/>
  <c r="G1417" i="10" s="1"/>
  <c r="C1421" i="14"/>
  <c r="G1421" i="10" s="1"/>
  <c r="C1425" i="14"/>
  <c r="G1425" i="10" s="1"/>
  <c r="C1429" i="14"/>
  <c r="G1429" i="10" s="1"/>
  <c r="C1433" i="14"/>
  <c r="G1433" i="10" s="1"/>
  <c r="C1437" i="14"/>
  <c r="G1437" i="10" s="1"/>
  <c r="C1441" i="14"/>
  <c r="G1441" i="10" s="1"/>
  <c r="C1445" i="14"/>
  <c r="G1445" i="10" s="1"/>
  <c r="C1449" i="14"/>
  <c r="G1449" i="10" s="1"/>
  <c r="C1453" i="14"/>
  <c r="G1453" i="10" s="1"/>
  <c r="C1457" i="14"/>
  <c r="G1457" i="10" s="1"/>
  <c r="C1461" i="14"/>
  <c r="G1461" i="10" s="1"/>
  <c r="C1465" i="14"/>
  <c r="G1465" i="10" s="1"/>
  <c r="C1469" i="14"/>
  <c r="G1469" i="10" s="1"/>
  <c r="C1473" i="14"/>
  <c r="G1473" i="10" s="1"/>
  <c r="C1477" i="14"/>
  <c r="G1477" i="10" s="1"/>
  <c r="C1481" i="14"/>
  <c r="G1481" i="10" s="1"/>
  <c r="C1485" i="14"/>
  <c r="G1485" i="10" s="1"/>
  <c r="C1489" i="14"/>
  <c r="G1489" i="10" s="1"/>
  <c r="C1493" i="14"/>
  <c r="G1493" i="10" s="1"/>
  <c r="C1497" i="14"/>
  <c r="G1497" i="10" s="1"/>
  <c r="C1501" i="14"/>
  <c r="G1501" i="10" s="1"/>
  <c r="C1505" i="14"/>
  <c r="G1505" i="10" s="1"/>
  <c r="C1509" i="14"/>
  <c r="G1509" i="10" s="1"/>
  <c r="C1513" i="14"/>
  <c r="G1513" i="10" s="1"/>
  <c r="C1517" i="14"/>
  <c r="G1517" i="10" s="1"/>
  <c r="C1521" i="14"/>
  <c r="G1521" i="10" s="1"/>
  <c r="C1525" i="14"/>
  <c r="G1525" i="10" s="1"/>
  <c r="C1529" i="14"/>
  <c r="G1529" i="10" s="1"/>
  <c r="C1533" i="14"/>
  <c r="G1533" i="10" s="1"/>
  <c r="C1537" i="14"/>
  <c r="G1537" i="10" s="1"/>
  <c r="C1541" i="14"/>
  <c r="G1541" i="10" s="1"/>
  <c r="C1545" i="14"/>
  <c r="G1545" i="10" s="1"/>
  <c r="C1549" i="14"/>
  <c r="G1549" i="10" s="1"/>
  <c r="C1553" i="14"/>
  <c r="G1553" i="10" s="1"/>
  <c r="C1557" i="14"/>
  <c r="G1557" i="10" s="1"/>
  <c r="C1561" i="14"/>
  <c r="G1561" i="10" s="1"/>
  <c r="C1565" i="14"/>
  <c r="G1565" i="10" s="1"/>
  <c r="C1569" i="14"/>
  <c r="G1569" i="10" s="1"/>
  <c r="C1573" i="14"/>
  <c r="G1573" i="10" s="1"/>
  <c r="C1577" i="14"/>
  <c r="G1577" i="10" s="1"/>
  <c r="C1581" i="14"/>
  <c r="G1581" i="10" s="1"/>
  <c r="C1585" i="14"/>
  <c r="G1585" i="10" s="1"/>
  <c r="C1589" i="14"/>
  <c r="G1589" i="10" s="1"/>
  <c r="C1593" i="14"/>
  <c r="G1593" i="10" s="1"/>
  <c r="C1597" i="14"/>
  <c r="G1597" i="10" s="1"/>
  <c r="C1601" i="14"/>
  <c r="G1601" i="10" s="1"/>
  <c r="C1605" i="14"/>
  <c r="G1605" i="10" s="1"/>
  <c r="C1609" i="14"/>
  <c r="G1609" i="10" s="1"/>
  <c r="C1613" i="14"/>
  <c r="G1613" i="10" s="1"/>
  <c r="C1617" i="14"/>
  <c r="G1617" i="10" s="1"/>
  <c r="C1621" i="14"/>
  <c r="G1621" i="10" s="1"/>
  <c r="C1625" i="14"/>
  <c r="G1625" i="10" s="1"/>
  <c r="C1629" i="14"/>
  <c r="G1629" i="10" s="1"/>
  <c r="C1633" i="14"/>
  <c r="G1633" i="10" s="1"/>
  <c r="C1637" i="14"/>
  <c r="G1637" i="10" s="1"/>
  <c r="C1641" i="14"/>
  <c r="G1641" i="10" s="1"/>
  <c r="C1645" i="14"/>
  <c r="G1645" i="10" s="1"/>
  <c r="C1649" i="14"/>
  <c r="G1649" i="10" s="1"/>
  <c r="C1653" i="14"/>
  <c r="G1653" i="10" s="1"/>
  <c r="C1657" i="14"/>
  <c r="G1657" i="10" s="1"/>
  <c r="C1661" i="14"/>
  <c r="G1661" i="10" s="1"/>
  <c r="C1665" i="14"/>
  <c r="G1665" i="10" s="1"/>
  <c r="C1669" i="14"/>
  <c r="G1669" i="10" s="1"/>
  <c r="C1673" i="14"/>
  <c r="G1673" i="10" s="1"/>
  <c r="C1677" i="14"/>
  <c r="G1677" i="10" s="1"/>
  <c r="C1681" i="14"/>
  <c r="G1681" i="10" s="1"/>
  <c r="C1685" i="14"/>
  <c r="G1685" i="10" s="1"/>
  <c r="C1689" i="14"/>
  <c r="G1689" i="10" s="1"/>
  <c r="C1693" i="14"/>
  <c r="G1693" i="10" s="1"/>
  <c r="C1697" i="14"/>
  <c r="G1697" i="10" s="1"/>
  <c r="C1701" i="14"/>
  <c r="G1701" i="10" s="1"/>
  <c r="C1705" i="14"/>
  <c r="G1705" i="10" s="1"/>
  <c r="C1709" i="14"/>
  <c r="G1709" i="10" s="1"/>
  <c r="C1713" i="14"/>
  <c r="G1713" i="10" s="1"/>
  <c r="C1717" i="14"/>
  <c r="G1717" i="10" s="1"/>
  <c r="C1721" i="14"/>
  <c r="G1721" i="10" s="1"/>
  <c r="C1725" i="14"/>
  <c r="G1725" i="10" s="1"/>
  <c r="C1729" i="14"/>
  <c r="G1729" i="10" s="1"/>
  <c r="C1733" i="14"/>
  <c r="G1733" i="10" s="1"/>
  <c r="C1737" i="14"/>
  <c r="G1737" i="10" s="1"/>
  <c r="C1741" i="14"/>
  <c r="G1741" i="10" s="1"/>
  <c r="C1745" i="14"/>
  <c r="G1745" i="10" s="1"/>
  <c r="C1749" i="14"/>
  <c r="G1749" i="10" s="1"/>
  <c r="C1753" i="14"/>
  <c r="G1753" i="10" s="1"/>
  <c r="C1757" i="14"/>
  <c r="G1757" i="10" s="1"/>
  <c r="C1761" i="14"/>
  <c r="G1761" i="10" s="1"/>
  <c r="C1765" i="14"/>
  <c r="G1765" i="10" s="1"/>
  <c r="C1769" i="14"/>
  <c r="G1769" i="10" s="1"/>
  <c r="C1773" i="14"/>
  <c r="G1773" i="10" s="1"/>
  <c r="C1777" i="14"/>
  <c r="G1777" i="10" s="1"/>
  <c r="C1781" i="14"/>
  <c r="G1781" i="10" s="1"/>
  <c r="C1785" i="14"/>
  <c r="G1785" i="10" s="1"/>
  <c r="C1789" i="14"/>
  <c r="G1789" i="10" s="1"/>
  <c r="C1793" i="14"/>
  <c r="G1793" i="10" s="1"/>
  <c r="C1797" i="14"/>
  <c r="G1797" i="10" s="1"/>
  <c r="C1801" i="14"/>
  <c r="G1801" i="10" s="1"/>
  <c r="C1805" i="14"/>
  <c r="G1805" i="10" s="1"/>
  <c r="C1809" i="14"/>
  <c r="G1809" i="10" s="1"/>
  <c r="C1813" i="14"/>
  <c r="G1813" i="10" s="1"/>
  <c r="C1817" i="14"/>
  <c r="G1817" i="10" s="1"/>
  <c r="C1821" i="14"/>
  <c r="G1821" i="10" s="1"/>
  <c r="C1825" i="14"/>
  <c r="G1825" i="10" s="1"/>
  <c r="C3" i="14"/>
  <c r="G3" i="10" s="1"/>
  <c r="C14" i="14"/>
  <c r="G14" i="10" s="1"/>
  <c r="C25" i="14"/>
  <c r="G25" i="10" s="1"/>
  <c r="C35" i="14"/>
  <c r="G35" i="10" s="1"/>
  <c r="C46" i="14"/>
  <c r="G46" i="10" s="1"/>
  <c r="C57" i="14"/>
  <c r="G57" i="10" s="1"/>
  <c r="C67" i="14"/>
  <c r="G67" i="10" s="1"/>
  <c r="C78" i="14"/>
  <c r="G78" i="10" s="1"/>
  <c r="C89" i="14"/>
  <c r="G89" i="10" s="1"/>
  <c r="C99" i="14"/>
  <c r="G99" i="10" s="1"/>
  <c r="C110" i="14"/>
  <c r="G110" i="10" s="1"/>
  <c r="C121" i="14"/>
  <c r="G121" i="10" s="1"/>
  <c r="C131" i="14"/>
  <c r="G131" i="10" s="1"/>
  <c r="C142" i="14"/>
  <c r="G142" i="10" s="1"/>
  <c r="C153" i="14"/>
  <c r="G153" i="10" s="1"/>
  <c r="C163" i="14"/>
  <c r="G163" i="10" s="1"/>
  <c r="C174" i="14"/>
  <c r="G174" i="10" s="1"/>
  <c r="C185" i="14"/>
  <c r="G185" i="10" s="1"/>
  <c r="C195" i="14"/>
  <c r="G195" i="10" s="1"/>
  <c r="C206" i="14"/>
  <c r="G206" i="10" s="1"/>
  <c r="C217" i="14"/>
  <c r="G217" i="10" s="1"/>
  <c r="C227" i="14"/>
  <c r="G227" i="10" s="1"/>
  <c r="C238" i="14"/>
  <c r="G238" i="10" s="1"/>
  <c r="C249" i="14"/>
  <c r="G249" i="10" s="1"/>
  <c r="C259" i="14"/>
  <c r="G259" i="10" s="1"/>
  <c r="C270" i="14"/>
  <c r="G270" i="10" s="1"/>
  <c r="C281" i="14"/>
  <c r="G281" i="10" s="1"/>
  <c r="C291" i="14"/>
  <c r="G291" i="10" s="1"/>
  <c r="C302" i="14"/>
  <c r="G302" i="10" s="1"/>
  <c r="C313" i="14"/>
  <c r="G313" i="10" s="1"/>
  <c r="C323" i="14"/>
  <c r="G323" i="10" s="1"/>
  <c r="C334" i="14"/>
  <c r="G334" i="10" s="1"/>
  <c r="C345" i="14"/>
  <c r="G345" i="10" s="1"/>
  <c r="C355" i="14"/>
  <c r="G355" i="10" s="1"/>
  <c r="C366" i="14"/>
  <c r="G366" i="10" s="1"/>
  <c r="C377" i="14"/>
  <c r="G377" i="10" s="1"/>
  <c r="C387" i="14"/>
  <c r="G387" i="10" s="1"/>
  <c r="C398" i="14"/>
  <c r="G398" i="10" s="1"/>
  <c r="C409" i="14"/>
  <c r="G409" i="10" s="1"/>
  <c r="C419" i="14"/>
  <c r="G419" i="10" s="1"/>
  <c r="C430" i="14"/>
  <c r="G430" i="10" s="1"/>
  <c r="C441" i="14"/>
  <c r="G441" i="10" s="1"/>
  <c r="C451" i="14"/>
  <c r="G451" i="10" s="1"/>
  <c r="C462" i="14"/>
  <c r="G462" i="10" s="1"/>
  <c r="C473" i="14"/>
  <c r="G473" i="10" s="1"/>
  <c r="C483" i="14"/>
  <c r="G483" i="10" s="1"/>
  <c r="C494" i="14"/>
  <c r="G494" i="10" s="1"/>
  <c r="C505" i="14"/>
  <c r="G505" i="10" s="1"/>
  <c r="C515" i="14"/>
  <c r="G515" i="10" s="1"/>
  <c r="C526" i="14"/>
  <c r="G526" i="10" s="1"/>
  <c r="C537" i="14"/>
  <c r="G537" i="10" s="1"/>
  <c r="C547" i="14"/>
  <c r="G547" i="10" s="1"/>
  <c r="C558" i="14"/>
  <c r="G558" i="10" s="1"/>
  <c r="C569" i="14"/>
  <c r="G569" i="10" s="1"/>
  <c r="C579" i="14"/>
  <c r="G579" i="10" s="1"/>
  <c r="C590" i="14"/>
  <c r="G590" i="10" s="1"/>
  <c r="C601" i="14"/>
  <c r="G601" i="10" s="1"/>
  <c r="C611" i="14"/>
  <c r="G611" i="10" s="1"/>
  <c r="C622" i="14"/>
  <c r="G622" i="10" s="1"/>
  <c r="C633" i="14"/>
  <c r="G633" i="10" s="1"/>
  <c r="C639" i="14"/>
  <c r="G639" i="10" s="1"/>
  <c r="C647" i="14"/>
  <c r="G647" i="10" s="1"/>
  <c r="C654" i="14"/>
  <c r="G654" i="10" s="1"/>
  <c r="C661" i="14"/>
  <c r="G661" i="10" s="1"/>
  <c r="C669" i="14"/>
  <c r="G669" i="10" s="1"/>
  <c r="C675" i="14"/>
  <c r="G675" i="10" s="1"/>
  <c r="C682" i="14"/>
  <c r="G682" i="10" s="1"/>
  <c r="C690" i="14"/>
  <c r="G690" i="10" s="1"/>
  <c r="C697" i="14"/>
  <c r="G697" i="10" s="1"/>
  <c r="C703" i="14"/>
  <c r="G703" i="10" s="1"/>
  <c r="C709" i="14"/>
  <c r="G709" i="10" s="1"/>
  <c r="C714" i="14"/>
  <c r="G714" i="10" s="1"/>
  <c r="C719" i="14"/>
  <c r="G719" i="10" s="1"/>
  <c r="C725" i="14"/>
  <c r="G725" i="10" s="1"/>
  <c r="C730" i="14"/>
  <c r="G730" i="10" s="1"/>
  <c r="C735" i="14"/>
  <c r="G735" i="10" s="1"/>
  <c r="C741" i="14"/>
  <c r="G741" i="10" s="1"/>
  <c r="C746" i="14"/>
  <c r="G746" i="10" s="1"/>
  <c r="C751" i="14"/>
  <c r="G751" i="10" s="1"/>
  <c r="C757" i="14"/>
  <c r="G757" i="10" s="1"/>
  <c r="C762" i="14"/>
  <c r="G762" i="10" s="1"/>
  <c r="C767" i="14"/>
  <c r="G767" i="10" s="1"/>
  <c r="C773" i="14"/>
  <c r="G773" i="10" s="1"/>
  <c r="C778" i="14"/>
  <c r="G778" i="10" s="1"/>
  <c r="C783" i="14"/>
  <c r="G783" i="10" s="1"/>
  <c r="C789" i="14"/>
  <c r="G789" i="10" s="1"/>
  <c r="C794" i="14"/>
  <c r="G794" i="10" s="1"/>
  <c r="C799" i="14"/>
  <c r="G799" i="10" s="1"/>
  <c r="C805" i="14"/>
  <c r="G805" i="10" s="1"/>
  <c r="C810" i="14"/>
  <c r="G810" i="10" s="1"/>
  <c r="C815" i="14"/>
  <c r="G815" i="10" s="1"/>
  <c r="C821" i="14"/>
  <c r="G821" i="10" s="1"/>
  <c r="C826" i="14"/>
  <c r="G826" i="10" s="1"/>
  <c r="C831" i="14"/>
  <c r="G831" i="10" s="1"/>
  <c r="C837" i="14"/>
  <c r="G837" i="10" s="1"/>
  <c r="C842" i="14"/>
  <c r="G842" i="10" s="1"/>
  <c r="C847" i="14"/>
  <c r="G847" i="10" s="1"/>
  <c r="C853" i="14"/>
  <c r="G853" i="10" s="1"/>
  <c r="C858" i="14"/>
  <c r="G858" i="10" s="1"/>
  <c r="C863" i="14"/>
  <c r="G863" i="10" s="1"/>
  <c r="C869" i="14"/>
  <c r="G869" i="10" s="1"/>
  <c r="C874" i="14"/>
  <c r="G874" i="10" s="1"/>
  <c r="C879" i="14"/>
  <c r="G879" i="10" s="1"/>
  <c r="C885" i="14"/>
  <c r="G885" i="10" s="1"/>
  <c r="C890" i="14"/>
  <c r="G890" i="10" s="1"/>
  <c r="C895" i="14"/>
  <c r="G895" i="10" s="1"/>
  <c r="C901" i="14"/>
  <c r="G901" i="10" s="1"/>
  <c r="C906" i="14"/>
  <c r="G906" i="10" s="1"/>
  <c r="C911" i="14"/>
  <c r="G911" i="10" s="1"/>
  <c r="C917" i="14"/>
  <c r="G917" i="10" s="1"/>
  <c r="C922" i="14"/>
  <c r="G922" i="10" s="1"/>
  <c r="C927" i="14"/>
  <c r="G927" i="10" s="1"/>
  <c r="C933" i="14"/>
  <c r="G933" i="10" s="1"/>
  <c r="C938" i="14"/>
  <c r="G938" i="10" s="1"/>
  <c r="C943" i="14"/>
  <c r="G943" i="10" s="1"/>
  <c r="C949" i="14"/>
  <c r="G949" i="10" s="1"/>
  <c r="C954" i="14"/>
  <c r="G954" i="10" s="1"/>
  <c r="C959" i="14"/>
  <c r="G959" i="10" s="1"/>
  <c r="C965" i="14"/>
  <c r="G965" i="10" s="1"/>
  <c r="C970" i="14"/>
  <c r="G970" i="10" s="1"/>
  <c r="C975" i="14"/>
  <c r="G975" i="10" s="1"/>
  <c r="C981" i="14"/>
  <c r="G981" i="10" s="1"/>
  <c r="C986" i="14"/>
  <c r="G986" i="10" s="1"/>
  <c r="C991" i="14"/>
  <c r="G991" i="10" s="1"/>
  <c r="C997" i="14"/>
  <c r="G997" i="10" s="1"/>
  <c r="C1002" i="14"/>
  <c r="G1002" i="10" s="1"/>
  <c r="C1007" i="14"/>
  <c r="G1007" i="10" s="1"/>
  <c r="C1013" i="14"/>
  <c r="G1013" i="10" s="1"/>
  <c r="C1018" i="14"/>
  <c r="G1018" i="10" s="1"/>
  <c r="C1023" i="14"/>
  <c r="G1023" i="10" s="1"/>
  <c r="C1029" i="14"/>
  <c r="G1029" i="10" s="1"/>
  <c r="C1034" i="14"/>
  <c r="G1034" i="10" s="1"/>
  <c r="C1039" i="14"/>
  <c r="G1039" i="10" s="1"/>
  <c r="C1045" i="14"/>
  <c r="G1045" i="10" s="1"/>
  <c r="C1050" i="14"/>
  <c r="G1050" i="10" s="1"/>
  <c r="C1055" i="14"/>
  <c r="G1055" i="10" s="1"/>
  <c r="C1061" i="14"/>
  <c r="G1061" i="10" s="1"/>
  <c r="C1066" i="14"/>
  <c r="G1066" i="10" s="1"/>
  <c r="C1071" i="14"/>
  <c r="G1071" i="10" s="1"/>
  <c r="C1077" i="14"/>
  <c r="G1077" i="10" s="1"/>
  <c r="C1082" i="14"/>
  <c r="G1082" i="10" s="1"/>
  <c r="C1087" i="14"/>
  <c r="G1087" i="10" s="1"/>
  <c r="C1093" i="14"/>
  <c r="G1093" i="10" s="1"/>
  <c r="C1098" i="14"/>
  <c r="G1098" i="10" s="1"/>
  <c r="C1103" i="14"/>
  <c r="G1103" i="10" s="1"/>
  <c r="C1109" i="14"/>
  <c r="G1109" i="10" s="1"/>
  <c r="C1114" i="14"/>
  <c r="G1114" i="10" s="1"/>
  <c r="C1119" i="14"/>
  <c r="G1119" i="10" s="1"/>
  <c r="C1125" i="14"/>
  <c r="G1125" i="10" s="1"/>
  <c r="C1130" i="14"/>
  <c r="G1130" i="10" s="1"/>
  <c r="C1135" i="14"/>
  <c r="G1135" i="10" s="1"/>
  <c r="C1141" i="14"/>
  <c r="G1141" i="10" s="1"/>
  <c r="C1146" i="14"/>
  <c r="G1146" i="10" s="1"/>
  <c r="C1151" i="14"/>
  <c r="G1151" i="10" s="1"/>
  <c r="C1157" i="14"/>
  <c r="G1157" i="10" s="1"/>
  <c r="C1162" i="14"/>
  <c r="G1162" i="10" s="1"/>
  <c r="C1167" i="14"/>
  <c r="G1167" i="10" s="1"/>
  <c r="C1173" i="14"/>
  <c r="G1173" i="10" s="1"/>
  <c r="C1178" i="14"/>
  <c r="G1178" i="10" s="1"/>
  <c r="C1183" i="14"/>
  <c r="G1183" i="10" s="1"/>
  <c r="C1189" i="14"/>
  <c r="G1189" i="10" s="1"/>
  <c r="C1194" i="14"/>
  <c r="G1194" i="10" s="1"/>
  <c r="C1199" i="14"/>
  <c r="G1199" i="10" s="1"/>
  <c r="C1205" i="14"/>
  <c r="G1205" i="10" s="1"/>
  <c r="C1210" i="14"/>
  <c r="G1210" i="10" s="1"/>
  <c r="C1215" i="14"/>
  <c r="G1215" i="10" s="1"/>
  <c r="C1221" i="14"/>
  <c r="G1221" i="10" s="1"/>
  <c r="C1226" i="14"/>
  <c r="G1226" i="10" s="1"/>
  <c r="C1231" i="14"/>
  <c r="G1231" i="10" s="1"/>
  <c r="C1237" i="14"/>
  <c r="G1237" i="10" s="1"/>
  <c r="C1242" i="14"/>
  <c r="G1242" i="10" s="1"/>
  <c r="C1247" i="14"/>
  <c r="G1247" i="10" s="1"/>
  <c r="C1253" i="14"/>
  <c r="G1253" i="10" s="1"/>
  <c r="C1258" i="14"/>
  <c r="G1258" i="10" s="1"/>
  <c r="C1263" i="14"/>
  <c r="G1263" i="10" s="1"/>
  <c r="C1269" i="14"/>
  <c r="G1269" i="10" s="1"/>
  <c r="C1274" i="14"/>
  <c r="G1274" i="10" s="1"/>
  <c r="C1279" i="14"/>
  <c r="G1279" i="10" s="1"/>
  <c r="C1285" i="14"/>
  <c r="G1285" i="10" s="1"/>
  <c r="C1290" i="14"/>
  <c r="G1290" i="10" s="1"/>
  <c r="C1295" i="14"/>
  <c r="G1295" i="10" s="1"/>
  <c r="C1301" i="14"/>
  <c r="G1301" i="10" s="1"/>
  <c r="C1306" i="14"/>
  <c r="G1306" i="10" s="1"/>
  <c r="C1311" i="14"/>
  <c r="G1311" i="10" s="1"/>
  <c r="C1317" i="14"/>
  <c r="G1317" i="10" s="1"/>
  <c r="C1322" i="14"/>
  <c r="G1322" i="10" s="1"/>
  <c r="C1327" i="14"/>
  <c r="G1327" i="10" s="1"/>
  <c r="C1333" i="14"/>
  <c r="G1333" i="10" s="1"/>
  <c r="C1338" i="14"/>
  <c r="G1338" i="10" s="1"/>
  <c r="C1343" i="14"/>
  <c r="G1343" i="10" s="1"/>
  <c r="C1349" i="14"/>
  <c r="G1349" i="10" s="1"/>
  <c r="C1354" i="14"/>
  <c r="G1354" i="10" s="1"/>
  <c r="C1358" i="14"/>
  <c r="G1358" i="10" s="1"/>
  <c r="C1362" i="14"/>
  <c r="G1362" i="10" s="1"/>
  <c r="C1366" i="14"/>
  <c r="G1366" i="10" s="1"/>
  <c r="C1370" i="14"/>
  <c r="G1370" i="10" s="1"/>
  <c r="C1374" i="14"/>
  <c r="G1374" i="10" s="1"/>
  <c r="C1378" i="14"/>
  <c r="G1378" i="10" s="1"/>
  <c r="C1382" i="14"/>
  <c r="G1382" i="10" s="1"/>
  <c r="C1386" i="14"/>
  <c r="G1386" i="10" s="1"/>
  <c r="C1390" i="14"/>
  <c r="G1390" i="10" s="1"/>
  <c r="C1394" i="14"/>
  <c r="G1394" i="10" s="1"/>
  <c r="C1398" i="14"/>
  <c r="G1398" i="10" s="1"/>
  <c r="C1402" i="14"/>
  <c r="G1402" i="10" s="1"/>
  <c r="C1406" i="14"/>
  <c r="G1406" i="10" s="1"/>
  <c r="C1410" i="14"/>
  <c r="G1410" i="10" s="1"/>
  <c r="C1414" i="14"/>
  <c r="G1414" i="10" s="1"/>
  <c r="C1418" i="14"/>
  <c r="G1418" i="10" s="1"/>
  <c r="C1422" i="14"/>
  <c r="G1422" i="10" s="1"/>
  <c r="C1426" i="14"/>
  <c r="G1426" i="10" s="1"/>
  <c r="C1430" i="14"/>
  <c r="G1430" i="10" s="1"/>
  <c r="C1434" i="14"/>
  <c r="G1434" i="10" s="1"/>
  <c r="C1438" i="14"/>
  <c r="G1438" i="10" s="1"/>
  <c r="C1442" i="14"/>
  <c r="G1442" i="10" s="1"/>
  <c r="C1446" i="14"/>
  <c r="G1446" i="10" s="1"/>
  <c r="C1450" i="14"/>
  <c r="G1450" i="10" s="1"/>
  <c r="C1454" i="14"/>
  <c r="G1454" i="10" s="1"/>
  <c r="C1458" i="14"/>
  <c r="G1458" i="10" s="1"/>
  <c r="C1462" i="14"/>
  <c r="G1462" i="10" s="1"/>
  <c r="C1466" i="14"/>
  <c r="G1466" i="10" s="1"/>
  <c r="C1470" i="14"/>
  <c r="G1470" i="10" s="1"/>
  <c r="C1474" i="14"/>
  <c r="G1474" i="10" s="1"/>
  <c r="C1478" i="14"/>
  <c r="G1478" i="10" s="1"/>
  <c r="C1482" i="14"/>
  <c r="G1482" i="10" s="1"/>
  <c r="C1486" i="14"/>
  <c r="G1486" i="10" s="1"/>
  <c r="C1490" i="14"/>
  <c r="G1490" i="10" s="1"/>
  <c r="C1494" i="14"/>
  <c r="G1494" i="10" s="1"/>
  <c r="C1498" i="14"/>
  <c r="G1498" i="10" s="1"/>
  <c r="C1502" i="14"/>
  <c r="G1502" i="10" s="1"/>
  <c r="C1506" i="14"/>
  <c r="G1506" i="10" s="1"/>
  <c r="C1510" i="14"/>
  <c r="G1510" i="10" s="1"/>
  <c r="C1514" i="14"/>
  <c r="G1514" i="10" s="1"/>
  <c r="C1518" i="14"/>
  <c r="G1518" i="10" s="1"/>
  <c r="C1522" i="14"/>
  <c r="G1522" i="10" s="1"/>
  <c r="C1526" i="14"/>
  <c r="G1526" i="10" s="1"/>
  <c r="C1530" i="14"/>
  <c r="G1530" i="10" s="1"/>
  <c r="C1534" i="14"/>
  <c r="G1534" i="10" s="1"/>
  <c r="C1538" i="14"/>
  <c r="G1538" i="10" s="1"/>
  <c r="C1542" i="14"/>
  <c r="G1542" i="10" s="1"/>
  <c r="C1546" i="14"/>
  <c r="G1546" i="10" s="1"/>
  <c r="C1550" i="14"/>
  <c r="G1550" i="10" s="1"/>
  <c r="C1554" i="14"/>
  <c r="G1554" i="10" s="1"/>
  <c r="C1558" i="14"/>
  <c r="G1558" i="10" s="1"/>
  <c r="C1562" i="14"/>
  <c r="G1562" i="10" s="1"/>
  <c r="C1566" i="14"/>
  <c r="G1566" i="10" s="1"/>
  <c r="C1570" i="14"/>
  <c r="G1570" i="10" s="1"/>
  <c r="C1574" i="14"/>
  <c r="G1574" i="10" s="1"/>
  <c r="C1578" i="14"/>
  <c r="G1578" i="10" s="1"/>
  <c r="C1582" i="14"/>
  <c r="G1582" i="10" s="1"/>
  <c r="C1586" i="14"/>
  <c r="G1586" i="10" s="1"/>
  <c r="C1590" i="14"/>
  <c r="G1590" i="10" s="1"/>
  <c r="C1594" i="14"/>
  <c r="G1594" i="10" s="1"/>
  <c r="C1598" i="14"/>
  <c r="G1598" i="10" s="1"/>
  <c r="C1602" i="14"/>
  <c r="G1602" i="10" s="1"/>
  <c r="C1606" i="14"/>
  <c r="G1606" i="10" s="1"/>
  <c r="C1610" i="14"/>
  <c r="G1610" i="10" s="1"/>
  <c r="C1614" i="14"/>
  <c r="G1614" i="10" s="1"/>
  <c r="C1618" i="14"/>
  <c r="G1618" i="10" s="1"/>
  <c r="C1622" i="14"/>
  <c r="G1622" i="10" s="1"/>
  <c r="C1626" i="14"/>
  <c r="G1626" i="10" s="1"/>
  <c r="C1630" i="14"/>
  <c r="G1630" i="10" s="1"/>
  <c r="C1634" i="14"/>
  <c r="G1634" i="10" s="1"/>
  <c r="C1638" i="14"/>
  <c r="G1638" i="10" s="1"/>
  <c r="C1642" i="14"/>
  <c r="G1642" i="10" s="1"/>
  <c r="C1646" i="14"/>
  <c r="G1646" i="10" s="1"/>
  <c r="C1650" i="14"/>
  <c r="G1650" i="10" s="1"/>
  <c r="C1654" i="14"/>
  <c r="G1654" i="10" s="1"/>
  <c r="C1658" i="14"/>
  <c r="G1658" i="10" s="1"/>
  <c r="C1662" i="14"/>
  <c r="G1662" i="10" s="1"/>
  <c r="C1666" i="14"/>
  <c r="G1666" i="10" s="1"/>
  <c r="C1670" i="14"/>
  <c r="G1670" i="10" s="1"/>
  <c r="C1674" i="14"/>
  <c r="G1674" i="10" s="1"/>
  <c r="C1678" i="14"/>
  <c r="G1678" i="10" s="1"/>
  <c r="C1682" i="14"/>
  <c r="G1682" i="10" s="1"/>
  <c r="C1686" i="14"/>
  <c r="G1686" i="10" s="1"/>
  <c r="C1690" i="14"/>
  <c r="G1690" i="10" s="1"/>
  <c r="C1694" i="14"/>
  <c r="G1694" i="10" s="1"/>
  <c r="C1698" i="14"/>
  <c r="G1698" i="10" s="1"/>
  <c r="C1702" i="14"/>
  <c r="G1702" i="10" s="1"/>
  <c r="C1706" i="14"/>
  <c r="G1706" i="10" s="1"/>
  <c r="C1710" i="14"/>
  <c r="G1710" i="10" s="1"/>
  <c r="C1714" i="14"/>
  <c r="G1714" i="10" s="1"/>
  <c r="C1718" i="14"/>
  <c r="G1718" i="10" s="1"/>
  <c r="C1722" i="14"/>
  <c r="G1722" i="10" s="1"/>
  <c r="C1726" i="14"/>
  <c r="G1726" i="10" s="1"/>
  <c r="C1730" i="14"/>
  <c r="G1730" i="10" s="1"/>
  <c r="C1734" i="14"/>
  <c r="G1734" i="10" s="1"/>
  <c r="C1738" i="14"/>
  <c r="G1738" i="10" s="1"/>
  <c r="C1742" i="14"/>
  <c r="G1742" i="10" s="1"/>
  <c r="C1746" i="14"/>
  <c r="G1746" i="10" s="1"/>
  <c r="C1750" i="14"/>
  <c r="G1750" i="10" s="1"/>
  <c r="C1754" i="14"/>
  <c r="G1754" i="10" s="1"/>
  <c r="C1758" i="14"/>
  <c r="G1758" i="10" s="1"/>
  <c r="C1762" i="14"/>
  <c r="G1762" i="10" s="1"/>
  <c r="C1766" i="14"/>
  <c r="G1766" i="10" s="1"/>
  <c r="C1770" i="14"/>
  <c r="G1770" i="10" s="1"/>
  <c r="C1774" i="14"/>
  <c r="G1774" i="10" s="1"/>
  <c r="C1778" i="14"/>
  <c r="G1778" i="10" s="1"/>
  <c r="C1782" i="14"/>
  <c r="G1782" i="10" s="1"/>
  <c r="C1786" i="14"/>
  <c r="G1786" i="10" s="1"/>
  <c r="C1790" i="14"/>
  <c r="G1790" i="10" s="1"/>
  <c r="C1794" i="14"/>
  <c r="G1794" i="10" s="1"/>
  <c r="C1798" i="14"/>
  <c r="G1798" i="10" s="1"/>
  <c r="C1802" i="14"/>
  <c r="G1802" i="10" s="1"/>
  <c r="C1806" i="14"/>
  <c r="G1806" i="10" s="1"/>
  <c r="C1810" i="14"/>
  <c r="G1810" i="10" s="1"/>
  <c r="C1814" i="14"/>
  <c r="G1814" i="10" s="1"/>
  <c r="C1818" i="14"/>
  <c r="G1818" i="10" s="1"/>
  <c r="C1822" i="14"/>
  <c r="G1822" i="10" s="1"/>
  <c r="C1826" i="14"/>
  <c r="G1826" i="10" s="1"/>
  <c r="C1830" i="14"/>
  <c r="G1830" i="10" s="1"/>
  <c r="C1834" i="14"/>
  <c r="G1834" i="10" s="1"/>
  <c r="C1838" i="14"/>
  <c r="G1838" i="10" s="1"/>
  <c r="C1842" i="14"/>
  <c r="G1842" i="10" s="1"/>
  <c r="C1846" i="14"/>
  <c r="G1846" i="10" s="1"/>
  <c r="C1850" i="14"/>
  <c r="G1850" i="10" s="1"/>
  <c r="C1854" i="14"/>
  <c r="G1854" i="10" s="1"/>
  <c r="C1858" i="14"/>
  <c r="G1858" i="10" s="1"/>
  <c r="C1862" i="14"/>
  <c r="G1862" i="10" s="1"/>
  <c r="C1866" i="14"/>
  <c r="G1866" i="10" s="1"/>
  <c r="C2472" i="14"/>
  <c r="G2472" i="10" s="1"/>
  <c r="C2468" i="14"/>
  <c r="G2468" i="10" s="1"/>
  <c r="C2464" i="14"/>
  <c r="G2464" i="10" s="1"/>
  <c r="C2460" i="14"/>
  <c r="G2460" i="10" s="1"/>
  <c r="C2456" i="14"/>
  <c r="G2456" i="10" s="1"/>
  <c r="C2452" i="14"/>
  <c r="G2452" i="10" s="1"/>
  <c r="C2448" i="14"/>
  <c r="G2448" i="10" s="1"/>
  <c r="C2444" i="14"/>
  <c r="G2444" i="10" s="1"/>
  <c r="C2440" i="14"/>
  <c r="G2440" i="10" s="1"/>
  <c r="C2436" i="14"/>
  <c r="G2436" i="10" s="1"/>
  <c r="C2432" i="14"/>
  <c r="G2432" i="10" s="1"/>
  <c r="C2428" i="14"/>
  <c r="G2428" i="10" s="1"/>
  <c r="C2424" i="14"/>
  <c r="G2424" i="10" s="1"/>
  <c r="C2420" i="14"/>
  <c r="G2420" i="10" s="1"/>
  <c r="C2416" i="14"/>
  <c r="G2416" i="10" s="1"/>
  <c r="C2412" i="14"/>
  <c r="G2412" i="10" s="1"/>
  <c r="C2408" i="14"/>
  <c r="G2408" i="10" s="1"/>
  <c r="C2404" i="14"/>
  <c r="G2404" i="10" s="1"/>
  <c r="C2400" i="14"/>
  <c r="G2400" i="10" s="1"/>
  <c r="C2396" i="14"/>
  <c r="G2396" i="10" s="1"/>
  <c r="C2392" i="14"/>
  <c r="G2392" i="10" s="1"/>
  <c r="C2388" i="14"/>
  <c r="G2388" i="10" s="1"/>
  <c r="C2384" i="14"/>
  <c r="G2384" i="10" s="1"/>
  <c r="C2380" i="14"/>
  <c r="G2380" i="10" s="1"/>
  <c r="C2376" i="14"/>
  <c r="G2376" i="10" s="1"/>
  <c r="C2372" i="14"/>
  <c r="G2372" i="10" s="1"/>
  <c r="C2368" i="14"/>
  <c r="G2368" i="10" s="1"/>
  <c r="C2364" i="14"/>
  <c r="G2364" i="10" s="1"/>
  <c r="C2360" i="14"/>
  <c r="G2360" i="10" s="1"/>
  <c r="C2356" i="14"/>
  <c r="G2356" i="10" s="1"/>
  <c r="C2352" i="14"/>
  <c r="G2352" i="10" s="1"/>
  <c r="C2348" i="14"/>
  <c r="G2348" i="10" s="1"/>
  <c r="C2344" i="14"/>
  <c r="G2344" i="10" s="1"/>
  <c r="C2340" i="14"/>
  <c r="G2340" i="10" s="1"/>
  <c r="C2336" i="14"/>
  <c r="G2336" i="10" s="1"/>
  <c r="C2332" i="14"/>
  <c r="G2332" i="10" s="1"/>
  <c r="C2328" i="14"/>
  <c r="G2328" i="10" s="1"/>
  <c r="C2324" i="14"/>
  <c r="G2324" i="10" s="1"/>
  <c r="C2320" i="14"/>
  <c r="G2320" i="10" s="1"/>
  <c r="C2316" i="14"/>
  <c r="G2316" i="10" s="1"/>
  <c r="C2312" i="14"/>
  <c r="G2312" i="10" s="1"/>
  <c r="C2308" i="14"/>
  <c r="G2308" i="10" s="1"/>
  <c r="C2304" i="14"/>
  <c r="G2304" i="10" s="1"/>
  <c r="C2300" i="14"/>
  <c r="G2300" i="10" s="1"/>
  <c r="C2296" i="14"/>
  <c r="G2296" i="10" s="1"/>
  <c r="C2292" i="14"/>
  <c r="G2292" i="10" s="1"/>
  <c r="C2288" i="14"/>
  <c r="G2288" i="10" s="1"/>
  <c r="C2284" i="14"/>
  <c r="G2284" i="10" s="1"/>
  <c r="C2280" i="14"/>
  <c r="G2280" i="10" s="1"/>
  <c r="C2276" i="14"/>
  <c r="G2276" i="10" s="1"/>
  <c r="C2272" i="14"/>
  <c r="G2272" i="10" s="1"/>
  <c r="C2268" i="14"/>
  <c r="G2268" i="10" s="1"/>
  <c r="C2264" i="14"/>
  <c r="G2264" i="10" s="1"/>
  <c r="C2260" i="14"/>
  <c r="G2260" i="10" s="1"/>
  <c r="C2256" i="14"/>
  <c r="G2256" i="10" s="1"/>
  <c r="C2252" i="14"/>
  <c r="G2252" i="10" s="1"/>
  <c r="C2248" i="14"/>
  <c r="G2248" i="10" s="1"/>
  <c r="C2244" i="14"/>
  <c r="G2244" i="10" s="1"/>
  <c r="C2240" i="14"/>
  <c r="G2240" i="10" s="1"/>
  <c r="C2236" i="14"/>
  <c r="G2236" i="10" s="1"/>
  <c r="C2232" i="14"/>
  <c r="G2232" i="10" s="1"/>
  <c r="C2228" i="14"/>
  <c r="G2228" i="10" s="1"/>
  <c r="C2224" i="14"/>
  <c r="G2224" i="10" s="1"/>
  <c r="C2220" i="14"/>
  <c r="G2220" i="10" s="1"/>
  <c r="C2216" i="14"/>
  <c r="G2216" i="10" s="1"/>
  <c r="C2212" i="14"/>
  <c r="G2212" i="10" s="1"/>
  <c r="C2208" i="14"/>
  <c r="G2208" i="10" s="1"/>
  <c r="C2204" i="14"/>
  <c r="G2204" i="10" s="1"/>
  <c r="C2200" i="14"/>
  <c r="G2200" i="10" s="1"/>
  <c r="C2196" i="14"/>
  <c r="G2196" i="10" s="1"/>
  <c r="C2192" i="14"/>
  <c r="G2192" i="10" s="1"/>
  <c r="C2188" i="14"/>
  <c r="G2188" i="10" s="1"/>
  <c r="C2184" i="14"/>
  <c r="G2184" i="10" s="1"/>
  <c r="C2180" i="14"/>
  <c r="G2180" i="10" s="1"/>
  <c r="C2176" i="14"/>
  <c r="G2176" i="10" s="1"/>
  <c r="C2172" i="14"/>
  <c r="G2172" i="10" s="1"/>
  <c r="C2168" i="14"/>
  <c r="G2168" i="10" s="1"/>
  <c r="C2164" i="14"/>
  <c r="G2164" i="10" s="1"/>
  <c r="C2160" i="14"/>
  <c r="G2160" i="10" s="1"/>
  <c r="C2156" i="14"/>
  <c r="G2156" i="10" s="1"/>
  <c r="C2152" i="14"/>
  <c r="G2152" i="10" s="1"/>
  <c r="C2148" i="14"/>
  <c r="G2148" i="10" s="1"/>
  <c r="C2144" i="14"/>
  <c r="G2144" i="10" s="1"/>
  <c r="C2140" i="14"/>
  <c r="G2140" i="10" s="1"/>
  <c r="C2136" i="14"/>
  <c r="G2136" i="10" s="1"/>
  <c r="C2132" i="14"/>
  <c r="G2132" i="10" s="1"/>
  <c r="C2128" i="14"/>
  <c r="G2128" i="10" s="1"/>
  <c r="C2124" i="14"/>
  <c r="G2124" i="10" s="1"/>
  <c r="C2120" i="14"/>
  <c r="G2120" i="10" s="1"/>
  <c r="C2116" i="14"/>
  <c r="G2116" i="10" s="1"/>
  <c r="C2112" i="14"/>
  <c r="G2112" i="10" s="1"/>
  <c r="C2108" i="14"/>
  <c r="G2108" i="10" s="1"/>
  <c r="C2104" i="14"/>
  <c r="G2104" i="10" s="1"/>
  <c r="C2100" i="14"/>
  <c r="G2100" i="10" s="1"/>
  <c r="C2096" i="14"/>
  <c r="G2096" i="10" s="1"/>
  <c r="C2092" i="14"/>
  <c r="G2092" i="10" s="1"/>
  <c r="C2088" i="14"/>
  <c r="G2088" i="10" s="1"/>
  <c r="C2084" i="14"/>
  <c r="G2084" i="10" s="1"/>
  <c r="C2080" i="14"/>
  <c r="G2080" i="10" s="1"/>
  <c r="C2076" i="14"/>
  <c r="G2076" i="10" s="1"/>
  <c r="C2072" i="14"/>
  <c r="G2072" i="10" s="1"/>
  <c r="C2068" i="14"/>
  <c r="G2068" i="10" s="1"/>
  <c r="C2064" i="14"/>
  <c r="G2064" i="10" s="1"/>
  <c r="C2060" i="14"/>
  <c r="G2060" i="10" s="1"/>
  <c r="C2056" i="14"/>
  <c r="G2056" i="10" s="1"/>
  <c r="C2052" i="14"/>
  <c r="G2052" i="10" s="1"/>
  <c r="C2048" i="14"/>
  <c r="G2048" i="10" s="1"/>
  <c r="C2044" i="14"/>
  <c r="G2044" i="10" s="1"/>
  <c r="C2040" i="14"/>
  <c r="G2040" i="10" s="1"/>
  <c r="C2036" i="14"/>
  <c r="G2036" i="10" s="1"/>
  <c r="C2032" i="14"/>
  <c r="G2032" i="10" s="1"/>
  <c r="C2028" i="14"/>
  <c r="G2028" i="10" s="1"/>
  <c r="C2024" i="14"/>
  <c r="G2024" i="10" s="1"/>
  <c r="C2020" i="14"/>
  <c r="G2020" i="10" s="1"/>
  <c r="C2016" i="14"/>
  <c r="G2016" i="10" s="1"/>
  <c r="C2012" i="14"/>
  <c r="G2012" i="10" s="1"/>
  <c r="C2008" i="14"/>
  <c r="G2008" i="10" s="1"/>
  <c r="C2004" i="14"/>
  <c r="G2004" i="10" s="1"/>
  <c r="C2000" i="14"/>
  <c r="G2000" i="10" s="1"/>
  <c r="C1996" i="14"/>
  <c r="G1996" i="10" s="1"/>
  <c r="C1992" i="14"/>
  <c r="G1992" i="10" s="1"/>
  <c r="C1988" i="14"/>
  <c r="G1988" i="10" s="1"/>
  <c r="C1984" i="14"/>
  <c r="G1984" i="10" s="1"/>
  <c r="C1980" i="14"/>
  <c r="G1980" i="10" s="1"/>
  <c r="C1976" i="14"/>
  <c r="G1976" i="10" s="1"/>
  <c r="C1972" i="14"/>
  <c r="G1972" i="10" s="1"/>
  <c r="C1968" i="14"/>
  <c r="G1968" i="10" s="1"/>
  <c r="C1964" i="14"/>
  <c r="G1964" i="10" s="1"/>
  <c r="C1960" i="14"/>
  <c r="G1960" i="10" s="1"/>
  <c r="C1956" i="14"/>
  <c r="G1956" i="10" s="1"/>
  <c r="C1952" i="14"/>
  <c r="G1952" i="10" s="1"/>
  <c r="C1948" i="14"/>
  <c r="G1948" i="10" s="1"/>
  <c r="C1944" i="14"/>
  <c r="G1944" i="10" s="1"/>
  <c r="C1940" i="14"/>
  <c r="G1940" i="10" s="1"/>
  <c r="C1936" i="14"/>
  <c r="G1936" i="10" s="1"/>
  <c r="C1932" i="14"/>
  <c r="G1932" i="10" s="1"/>
  <c r="C1928" i="14"/>
  <c r="G1928" i="10" s="1"/>
  <c r="C1924" i="14"/>
  <c r="G1924" i="10" s="1"/>
  <c r="C1920" i="14"/>
  <c r="G1920" i="10" s="1"/>
  <c r="C1916" i="14"/>
  <c r="G1916" i="10" s="1"/>
  <c r="C1912" i="14"/>
  <c r="G1912" i="10" s="1"/>
  <c r="C1908" i="14"/>
  <c r="G1908" i="10" s="1"/>
  <c r="C1904" i="14"/>
  <c r="G1904" i="10" s="1"/>
  <c r="C1900" i="14"/>
  <c r="G1900" i="10" s="1"/>
  <c r="C1896" i="14"/>
  <c r="G1896" i="10" s="1"/>
  <c r="C1892" i="14"/>
  <c r="G1892" i="10" s="1"/>
  <c r="C1888" i="14"/>
  <c r="G1888" i="10" s="1"/>
  <c r="C1884" i="14"/>
  <c r="G1884" i="10" s="1"/>
  <c r="C1880" i="14"/>
  <c r="G1880" i="10" s="1"/>
  <c r="C1876" i="14"/>
  <c r="G1876" i="10" s="1"/>
  <c r="C1872" i="14"/>
  <c r="G1872" i="10" s="1"/>
  <c r="C1867" i="14"/>
  <c r="G1867" i="10" s="1"/>
  <c r="C1859" i="14"/>
  <c r="G1859" i="10" s="1"/>
  <c r="C1851" i="14"/>
  <c r="G1851" i="10" s="1"/>
  <c r="C1843" i="14"/>
  <c r="G1843" i="10" s="1"/>
  <c r="C1835" i="14"/>
  <c r="G1835" i="10" s="1"/>
  <c r="C1827" i="14"/>
  <c r="G1827" i="10" s="1"/>
  <c r="C1811" i="14"/>
  <c r="G1811" i="10" s="1"/>
  <c r="C1795" i="14"/>
  <c r="G1795" i="10" s="1"/>
  <c r="C1779" i="14"/>
  <c r="G1779" i="10" s="1"/>
  <c r="C1763" i="14"/>
  <c r="G1763" i="10" s="1"/>
  <c r="C1747" i="14"/>
  <c r="G1747" i="10" s="1"/>
  <c r="C1731" i="14"/>
  <c r="G1731" i="10" s="1"/>
  <c r="C1715" i="14"/>
  <c r="G1715" i="10" s="1"/>
  <c r="C1699" i="14"/>
  <c r="G1699" i="10" s="1"/>
  <c r="C1683" i="14"/>
  <c r="G1683" i="10" s="1"/>
  <c r="C1667" i="14"/>
  <c r="G1667" i="10" s="1"/>
  <c r="C1651" i="14"/>
  <c r="G1651" i="10" s="1"/>
  <c r="C1635" i="14"/>
  <c r="G1635" i="10" s="1"/>
  <c r="C1619" i="14"/>
  <c r="G1619" i="10" s="1"/>
  <c r="C1603" i="14"/>
  <c r="G1603" i="10" s="1"/>
  <c r="C1587" i="14"/>
  <c r="G1587" i="10" s="1"/>
  <c r="C1571" i="14"/>
  <c r="G1571" i="10" s="1"/>
  <c r="C1555" i="14"/>
  <c r="G1555" i="10" s="1"/>
  <c r="C1539" i="14"/>
  <c r="G1539" i="10" s="1"/>
  <c r="C1523" i="14"/>
  <c r="G1523" i="10" s="1"/>
  <c r="C1507" i="14"/>
  <c r="G1507" i="10" s="1"/>
  <c r="C1491" i="14"/>
  <c r="G1491" i="10" s="1"/>
  <c r="C1475" i="14"/>
  <c r="G1475" i="10" s="1"/>
  <c r="C1459" i="14"/>
  <c r="G1459" i="10" s="1"/>
  <c r="C1443" i="14"/>
  <c r="G1443" i="10" s="1"/>
  <c r="C1427" i="14"/>
  <c r="G1427" i="10" s="1"/>
  <c r="C1411" i="14"/>
  <c r="G1411" i="10" s="1"/>
  <c r="C1395" i="14"/>
  <c r="G1395" i="10" s="1"/>
  <c r="C1379" i="14"/>
  <c r="G1379" i="10" s="1"/>
  <c r="C1363" i="14"/>
  <c r="G1363" i="10" s="1"/>
  <c r="C1345" i="14"/>
  <c r="G1345" i="10" s="1"/>
  <c r="C1323" i="14"/>
  <c r="G1323" i="10" s="1"/>
  <c r="C1302" i="14"/>
  <c r="G1302" i="10" s="1"/>
  <c r="C1281" i="14"/>
  <c r="G1281" i="10" s="1"/>
  <c r="C1259" i="14"/>
  <c r="G1259" i="10" s="1"/>
  <c r="C1238" i="14"/>
  <c r="G1238" i="10" s="1"/>
  <c r="C1217" i="14"/>
  <c r="G1217" i="10" s="1"/>
  <c r="C1195" i="14"/>
  <c r="G1195" i="10" s="1"/>
  <c r="C1174" i="14"/>
  <c r="G1174" i="10" s="1"/>
  <c r="C1153" i="14"/>
  <c r="G1153" i="10" s="1"/>
  <c r="C1131" i="14"/>
  <c r="G1131" i="10" s="1"/>
  <c r="C1110" i="14"/>
  <c r="G1110" i="10" s="1"/>
  <c r="C1089" i="14"/>
  <c r="G1089" i="10" s="1"/>
  <c r="C1067" i="14"/>
  <c r="G1067" i="10" s="1"/>
  <c r="C1046" i="14"/>
  <c r="G1046" i="10" s="1"/>
  <c r="C1025" i="14"/>
  <c r="G1025" i="10" s="1"/>
  <c r="C1003" i="14"/>
  <c r="G1003" i="10" s="1"/>
  <c r="C982" i="14"/>
  <c r="G982" i="10" s="1"/>
  <c r="C961" i="14"/>
  <c r="G961" i="10" s="1"/>
  <c r="C939" i="14"/>
  <c r="G939" i="10" s="1"/>
  <c r="C918" i="14"/>
  <c r="G918" i="10" s="1"/>
  <c r="C897" i="14"/>
  <c r="G897" i="10" s="1"/>
  <c r="C875" i="14"/>
  <c r="G875" i="10" s="1"/>
  <c r="C854" i="14"/>
  <c r="G854" i="10" s="1"/>
  <c r="C833" i="14"/>
  <c r="G833" i="10" s="1"/>
  <c r="C811" i="14"/>
  <c r="G811" i="10" s="1"/>
  <c r="C790" i="14"/>
  <c r="G790" i="10" s="1"/>
  <c r="C769" i="14"/>
  <c r="G769" i="10" s="1"/>
  <c r="C747" i="14"/>
  <c r="G747" i="10" s="1"/>
  <c r="C726" i="14"/>
  <c r="G726" i="10" s="1"/>
  <c r="C705" i="14"/>
  <c r="G705" i="10" s="1"/>
  <c r="C677" i="14"/>
  <c r="G677" i="10" s="1"/>
  <c r="C649" i="14"/>
  <c r="G649" i="10" s="1"/>
  <c r="C613" i="14"/>
  <c r="G613" i="10" s="1"/>
  <c r="C570" i="14"/>
  <c r="G570" i="10" s="1"/>
  <c r="C527" i="14"/>
  <c r="G527" i="10" s="1"/>
  <c r="C485" i="14"/>
  <c r="G485" i="10" s="1"/>
  <c r="C442" i="14"/>
  <c r="G442" i="10" s="1"/>
  <c r="C399" i="14"/>
  <c r="G399" i="10" s="1"/>
  <c r="C357" i="14"/>
  <c r="G357" i="10" s="1"/>
  <c r="C314" i="14"/>
  <c r="G314" i="10" s="1"/>
  <c r="C271" i="14"/>
  <c r="G271" i="10" s="1"/>
  <c r="C229" i="14"/>
  <c r="G229" i="10" s="1"/>
  <c r="C186" i="14"/>
  <c r="G186" i="10" s="1"/>
  <c r="C143" i="14"/>
  <c r="G143" i="10" s="1"/>
  <c r="C101" i="14"/>
  <c r="G101" i="10" s="1"/>
  <c r="C58" i="14"/>
  <c r="G58" i="10" s="1"/>
  <c r="C15" i="14"/>
  <c r="G15" i="10" s="1"/>
  <c r="C2015" i="14"/>
  <c r="G2015" i="10" s="1"/>
  <c r="C2011" i="14"/>
  <c r="G2011" i="10" s="1"/>
  <c r="C2007" i="14"/>
  <c r="G2007" i="10" s="1"/>
  <c r="C2003" i="14"/>
  <c r="G2003" i="10" s="1"/>
  <c r="C1999" i="14"/>
  <c r="G1999" i="10" s="1"/>
  <c r="C1995" i="14"/>
  <c r="G1995" i="10" s="1"/>
  <c r="C1991" i="14"/>
  <c r="G1991" i="10" s="1"/>
  <c r="C1987" i="14"/>
  <c r="G1987" i="10" s="1"/>
  <c r="C1983" i="14"/>
  <c r="G1983" i="10" s="1"/>
  <c r="C1979" i="14"/>
  <c r="G1979" i="10" s="1"/>
  <c r="C1975" i="14"/>
  <c r="G1975" i="10" s="1"/>
  <c r="C1971" i="14"/>
  <c r="G1971" i="10" s="1"/>
  <c r="C1967" i="14"/>
  <c r="G1967" i="10" s="1"/>
  <c r="C1963" i="14"/>
  <c r="G1963" i="10" s="1"/>
  <c r="C1959" i="14"/>
  <c r="G1959" i="10" s="1"/>
  <c r="C1955" i="14"/>
  <c r="G1955" i="10" s="1"/>
  <c r="C1951" i="14"/>
  <c r="G1951" i="10" s="1"/>
  <c r="C1947" i="14"/>
  <c r="G1947" i="10" s="1"/>
  <c r="C1943" i="14"/>
  <c r="G1943" i="10" s="1"/>
  <c r="C1939" i="14"/>
  <c r="G1939" i="10" s="1"/>
  <c r="C1935" i="14"/>
  <c r="G1935" i="10" s="1"/>
  <c r="C1931" i="14"/>
  <c r="G1931" i="10" s="1"/>
  <c r="C1927" i="14"/>
  <c r="G1927" i="10" s="1"/>
  <c r="C1923" i="14"/>
  <c r="G1923" i="10" s="1"/>
  <c r="C1919" i="14"/>
  <c r="G1919" i="10" s="1"/>
  <c r="C1915" i="14"/>
  <c r="G1915" i="10" s="1"/>
  <c r="C1911" i="14"/>
  <c r="G1911" i="10" s="1"/>
  <c r="C1907" i="14"/>
  <c r="G1907" i="10" s="1"/>
  <c r="C1903" i="14"/>
  <c r="G1903" i="10" s="1"/>
  <c r="C1899" i="14"/>
  <c r="G1899" i="10" s="1"/>
  <c r="C1895" i="14"/>
  <c r="G1895" i="10" s="1"/>
  <c r="C1891" i="14"/>
  <c r="G1891" i="10" s="1"/>
  <c r="C1887" i="14"/>
  <c r="G1887" i="10" s="1"/>
  <c r="C1883" i="14"/>
  <c r="G1883" i="10" s="1"/>
  <c r="C1879" i="14"/>
  <c r="G1879" i="10" s="1"/>
  <c r="C1875" i="14"/>
  <c r="G1875" i="10" s="1"/>
  <c r="C1871" i="14"/>
  <c r="G1871" i="10" s="1"/>
  <c r="C1865" i="14"/>
  <c r="G1865" i="10" s="1"/>
  <c r="C1857" i="14"/>
  <c r="G1857" i="10" s="1"/>
  <c r="C1849" i="14"/>
  <c r="G1849" i="10" s="1"/>
  <c r="C1841" i="14"/>
  <c r="G1841" i="10" s="1"/>
  <c r="C1833" i="14"/>
  <c r="G1833" i="10" s="1"/>
  <c r="C1823" i="14"/>
  <c r="G1823" i="10" s="1"/>
  <c r="C1807" i="14"/>
  <c r="G1807" i="10" s="1"/>
  <c r="C1791" i="14"/>
  <c r="G1791" i="10" s="1"/>
  <c r="C1775" i="14"/>
  <c r="G1775" i="10" s="1"/>
  <c r="C1759" i="14"/>
  <c r="G1759" i="10" s="1"/>
  <c r="C1743" i="14"/>
  <c r="G1743" i="10" s="1"/>
  <c r="C1727" i="14"/>
  <c r="G1727" i="10" s="1"/>
  <c r="C1711" i="14"/>
  <c r="G1711" i="10" s="1"/>
  <c r="C1695" i="14"/>
  <c r="G1695" i="10" s="1"/>
  <c r="C1679" i="14"/>
  <c r="G1679" i="10" s="1"/>
  <c r="C1663" i="14"/>
  <c r="G1663" i="10" s="1"/>
  <c r="C1647" i="14"/>
  <c r="G1647" i="10" s="1"/>
  <c r="C1631" i="14"/>
  <c r="G1631" i="10" s="1"/>
  <c r="C1615" i="14"/>
  <c r="G1615" i="10" s="1"/>
  <c r="C1599" i="14"/>
  <c r="G1599" i="10" s="1"/>
  <c r="C1583" i="14"/>
  <c r="G1583" i="10" s="1"/>
  <c r="C1567" i="14"/>
  <c r="G1567" i="10" s="1"/>
  <c r="C1551" i="14"/>
  <c r="G1551" i="10" s="1"/>
  <c r="C1535" i="14"/>
  <c r="G1535" i="10" s="1"/>
  <c r="C1519" i="14"/>
  <c r="G1519" i="10" s="1"/>
  <c r="C1503" i="14"/>
  <c r="G1503" i="10" s="1"/>
  <c r="C1487" i="14"/>
  <c r="G1487" i="10" s="1"/>
  <c r="C1471" i="14"/>
  <c r="G1471" i="10" s="1"/>
  <c r="C1455" i="14"/>
  <c r="G1455" i="10" s="1"/>
  <c r="C1439" i="14"/>
  <c r="G1439" i="10" s="1"/>
  <c r="C1423" i="14"/>
  <c r="G1423" i="10" s="1"/>
  <c r="C1407" i="14"/>
  <c r="G1407" i="10" s="1"/>
  <c r="C1391" i="14"/>
  <c r="G1391" i="10" s="1"/>
  <c r="C1375" i="14"/>
  <c r="G1375" i="10" s="1"/>
  <c r="C1359" i="14"/>
  <c r="G1359" i="10" s="1"/>
  <c r="C1339" i="14"/>
  <c r="G1339" i="10" s="1"/>
  <c r="C1318" i="14"/>
  <c r="G1318" i="10" s="1"/>
  <c r="C1297" i="14"/>
  <c r="G1297" i="10" s="1"/>
  <c r="C1275" i="14"/>
  <c r="G1275" i="10" s="1"/>
  <c r="C1254" i="14"/>
  <c r="G1254" i="10" s="1"/>
  <c r="C1233" i="14"/>
  <c r="G1233" i="10" s="1"/>
  <c r="C1211" i="14"/>
  <c r="G1211" i="10" s="1"/>
  <c r="C1190" i="14"/>
  <c r="G1190" i="10" s="1"/>
  <c r="C1169" i="14"/>
  <c r="G1169" i="10" s="1"/>
  <c r="C1147" i="14"/>
  <c r="G1147" i="10" s="1"/>
  <c r="C1126" i="14"/>
  <c r="G1126" i="10" s="1"/>
  <c r="C1105" i="14"/>
  <c r="G1105" i="10" s="1"/>
  <c r="C1083" i="14"/>
  <c r="G1083" i="10" s="1"/>
  <c r="C1062" i="14"/>
  <c r="G1062" i="10" s="1"/>
  <c r="C1041" i="14"/>
  <c r="G1041" i="10" s="1"/>
  <c r="C1019" i="14"/>
  <c r="G1019" i="10" s="1"/>
  <c r="C998" i="14"/>
  <c r="G998" i="10" s="1"/>
  <c r="C977" i="14"/>
  <c r="G977" i="10" s="1"/>
  <c r="C955" i="14"/>
  <c r="G955" i="10" s="1"/>
  <c r="C934" i="14"/>
  <c r="G934" i="10" s="1"/>
  <c r="C913" i="14"/>
  <c r="G913" i="10" s="1"/>
  <c r="C891" i="14"/>
  <c r="G891" i="10" s="1"/>
  <c r="C870" i="14"/>
  <c r="G870" i="10" s="1"/>
  <c r="C849" i="14"/>
  <c r="G849" i="10" s="1"/>
  <c r="C827" i="14"/>
  <c r="G827" i="10" s="1"/>
  <c r="C806" i="14"/>
  <c r="G806" i="10" s="1"/>
  <c r="C785" i="14"/>
  <c r="G785" i="10" s="1"/>
  <c r="C763" i="14"/>
  <c r="G763" i="10" s="1"/>
  <c r="C742" i="14"/>
  <c r="G742" i="10" s="1"/>
  <c r="C721" i="14"/>
  <c r="G721" i="10" s="1"/>
  <c r="C698" i="14"/>
  <c r="G698" i="10" s="1"/>
  <c r="C670" i="14"/>
  <c r="G670" i="10" s="1"/>
  <c r="C642" i="14"/>
  <c r="G642" i="10" s="1"/>
  <c r="C602" i="14"/>
  <c r="G602" i="10" s="1"/>
  <c r="C559" i="14"/>
  <c r="G559" i="10" s="1"/>
  <c r="C517" i="14"/>
  <c r="G517" i="10" s="1"/>
  <c r="C474" i="14"/>
  <c r="G474" i="10" s="1"/>
  <c r="C431" i="14"/>
  <c r="G431" i="10" s="1"/>
  <c r="C389" i="14"/>
  <c r="G389" i="10" s="1"/>
  <c r="C346" i="14"/>
  <c r="G346" i="10" s="1"/>
  <c r="C303" i="14"/>
  <c r="G303" i="10" s="1"/>
  <c r="C261" i="14"/>
  <c r="G261" i="10" s="1"/>
  <c r="C218" i="14"/>
  <c r="G218" i="10" s="1"/>
  <c r="C175" i="14"/>
  <c r="G175" i="10" s="1"/>
  <c r="C133" i="14"/>
  <c r="G133" i="10" s="1"/>
  <c r="C90" i="14"/>
  <c r="G90" i="10" s="1"/>
  <c r="C47" i="14"/>
  <c r="G47" i="10" s="1"/>
  <c r="C5" i="14"/>
  <c r="G5" i="10" s="1"/>
  <c r="C2026" i="14"/>
  <c r="G2026" i="10" s="1"/>
  <c r="C2022" i="14"/>
  <c r="G2022" i="10" s="1"/>
  <c r="C2018" i="14"/>
  <c r="G2018" i="10" s="1"/>
  <c r="C2014" i="14"/>
  <c r="G2014" i="10" s="1"/>
  <c r="C2010" i="14"/>
  <c r="G2010" i="10" s="1"/>
  <c r="C2006" i="14"/>
  <c r="G2006" i="10" s="1"/>
  <c r="C2002" i="14"/>
  <c r="G2002" i="10" s="1"/>
  <c r="C1998" i="14"/>
  <c r="G1998" i="10" s="1"/>
  <c r="C1994" i="14"/>
  <c r="G1994" i="10" s="1"/>
  <c r="C1990" i="14"/>
  <c r="G1990" i="10" s="1"/>
  <c r="C1986" i="14"/>
  <c r="G1986" i="10" s="1"/>
  <c r="C1982" i="14"/>
  <c r="G1982" i="10" s="1"/>
  <c r="C1978" i="14"/>
  <c r="G1978" i="10" s="1"/>
  <c r="C1974" i="14"/>
  <c r="G1974" i="10" s="1"/>
  <c r="C1970" i="14"/>
  <c r="G1970" i="10" s="1"/>
  <c r="C1966" i="14"/>
  <c r="G1966" i="10" s="1"/>
  <c r="C1962" i="14"/>
  <c r="G1962" i="10" s="1"/>
  <c r="C1958" i="14"/>
  <c r="G1958" i="10" s="1"/>
  <c r="C1954" i="14"/>
  <c r="G1954" i="10" s="1"/>
  <c r="C1950" i="14"/>
  <c r="G1950" i="10" s="1"/>
  <c r="C1946" i="14"/>
  <c r="G1946" i="10" s="1"/>
  <c r="C1942" i="14"/>
  <c r="G1942" i="10" s="1"/>
  <c r="C1938" i="14"/>
  <c r="G1938" i="10" s="1"/>
  <c r="C1934" i="14"/>
  <c r="G1934" i="10" s="1"/>
  <c r="C1930" i="14"/>
  <c r="G1930" i="10" s="1"/>
  <c r="C1926" i="14"/>
  <c r="G1926" i="10" s="1"/>
  <c r="C1922" i="14"/>
  <c r="G1922" i="10" s="1"/>
  <c r="C1918" i="14"/>
  <c r="G1918" i="10" s="1"/>
  <c r="C1914" i="14"/>
  <c r="G1914" i="10" s="1"/>
  <c r="C1910" i="14"/>
  <c r="G1910" i="10" s="1"/>
  <c r="C1906" i="14"/>
  <c r="G1906" i="10" s="1"/>
  <c r="C1902" i="14"/>
  <c r="G1902" i="10" s="1"/>
  <c r="C1898" i="14"/>
  <c r="G1898" i="10" s="1"/>
  <c r="C1894" i="14"/>
  <c r="G1894" i="10" s="1"/>
  <c r="C1890" i="14"/>
  <c r="G1890" i="10" s="1"/>
  <c r="C1886" i="14"/>
  <c r="G1886" i="10" s="1"/>
  <c r="C1882" i="14"/>
  <c r="G1882" i="10" s="1"/>
  <c r="C1878" i="14"/>
  <c r="G1878" i="10" s="1"/>
  <c r="C1874" i="14"/>
  <c r="G1874" i="10" s="1"/>
  <c r="C1870" i="14"/>
  <c r="G1870" i="10" s="1"/>
  <c r="C1863" i="14"/>
  <c r="G1863" i="10" s="1"/>
  <c r="C1855" i="14"/>
  <c r="G1855" i="10" s="1"/>
  <c r="C1847" i="14"/>
  <c r="G1847" i="10" s="1"/>
  <c r="C1839" i="14"/>
  <c r="G1839" i="10" s="1"/>
  <c r="C1831" i="14"/>
  <c r="G1831" i="10" s="1"/>
  <c r="C1819" i="14"/>
  <c r="G1819" i="10" s="1"/>
  <c r="C1803" i="14"/>
  <c r="G1803" i="10" s="1"/>
  <c r="C1787" i="14"/>
  <c r="G1787" i="10" s="1"/>
  <c r="C1771" i="14"/>
  <c r="G1771" i="10" s="1"/>
  <c r="C1755" i="14"/>
  <c r="G1755" i="10" s="1"/>
  <c r="C1739" i="14"/>
  <c r="G1739" i="10" s="1"/>
  <c r="C1723" i="14"/>
  <c r="G1723" i="10" s="1"/>
  <c r="C1707" i="14"/>
  <c r="G1707" i="10" s="1"/>
  <c r="C1691" i="14"/>
  <c r="G1691" i="10" s="1"/>
  <c r="C1675" i="14"/>
  <c r="G1675" i="10" s="1"/>
  <c r="C1659" i="14"/>
  <c r="G1659" i="10" s="1"/>
  <c r="C1643" i="14"/>
  <c r="G1643" i="10" s="1"/>
  <c r="C1627" i="14"/>
  <c r="G1627" i="10" s="1"/>
  <c r="C1611" i="14"/>
  <c r="G1611" i="10" s="1"/>
  <c r="C1595" i="14"/>
  <c r="G1595" i="10" s="1"/>
  <c r="C1579" i="14"/>
  <c r="G1579" i="10" s="1"/>
  <c r="C1563" i="14"/>
  <c r="G1563" i="10" s="1"/>
  <c r="C1547" i="14"/>
  <c r="G1547" i="10" s="1"/>
  <c r="C1531" i="14"/>
  <c r="G1531" i="10" s="1"/>
  <c r="C1515" i="14"/>
  <c r="G1515" i="10" s="1"/>
  <c r="C1499" i="14"/>
  <c r="G1499" i="10" s="1"/>
  <c r="C1483" i="14"/>
  <c r="G1483" i="10" s="1"/>
  <c r="C1467" i="14"/>
  <c r="G1467" i="10" s="1"/>
  <c r="C1451" i="14"/>
  <c r="G1451" i="10" s="1"/>
  <c r="C1435" i="14"/>
  <c r="G1435" i="10" s="1"/>
  <c r="C1419" i="14"/>
  <c r="G1419" i="10" s="1"/>
  <c r="C1403" i="14"/>
  <c r="G1403" i="10" s="1"/>
  <c r="C1387" i="14"/>
  <c r="G1387" i="10" s="1"/>
  <c r="C1371" i="14"/>
  <c r="G1371" i="10" s="1"/>
  <c r="C1355" i="14"/>
  <c r="G1355" i="10" s="1"/>
  <c r="C1334" i="14"/>
  <c r="G1334" i="10" s="1"/>
  <c r="C1313" i="14"/>
  <c r="G1313" i="10" s="1"/>
  <c r="C1291" i="14"/>
  <c r="G1291" i="10" s="1"/>
  <c r="C1270" i="14"/>
  <c r="G1270" i="10" s="1"/>
  <c r="C1249" i="14"/>
  <c r="G1249" i="10" s="1"/>
  <c r="C1227" i="14"/>
  <c r="G1227" i="10" s="1"/>
  <c r="C1206" i="14"/>
  <c r="G1206" i="10" s="1"/>
  <c r="C1185" i="14"/>
  <c r="G1185" i="10" s="1"/>
  <c r="C1163" i="14"/>
  <c r="G1163" i="10" s="1"/>
  <c r="C1142" i="14"/>
  <c r="G1142" i="10" s="1"/>
  <c r="C1121" i="14"/>
  <c r="G1121" i="10" s="1"/>
  <c r="C1099" i="14"/>
  <c r="G1099" i="10" s="1"/>
  <c r="C1078" i="14"/>
  <c r="G1078" i="10" s="1"/>
  <c r="C1057" i="14"/>
  <c r="G1057" i="10" s="1"/>
  <c r="C1035" i="14"/>
  <c r="G1035" i="10" s="1"/>
  <c r="C1014" i="14"/>
  <c r="G1014" i="10" s="1"/>
  <c r="C993" i="14"/>
  <c r="G993" i="10" s="1"/>
  <c r="C971" i="14"/>
  <c r="G971" i="10" s="1"/>
  <c r="C950" i="14"/>
  <c r="G950" i="10" s="1"/>
  <c r="C929" i="14"/>
  <c r="G929" i="10" s="1"/>
  <c r="C907" i="14"/>
  <c r="G907" i="10" s="1"/>
  <c r="C886" i="14"/>
  <c r="G886" i="10" s="1"/>
  <c r="C865" i="14"/>
  <c r="G865" i="10" s="1"/>
  <c r="C843" i="14"/>
  <c r="G843" i="10" s="1"/>
  <c r="C822" i="14"/>
  <c r="G822" i="10" s="1"/>
  <c r="C801" i="14"/>
  <c r="G801" i="10" s="1"/>
  <c r="C779" i="14"/>
  <c r="G779" i="10" s="1"/>
  <c r="C758" i="14"/>
  <c r="G758" i="10" s="1"/>
  <c r="C737" i="14"/>
  <c r="G737" i="10" s="1"/>
  <c r="C715" i="14"/>
  <c r="G715" i="10" s="1"/>
  <c r="C691" i="14"/>
  <c r="G691" i="10" s="1"/>
  <c r="C663" i="14"/>
  <c r="G663" i="10" s="1"/>
  <c r="C634" i="14"/>
  <c r="G634" i="10" s="1"/>
  <c r="C591" i="14"/>
  <c r="G591" i="10" s="1"/>
  <c r="C549" i="14"/>
  <c r="G549" i="10" s="1"/>
  <c r="C506" i="14"/>
  <c r="G506" i="10" s="1"/>
  <c r="C463" i="14"/>
  <c r="G463" i="10" s="1"/>
  <c r="C421" i="14"/>
  <c r="G421" i="10" s="1"/>
  <c r="C378" i="14"/>
  <c r="G378" i="10" s="1"/>
  <c r="C335" i="14"/>
  <c r="G335" i="10" s="1"/>
  <c r="C293" i="14"/>
  <c r="G293" i="10" s="1"/>
  <c r="C250" i="14"/>
  <c r="G250" i="10" s="1"/>
  <c r="C207" i="14"/>
  <c r="G207" i="10" s="1"/>
  <c r="C165" i="14"/>
  <c r="G165" i="10" s="1"/>
  <c r="C122" i="14"/>
  <c r="G122" i="10" s="1"/>
  <c r="C79" i="14"/>
  <c r="G79" i="10" s="1"/>
  <c r="C37" i="14"/>
  <c r="G37" i="10" s="1"/>
  <c r="H12" i="10" l="1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2406" i="10"/>
  <c r="H2407" i="10"/>
  <c r="H2408" i="10"/>
  <c r="H2409" i="10"/>
  <c r="H2410" i="10"/>
  <c r="H2411" i="10"/>
  <c r="H2412" i="10"/>
  <c r="H2413" i="10"/>
  <c r="H2414" i="10"/>
  <c r="H2415" i="10"/>
  <c r="H2416" i="10"/>
  <c r="H2417" i="10"/>
  <c r="H2418" i="10"/>
  <c r="H2419" i="10"/>
  <c r="H2420" i="10"/>
  <c r="H2421" i="10"/>
  <c r="H2422" i="10"/>
  <c r="H2423" i="10"/>
  <c r="H2424" i="10"/>
  <c r="H2425" i="10"/>
  <c r="H2426" i="10"/>
  <c r="H2427" i="10"/>
  <c r="H2428" i="10"/>
  <c r="H2429" i="10"/>
  <c r="H2430" i="10"/>
  <c r="H2431" i="10"/>
  <c r="H2432" i="10"/>
  <c r="H2433" i="10"/>
  <c r="H2434" i="10"/>
  <c r="H2435" i="10"/>
  <c r="H2436" i="10"/>
  <c r="H2437" i="10"/>
  <c r="H2438" i="10"/>
  <c r="H2439" i="10"/>
  <c r="H2440" i="10"/>
  <c r="H2441" i="10"/>
  <c r="H2442" i="10"/>
  <c r="H2443" i="10"/>
  <c r="H2444" i="10"/>
  <c r="H2445" i="10"/>
  <c r="H2446" i="10"/>
  <c r="H2447" i="10"/>
  <c r="H2448" i="10"/>
  <c r="H2449" i="10"/>
  <c r="H2450" i="10"/>
  <c r="H2451" i="10"/>
  <c r="H2452" i="10"/>
  <c r="H2453" i="10"/>
  <c r="H2454" i="10"/>
  <c r="H2455" i="10"/>
  <c r="H2456" i="10"/>
  <c r="H2457" i="10"/>
  <c r="H2458" i="10"/>
  <c r="H2459" i="10"/>
  <c r="H2460" i="10"/>
  <c r="H2461" i="10"/>
  <c r="H2462" i="10"/>
  <c r="H2463" i="10"/>
  <c r="H2464" i="10"/>
  <c r="H2465" i="10"/>
  <c r="H2466" i="10"/>
  <c r="H2467" i="10"/>
  <c r="H2468" i="10"/>
  <c r="H2469" i="10"/>
  <c r="H2470" i="10"/>
  <c r="H2471" i="10"/>
  <c r="H2472" i="10"/>
  <c r="H2473" i="10"/>
  <c r="H2474" i="10"/>
  <c r="H3" i="10"/>
  <c r="H4" i="10"/>
  <c r="H5" i="10"/>
  <c r="H6" i="10"/>
  <c r="H7" i="10"/>
  <c r="H8" i="10"/>
  <c r="H9" i="10"/>
  <c r="H10" i="10"/>
  <c r="H11" i="10"/>
  <c r="H2" i="10"/>
  <c r="P2" i="10" s="1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4" i="10"/>
  <c r="E3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O2" i="10"/>
  <c r="M3" i="10" l="1"/>
  <c r="V4" i="10"/>
  <c r="V8" i="10"/>
  <c r="V12" i="10"/>
  <c r="V16" i="10"/>
  <c r="V20" i="10"/>
  <c r="V24" i="10"/>
  <c r="V28" i="10"/>
  <c r="V32" i="10"/>
  <c r="V36" i="10"/>
  <c r="V40" i="10"/>
  <c r="V44" i="10"/>
  <c r="V48" i="10"/>
  <c r="V52" i="10"/>
  <c r="V56" i="10"/>
  <c r="V60" i="10"/>
  <c r="V64" i="10"/>
  <c r="V68" i="10"/>
  <c r="V72" i="10"/>
  <c r="V76" i="10"/>
  <c r="V80" i="10"/>
  <c r="V84" i="10"/>
  <c r="V88" i="10"/>
  <c r="V92" i="10"/>
  <c r="V96" i="10"/>
  <c r="V100" i="10"/>
  <c r="V104" i="10"/>
  <c r="V108" i="10"/>
  <c r="V112" i="10"/>
  <c r="V116" i="10"/>
  <c r="V120" i="10"/>
  <c r="V124" i="10"/>
  <c r="V128" i="10"/>
  <c r="V132" i="10"/>
  <c r="V136" i="10"/>
  <c r="V140" i="10"/>
  <c r="V144" i="10"/>
  <c r="V148" i="10"/>
  <c r="V152" i="10"/>
  <c r="V156" i="10"/>
  <c r="V160" i="10"/>
  <c r="V164" i="10"/>
  <c r="V168" i="10"/>
  <c r="V172" i="10"/>
  <c r="V176" i="10"/>
  <c r="V180" i="10"/>
  <c r="V184" i="10"/>
  <c r="V188" i="10"/>
  <c r="V192" i="10"/>
  <c r="V196" i="10"/>
  <c r="V200" i="10"/>
  <c r="V204" i="10"/>
  <c r="V208" i="10"/>
  <c r="V212" i="10"/>
  <c r="V216" i="10"/>
  <c r="V220" i="10"/>
  <c r="V224" i="10"/>
  <c r="V228" i="10"/>
  <c r="V232" i="10"/>
  <c r="V236" i="10"/>
  <c r="V240" i="10"/>
  <c r="V244" i="10"/>
  <c r="V248" i="10"/>
  <c r="V252" i="10"/>
  <c r="V256" i="10"/>
  <c r="V260" i="10"/>
  <c r="V264" i="10"/>
  <c r="V268" i="10"/>
  <c r="V272" i="10"/>
  <c r="V276" i="10"/>
  <c r="V280" i="10"/>
  <c r="V284" i="10"/>
  <c r="V288" i="10"/>
  <c r="V292" i="10"/>
  <c r="V296" i="10"/>
  <c r="V300" i="10"/>
  <c r="V304" i="10"/>
  <c r="V308" i="10"/>
  <c r="V312" i="10"/>
  <c r="V316" i="10"/>
  <c r="V320" i="10"/>
  <c r="V324" i="10"/>
  <c r="V328" i="10"/>
  <c r="V332" i="10"/>
  <c r="V336" i="10"/>
  <c r="V340" i="10"/>
  <c r="V5" i="10"/>
  <c r="X5" i="10" s="1"/>
  <c r="V9" i="10"/>
  <c r="X9" i="10" s="1"/>
  <c r="V13" i="10"/>
  <c r="V17" i="10"/>
  <c r="X17" i="10" s="1"/>
  <c r="V21" i="10"/>
  <c r="X21" i="10" s="1"/>
  <c r="V25" i="10"/>
  <c r="X25" i="10" s="1"/>
  <c r="V29" i="10"/>
  <c r="V33" i="10"/>
  <c r="X33" i="10" s="1"/>
  <c r="V37" i="10"/>
  <c r="X37" i="10" s="1"/>
  <c r="V41" i="10"/>
  <c r="X41" i="10" s="1"/>
  <c r="V45" i="10"/>
  <c r="V49" i="10"/>
  <c r="X49" i="10" s="1"/>
  <c r="V53" i="10"/>
  <c r="X53" i="10" s="1"/>
  <c r="V57" i="10"/>
  <c r="X57" i="10" s="1"/>
  <c r="V61" i="10"/>
  <c r="V65" i="10"/>
  <c r="X65" i="10" s="1"/>
  <c r="V69" i="10"/>
  <c r="X69" i="10" s="1"/>
  <c r="V73" i="10"/>
  <c r="X73" i="10" s="1"/>
  <c r="V77" i="10"/>
  <c r="V81" i="10"/>
  <c r="X81" i="10" s="1"/>
  <c r="V85" i="10"/>
  <c r="X85" i="10" s="1"/>
  <c r="V89" i="10"/>
  <c r="X89" i="10" s="1"/>
  <c r="V93" i="10"/>
  <c r="V97" i="10"/>
  <c r="X97" i="10" s="1"/>
  <c r="V101" i="10"/>
  <c r="X101" i="10" s="1"/>
  <c r="V105" i="10"/>
  <c r="X105" i="10" s="1"/>
  <c r="V109" i="10"/>
  <c r="V113" i="10"/>
  <c r="X113" i="10" s="1"/>
  <c r="V117" i="10"/>
  <c r="X117" i="10" s="1"/>
  <c r="V121" i="10"/>
  <c r="X121" i="10" s="1"/>
  <c r="V125" i="10"/>
  <c r="V129" i="10"/>
  <c r="X129" i="10" s="1"/>
  <c r="V133" i="10"/>
  <c r="X133" i="10" s="1"/>
  <c r="V137" i="10"/>
  <c r="X137" i="10" s="1"/>
  <c r="V141" i="10"/>
  <c r="V145" i="10"/>
  <c r="X145" i="10" s="1"/>
  <c r="V149" i="10"/>
  <c r="X149" i="10" s="1"/>
  <c r="V153" i="10"/>
  <c r="X153" i="10" s="1"/>
  <c r="V157" i="10"/>
  <c r="V161" i="10"/>
  <c r="X161" i="10" s="1"/>
  <c r="V165" i="10"/>
  <c r="X165" i="10" s="1"/>
  <c r="V169" i="10"/>
  <c r="X169" i="10" s="1"/>
  <c r="V173" i="10"/>
  <c r="V177" i="10"/>
  <c r="X177" i="10" s="1"/>
  <c r="V181" i="10"/>
  <c r="X181" i="10" s="1"/>
  <c r="V185" i="10"/>
  <c r="X185" i="10" s="1"/>
  <c r="V189" i="10"/>
  <c r="V193" i="10"/>
  <c r="X193" i="10" s="1"/>
  <c r="V197" i="10"/>
  <c r="X197" i="10" s="1"/>
  <c r="V201" i="10"/>
  <c r="X201" i="10" s="1"/>
  <c r="V205" i="10"/>
  <c r="V209" i="10"/>
  <c r="X209" i="10" s="1"/>
  <c r="V213" i="10"/>
  <c r="X213" i="10" s="1"/>
  <c r="V217" i="10"/>
  <c r="X217" i="10" s="1"/>
  <c r="V221" i="10"/>
  <c r="V225" i="10"/>
  <c r="X225" i="10" s="1"/>
  <c r="V229" i="10"/>
  <c r="X229" i="10" s="1"/>
  <c r="V233" i="10"/>
  <c r="X233" i="10" s="1"/>
  <c r="V237" i="10"/>
  <c r="V241" i="10"/>
  <c r="X241" i="10" s="1"/>
  <c r="V245" i="10"/>
  <c r="X245" i="10" s="1"/>
  <c r="V249" i="10"/>
  <c r="X249" i="10" s="1"/>
  <c r="V253" i="10"/>
  <c r="V257" i="10"/>
  <c r="X257" i="10" s="1"/>
  <c r="V261" i="10"/>
  <c r="X261" i="10" s="1"/>
  <c r="V265" i="10"/>
  <c r="X265" i="10" s="1"/>
  <c r="V269" i="10"/>
  <c r="V273" i="10"/>
  <c r="X273" i="10" s="1"/>
  <c r="V277" i="10"/>
  <c r="X277" i="10" s="1"/>
  <c r="V281" i="10"/>
  <c r="X281" i="10" s="1"/>
  <c r="V285" i="10"/>
  <c r="V289" i="10"/>
  <c r="X289" i="10" s="1"/>
  <c r="V293" i="10"/>
  <c r="X293" i="10" s="1"/>
  <c r="V297" i="10"/>
  <c r="X297" i="10" s="1"/>
  <c r="V301" i="10"/>
  <c r="V305" i="10"/>
  <c r="X305" i="10" s="1"/>
  <c r="V6" i="10"/>
  <c r="X6" i="10" s="1"/>
  <c r="V10" i="10"/>
  <c r="X10" i="10" s="1"/>
  <c r="V14" i="10"/>
  <c r="X14" i="10" s="1"/>
  <c r="V18" i="10"/>
  <c r="X18" i="10" s="1"/>
  <c r="V22" i="10"/>
  <c r="X22" i="10" s="1"/>
  <c r="V26" i="10"/>
  <c r="X26" i="10" s="1"/>
  <c r="V30" i="10"/>
  <c r="X30" i="10" s="1"/>
  <c r="V34" i="10"/>
  <c r="X34" i="10" s="1"/>
  <c r="V38" i="10"/>
  <c r="X38" i="10" s="1"/>
  <c r="V42" i="10"/>
  <c r="X42" i="10" s="1"/>
  <c r="V46" i="10"/>
  <c r="X46" i="10" s="1"/>
  <c r="V50" i="10"/>
  <c r="X50" i="10" s="1"/>
  <c r="V54" i="10"/>
  <c r="X54" i="10" s="1"/>
  <c r="V58" i="10"/>
  <c r="X58" i="10" s="1"/>
  <c r="V62" i="10"/>
  <c r="X62" i="10" s="1"/>
  <c r="V66" i="10"/>
  <c r="X66" i="10" s="1"/>
  <c r="V70" i="10"/>
  <c r="X70" i="10" s="1"/>
  <c r="V74" i="10"/>
  <c r="X74" i="10" s="1"/>
  <c r="V78" i="10"/>
  <c r="X78" i="10" s="1"/>
  <c r="V82" i="10"/>
  <c r="X82" i="10" s="1"/>
  <c r="V86" i="10"/>
  <c r="X86" i="10" s="1"/>
  <c r="V90" i="10"/>
  <c r="X90" i="10" s="1"/>
  <c r="V94" i="10"/>
  <c r="X94" i="10" s="1"/>
  <c r="V98" i="10"/>
  <c r="X98" i="10" s="1"/>
  <c r="V102" i="10"/>
  <c r="X102" i="10" s="1"/>
  <c r="V106" i="10"/>
  <c r="X106" i="10" s="1"/>
  <c r="V110" i="10"/>
  <c r="X110" i="10" s="1"/>
  <c r="V114" i="10"/>
  <c r="X114" i="10" s="1"/>
  <c r="V118" i="10"/>
  <c r="X118" i="10" s="1"/>
  <c r="V122" i="10"/>
  <c r="X122" i="10" s="1"/>
  <c r="V126" i="10"/>
  <c r="X126" i="10" s="1"/>
  <c r="V130" i="10"/>
  <c r="X130" i="10" s="1"/>
  <c r="V134" i="10"/>
  <c r="X134" i="10" s="1"/>
  <c r="V138" i="10"/>
  <c r="X138" i="10" s="1"/>
  <c r="V142" i="10"/>
  <c r="X142" i="10" s="1"/>
  <c r="V146" i="10"/>
  <c r="X146" i="10" s="1"/>
  <c r="V150" i="10"/>
  <c r="X150" i="10" s="1"/>
  <c r="V154" i="10"/>
  <c r="X154" i="10" s="1"/>
  <c r="V158" i="10"/>
  <c r="X158" i="10" s="1"/>
  <c r="V162" i="10"/>
  <c r="X162" i="10" s="1"/>
  <c r="V166" i="10"/>
  <c r="X166" i="10" s="1"/>
  <c r="V170" i="10"/>
  <c r="X170" i="10" s="1"/>
  <c r="V174" i="10"/>
  <c r="X174" i="10" s="1"/>
  <c r="V178" i="10"/>
  <c r="X178" i="10" s="1"/>
  <c r="V182" i="10"/>
  <c r="X182" i="10" s="1"/>
  <c r="V186" i="10"/>
  <c r="X186" i="10" s="1"/>
  <c r="V190" i="10"/>
  <c r="X190" i="10" s="1"/>
  <c r="V194" i="10"/>
  <c r="X194" i="10" s="1"/>
  <c r="V198" i="10"/>
  <c r="X198" i="10" s="1"/>
  <c r="V202" i="10"/>
  <c r="X202" i="10" s="1"/>
  <c r="V206" i="10"/>
  <c r="X206" i="10" s="1"/>
  <c r="V210" i="10"/>
  <c r="X210" i="10" s="1"/>
  <c r="V214" i="10"/>
  <c r="X214" i="10" s="1"/>
  <c r="V218" i="10"/>
  <c r="X218" i="10" s="1"/>
  <c r="V222" i="10"/>
  <c r="X222" i="10" s="1"/>
  <c r="V226" i="10"/>
  <c r="X226" i="10" s="1"/>
  <c r="V230" i="10"/>
  <c r="X230" i="10" s="1"/>
  <c r="V234" i="10"/>
  <c r="X234" i="10" s="1"/>
  <c r="V238" i="10"/>
  <c r="X238" i="10" s="1"/>
  <c r="V242" i="10"/>
  <c r="X242" i="10" s="1"/>
  <c r="V246" i="10"/>
  <c r="X246" i="10" s="1"/>
  <c r="V250" i="10"/>
  <c r="X250" i="10" s="1"/>
  <c r="V254" i="10"/>
  <c r="X254" i="10" s="1"/>
  <c r="V258" i="10"/>
  <c r="X258" i="10" s="1"/>
  <c r="V262" i="10"/>
  <c r="X262" i="10" s="1"/>
  <c r="V266" i="10"/>
  <c r="X266" i="10" s="1"/>
  <c r="V270" i="10"/>
  <c r="X270" i="10" s="1"/>
  <c r="V274" i="10"/>
  <c r="X274" i="10" s="1"/>
  <c r="V278" i="10"/>
  <c r="X278" i="10" s="1"/>
  <c r="V282" i="10"/>
  <c r="X282" i="10" s="1"/>
  <c r="V286" i="10"/>
  <c r="X286" i="10" s="1"/>
  <c r="V290" i="10"/>
  <c r="X290" i="10" s="1"/>
  <c r="V294" i="10"/>
  <c r="X294" i="10" s="1"/>
  <c r="V298" i="10"/>
  <c r="X298" i="10" s="1"/>
  <c r="V302" i="10"/>
  <c r="X302" i="10" s="1"/>
  <c r="V306" i="10"/>
  <c r="X306" i="10" s="1"/>
  <c r="V310" i="10"/>
  <c r="V314" i="10"/>
  <c r="V318" i="10"/>
  <c r="V322" i="10"/>
  <c r="V326" i="10"/>
  <c r="V330" i="10"/>
  <c r="V334" i="10"/>
  <c r="V338" i="10"/>
  <c r="V342" i="10"/>
  <c r="V7" i="10"/>
  <c r="X7" i="10" s="1"/>
  <c r="V23" i="10"/>
  <c r="V39" i="10"/>
  <c r="V55" i="10"/>
  <c r="X55" i="10" s="1"/>
  <c r="V71" i="10"/>
  <c r="X71" i="10" s="1"/>
  <c r="V87" i="10"/>
  <c r="V103" i="10"/>
  <c r="V119" i="10"/>
  <c r="X119" i="10" s="1"/>
  <c r="V135" i="10"/>
  <c r="X135" i="10" s="1"/>
  <c r="V151" i="10"/>
  <c r="V167" i="10"/>
  <c r="V183" i="10"/>
  <c r="X183" i="10" s="1"/>
  <c r="V199" i="10"/>
  <c r="V215" i="10"/>
  <c r="V231" i="10"/>
  <c r="V247" i="10"/>
  <c r="X247" i="10" s="1"/>
  <c r="V263" i="10"/>
  <c r="V279" i="10"/>
  <c r="V295" i="10"/>
  <c r="V309" i="10"/>
  <c r="X309" i="10" s="1"/>
  <c r="V317" i="10"/>
  <c r="X317" i="10" s="1"/>
  <c r="V325" i="10"/>
  <c r="V333" i="10"/>
  <c r="V341" i="10"/>
  <c r="X341" i="10" s="1"/>
  <c r="V346" i="10"/>
  <c r="V350" i="10"/>
  <c r="V354" i="10"/>
  <c r="V358" i="10"/>
  <c r="V362" i="10"/>
  <c r="V366" i="10"/>
  <c r="V370" i="10"/>
  <c r="V374" i="10"/>
  <c r="V378" i="10"/>
  <c r="V382" i="10"/>
  <c r="V386" i="10"/>
  <c r="V390" i="10"/>
  <c r="V394" i="10"/>
  <c r="V398" i="10"/>
  <c r="V402" i="10"/>
  <c r="V406" i="10"/>
  <c r="V410" i="10"/>
  <c r="V414" i="10"/>
  <c r="V418" i="10"/>
  <c r="V422" i="10"/>
  <c r="V426" i="10"/>
  <c r="V430" i="10"/>
  <c r="V434" i="10"/>
  <c r="V438" i="10"/>
  <c r="V442" i="10"/>
  <c r="V446" i="10"/>
  <c r="V450" i="10"/>
  <c r="V454" i="10"/>
  <c r="V458" i="10"/>
  <c r="V462" i="10"/>
  <c r="V466" i="10"/>
  <c r="V470" i="10"/>
  <c r="V474" i="10"/>
  <c r="V478" i="10"/>
  <c r="V482" i="10"/>
  <c r="V486" i="10"/>
  <c r="V490" i="10"/>
  <c r="V494" i="10"/>
  <c r="V498" i="10"/>
  <c r="V502" i="10"/>
  <c r="V506" i="10"/>
  <c r="V510" i="10"/>
  <c r="V514" i="10"/>
  <c r="V518" i="10"/>
  <c r="V522" i="10"/>
  <c r="V526" i="10"/>
  <c r="V530" i="10"/>
  <c r="V534" i="10"/>
  <c r="V538" i="10"/>
  <c r="V542" i="10"/>
  <c r="V546" i="10"/>
  <c r="V550" i="10"/>
  <c r="V554" i="10"/>
  <c r="V558" i="10"/>
  <c r="V562" i="10"/>
  <c r="V566" i="10"/>
  <c r="V570" i="10"/>
  <c r="V574" i="10"/>
  <c r="V578" i="10"/>
  <c r="V582" i="10"/>
  <c r="V586" i="10"/>
  <c r="V590" i="10"/>
  <c r="V594" i="10"/>
  <c r="V598" i="10"/>
  <c r="V602" i="10"/>
  <c r="V606" i="10"/>
  <c r="V610" i="10"/>
  <c r="V614" i="10"/>
  <c r="V618" i="10"/>
  <c r="V622" i="10"/>
  <c r="V626" i="10"/>
  <c r="V630" i="10"/>
  <c r="V634" i="10"/>
  <c r="V638" i="10"/>
  <c r="V642" i="10"/>
  <c r="V646" i="10"/>
  <c r="V650" i="10"/>
  <c r="V654" i="10"/>
  <c r="V658" i="10"/>
  <c r="V662" i="10"/>
  <c r="V666" i="10"/>
  <c r="V670" i="10"/>
  <c r="V674" i="10"/>
  <c r="V678" i="10"/>
  <c r="V682" i="10"/>
  <c r="V11" i="10"/>
  <c r="V27" i="10"/>
  <c r="V43" i="10"/>
  <c r="V59" i="10"/>
  <c r="X59" i="10" s="1"/>
  <c r="V75" i="10"/>
  <c r="V91" i="10"/>
  <c r="V107" i="10"/>
  <c r="V123" i="10"/>
  <c r="X123" i="10" s="1"/>
  <c r="V139" i="10"/>
  <c r="V155" i="10"/>
  <c r="V171" i="10"/>
  <c r="V187" i="10"/>
  <c r="X187" i="10" s="1"/>
  <c r="V203" i="10"/>
  <c r="V219" i="10"/>
  <c r="V235" i="10"/>
  <c r="V251" i="10"/>
  <c r="X251" i="10" s="1"/>
  <c r="V267" i="10"/>
  <c r="V283" i="10"/>
  <c r="V299" i="10"/>
  <c r="V311" i="10"/>
  <c r="X311" i="10" s="1"/>
  <c r="V319" i="10"/>
  <c r="X319" i="10" s="1"/>
  <c r="V327" i="10"/>
  <c r="V335" i="10"/>
  <c r="X335" i="10" s="1"/>
  <c r="V343" i="10"/>
  <c r="X343" i="10" s="1"/>
  <c r="V347" i="10"/>
  <c r="V351" i="10"/>
  <c r="X351" i="10" s="1"/>
  <c r="V355" i="10"/>
  <c r="V359" i="10"/>
  <c r="X359" i="10" s="1"/>
  <c r="V363" i="10"/>
  <c r="V367" i="10"/>
  <c r="X367" i="10" s="1"/>
  <c r="V371" i="10"/>
  <c r="X371" i="10" s="1"/>
  <c r="V375" i="10"/>
  <c r="X375" i="10" s="1"/>
  <c r="V379" i="10"/>
  <c r="V383" i="10"/>
  <c r="X383" i="10" s="1"/>
  <c r="V387" i="10"/>
  <c r="X387" i="10" s="1"/>
  <c r="V391" i="10"/>
  <c r="X391" i="10" s="1"/>
  <c r="V395" i="10"/>
  <c r="V399" i="10"/>
  <c r="X399" i="10" s="1"/>
  <c r="V403" i="10"/>
  <c r="X403" i="10" s="1"/>
  <c r="V407" i="10"/>
  <c r="X407" i="10" s="1"/>
  <c r="V411" i="10"/>
  <c r="V415" i="10"/>
  <c r="X415" i="10" s="1"/>
  <c r="V419" i="10"/>
  <c r="X419" i="10" s="1"/>
  <c r="V423" i="10"/>
  <c r="X423" i="10" s="1"/>
  <c r="V427" i="10"/>
  <c r="V431" i="10"/>
  <c r="V435" i="10"/>
  <c r="X435" i="10" s="1"/>
  <c r="V439" i="10"/>
  <c r="X439" i="10" s="1"/>
  <c r="V443" i="10"/>
  <c r="V447" i="10"/>
  <c r="V451" i="10"/>
  <c r="X451" i="10" s="1"/>
  <c r="V455" i="10"/>
  <c r="X455" i="10" s="1"/>
  <c r="V459" i="10"/>
  <c r="V463" i="10"/>
  <c r="V467" i="10"/>
  <c r="X467" i="10" s="1"/>
  <c r="V471" i="10"/>
  <c r="X471" i="10" s="1"/>
  <c r="V475" i="10"/>
  <c r="V479" i="10"/>
  <c r="V483" i="10"/>
  <c r="X483" i="10" s="1"/>
  <c r="V487" i="10"/>
  <c r="X487" i="10" s="1"/>
  <c r="V491" i="10"/>
  <c r="V495" i="10"/>
  <c r="V499" i="10"/>
  <c r="X499" i="10" s="1"/>
  <c r="V503" i="10"/>
  <c r="X503" i="10" s="1"/>
  <c r="V507" i="10"/>
  <c r="V511" i="10"/>
  <c r="V515" i="10"/>
  <c r="X515" i="10" s="1"/>
  <c r="V519" i="10"/>
  <c r="X519" i="10" s="1"/>
  <c r="V523" i="10"/>
  <c r="V527" i="10"/>
  <c r="V531" i="10"/>
  <c r="X531" i="10" s="1"/>
  <c r="V535" i="10"/>
  <c r="X535" i="10" s="1"/>
  <c r="V539" i="10"/>
  <c r="V543" i="10"/>
  <c r="V547" i="10"/>
  <c r="X547" i="10" s="1"/>
  <c r="V551" i="10"/>
  <c r="X551" i="10" s="1"/>
  <c r="V555" i="10"/>
  <c r="V559" i="10"/>
  <c r="V563" i="10"/>
  <c r="X563" i="10" s="1"/>
  <c r="V567" i="10"/>
  <c r="X567" i="10" s="1"/>
  <c r="V571" i="10"/>
  <c r="V575" i="10"/>
  <c r="V579" i="10"/>
  <c r="X579" i="10" s="1"/>
  <c r="V583" i="10"/>
  <c r="X583" i="10" s="1"/>
  <c r="V587" i="10"/>
  <c r="V15" i="10"/>
  <c r="X15" i="10" s="1"/>
  <c r="V47" i="10"/>
  <c r="X47" i="10" s="1"/>
  <c r="V79" i="10"/>
  <c r="X79" i="10" s="1"/>
  <c r="V111" i="10"/>
  <c r="X111" i="10" s="1"/>
  <c r="V143" i="10"/>
  <c r="X143" i="10" s="1"/>
  <c r="V175" i="10"/>
  <c r="X175" i="10" s="1"/>
  <c r="V207" i="10"/>
  <c r="X207" i="10" s="1"/>
  <c r="V239" i="10"/>
  <c r="X239" i="10" s="1"/>
  <c r="V271" i="10"/>
  <c r="X271" i="10" s="1"/>
  <c r="V303" i="10"/>
  <c r="X303" i="10" s="1"/>
  <c r="V321" i="10"/>
  <c r="X321" i="10" s="1"/>
  <c r="V337" i="10"/>
  <c r="X337" i="10" s="1"/>
  <c r="V348" i="10"/>
  <c r="V356" i="10"/>
  <c r="X356" i="10" s="1"/>
  <c r="V364" i="10"/>
  <c r="X364" i="10" s="1"/>
  <c r="V372" i="10"/>
  <c r="V380" i="10"/>
  <c r="V388" i="10"/>
  <c r="X388" i="10" s="1"/>
  <c r="V396" i="10"/>
  <c r="X396" i="10" s="1"/>
  <c r="V404" i="10"/>
  <c r="V412" i="10"/>
  <c r="V420" i="10"/>
  <c r="X420" i="10" s="1"/>
  <c r="V428" i="10"/>
  <c r="X428" i="10" s="1"/>
  <c r="V436" i="10"/>
  <c r="V444" i="10"/>
  <c r="V452" i="10"/>
  <c r="X452" i="10" s="1"/>
  <c r="V460" i="10"/>
  <c r="X460" i="10" s="1"/>
  <c r="V468" i="10"/>
  <c r="V476" i="10"/>
  <c r="V484" i="10"/>
  <c r="X484" i="10" s="1"/>
  <c r="V492" i="10"/>
  <c r="X492" i="10" s="1"/>
  <c r="V500" i="10"/>
  <c r="V508" i="10"/>
  <c r="V516" i="10"/>
  <c r="X516" i="10" s="1"/>
  <c r="V524" i="10"/>
  <c r="X524" i="10" s="1"/>
  <c r="V532" i="10"/>
  <c r="V540" i="10"/>
  <c r="V548" i="10"/>
  <c r="X548" i="10" s="1"/>
  <c r="V556" i="10"/>
  <c r="X556" i="10" s="1"/>
  <c r="V564" i="10"/>
  <c r="V572" i="10"/>
  <c r="V580" i="10"/>
  <c r="X580" i="10" s="1"/>
  <c r="V588" i="10"/>
  <c r="X588" i="10" s="1"/>
  <c r="V593" i="10"/>
  <c r="V599" i="10"/>
  <c r="V604" i="10"/>
  <c r="V609" i="10"/>
  <c r="V615" i="10"/>
  <c r="V620" i="10"/>
  <c r="V625" i="10"/>
  <c r="V631" i="10"/>
  <c r="X631" i="10" s="1"/>
  <c r="V636" i="10"/>
  <c r="V641" i="10"/>
  <c r="V647" i="10"/>
  <c r="X647" i="10" s="1"/>
  <c r="V652" i="10"/>
  <c r="V657" i="10"/>
  <c r="V663" i="10"/>
  <c r="V668" i="10"/>
  <c r="V673" i="10"/>
  <c r="V679" i="10"/>
  <c r="V684" i="10"/>
  <c r="V688" i="10"/>
  <c r="V692" i="10"/>
  <c r="V696" i="10"/>
  <c r="V700" i="10"/>
  <c r="V704" i="10"/>
  <c r="V708" i="10"/>
  <c r="V712" i="10"/>
  <c r="V716" i="10"/>
  <c r="V720" i="10"/>
  <c r="V724" i="10"/>
  <c r="V728" i="10"/>
  <c r="V732" i="10"/>
  <c r="V736" i="10"/>
  <c r="V740" i="10"/>
  <c r="V744" i="10"/>
  <c r="V748" i="10"/>
  <c r="V752" i="10"/>
  <c r="V756" i="10"/>
  <c r="V760" i="10"/>
  <c r="V764" i="10"/>
  <c r="V768" i="10"/>
  <c r="V772" i="10"/>
  <c r="V776" i="10"/>
  <c r="V780" i="10"/>
  <c r="V784" i="10"/>
  <c r="V788" i="10"/>
  <c r="V792" i="10"/>
  <c r="V796" i="10"/>
  <c r="V800" i="10"/>
  <c r="V804" i="10"/>
  <c r="V808" i="10"/>
  <c r="V812" i="10"/>
  <c r="V816" i="10"/>
  <c r="V820" i="10"/>
  <c r="V824" i="10"/>
  <c r="V828" i="10"/>
  <c r="V832" i="10"/>
  <c r="V836" i="10"/>
  <c r="V840" i="10"/>
  <c r="V844" i="10"/>
  <c r="V848" i="10"/>
  <c r="V852" i="10"/>
  <c r="V856" i="10"/>
  <c r="V860" i="10"/>
  <c r="V864" i="10"/>
  <c r="V868" i="10"/>
  <c r="V872" i="10"/>
  <c r="V876" i="10"/>
  <c r="V880" i="10"/>
  <c r="V884" i="10"/>
  <c r="V888" i="10"/>
  <c r="V892" i="10"/>
  <c r="V896" i="10"/>
  <c r="V900" i="10"/>
  <c r="V904" i="10"/>
  <c r="V908" i="10"/>
  <c r="V912" i="10"/>
  <c r="V916" i="10"/>
  <c r="V920" i="10"/>
  <c r="V924" i="10"/>
  <c r="V928" i="10"/>
  <c r="V932" i="10"/>
  <c r="V936" i="10"/>
  <c r="V940" i="10"/>
  <c r="V944" i="10"/>
  <c r="V948" i="10"/>
  <c r="V952" i="10"/>
  <c r="V956" i="10"/>
  <c r="V960" i="10"/>
  <c r="V964" i="10"/>
  <c r="V968" i="10"/>
  <c r="V972" i="10"/>
  <c r="V976" i="10"/>
  <c r="V980" i="10"/>
  <c r="V984" i="10"/>
  <c r="V988" i="10"/>
  <c r="V992" i="10"/>
  <c r="V996" i="10"/>
  <c r="V1000" i="10"/>
  <c r="V1004" i="10"/>
  <c r="V1008" i="10"/>
  <c r="V1012" i="10"/>
  <c r="V1016" i="10"/>
  <c r="V1020" i="10"/>
  <c r="V1024" i="10"/>
  <c r="V1028" i="10"/>
  <c r="V1032" i="10"/>
  <c r="V1036" i="10"/>
  <c r="V1040" i="10"/>
  <c r="V1044" i="10"/>
  <c r="V1048" i="10"/>
  <c r="V1052" i="10"/>
  <c r="V1056" i="10"/>
  <c r="V1060" i="10"/>
  <c r="V1064" i="10"/>
  <c r="V1068" i="10"/>
  <c r="V1072" i="10"/>
  <c r="V1076" i="10"/>
  <c r="V1080" i="10"/>
  <c r="V1084" i="10"/>
  <c r="V1088" i="10"/>
  <c r="V1092" i="10"/>
  <c r="V1096" i="10"/>
  <c r="V1100" i="10"/>
  <c r="V1104" i="10"/>
  <c r="V1108" i="10"/>
  <c r="V1112" i="10"/>
  <c r="V1116" i="10"/>
  <c r="V1120" i="10"/>
  <c r="V19" i="10"/>
  <c r="X19" i="10" s="1"/>
  <c r="V51" i="10"/>
  <c r="V83" i="10"/>
  <c r="X83" i="10" s="1"/>
  <c r="V115" i="10"/>
  <c r="X115" i="10" s="1"/>
  <c r="V147" i="10"/>
  <c r="X147" i="10" s="1"/>
  <c r="V179" i="10"/>
  <c r="V211" i="10"/>
  <c r="X211" i="10" s="1"/>
  <c r="V243" i="10"/>
  <c r="X243" i="10" s="1"/>
  <c r="V275" i="10"/>
  <c r="X275" i="10" s="1"/>
  <c r="V307" i="10"/>
  <c r="V323" i="10"/>
  <c r="X323" i="10" s="1"/>
  <c r="V339" i="10"/>
  <c r="X339" i="10" s="1"/>
  <c r="V349" i="10"/>
  <c r="X349" i="10" s="1"/>
  <c r="V357" i="10"/>
  <c r="V365" i="10"/>
  <c r="V373" i="10"/>
  <c r="X373" i="10" s="1"/>
  <c r="V381" i="10"/>
  <c r="X381" i="10" s="1"/>
  <c r="V389" i="10"/>
  <c r="V397" i="10"/>
  <c r="V405" i="10"/>
  <c r="X405" i="10" s="1"/>
  <c r="V413" i="10"/>
  <c r="X413" i="10" s="1"/>
  <c r="V421" i="10"/>
  <c r="V429" i="10"/>
  <c r="V437" i="10"/>
  <c r="X437" i="10" s="1"/>
  <c r="V445" i="10"/>
  <c r="X445" i="10" s="1"/>
  <c r="V453" i="10"/>
  <c r="V461" i="10"/>
  <c r="V469" i="10"/>
  <c r="X469" i="10" s="1"/>
  <c r="V477" i="10"/>
  <c r="X477" i="10" s="1"/>
  <c r="V485" i="10"/>
  <c r="V493" i="10"/>
  <c r="V501" i="10"/>
  <c r="X501" i="10" s="1"/>
  <c r="V509" i="10"/>
  <c r="X509" i="10" s="1"/>
  <c r="V517" i="10"/>
  <c r="V525" i="10"/>
  <c r="V533" i="10"/>
  <c r="X533" i="10" s="1"/>
  <c r="V541" i="10"/>
  <c r="X541" i="10" s="1"/>
  <c r="V549" i="10"/>
  <c r="V557" i="10"/>
  <c r="V565" i="10"/>
  <c r="X565" i="10" s="1"/>
  <c r="V573" i="10"/>
  <c r="X573" i="10" s="1"/>
  <c r="V581" i="10"/>
  <c r="V589" i="10"/>
  <c r="V595" i="10"/>
  <c r="X595" i="10" s="1"/>
  <c r="V600" i="10"/>
  <c r="X600" i="10" s="1"/>
  <c r="V605" i="10"/>
  <c r="V611" i="10"/>
  <c r="X611" i="10" s="1"/>
  <c r="V616" i="10"/>
  <c r="X616" i="10" s="1"/>
  <c r="V621" i="10"/>
  <c r="X621" i="10" s="1"/>
  <c r="V627" i="10"/>
  <c r="V632" i="10"/>
  <c r="V637" i="10"/>
  <c r="X637" i="10" s="1"/>
  <c r="V643" i="10"/>
  <c r="X643" i="10" s="1"/>
  <c r="V648" i="10"/>
  <c r="V653" i="10"/>
  <c r="V659" i="10"/>
  <c r="X659" i="10" s="1"/>
  <c r="V664" i="10"/>
  <c r="X664" i="10" s="1"/>
  <c r="V669" i="10"/>
  <c r="V675" i="10"/>
  <c r="X675" i="10" s="1"/>
  <c r="V680" i="10"/>
  <c r="X680" i="10" s="1"/>
  <c r="V685" i="10"/>
  <c r="X685" i="10" s="1"/>
  <c r="V689" i="10"/>
  <c r="V693" i="10"/>
  <c r="V697" i="10"/>
  <c r="X697" i="10" s="1"/>
  <c r="V701" i="10"/>
  <c r="X701" i="10" s="1"/>
  <c r="V705" i="10"/>
  <c r="V709" i="10"/>
  <c r="V713" i="10"/>
  <c r="X713" i="10" s="1"/>
  <c r="V717" i="10"/>
  <c r="X717" i="10" s="1"/>
  <c r="V721" i="10"/>
  <c r="V725" i="10"/>
  <c r="V729" i="10"/>
  <c r="X729" i="10" s="1"/>
  <c r="V733" i="10"/>
  <c r="X733" i="10" s="1"/>
  <c r="V737" i="10"/>
  <c r="V741" i="10"/>
  <c r="V745" i="10"/>
  <c r="X745" i="10" s="1"/>
  <c r="V749" i="10"/>
  <c r="X749" i="10" s="1"/>
  <c r="V753" i="10"/>
  <c r="V757" i="10"/>
  <c r="V761" i="10"/>
  <c r="X761" i="10" s="1"/>
  <c r="V765" i="10"/>
  <c r="X765" i="10" s="1"/>
  <c r="V769" i="10"/>
  <c r="V773" i="10"/>
  <c r="V777" i="10"/>
  <c r="X777" i="10" s="1"/>
  <c r="V781" i="10"/>
  <c r="X781" i="10" s="1"/>
  <c r="V785" i="10"/>
  <c r="V789" i="10"/>
  <c r="V793" i="10"/>
  <c r="X793" i="10" s="1"/>
  <c r="V797" i="10"/>
  <c r="X797" i="10" s="1"/>
  <c r="V801" i="10"/>
  <c r="V805" i="10"/>
  <c r="V809" i="10"/>
  <c r="X809" i="10" s="1"/>
  <c r="V813" i="10"/>
  <c r="X813" i="10" s="1"/>
  <c r="V817" i="10"/>
  <c r="V821" i="10"/>
  <c r="V825" i="10"/>
  <c r="X825" i="10" s="1"/>
  <c r="V829" i="10"/>
  <c r="X829" i="10" s="1"/>
  <c r="V833" i="10"/>
  <c r="V837" i="10"/>
  <c r="V841" i="10"/>
  <c r="X841" i="10" s="1"/>
  <c r="V845" i="10"/>
  <c r="X845" i="10" s="1"/>
  <c r="V849" i="10"/>
  <c r="V853" i="10"/>
  <c r="V857" i="10"/>
  <c r="X857" i="10" s="1"/>
  <c r="V861" i="10"/>
  <c r="X861" i="10" s="1"/>
  <c r="V865" i="10"/>
  <c r="V869" i="10"/>
  <c r="V873" i="10"/>
  <c r="X873" i="10" s="1"/>
  <c r="V877" i="10"/>
  <c r="X877" i="10" s="1"/>
  <c r="V881" i="10"/>
  <c r="V885" i="10"/>
  <c r="V889" i="10"/>
  <c r="X889" i="10" s="1"/>
  <c r="V893" i="10"/>
  <c r="X893" i="10" s="1"/>
  <c r="V897" i="10"/>
  <c r="V901" i="10"/>
  <c r="V905" i="10"/>
  <c r="X905" i="10" s="1"/>
  <c r="V909" i="10"/>
  <c r="X909" i="10" s="1"/>
  <c r="V913" i="10"/>
  <c r="V917" i="10"/>
  <c r="V921" i="10"/>
  <c r="X921" i="10" s="1"/>
  <c r="V925" i="10"/>
  <c r="X925" i="10" s="1"/>
  <c r="V929" i="10"/>
  <c r="V933" i="10"/>
  <c r="V937" i="10"/>
  <c r="X937" i="10" s="1"/>
  <c r="V941" i="10"/>
  <c r="X941" i="10" s="1"/>
  <c r="V945" i="10"/>
  <c r="V949" i="10"/>
  <c r="V953" i="10"/>
  <c r="X953" i="10" s="1"/>
  <c r="V957" i="10"/>
  <c r="X957" i="10" s="1"/>
  <c r="V961" i="10"/>
  <c r="V965" i="10"/>
  <c r="V969" i="10"/>
  <c r="X969" i="10" s="1"/>
  <c r="V973" i="10"/>
  <c r="X973" i="10" s="1"/>
  <c r="V977" i="10"/>
  <c r="V981" i="10"/>
  <c r="V985" i="10"/>
  <c r="X985" i="10" s="1"/>
  <c r="V989" i="10"/>
  <c r="X989" i="10" s="1"/>
  <c r="V31" i="10"/>
  <c r="X31" i="10" s="1"/>
  <c r="V95" i="10"/>
  <c r="X95" i="10" s="1"/>
  <c r="V159" i="10"/>
  <c r="X159" i="10" s="1"/>
  <c r="V223" i="10"/>
  <c r="X223" i="10" s="1"/>
  <c r="V287" i="10"/>
  <c r="X287" i="10" s="1"/>
  <c r="V329" i="10"/>
  <c r="V352" i="10"/>
  <c r="V368" i="10"/>
  <c r="X368" i="10" s="1"/>
  <c r="V384" i="10"/>
  <c r="V400" i="10"/>
  <c r="X400" i="10" s="1"/>
  <c r="V416" i="10"/>
  <c r="V432" i="10"/>
  <c r="X432" i="10" s="1"/>
  <c r="V448" i="10"/>
  <c r="V464" i="10"/>
  <c r="X464" i="10" s="1"/>
  <c r="V480" i="10"/>
  <c r="V496" i="10"/>
  <c r="X496" i="10" s="1"/>
  <c r="V512" i="10"/>
  <c r="V528" i="10"/>
  <c r="X528" i="10" s="1"/>
  <c r="V544" i="10"/>
  <c r="V560" i="10"/>
  <c r="X560" i="10" s="1"/>
  <c r="V576" i="10"/>
  <c r="V591" i="10"/>
  <c r="X591" i="10" s="1"/>
  <c r="V601" i="10"/>
  <c r="V612" i="10"/>
  <c r="X612" i="10" s="1"/>
  <c r="V623" i="10"/>
  <c r="X623" i="10" s="1"/>
  <c r="V633" i="10"/>
  <c r="X633" i="10" s="1"/>
  <c r="V644" i="10"/>
  <c r="V655" i="10"/>
  <c r="X655" i="10" s="1"/>
  <c r="V665" i="10"/>
  <c r="V676" i="10"/>
  <c r="X676" i="10" s="1"/>
  <c r="V686" i="10"/>
  <c r="V694" i="10"/>
  <c r="X694" i="10" s="1"/>
  <c r="V702" i="10"/>
  <c r="V710" i="10"/>
  <c r="X710" i="10" s="1"/>
  <c r="V718" i="10"/>
  <c r="V726" i="10"/>
  <c r="X726" i="10" s="1"/>
  <c r="V734" i="10"/>
  <c r="V742" i="10"/>
  <c r="X742" i="10" s="1"/>
  <c r="V750" i="10"/>
  <c r="V758" i="10"/>
  <c r="X758" i="10" s="1"/>
  <c r="V766" i="10"/>
  <c r="V774" i="10"/>
  <c r="X774" i="10" s="1"/>
  <c r="V782" i="10"/>
  <c r="V790" i="10"/>
  <c r="X790" i="10" s="1"/>
  <c r="V798" i="10"/>
  <c r="V806" i="10"/>
  <c r="X806" i="10" s="1"/>
  <c r="V814" i="10"/>
  <c r="V822" i="10"/>
  <c r="X822" i="10" s="1"/>
  <c r="V830" i="10"/>
  <c r="V838" i="10"/>
  <c r="X838" i="10" s="1"/>
  <c r="V846" i="10"/>
  <c r="V854" i="10"/>
  <c r="X854" i="10" s="1"/>
  <c r="V862" i="10"/>
  <c r="V870" i="10"/>
  <c r="X870" i="10" s="1"/>
  <c r="V878" i="10"/>
  <c r="V886" i="10"/>
  <c r="X886" i="10" s="1"/>
  <c r="V894" i="10"/>
  <c r="V902" i="10"/>
  <c r="X902" i="10" s="1"/>
  <c r="V910" i="10"/>
  <c r="V918" i="10"/>
  <c r="X918" i="10" s="1"/>
  <c r="V926" i="10"/>
  <c r="V934" i="10"/>
  <c r="X934" i="10" s="1"/>
  <c r="V942" i="10"/>
  <c r="V950" i="10"/>
  <c r="X950" i="10" s="1"/>
  <c r="V958" i="10"/>
  <c r="V966" i="10"/>
  <c r="X966" i="10" s="1"/>
  <c r="V974" i="10"/>
  <c r="V982" i="10"/>
  <c r="X982" i="10" s="1"/>
  <c r="V990" i="10"/>
  <c r="V995" i="10"/>
  <c r="V1001" i="10"/>
  <c r="X1001" i="10" s="1"/>
  <c r="V1006" i="10"/>
  <c r="V1011" i="10"/>
  <c r="V1017" i="10"/>
  <c r="X1017" i="10" s="1"/>
  <c r="V1022" i="10"/>
  <c r="V1027" i="10"/>
  <c r="V1033" i="10"/>
  <c r="X1033" i="10" s="1"/>
  <c r="V1038" i="10"/>
  <c r="V1043" i="10"/>
  <c r="V1049" i="10"/>
  <c r="X1049" i="10" s="1"/>
  <c r="V1054" i="10"/>
  <c r="V1059" i="10"/>
  <c r="V1065" i="10"/>
  <c r="X1065" i="10" s="1"/>
  <c r="V1070" i="10"/>
  <c r="V1075" i="10"/>
  <c r="V1081" i="10"/>
  <c r="X1081" i="10" s="1"/>
  <c r="V1086" i="10"/>
  <c r="V1091" i="10"/>
  <c r="V1097" i="10"/>
  <c r="X1097" i="10" s="1"/>
  <c r="V1102" i="10"/>
  <c r="V1107" i="10"/>
  <c r="V1113" i="10"/>
  <c r="X1113" i="10" s="1"/>
  <c r="V1118" i="10"/>
  <c r="V1123" i="10"/>
  <c r="V1127" i="10"/>
  <c r="V1131" i="10"/>
  <c r="V1135" i="10"/>
  <c r="V1139" i="10"/>
  <c r="V1143" i="10"/>
  <c r="V1147" i="10"/>
  <c r="V1151" i="10"/>
  <c r="V1155" i="10"/>
  <c r="V1159" i="10"/>
  <c r="V1163" i="10"/>
  <c r="V1167" i="10"/>
  <c r="V1171" i="10"/>
  <c r="V1175" i="10"/>
  <c r="V1179" i="10"/>
  <c r="V1183" i="10"/>
  <c r="V1187" i="10"/>
  <c r="V1191" i="10"/>
  <c r="V1195" i="10"/>
  <c r="V1199" i="10"/>
  <c r="V1203" i="10"/>
  <c r="V1207" i="10"/>
  <c r="V1211" i="10"/>
  <c r="V1215" i="10"/>
  <c r="V1219" i="10"/>
  <c r="V1223" i="10"/>
  <c r="V1227" i="10"/>
  <c r="V1231" i="10"/>
  <c r="V1235" i="10"/>
  <c r="V1239" i="10"/>
  <c r="V1243" i="10"/>
  <c r="V1247" i="10"/>
  <c r="V1251" i="10"/>
  <c r="V1255" i="10"/>
  <c r="V1259" i="10"/>
  <c r="V1263" i="10"/>
  <c r="V1267" i="10"/>
  <c r="V1271" i="10"/>
  <c r="V1275" i="10"/>
  <c r="V1279" i="10"/>
  <c r="V1283" i="10"/>
  <c r="V1287" i="10"/>
  <c r="V1291" i="10"/>
  <c r="V1295" i="10"/>
  <c r="V1299" i="10"/>
  <c r="V1303" i="10"/>
  <c r="V1307" i="10"/>
  <c r="V1311" i="10"/>
  <c r="V1315" i="10"/>
  <c r="V1319" i="10"/>
  <c r="V1323" i="10"/>
  <c r="V1327" i="10"/>
  <c r="V1331" i="10"/>
  <c r="V1335" i="10"/>
  <c r="V1339" i="10"/>
  <c r="V1343" i="10"/>
  <c r="V1347" i="10"/>
  <c r="V1351" i="10"/>
  <c r="V1355" i="10"/>
  <c r="V1359" i="10"/>
  <c r="V1363" i="10"/>
  <c r="V1367" i="10"/>
  <c r="V1371" i="10"/>
  <c r="V1375" i="10"/>
  <c r="V1379" i="10"/>
  <c r="V1383" i="10"/>
  <c r="V1387" i="10"/>
  <c r="V1391" i="10"/>
  <c r="V1395" i="10"/>
  <c r="V1399" i="10"/>
  <c r="V1403" i="10"/>
  <c r="V1407" i="10"/>
  <c r="V1411" i="10"/>
  <c r="V1415" i="10"/>
  <c r="V1419" i="10"/>
  <c r="V1423" i="10"/>
  <c r="V1427" i="10"/>
  <c r="V1431" i="10"/>
  <c r="V1435" i="10"/>
  <c r="V1439" i="10"/>
  <c r="V1443" i="10"/>
  <c r="V1447" i="10"/>
  <c r="V1451" i="10"/>
  <c r="V1455" i="10"/>
  <c r="V1459" i="10"/>
  <c r="V1463" i="10"/>
  <c r="V1467" i="10"/>
  <c r="V1471" i="10"/>
  <c r="V1475" i="10"/>
  <c r="V1479" i="10"/>
  <c r="V1483" i="10"/>
  <c r="V1487" i="10"/>
  <c r="V1491" i="10"/>
  <c r="V1495" i="10"/>
  <c r="V1499" i="10"/>
  <c r="V1503" i="10"/>
  <c r="V1507" i="10"/>
  <c r="V1511" i="10"/>
  <c r="V1515" i="10"/>
  <c r="V1519" i="10"/>
  <c r="V1523" i="10"/>
  <c r="V1527" i="10"/>
  <c r="V1531" i="10"/>
  <c r="V1535" i="10"/>
  <c r="V1539" i="10"/>
  <c r="V1543" i="10"/>
  <c r="V1547" i="10"/>
  <c r="V1551" i="10"/>
  <c r="V1555" i="10"/>
  <c r="V1559" i="10"/>
  <c r="V1563" i="10"/>
  <c r="V1567" i="10"/>
  <c r="V1571" i="10"/>
  <c r="V1575" i="10"/>
  <c r="V1579" i="10"/>
  <c r="V1583" i="10"/>
  <c r="V1587" i="10"/>
  <c r="V1591" i="10"/>
  <c r="V1595" i="10"/>
  <c r="V1599" i="10"/>
  <c r="V1603" i="10"/>
  <c r="V1607" i="10"/>
  <c r="V1611" i="10"/>
  <c r="V1615" i="10"/>
  <c r="V1619" i="10"/>
  <c r="V1623" i="10"/>
  <c r="V1627" i="10"/>
  <c r="V1631" i="10"/>
  <c r="V1635" i="10"/>
  <c r="V1639" i="10"/>
  <c r="V1643" i="10"/>
  <c r="V1647" i="10"/>
  <c r="V1651" i="10"/>
  <c r="V1655" i="10"/>
  <c r="V1659" i="10"/>
  <c r="V1663" i="10"/>
  <c r="V1667" i="10"/>
  <c r="V1671" i="10"/>
  <c r="V1675" i="10"/>
  <c r="V1679" i="10"/>
  <c r="V1683" i="10"/>
  <c r="V1687" i="10"/>
  <c r="V1691" i="10"/>
  <c r="V1695" i="10"/>
  <c r="V1699" i="10"/>
  <c r="V1703" i="10"/>
  <c r="V1707" i="10"/>
  <c r="V1711" i="10"/>
  <c r="V1715" i="10"/>
  <c r="V1719" i="10"/>
  <c r="V1723" i="10"/>
  <c r="V1727" i="10"/>
  <c r="V1731" i="10"/>
  <c r="V1735" i="10"/>
  <c r="V1739" i="10"/>
  <c r="V1743" i="10"/>
  <c r="V1747" i="10"/>
  <c r="V1751" i="10"/>
  <c r="V1755" i="10"/>
  <c r="V1759" i="10"/>
  <c r="V1763" i="10"/>
  <c r="V1767" i="10"/>
  <c r="V1771" i="10"/>
  <c r="V1775" i="10"/>
  <c r="V1779" i="10"/>
  <c r="V1783" i="10"/>
  <c r="V1787" i="10"/>
  <c r="V1791" i="10"/>
  <c r="V1795" i="10"/>
  <c r="V1799" i="10"/>
  <c r="V1803" i="10"/>
  <c r="V1807" i="10"/>
  <c r="V1811" i="10"/>
  <c r="V1815" i="10"/>
  <c r="V1819" i="10"/>
  <c r="V1823" i="10"/>
  <c r="V1827" i="10"/>
  <c r="V1831" i="10"/>
  <c r="V1835" i="10"/>
  <c r="V1839" i="10"/>
  <c r="V1843" i="10"/>
  <c r="V1847" i="10"/>
  <c r="V1851" i="10"/>
  <c r="V1855" i="10"/>
  <c r="V1859" i="10"/>
  <c r="V1863" i="10"/>
  <c r="V1867" i="10"/>
  <c r="V1871" i="10"/>
  <c r="V1875" i="10"/>
  <c r="V1879" i="10"/>
  <c r="V1883" i="10"/>
  <c r="V1887" i="10"/>
  <c r="V1891" i="10"/>
  <c r="V1895" i="10"/>
  <c r="V1899" i="10"/>
  <c r="V1903" i="10"/>
  <c r="V1907" i="10"/>
  <c r="V1911" i="10"/>
  <c r="V1915" i="10"/>
  <c r="V1919" i="10"/>
  <c r="V1923" i="10"/>
  <c r="V1927" i="10"/>
  <c r="V1931" i="10"/>
  <c r="V1935" i="10"/>
  <c r="V1939" i="10"/>
  <c r="V1943" i="10"/>
  <c r="V1947" i="10"/>
  <c r="V1951" i="10"/>
  <c r="V1955" i="10"/>
  <c r="V1959" i="10"/>
  <c r="V1963" i="10"/>
  <c r="V1967" i="10"/>
  <c r="V1971" i="10"/>
  <c r="V1975" i="10"/>
  <c r="V1979" i="10"/>
  <c r="V1983" i="10"/>
  <c r="V1987" i="10"/>
  <c r="V1991" i="10"/>
  <c r="V1995" i="10"/>
  <c r="V1999" i="10"/>
  <c r="V2003" i="10"/>
  <c r="V2007" i="10"/>
  <c r="V2011" i="10"/>
  <c r="V2015" i="10"/>
  <c r="V2019" i="10"/>
  <c r="V2023" i="10"/>
  <c r="V2027" i="10"/>
  <c r="V2031" i="10"/>
  <c r="V2035" i="10"/>
  <c r="V2039" i="10"/>
  <c r="V2043" i="10"/>
  <c r="V2047" i="10"/>
  <c r="V2051" i="10"/>
  <c r="V2055" i="10"/>
  <c r="V2059" i="10"/>
  <c r="V2063" i="10"/>
  <c r="V2067" i="10"/>
  <c r="V2071" i="10"/>
  <c r="V2075" i="10"/>
  <c r="V2079" i="10"/>
  <c r="V2083" i="10"/>
  <c r="V2087" i="10"/>
  <c r="V2091" i="10"/>
  <c r="V2095" i="10"/>
  <c r="V2099" i="10"/>
  <c r="V2103" i="10"/>
  <c r="V2107" i="10"/>
  <c r="V2111" i="10"/>
  <c r="V35" i="10"/>
  <c r="X35" i="10" s="1"/>
  <c r="V99" i="10"/>
  <c r="X99" i="10" s="1"/>
  <c r="V163" i="10"/>
  <c r="X163" i="10" s="1"/>
  <c r="V227" i="10"/>
  <c r="V291" i="10"/>
  <c r="X291" i="10" s="1"/>
  <c r="V331" i="10"/>
  <c r="V353" i="10"/>
  <c r="X353" i="10" s="1"/>
  <c r="V369" i="10"/>
  <c r="V385" i="10"/>
  <c r="V401" i="10"/>
  <c r="V417" i="10"/>
  <c r="X417" i="10" s="1"/>
  <c r="V433" i="10"/>
  <c r="V449" i="10"/>
  <c r="V465" i="10"/>
  <c r="V481" i="10"/>
  <c r="X481" i="10" s="1"/>
  <c r="V497" i="10"/>
  <c r="V513" i="10"/>
  <c r="V529" i="10"/>
  <c r="V545" i="10"/>
  <c r="X545" i="10" s="1"/>
  <c r="V561" i="10"/>
  <c r="V577" i="10"/>
  <c r="V592" i="10"/>
  <c r="V603" i="10"/>
  <c r="X603" i="10" s="1"/>
  <c r="V613" i="10"/>
  <c r="V624" i="10"/>
  <c r="V635" i="10"/>
  <c r="V645" i="10"/>
  <c r="X645" i="10" s="1"/>
  <c r="V656" i="10"/>
  <c r="V667" i="10"/>
  <c r="V677" i="10"/>
  <c r="V687" i="10"/>
  <c r="X687" i="10" s="1"/>
  <c r="V695" i="10"/>
  <c r="V703" i="10"/>
  <c r="V711" i="10"/>
  <c r="V719" i="10"/>
  <c r="X719" i="10" s="1"/>
  <c r="V727" i="10"/>
  <c r="V735" i="10"/>
  <c r="V743" i="10"/>
  <c r="V751" i="10"/>
  <c r="X751" i="10" s="1"/>
  <c r="V759" i="10"/>
  <c r="V767" i="10"/>
  <c r="V775" i="10"/>
  <c r="V783" i="10"/>
  <c r="X783" i="10" s="1"/>
  <c r="V791" i="10"/>
  <c r="V799" i="10"/>
  <c r="V807" i="10"/>
  <c r="V815" i="10"/>
  <c r="X815" i="10" s="1"/>
  <c r="V823" i="10"/>
  <c r="V831" i="10"/>
  <c r="V839" i="10"/>
  <c r="V847" i="10"/>
  <c r="X847" i="10" s="1"/>
  <c r="V855" i="10"/>
  <c r="V863" i="10"/>
  <c r="V871" i="10"/>
  <c r="V879" i="10"/>
  <c r="X879" i="10" s="1"/>
  <c r="V887" i="10"/>
  <c r="V895" i="10"/>
  <c r="V903" i="10"/>
  <c r="V911" i="10"/>
  <c r="X911" i="10" s="1"/>
  <c r="V919" i="10"/>
  <c r="V927" i="10"/>
  <c r="V935" i="10"/>
  <c r="V943" i="10"/>
  <c r="X943" i="10" s="1"/>
  <c r="V951" i="10"/>
  <c r="V959" i="10"/>
  <c r="V967" i="10"/>
  <c r="V975" i="10"/>
  <c r="X975" i="10" s="1"/>
  <c r="V983" i="10"/>
  <c r="V991" i="10"/>
  <c r="V997" i="10"/>
  <c r="V1002" i="10"/>
  <c r="X1002" i="10" s="1"/>
  <c r="V1007" i="10"/>
  <c r="V63" i="10"/>
  <c r="X63" i="10" s="1"/>
  <c r="V191" i="10"/>
  <c r="X191" i="10" s="1"/>
  <c r="V313" i="10"/>
  <c r="X313" i="10" s="1"/>
  <c r="V360" i="10"/>
  <c r="V392" i="10"/>
  <c r="V424" i="10"/>
  <c r="V456" i="10"/>
  <c r="X456" i="10" s="1"/>
  <c r="V488" i="10"/>
  <c r="V520" i="10"/>
  <c r="V552" i="10"/>
  <c r="V584" i="10"/>
  <c r="X584" i="10" s="1"/>
  <c r="V607" i="10"/>
  <c r="X607" i="10" s="1"/>
  <c r="V628" i="10"/>
  <c r="V649" i="10"/>
  <c r="V671" i="10"/>
  <c r="X671" i="10" s="1"/>
  <c r="V690" i="10"/>
  <c r="X690" i="10" s="1"/>
  <c r="V706" i="10"/>
  <c r="V722" i="10"/>
  <c r="V738" i="10"/>
  <c r="V754" i="10"/>
  <c r="X754" i="10" s="1"/>
  <c r="V770" i="10"/>
  <c r="V786" i="10"/>
  <c r="V802" i="10"/>
  <c r="V818" i="10"/>
  <c r="X818" i="10" s="1"/>
  <c r="V834" i="10"/>
  <c r="V850" i="10"/>
  <c r="V866" i="10"/>
  <c r="V882" i="10"/>
  <c r="X882" i="10" s="1"/>
  <c r="V898" i="10"/>
  <c r="V914" i="10"/>
  <c r="V930" i="10"/>
  <c r="V946" i="10"/>
  <c r="X946" i="10" s="1"/>
  <c r="V962" i="10"/>
  <c r="V978" i="10"/>
  <c r="V993" i="10"/>
  <c r="X993" i="10" s="1"/>
  <c r="V1003" i="10"/>
  <c r="V1013" i="10"/>
  <c r="V1019" i="10"/>
  <c r="V1026" i="10"/>
  <c r="V1034" i="10"/>
  <c r="X1034" i="10" s="1"/>
  <c r="V1041" i="10"/>
  <c r="V1047" i="10"/>
  <c r="V1055" i="10"/>
  <c r="V1062" i="10"/>
  <c r="V1069" i="10"/>
  <c r="X1069" i="10" s="1"/>
  <c r="V1077" i="10"/>
  <c r="V1083" i="10"/>
  <c r="V1090" i="10"/>
  <c r="V1098" i="10"/>
  <c r="V1105" i="10"/>
  <c r="X1105" i="10" s="1"/>
  <c r="V1111" i="10"/>
  <c r="V1119" i="10"/>
  <c r="X1119" i="10" s="1"/>
  <c r="V1125" i="10"/>
  <c r="V1130" i="10"/>
  <c r="V1136" i="10"/>
  <c r="V1141" i="10"/>
  <c r="V1146" i="10"/>
  <c r="V1152" i="10"/>
  <c r="V1157" i="10"/>
  <c r="V1162" i="10"/>
  <c r="V1168" i="10"/>
  <c r="V1173" i="10"/>
  <c r="V1178" i="10"/>
  <c r="V1184" i="10"/>
  <c r="X1184" i="10" s="1"/>
  <c r="V1189" i="10"/>
  <c r="V1194" i="10"/>
  <c r="V1200" i="10"/>
  <c r="V1205" i="10"/>
  <c r="V1210" i="10"/>
  <c r="V1216" i="10"/>
  <c r="V1221" i="10"/>
  <c r="V1226" i="10"/>
  <c r="V1232" i="10"/>
  <c r="V1237" i="10"/>
  <c r="V1242" i="10"/>
  <c r="V1248" i="10"/>
  <c r="X1248" i="10" s="1"/>
  <c r="V1253" i="10"/>
  <c r="V1258" i="10"/>
  <c r="V1264" i="10"/>
  <c r="V1269" i="10"/>
  <c r="V1274" i="10"/>
  <c r="V1280" i="10"/>
  <c r="V1285" i="10"/>
  <c r="V1290" i="10"/>
  <c r="V1296" i="10"/>
  <c r="V1301" i="10"/>
  <c r="V1306" i="10"/>
  <c r="V1312" i="10"/>
  <c r="X1312" i="10" s="1"/>
  <c r="V1317" i="10"/>
  <c r="V1322" i="10"/>
  <c r="V1328" i="10"/>
  <c r="V1333" i="10"/>
  <c r="V1338" i="10"/>
  <c r="V1344" i="10"/>
  <c r="V1349" i="10"/>
  <c r="V1354" i="10"/>
  <c r="V1360" i="10"/>
  <c r="V1365" i="10"/>
  <c r="V1370" i="10"/>
  <c r="V1376" i="10"/>
  <c r="X1376" i="10" s="1"/>
  <c r="V1381" i="10"/>
  <c r="V1386" i="10"/>
  <c r="V1392" i="10"/>
  <c r="V1397" i="10"/>
  <c r="V1402" i="10"/>
  <c r="V1408" i="10"/>
  <c r="V1413" i="10"/>
  <c r="V1418" i="10"/>
  <c r="V1424" i="10"/>
  <c r="V1429" i="10"/>
  <c r="V1434" i="10"/>
  <c r="V1440" i="10"/>
  <c r="X1440" i="10" s="1"/>
  <c r="V1445" i="10"/>
  <c r="V1450" i="10"/>
  <c r="V1456" i="10"/>
  <c r="V1461" i="10"/>
  <c r="V1466" i="10"/>
  <c r="V1472" i="10"/>
  <c r="V1477" i="10"/>
  <c r="V1482" i="10"/>
  <c r="V1488" i="10"/>
  <c r="V1493" i="10"/>
  <c r="V1498" i="10"/>
  <c r="V1504" i="10"/>
  <c r="X1504" i="10" s="1"/>
  <c r="V1509" i="10"/>
  <c r="V1514" i="10"/>
  <c r="V1520" i="10"/>
  <c r="V1525" i="10"/>
  <c r="V1530" i="10"/>
  <c r="V1536" i="10"/>
  <c r="V1541" i="10"/>
  <c r="V1546" i="10"/>
  <c r="V1552" i="10"/>
  <c r="V1557" i="10"/>
  <c r="V1562" i="10"/>
  <c r="V1568" i="10"/>
  <c r="X1568" i="10" s="1"/>
  <c r="V1573" i="10"/>
  <c r="V1578" i="10"/>
  <c r="V1584" i="10"/>
  <c r="V1589" i="10"/>
  <c r="V1594" i="10"/>
  <c r="V1600" i="10"/>
  <c r="V1605" i="10"/>
  <c r="V1610" i="10"/>
  <c r="V1616" i="10"/>
  <c r="V1621" i="10"/>
  <c r="V1626" i="10"/>
  <c r="V1632" i="10"/>
  <c r="X1632" i="10" s="1"/>
  <c r="V1637" i="10"/>
  <c r="V1642" i="10"/>
  <c r="V1648" i="10"/>
  <c r="X1648" i="10" s="1"/>
  <c r="V1653" i="10"/>
  <c r="V1658" i="10"/>
  <c r="V1664" i="10"/>
  <c r="V1669" i="10"/>
  <c r="V1674" i="10"/>
  <c r="V1680" i="10"/>
  <c r="V1685" i="10"/>
  <c r="V1690" i="10"/>
  <c r="V1696" i="10"/>
  <c r="X1696" i="10" s="1"/>
  <c r="V1701" i="10"/>
  <c r="V1706" i="10"/>
  <c r="V1712" i="10"/>
  <c r="V1717" i="10"/>
  <c r="V1722" i="10"/>
  <c r="V1728" i="10"/>
  <c r="V1733" i="10"/>
  <c r="V1738" i="10"/>
  <c r="V1744" i="10"/>
  <c r="V1749" i="10"/>
  <c r="V1754" i="10"/>
  <c r="V1760" i="10"/>
  <c r="X1760" i="10" s="1"/>
  <c r="V1765" i="10"/>
  <c r="V1770" i="10"/>
  <c r="V1776" i="10"/>
  <c r="V1781" i="10"/>
  <c r="V67" i="10"/>
  <c r="X67" i="10" s="1"/>
  <c r="V195" i="10"/>
  <c r="X195" i="10" s="1"/>
  <c r="V315" i="10"/>
  <c r="X315" i="10" s="1"/>
  <c r="V361" i="10"/>
  <c r="X361" i="10" s="1"/>
  <c r="V393" i="10"/>
  <c r="X393" i="10" s="1"/>
  <c r="V425" i="10"/>
  <c r="X425" i="10" s="1"/>
  <c r="V457" i="10"/>
  <c r="X457" i="10" s="1"/>
  <c r="V489" i="10"/>
  <c r="X489" i="10" s="1"/>
  <c r="V521" i="10"/>
  <c r="X521" i="10" s="1"/>
  <c r="V553" i="10"/>
  <c r="X553" i="10" s="1"/>
  <c r="V585" i="10"/>
  <c r="X585" i="10" s="1"/>
  <c r="V608" i="10"/>
  <c r="X608" i="10" s="1"/>
  <c r="V629" i="10"/>
  <c r="X629" i="10" s="1"/>
  <c r="V651" i="10"/>
  <c r="V672" i="10"/>
  <c r="X672" i="10" s="1"/>
  <c r="V691" i="10"/>
  <c r="X691" i="10" s="1"/>
  <c r="V707" i="10"/>
  <c r="X707" i="10" s="1"/>
  <c r="V723" i="10"/>
  <c r="X723" i="10" s="1"/>
  <c r="V739" i="10"/>
  <c r="X739" i="10" s="1"/>
  <c r="V755" i="10"/>
  <c r="X755" i="10" s="1"/>
  <c r="V771" i="10"/>
  <c r="X771" i="10" s="1"/>
  <c r="V787" i="10"/>
  <c r="X787" i="10" s="1"/>
  <c r="V803" i="10"/>
  <c r="X803" i="10" s="1"/>
  <c r="V819" i="10"/>
  <c r="X819" i="10" s="1"/>
  <c r="V835" i="10"/>
  <c r="X835" i="10" s="1"/>
  <c r="V851" i="10"/>
  <c r="X851" i="10" s="1"/>
  <c r="V867" i="10"/>
  <c r="X867" i="10" s="1"/>
  <c r="V883" i="10"/>
  <c r="X883" i="10" s="1"/>
  <c r="V899" i="10"/>
  <c r="X899" i="10" s="1"/>
  <c r="V915" i="10"/>
  <c r="X915" i="10" s="1"/>
  <c r="V931" i="10"/>
  <c r="X931" i="10" s="1"/>
  <c r="V947" i="10"/>
  <c r="X947" i="10" s="1"/>
  <c r="V963" i="10"/>
  <c r="X963" i="10" s="1"/>
  <c r="V979" i="10"/>
  <c r="X979" i="10" s="1"/>
  <c r="V994" i="10"/>
  <c r="X994" i="10" s="1"/>
  <c r="V1005" i="10"/>
  <c r="V1014" i="10"/>
  <c r="X1014" i="10" s="1"/>
  <c r="V1021" i="10"/>
  <c r="V1029" i="10"/>
  <c r="X1029" i="10" s="1"/>
  <c r="V1035" i="10"/>
  <c r="X1035" i="10" s="1"/>
  <c r="V1042" i="10"/>
  <c r="X1042" i="10" s="1"/>
  <c r="V1050" i="10"/>
  <c r="V1057" i="10"/>
  <c r="X1057" i="10" s="1"/>
  <c r="V1063" i="10"/>
  <c r="X1063" i="10" s="1"/>
  <c r="V1071" i="10"/>
  <c r="V1078" i="10"/>
  <c r="X1078" i="10" s="1"/>
  <c r="V1085" i="10"/>
  <c r="X1085" i="10" s="1"/>
  <c r="V1093" i="10"/>
  <c r="V1099" i="10"/>
  <c r="X1099" i="10" s="1"/>
  <c r="V1106" i="10"/>
  <c r="X1106" i="10" s="1"/>
  <c r="V1114" i="10"/>
  <c r="X1114" i="10" s="1"/>
  <c r="V1121" i="10"/>
  <c r="V1126" i="10"/>
  <c r="X1126" i="10" s="1"/>
  <c r="V1132" i="10"/>
  <c r="V1137" i="10"/>
  <c r="X1137" i="10" s="1"/>
  <c r="V1142" i="10"/>
  <c r="X1142" i="10" s="1"/>
  <c r="V1148" i="10"/>
  <c r="V1153" i="10"/>
  <c r="X1153" i="10" s="1"/>
  <c r="V1158" i="10"/>
  <c r="X1158" i="10" s="1"/>
  <c r="V1164" i="10"/>
  <c r="V1169" i="10"/>
  <c r="X1169" i="10" s="1"/>
  <c r="V1174" i="10"/>
  <c r="X1174" i="10" s="1"/>
  <c r="V1180" i="10"/>
  <c r="X1180" i="10" s="1"/>
  <c r="V1185" i="10"/>
  <c r="X1185" i="10" s="1"/>
  <c r="V1190" i="10"/>
  <c r="X1190" i="10" s="1"/>
  <c r="V1196" i="10"/>
  <c r="V1201" i="10"/>
  <c r="X1201" i="10" s="1"/>
  <c r="V1206" i="10"/>
  <c r="X1206" i="10" s="1"/>
  <c r="V1212" i="10"/>
  <c r="V1217" i="10"/>
  <c r="X1217" i="10" s="1"/>
  <c r="V1222" i="10"/>
  <c r="X1222" i="10" s="1"/>
  <c r="V1228" i="10"/>
  <c r="V1233" i="10"/>
  <c r="X1233" i="10" s="1"/>
  <c r="V1238" i="10"/>
  <c r="X1238" i="10" s="1"/>
  <c r="V1244" i="10"/>
  <c r="X1244" i="10" s="1"/>
  <c r="V1249" i="10"/>
  <c r="X1249" i="10" s="1"/>
  <c r="V1254" i="10"/>
  <c r="X1254" i="10" s="1"/>
  <c r="V1260" i="10"/>
  <c r="V1265" i="10"/>
  <c r="X1265" i="10" s="1"/>
  <c r="V1270" i="10"/>
  <c r="X1270" i="10" s="1"/>
  <c r="V1276" i="10"/>
  <c r="V1281" i="10"/>
  <c r="X1281" i="10" s="1"/>
  <c r="V1286" i="10"/>
  <c r="X1286" i="10" s="1"/>
  <c r="V1292" i="10"/>
  <c r="V1297" i="10"/>
  <c r="X1297" i="10" s="1"/>
  <c r="V1302" i="10"/>
  <c r="X1302" i="10" s="1"/>
  <c r="V1308" i="10"/>
  <c r="X1308" i="10" s="1"/>
  <c r="V1313" i="10"/>
  <c r="X1313" i="10" s="1"/>
  <c r="V1318" i="10"/>
  <c r="X1318" i="10" s="1"/>
  <c r="V1324" i="10"/>
  <c r="V1329" i="10"/>
  <c r="X1329" i="10" s="1"/>
  <c r="V1334" i="10"/>
  <c r="X1334" i="10" s="1"/>
  <c r="V1340" i="10"/>
  <c r="V1345" i="10"/>
  <c r="X1345" i="10" s="1"/>
  <c r="V1350" i="10"/>
  <c r="X1350" i="10" s="1"/>
  <c r="V1356" i="10"/>
  <c r="V1361" i="10"/>
  <c r="X1361" i="10" s="1"/>
  <c r="V1366" i="10"/>
  <c r="X1366" i="10" s="1"/>
  <c r="V1372" i="10"/>
  <c r="X1372" i="10" s="1"/>
  <c r="V1377" i="10"/>
  <c r="X1377" i="10" s="1"/>
  <c r="V1382" i="10"/>
  <c r="X1382" i="10" s="1"/>
  <c r="V1388" i="10"/>
  <c r="V1393" i="10"/>
  <c r="X1393" i="10" s="1"/>
  <c r="V1398" i="10"/>
  <c r="X1398" i="10" s="1"/>
  <c r="V1404" i="10"/>
  <c r="V1409" i="10"/>
  <c r="X1409" i="10" s="1"/>
  <c r="V1414" i="10"/>
  <c r="X1414" i="10" s="1"/>
  <c r="V1420" i="10"/>
  <c r="V1425" i="10"/>
  <c r="X1425" i="10" s="1"/>
  <c r="V1430" i="10"/>
  <c r="X1430" i="10" s="1"/>
  <c r="V1436" i="10"/>
  <c r="X1436" i="10" s="1"/>
  <c r="V1441" i="10"/>
  <c r="X1441" i="10" s="1"/>
  <c r="V1446" i="10"/>
  <c r="X1446" i="10" s="1"/>
  <c r="V1452" i="10"/>
  <c r="V1457" i="10"/>
  <c r="X1457" i="10" s="1"/>
  <c r="V1462" i="10"/>
  <c r="X1462" i="10" s="1"/>
  <c r="V1468" i="10"/>
  <c r="V1473" i="10"/>
  <c r="X1473" i="10" s="1"/>
  <c r="V1478" i="10"/>
  <c r="X1478" i="10" s="1"/>
  <c r="V1484" i="10"/>
  <c r="V1489" i="10"/>
  <c r="X1489" i="10" s="1"/>
  <c r="V1494" i="10"/>
  <c r="X1494" i="10" s="1"/>
  <c r="V1500" i="10"/>
  <c r="X1500" i="10" s="1"/>
  <c r="V1505" i="10"/>
  <c r="X1505" i="10" s="1"/>
  <c r="V1510" i="10"/>
  <c r="X1510" i="10" s="1"/>
  <c r="V1516" i="10"/>
  <c r="V1521" i="10"/>
  <c r="X1521" i="10" s="1"/>
  <c r="V1526" i="10"/>
  <c r="X1526" i="10" s="1"/>
  <c r="V1532" i="10"/>
  <c r="V1537" i="10"/>
  <c r="X1537" i="10" s="1"/>
  <c r="V1542" i="10"/>
  <c r="X1542" i="10" s="1"/>
  <c r="V1548" i="10"/>
  <c r="V1553" i="10"/>
  <c r="V1558" i="10"/>
  <c r="X1558" i="10" s="1"/>
  <c r="V1564" i="10"/>
  <c r="X1564" i="10" s="1"/>
  <c r="V1569" i="10"/>
  <c r="X1569" i="10" s="1"/>
  <c r="V1574" i="10"/>
  <c r="X1574" i="10" s="1"/>
  <c r="V1580" i="10"/>
  <c r="V1585" i="10"/>
  <c r="X1585" i="10" s="1"/>
  <c r="V1590" i="10"/>
  <c r="X1590" i="10" s="1"/>
  <c r="V1596" i="10"/>
  <c r="V1601" i="10"/>
  <c r="X1601" i="10" s="1"/>
  <c r="V1606" i="10"/>
  <c r="X1606" i="10" s="1"/>
  <c r="V1612" i="10"/>
  <c r="V1617" i="10"/>
  <c r="X1617" i="10" s="1"/>
  <c r="V1622" i="10"/>
  <c r="X1622" i="10" s="1"/>
  <c r="V1628" i="10"/>
  <c r="X1628" i="10" s="1"/>
  <c r="V1633" i="10"/>
  <c r="X1633" i="10" s="1"/>
  <c r="V1638" i="10"/>
  <c r="X1638" i="10" s="1"/>
  <c r="V1644" i="10"/>
  <c r="V1649" i="10"/>
  <c r="V1654" i="10"/>
  <c r="X1654" i="10" s="1"/>
  <c r="V1660" i="10"/>
  <c r="V1665" i="10"/>
  <c r="X1665" i="10" s="1"/>
  <c r="V1670" i="10"/>
  <c r="X1670" i="10" s="1"/>
  <c r="V1676" i="10"/>
  <c r="V1681" i="10"/>
  <c r="X1681" i="10" s="1"/>
  <c r="V1686" i="10"/>
  <c r="X1686" i="10" s="1"/>
  <c r="V1692" i="10"/>
  <c r="X1692" i="10" s="1"/>
  <c r="V1697" i="10"/>
  <c r="X1697" i="10" s="1"/>
  <c r="V1702" i="10"/>
  <c r="X1702" i="10" s="1"/>
  <c r="V1708" i="10"/>
  <c r="V1713" i="10"/>
  <c r="X1713" i="10" s="1"/>
  <c r="V1718" i="10"/>
  <c r="X1718" i="10" s="1"/>
  <c r="V1724" i="10"/>
  <c r="V1729" i="10"/>
  <c r="X1729" i="10" s="1"/>
  <c r="V1734" i="10"/>
  <c r="X1734" i="10" s="1"/>
  <c r="V1740" i="10"/>
  <c r="V1745" i="10"/>
  <c r="X1745" i="10" s="1"/>
  <c r="V1750" i="10"/>
  <c r="X1750" i="10" s="1"/>
  <c r="V127" i="10"/>
  <c r="X127" i="10" s="1"/>
  <c r="V344" i="10"/>
  <c r="V408" i="10"/>
  <c r="V472" i="10"/>
  <c r="V536" i="10"/>
  <c r="X536" i="10" s="1"/>
  <c r="V596" i="10"/>
  <c r="V639" i="10"/>
  <c r="X639" i="10" s="1"/>
  <c r="V681" i="10"/>
  <c r="X681" i="10" s="1"/>
  <c r="V714" i="10"/>
  <c r="X714" i="10" s="1"/>
  <c r="V746" i="10"/>
  <c r="V778" i="10"/>
  <c r="V810" i="10"/>
  <c r="X810" i="10" s="1"/>
  <c r="V842" i="10"/>
  <c r="X842" i="10" s="1"/>
  <c r="V874" i="10"/>
  <c r="V906" i="10"/>
  <c r="V938" i="10"/>
  <c r="X938" i="10" s="1"/>
  <c r="V970" i="10"/>
  <c r="X970" i="10" s="1"/>
  <c r="V998" i="10"/>
  <c r="V1015" i="10"/>
  <c r="X1015" i="10" s="1"/>
  <c r="V1030" i="10"/>
  <c r="V1045" i="10"/>
  <c r="X1045" i="10" s="1"/>
  <c r="V1058" i="10"/>
  <c r="V1073" i="10"/>
  <c r="V1087" i="10"/>
  <c r="X1087" i="10" s="1"/>
  <c r="V1101" i="10"/>
  <c r="X1101" i="10" s="1"/>
  <c r="V1115" i="10"/>
  <c r="V1128" i="10"/>
  <c r="V1138" i="10"/>
  <c r="V1149" i="10"/>
  <c r="V1160" i="10"/>
  <c r="V1170" i="10"/>
  <c r="X1170" i="10" s="1"/>
  <c r="V1181" i="10"/>
  <c r="V1192" i="10"/>
  <c r="X1192" i="10" s="1"/>
  <c r="V1202" i="10"/>
  <c r="V1213" i="10"/>
  <c r="X1213" i="10" s="1"/>
  <c r="V1224" i="10"/>
  <c r="X1224" i="10" s="1"/>
  <c r="V1234" i="10"/>
  <c r="V1245" i="10"/>
  <c r="V1256" i="10"/>
  <c r="V1266" i="10"/>
  <c r="V1277" i="10"/>
  <c r="V1288" i="10"/>
  <c r="V1298" i="10"/>
  <c r="X1298" i="10" s="1"/>
  <c r="V1309" i="10"/>
  <c r="V1320" i="10"/>
  <c r="X1320" i="10" s="1"/>
  <c r="V1330" i="10"/>
  <c r="V1341" i="10"/>
  <c r="X1341" i="10" s="1"/>
  <c r="V1352" i="10"/>
  <c r="X1352" i="10" s="1"/>
  <c r="V1362" i="10"/>
  <c r="V1373" i="10"/>
  <c r="V1384" i="10"/>
  <c r="V1394" i="10"/>
  <c r="V1405" i="10"/>
  <c r="V1416" i="10"/>
  <c r="V1426" i="10"/>
  <c r="X1426" i="10" s="1"/>
  <c r="V1437" i="10"/>
  <c r="V1448" i="10"/>
  <c r="X1448" i="10" s="1"/>
  <c r="V1458" i="10"/>
  <c r="V1469" i="10"/>
  <c r="X1469" i="10" s="1"/>
  <c r="V1480" i="10"/>
  <c r="X1480" i="10" s="1"/>
  <c r="V1490" i="10"/>
  <c r="V1501" i="10"/>
  <c r="V1512" i="10"/>
  <c r="V1522" i="10"/>
  <c r="V1533" i="10"/>
  <c r="V1544" i="10"/>
  <c r="V1554" i="10"/>
  <c r="X1554" i="10" s="1"/>
  <c r="V1565" i="10"/>
  <c r="V1576" i="10"/>
  <c r="X1576" i="10" s="1"/>
  <c r="V1586" i="10"/>
  <c r="V1597" i="10"/>
  <c r="X1597" i="10" s="1"/>
  <c r="V1608" i="10"/>
  <c r="X1608" i="10" s="1"/>
  <c r="V1618" i="10"/>
  <c r="V1629" i="10"/>
  <c r="V1640" i="10"/>
  <c r="V1650" i="10"/>
  <c r="V1661" i="10"/>
  <c r="V1672" i="10"/>
  <c r="V1682" i="10"/>
  <c r="X1682" i="10" s="1"/>
  <c r="V1693" i="10"/>
  <c r="V1704" i="10"/>
  <c r="X1704" i="10" s="1"/>
  <c r="V1714" i="10"/>
  <c r="V1725" i="10"/>
  <c r="X1725" i="10" s="1"/>
  <c r="V1736" i="10"/>
  <c r="X1736" i="10" s="1"/>
  <c r="V1746" i="10"/>
  <c r="V1756" i="10"/>
  <c r="V1762" i="10"/>
  <c r="V1769" i="10"/>
  <c r="V1777" i="10"/>
  <c r="X1777" i="10" s="1"/>
  <c r="V1784" i="10"/>
  <c r="V1789" i="10"/>
  <c r="V1794" i="10"/>
  <c r="V1800" i="10"/>
  <c r="X1800" i="10" s="1"/>
  <c r="V1805" i="10"/>
  <c r="V1810" i="10"/>
  <c r="V1816" i="10"/>
  <c r="X1816" i="10" s="1"/>
  <c r="V1821" i="10"/>
  <c r="V1826" i="10"/>
  <c r="V1832" i="10"/>
  <c r="V1837" i="10"/>
  <c r="V1842" i="10"/>
  <c r="V1848" i="10"/>
  <c r="V1853" i="10"/>
  <c r="V1858" i="10"/>
  <c r="V1864" i="10"/>
  <c r="X1864" i="10" s="1"/>
  <c r="V1869" i="10"/>
  <c r="V1874" i="10"/>
  <c r="V1880" i="10"/>
  <c r="X1880" i="10" s="1"/>
  <c r="V1885" i="10"/>
  <c r="V1890" i="10"/>
  <c r="V1896" i="10"/>
  <c r="V1901" i="10"/>
  <c r="V1906" i="10"/>
  <c r="V1912" i="10"/>
  <c r="V1917" i="10"/>
  <c r="V1922" i="10"/>
  <c r="V1928" i="10"/>
  <c r="X1928" i="10" s="1"/>
  <c r="V1933" i="10"/>
  <c r="V1938" i="10"/>
  <c r="V1944" i="10"/>
  <c r="X1944" i="10" s="1"/>
  <c r="V1949" i="10"/>
  <c r="V1954" i="10"/>
  <c r="V1960" i="10"/>
  <c r="V1965" i="10"/>
  <c r="V1970" i="10"/>
  <c r="V1976" i="10"/>
  <c r="V1981" i="10"/>
  <c r="V1986" i="10"/>
  <c r="V1992" i="10"/>
  <c r="X1992" i="10" s="1"/>
  <c r="V1997" i="10"/>
  <c r="V2002" i="10"/>
  <c r="V2008" i="10"/>
  <c r="X2008" i="10" s="1"/>
  <c r="V2013" i="10"/>
  <c r="V2018" i="10"/>
  <c r="V2024" i="10"/>
  <c r="V2029" i="10"/>
  <c r="V2034" i="10"/>
  <c r="V2040" i="10"/>
  <c r="V2045" i="10"/>
  <c r="V2050" i="10"/>
  <c r="V2056" i="10"/>
  <c r="X2056" i="10" s="1"/>
  <c r="V2061" i="10"/>
  <c r="V2066" i="10"/>
  <c r="V2072" i="10"/>
  <c r="X2072" i="10" s="1"/>
  <c r="V2077" i="10"/>
  <c r="V2082" i="10"/>
  <c r="V2088" i="10"/>
  <c r="V2093" i="10"/>
  <c r="V2098" i="10"/>
  <c r="V2104" i="10"/>
  <c r="V2109" i="10"/>
  <c r="V2114" i="10"/>
  <c r="V2118" i="10"/>
  <c r="V2122" i="10"/>
  <c r="V2126" i="10"/>
  <c r="V2130" i="10"/>
  <c r="V2134" i="10"/>
  <c r="V2138" i="10"/>
  <c r="V2142" i="10"/>
  <c r="V2146" i="10"/>
  <c r="V2150" i="10"/>
  <c r="V2154" i="10"/>
  <c r="V2158" i="10"/>
  <c r="V2162" i="10"/>
  <c r="V2166" i="10"/>
  <c r="V2170" i="10"/>
  <c r="V2174" i="10"/>
  <c r="V2178" i="10"/>
  <c r="V2182" i="10"/>
  <c r="V2186" i="10"/>
  <c r="V2190" i="10"/>
  <c r="V2194" i="10"/>
  <c r="V2198" i="10"/>
  <c r="V2202" i="10"/>
  <c r="V2206" i="10"/>
  <c r="V2210" i="10"/>
  <c r="V2214" i="10"/>
  <c r="V2218" i="10"/>
  <c r="V2222" i="10"/>
  <c r="V2226" i="10"/>
  <c r="V2230" i="10"/>
  <c r="V2234" i="10"/>
  <c r="V2238" i="10"/>
  <c r="V2242" i="10"/>
  <c r="V2246" i="10"/>
  <c r="V2250" i="10"/>
  <c r="V2254" i="10"/>
  <c r="V2258" i="10"/>
  <c r="V2262" i="10"/>
  <c r="V2266" i="10"/>
  <c r="V2270" i="10"/>
  <c r="V2274" i="10"/>
  <c r="V2278" i="10"/>
  <c r="V2282" i="10"/>
  <c r="V2286" i="10"/>
  <c r="V2290" i="10"/>
  <c r="V2294" i="10"/>
  <c r="V2298" i="10"/>
  <c r="V2302" i="10"/>
  <c r="V2306" i="10"/>
  <c r="V2310" i="10"/>
  <c r="V2314" i="10"/>
  <c r="V2318" i="10"/>
  <c r="V2322" i="10"/>
  <c r="V2326" i="10"/>
  <c r="V2330" i="10"/>
  <c r="V2334" i="10"/>
  <c r="V2338" i="10"/>
  <c r="V2342" i="10"/>
  <c r="V2346" i="10"/>
  <c r="V2350" i="10"/>
  <c r="V2354" i="10"/>
  <c r="V2358" i="10"/>
  <c r="V2362" i="10"/>
  <c r="V2366" i="10"/>
  <c r="V2370" i="10"/>
  <c r="V2374" i="10"/>
  <c r="V2378" i="10"/>
  <c r="V2382" i="10"/>
  <c r="V2386" i="10"/>
  <c r="V2390" i="10"/>
  <c r="V2394" i="10"/>
  <c r="V2398" i="10"/>
  <c r="V2402" i="10"/>
  <c r="V2406" i="10"/>
  <c r="V2410" i="10"/>
  <c r="V2414" i="10"/>
  <c r="V2418" i="10"/>
  <c r="V2422" i="10"/>
  <c r="V2426" i="10"/>
  <c r="V2430" i="10"/>
  <c r="V2434" i="10"/>
  <c r="V2438" i="10"/>
  <c r="V2442" i="10"/>
  <c r="V2446" i="10"/>
  <c r="V2450" i="10"/>
  <c r="V2454" i="10"/>
  <c r="V2458" i="10"/>
  <c r="V2462" i="10"/>
  <c r="V2466" i="10"/>
  <c r="V2470" i="10"/>
  <c r="V2474" i="10"/>
  <c r="V1204" i="10"/>
  <c r="X1204" i="10" s="1"/>
  <c r="V1897" i="10"/>
  <c r="V1924" i="10"/>
  <c r="X1924" i="10" s="1"/>
  <c r="V1934" i="10"/>
  <c r="X1934" i="10" s="1"/>
  <c r="V1945" i="10"/>
  <c r="V1956" i="10"/>
  <c r="V1966" i="10"/>
  <c r="V1977" i="10"/>
  <c r="X1977" i="10" s="1"/>
  <c r="V1988" i="10"/>
  <c r="X1988" i="10" s="1"/>
  <c r="V1998" i="10"/>
  <c r="V2009" i="10"/>
  <c r="V2020" i="10"/>
  <c r="V2030" i="10"/>
  <c r="V2041" i="10"/>
  <c r="V2052" i="10"/>
  <c r="X2052" i="10" s="1"/>
  <c r="V2062" i="10"/>
  <c r="X2062" i="10" s="1"/>
  <c r="V2073" i="10"/>
  <c r="V2084" i="10"/>
  <c r="V2094" i="10"/>
  <c r="V2105" i="10"/>
  <c r="X2105" i="10" s="1"/>
  <c r="V2115" i="10"/>
  <c r="V2123" i="10"/>
  <c r="V2131" i="10"/>
  <c r="V2139" i="10"/>
  <c r="X2139" i="10" s="1"/>
  <c r="V2147" i="10"/>
  <c r="V2155" i="10"/>
  <c r="V2159" i="10"/>
  <c r="V2167" i="10"/>
  <c r="V2175" i="10"/>
  <c r="X2175" i="10" s="1"/>
  <c r="V2183" i="10"/>
  <c r="V2191" i="10"/>
  <c r="V2199" i="10"/>
  <c r="V2207" i="10"/>
  <c r="X2207" i="10" s="1"/>
  <c r="V2215" i="10"/>
  <c r="V2223" i="10"/>
  <c r="V2231" i="10"/>
  <c r="V2239" i="10"/>
  <c r="X2239" i="10" s="1"/>
  <c r="V2247" i="10"/>
  <c r="V2255" i="10"/>
  <c r="V2263" i="10"/>
  <c r="V2271" i="10"/>
  <c r="X2271" i="10" s="1"/>
  <c r="V2279" i="10"/>
  <c r="V2287" i="10"/>
  <c r="V2295" i="10"/>
  <c r="V2303" i="10"/>
  <c r="X2303" i="10" s="1"/>
  <c r="V2311" i="10"/>
  <c r="V2319" i="10"/>
  <c r="V2327" i="10"/>
  <c r="V2335" i="10"/>
  <c r="X2335" i="10" s="1"/>
  <c r="V2343" i="10"/>
  <c r="V2351" i="10"/>
  <c r="V2359" i="10"/>
  <c r="V2367" i="10"/>
  <c r="X2367" i="10" s="1"/>
  <c r="V2375" i="10"/>
  <c r="V2383" i="10"/>
  <c r="V2391" i="10"/>
  <c r="V2399" i="10"/>
  <c r="X2399" i="10" s="1"/>
  <c r="V2407" i="10"/>
  <c r="V2415" i="10"/>
  <c r="V2423" i="10"/>
  <c r="V2431" i="10"/>
  <c r="X2431" i="10" s="1"/>
  <c r="V2439" i="10"/>
  <c r="V2447" i="10"/>
  <c r="V2455" i="10"/>
  <c r="V2463" i="10"/>
  <c r="X2463" i="10" s="1"/>
  <c r="V2471" i="10"/>
  <c r="V255" i="10"/>
  <c r="X255" i="10" s="1"/>
  <c r="V504" i="10"/>
  <c r="V617" i="10"/>
  <c r="V698" i="10"/>
  <c r="X698" i="10" s="1"/>
  <c r="V762" i="10"/>
  <c r="X762" i="10" s="1"/>
  <c r="V826" i="10"/>
  <c r="V890" i="10"/>
  <c r="V954" i="10"/>
  <c r="X954" i="10" s="1"/>
  <c r="V1009" i="10"/>
  <c r="X1009" i="10" s="1"/>
  <c r="V1037" i="10"/>
  <c r="V1066" i="10"/>
  <c r="V1094" i="10"/>
  <c r="V1122" i="10"/>
  <c r="X1122" i="10" s="1"/>
  <c r="V1144" i="10"/>
  <c r="V1165" i="10"/>
  <c r="V1186" i="10"/>
  <c r="V1208" i="10"/>
  <c r="X1208" i="10" s="1"/>
  <c r="V1229" i="10"/>
  <c r="X1229" i="10" s="1"/>
  <c r="V1250" i="10"/>
  <c r="V1272" i="10"/>
  <c r="X1272" i="10" s="1"/>
  <c r="V1293" i="10"/>
  <c r="X1293" i="10" s="1"/>
  <c r="V1314" i="10"/>
  <c r="X1314" i="10" s="1"/>
  <c r="V1336" i="10"/>
  <c r="V1357" i="10"/>
  <c r="V1378" i="10"/>
  <c r="X1378" i="10" s="1"/>
  <c r="V1400" i="10"/>
  <c r="V1421" i="10"/>
  <c r="V1442" i="10"/>
  <c r="V1464" i="10"/>
  <c r="X1464" i="10" s="1"/>
  <c r="V1485" i="10"/>
  <c r="X1485" i="10" s="1"/>
  <c r="V1506" i="10"/>
  <c r="V1528" i="10"/>
  <c r="X1528" i="10" s="1"/>
  <c r="V1549" i="10"/>
  <c r="V1570" i="10"/>
  <c r="X1570" i="10" s="1"/>
  <c r="V1592" i="10"/>
  <c r="V1613" i="10"/>
  <c r="V1634" i="10"/>
  <c r="V1656" i="10"/>
  <c r="V1677" i="10"/>
  <c r="V1698" i="10"/>
  <c r="V1720" i="10"/>
  <c r="X1720" i="10" s="1"/>
  <c r="V1741" i="10"/>
  <c r="X1741" i="10" s="1"/>
  <c r="V1758" i="10"/>
  <c r="V1773" i="10"/>
  <c r="V1786" i="10"/>
  <c r="V1797" i="10"/>
  <c r="V1808" i="10"/>
  <c r="V1818" i="10"/>
  <c r="V1829" i="10"/>
  <c r="V1840" i="10"/>
  <c r="X1840" i="10" s="1"/>
  <c r="V1850" i="10"/>
  <c r="V1861" i="10"/>
  <c r="V1872" i="10"/>
  <c r="X1872" i="10" s="1"/>
  <c r="V1882" i="10"/>
  <c r="V1893" i="10"/>
  <c r="V1904" i="10"/>
  <c r="V1914" i="10"/>
  <c r="V1925" i="10"/>
  <c r="V1936" i="10"/>
  <c r="V1946" i="10"/>
  <c r="V1962" i="10"/>
  <c r="V1973" i="10"/>
  <c r="V1984" i="10"/>
  <c r="V1994" i="10"/>
  <c r="V2005" i="10"/>
  <c r="V2016" i="10"/>
  <c r="X2016" i="10" s="1"/>
  <c r="V2026" i="10"/>
  <c r="V2037" i="10"/>
  <c r="V2048" i="10"/>
  <c r="X2048" i="10" s="1"/>
  <c r="V2058" i="10"/>
  <c r="V2069" i="10"/>
  <c r="V2080" i="10"/>
  <c r="V2090" i="10"/>
  <c r="V2101" i="10"/>
  <c r="V2112" i="10"/>
  <c r="V2120" i="10"/>
  <c r="V2128" i="10"/>
  <c r="V2136" i="10"/>
  <c r="V2144" i="10"/>
  <c r="V2152" i="10"/>
  <c r="V2160" i="10"/>
  <c r="X2160" i="10" s="1"/>
  <c r="V2168" i="10"/>
  <c r="X2168" i="10" s="1"/>
  <c r="V2176" i="10"/>
  <c r="X2176" i="10" s="1"/>
  <c r="V2184" i="10"/>
  <c r="X2184" i="10" s="1"/>
  <c r="V2192" i="10"/>
  <c r="X2192" i="10" s="1"/>
  <c r="V2200" i="10"/>
  <c r="X2200" i="10" s="1"/>
  <c r="V2208" i="10"/>
  <c r="X2208" i="10" s="1"/>
  <c r="V2216" i="10"/>
  <c r="X2216" i="10" s="1"/>
  <c r="V2224" i="10"/>
  <c r="X2224" i="10" s="1"/>
  <c r="V2232" i="10"/>
  <c r="X2232" i="10" s="1"/>
  <c r="V2240" i="10"/>
  <c r="X2240" i="10" s="1"/>
  <c r="V2248" i="10"/>
  <c r="X2248" i="10" s="1"/>
  <c r="V2256" i="10"/>
  <c r="X2256" i="10" s="1"/>
  <c r="V2264" i="10"/>
  <c r="X2264" i="10" s="1"/>
  <c r="V2272" i="10"/>
  <c r="X2272" i="10" s="1"/>
  <c r="V2280" i="10"/>
  <c r="X2280" i="10" s="1"/>
  <c r="V2288" i="10"/>
  <c r="X2288" i="10" s="1"/>
  <c r="V2296" i="10"/>
  <c r="X2296" i="10" s="1"/>
  <c r="V2304" i="10"/>
  <c r="X2304" i="10" s="1"/>
  <c r="V2312" i="10"/>
  <c r="X2312" i="10" s="1"/>
  <c r="V2320" i="10"/>
  <c r="X2320" i="10" s="1"/>
  <c r="V2328" i="10"/>
  <c r="X2328" i="10" s="1"/>
  <c r="V2336" i="10"/>
  <c r="X2336" i="10" s="1"/>
  <c r="V2344" i="10"/>
  <c r="X2344" i="10" s="1"/>
  <c r="V2352" i="10"/>
  <c r="X2352" i="10" s="1"/>
  <c r="V2360" i="10"/>
  <c r="X2360" i="10" s="1"/>
  <c r="V2364" i="10"/>
  <c r="V2372" i="10"/>
  <c r="V2380" i="10"/>
  <c r="V2388" i="10"/>
  <c r="V2396" i="10"/>
  <c r="V2404" i="10"/>
  <c r="V2412" i="10"/>
  <c r="V2420" i="10"/>
  <c r="V2428" i="10"/>
  <c r="V2436" i="10"/>
  <c r="V2444" i="10"/>
  <c r="V2452" i="10"/>
  <c r="V2460" i="10"/>
  <c r="V2468" i="10"/>
  <c r="V377" i="10"/>
  <c r="V441" i="10"/>
  <c r="V569" i="10"/>
  <c r="V661" i="10"/>
  <c r="V731" i="10"/>
  <c r="V795" i="10"/>
  <c r="V859" i="10"/>
  <c r="V923" i="10"/>
  <c r="V987" i="10"/>
  <c r="V1025" i="10"/>
  <c r="V1053" i="10"/>
  <c r="X1053" i="10" s="1"/>
  <c r="V1082" i="10"/>
  <c r="X1082" i="10" s="1"/>
  <c r="V1110" i="10"/>
  <c r="V1134" i="10"/>
  <c r="V1156" i="10"/>
  <c r="X1156" i="10" s="1"/>
  <c r="V1177" i="10"/>
  <c r="V1198" i="10"/>
  <c r="V1220" i="10"/>
  <c r="V1241" i="10"/>
  <c r="V1262" i="10"/>
  <c r="V1284" i="10"/>
  <c r="X1284" i="10" s="1"/>
  <c r="V1305" i="10"/>
  <c r="V1326" i="10"/>
  <c r="V1348" i="10"/>
  <c r="X1348" i="10" s="1"/>
  <c r="V1369" i="10"/>
  <c r="V1390" i="10"/>
  <c r="V1412" i="10"/>
  <c r="X1412" i="10" s="1"/>
  <c r="V1433" i="10"/>
  <c r="V1454" i="10"/>
  <c r="V1476" i="10"/>
  <c r="V1497" i="10"/>
  <c r="V1518" i="10"/>
  <c r="V1540" i="10"/>
  <c r="X1540" i="10" s="1"/>
  <c r="V1561" i="10"/>
  <c r="V1582" i="10"/>
  <c r="V1604" i="10"/>
  <c r="V1625" i="10"/>
  <c r="V1646" i="10"/>
  <c r="V1668" i="10"/>
  <c r="X1668" i="10" s="1"/>
  <c r="V1689" i="10"/>
  <c r="V1710" i="10"/>
  <c r="V1732" i="10"/>
  <c r="V1753" i="10"/>
  <c r="V1768" i="10"/>
  <c r="X1768" i="10" s="1"/>
  <c r="V1782" i="10"/>
  <c r="X1782" i="10" s="1"/>
  <c r="V131" i="10"/>
  <c r="V345" i="10"/>
  <c r="V409" i="10"/>
  <c r="V473" i="10"/>
  <c r="X473" i="10" s="1"/>
  <c r="V537" i="10"/>
  <c r="V597" i="10"/>
  <c r="V640" i="10"/>
  <c r="V683" i="10"/>
  <c r="X683" i="10" s="1"/>
  <c r="V715" i="10"/>
  <c r="V747" i="10"/>
  <c r="V779" i="10"/>
  <c r="V811" i="10"/>
  <c r="X811" i="10" s="1"/>
  <c r="V843" i="10"/>
  <c r="V875" i="10"/>
  <c r="V907" i="10"/>
  <c r="V939" i="10"/>
  <c r="X939" i="10" s="1"/>
  <c r="V971" i="10"/>
  <c r="V999" i="10"/>
  <c r="V1018" i="10"/>
  <c r="X1018" i="10" s="1"/>
  <c r="V1031" i="10"/>
  <c r="X1031" i="10" s="1"/>
  <c r="V1046" i="10"/>
  <c r="V1061" i="10"/>
  <c r="V1074" i="10"/>
  <c r="V1089" i="10"/>
  <c r="X1089" i="10" s="1"/>
  <c r="V1103" i="10"/>
  <c r="V1117" i="10"/>
  <c r="X1117" i="10" s="1"/>
  <c r="V1129" i="10"/>
  <c r="V1140" i="10"/>
  <c r="X1140" i="10" s="1"/>
  <c r="V1150" i="10"/>
  <c r="V1161" i="10"/>
  <c r="V1172" i="10"/>
  <c r="X1172" i="10" s="1"/>
  <c r="V1182" i="10"/>
  <c r="X1182" i="10" s="1"/>
  <c r="V1193" i="10"/>
  <c r="V1214" i="10"/>
  <c r="X1214" i="10" s="1"/>
  <c r="V1225" i="10"/>
  <c r="X1225" i="10" s="1"/>
  <c r="V1236" i="10"/>
  <c r="X1236" i="10" s="1"/>
  <c r="V1246" i="10"/>
  <c r="X1246" i="10" s="1"/>
  <c r="V1257" i="10"/>
  <c r="X1257" i="10" s="1"/>
  <c r="V1268" i="10"/>
  <c r="X1268" i="10" s="1"/>
  <c r="V1278" i="10"/>
  <c r="X1278" i="10" s="1"/>
  <c r="V1289" i="10"/>
  <c r="X1289" i="10" s="1"/>
  <c r="V1300" i="10"/>
  <c r="X1300" i="10" s="1"/>
  <c r="V1310" i="10"/>
  <c r="X1310" i="10" s="1"/>
  <c r="V1321" i="10"/>
  <c r="X1321" i="10" s="1"/>
  <c r="V1332" i="10"/>
  <c r="V1342" i="10"/>
  <c r="X1342" i="10" s="1"/>
  <c r="V1353" i="10"/>
  <c r="X1353" i="10" s="1"/>
  <c r="V1364" i="10"/>
  <c r="X1364" i="10" s="1"/>
  <c r="V1374" i="10"/>
  <c r="X1374" i="10" s="1"/>
  <c r="V1385" i="10"/>
  <c r="X1385" i="10" s="1"/>
  <c r="V1396" i="10"/>
  <c r="X1396" i="10" s="1"/>
  <c r="V1406" i="10"/>
  <c r="X1406" i="10" s="1"/>
  <c r="V1417" i="10"/>
  <c r="X1417" i="10" s="1"/>
  <c r="V1428" i="10"/>
  <c r="X1428" i="10" s="1"/>
  <c r="V1438" i="10"/>
  <c r="X1438" i="10" s="1"/>
  <c r="V1449" i="10"/>
  <c r="X1449" i="10" s="1"/>
  <c r="V1460" i="10"/>
  <c r="V1470" i="10"/>
  <c r="X1470" i="10" s="1"/>
  <c r="V1481" i="10"/>
  <c r="X1481" i="10" s="1"/>
  <c r="V1492" i="10"/>
  <c r="X1492" i="10" s="1"/>
  <c r="V1502" i="10"/>
  <c r="X1502" i="10" s="1"/>
  <c r="V1513" i="10"/>
  <c r="X1513" i="10" s="1"/>
  <c r="V1524" i="10"/>
  <c r="X1524" i="10" s="1"/>
  <c r="V1534" i="10"/>
  <c r="X1534" i="10" s="1"/>
  <c r="V1545" i="10"/>
  <c r="X1545" i="10" s="1"/>
  <c r="V1556" i="10"/>
  <c r="X1556" i="10" s="1"/>
  <c r="V1566" i="10"/>
  <c r="X1566" i="10" s="1"/>
  <c r="V1577" i="10"/>
  <c r="X1577" i="10" s="1"/>
  <c r="V1588" i="10"/>
  <c r="V1598" i="10"/>
  <c r="X1598" i="10" s="1"/>
  <c r="V1609" i="10"/>
  <c r="X1609" i="10" s="1"/>
  <c r="V1620" i="10"/>
  <c r="X1620" i="10" s="1"/>
  <c r="V1630" i="10"/>
  <c r="X1630" i="10" s="1"/>
  <c r="V1641" i="10"/>
  <c r="X1641" i="10" s="1"/>
  <c r="V1652" i="10"/>
  <c r="X1652" i="10" s="1"/>
  <c r="V1662" i="10"/>
  <c r="X1662" i="10" s="1"/>
  <c r="V1673" i="10"/>
  <c r="X1673" i="10" s="1"/>
  <c r="V1684" i="10"/>
  <c r="X1684" i="10" s="1"/>
  <c r="V1694" i="10"/>
  <c r="X1694" i="10" s="1"/>
  <c r="V1705" i="10"/>
  <c r="X1705" i="10" s="1"/>
  <c r="V1716" i="10"/>
  <c r="V1726" i="10"/>
  <c r="X1726" i="10" s="1"/>
  <c r="V1737" i="10"/>
  <c r="X1737" i="10" s="1"/>
  <c r="V1748" i="10"/>
  <c r="X1748" i="10" s="1"/>
  <c r="V1757" i="10"/>
  <c r="X1757" i="10" s="1"/>
  <c r="V1764" i="10"/>
  <c r="X1764" i="10" s="1"/>
  <c r="V1772" i="10"/>
  <c r="V1778" i="10"/>
  <c r="X1778" i="10" s="1"/>
  <c r="V1785" i="10"/>
  <c r="X1785" i="10" s="1"/>
  <c r="V1790" i="10"/>
  <c r="X1790" i="10" s="1"/>
  <c r="V1796" i="10"/>
  <c r="X1796" i="10" s="1"/>
  <c r="V1801" i="10"/>
  <c r="X1801" i="10" s="1"/>
  <c r="V1806" i="10"/>
  <c r="X1806" i="10" s="1"/>
  <c r="V1812" i="10"/>
  <c r="X1812" i="10" s="1"/>
  <c r="V1817" i="10"/>
  <c r="X1817" i="10" s="1"/>
  <c r="V1822" i="10"/>
  <c r="X1822" i="10" s="1"/>
  <c r="V1828" i="10"/>
  <c r="V1833" i="10"/>
  <c r="X1833" i="10" s="1"/>
  <c r="V1838" i="10"/>
  <c r="X1838" i="10" s="1"/>
  <c r="V1844" i="10"/>
  <c r="X1844" i="10" s="1"/>
  <c r="V1849" i="10"/>
  <c r="X1849" i="10" s="1"/>
  <c r="V1854" i="10"/>
  <c r="X1854" i="10" s="1"/>
  <c r="V1860" i="10"/>
  <c r="X1860" i="10" s="1"/>
  <c r="V1865" i="10"/>
  <c r="X1865" i="10" s="1"/>
  <c r="V1870" i="10"/>
  <c r="X1870" i="10" s="1"/>
  <c r="V1876" i="10"/>
  <c r="X1876" i="10" s="1"/>
  <c r="V1881" i="10"/>
  <c r="X1881" i="10" s="1"/>
  <c r="V1886" i="10"/>
  <c r="X1886" i="10" s="1"/>
  <c r="V1892" i="10"/>
  <c r="V1902" i="10"/>
  <c r="V1908" i="10"/>
  <c r="X1908" i="10" s="1"/>
  <c r="V1913" i="10"/>
  <c r="X1913" i="10" s="1"/>
  <c r="V1918" i="10"/>
  <c r="V1929" i="10"/>
  <c r="V1940" i="10"/>
  <c r="X1940" i="10" s="1"/>
  <c r="V1950" i="10"/>
  <c r="X1950" i="10" s="1"/>
  <c r="V1961" i="10"/>
  <c r="V1972" i="10"/>
  <c r="X1972" i="10" s="1"/>
  <c r="V1982" i="10"/>
  <c r="V1993" i="10"/>
  <c r="X1993" i="10" s="1"/>
  <c r="V2004" i="10"/>
  <c r="V2014" i="10"/>
  <c r="V2025" i="10"/>
  <c r="V2036" i="10"/>
  <c r="X2036" i="10" s="1"/>
  <c r="V2046" i="10"/>
  <c r="V2057" i="10"/>
  <c r="V2068" i="10"/>
  <c r="X2068" i="10" s="1"/>
  <c r="V2078" i="10"/>
  <c r="X2078" i="10" s="1"/>
  <c r="V2089" i="10"/>
  <c r="V2100" i="10"/>
  <c r="X2100" i="10" s="1"/>
  <c r="V2110" i="10"/>
  <c r="V2119" i="10"/>
  <c r="X2119" i="10" s="1"/>
  <c r="V2127" i="10"/>
  <c r="V2135" i="10"/>
  <c r="V2143" i="10"/>
  <c r="V2151" i="10"/>
  <c r="X2151" i="10" s="1"/>
  <c r="V2163" i="10"/>
  <c r="V2171" i="10"/>
  <c r="V2179" i="10"/>
  <c r="X2179" i="10" s="1"/>
  <c r="V2187" i="10"/>
  <c r="V2195" i="10"/>
  <c r="V2203" i="10"/>
  <c r="V2211" i="10"/>
  <c r="X2211" i="10" s="1"/>
  <c r="V2219" i="10"/>
  <c r="V2227" i="10"/>
  <c r="V2235" i="10"/>
  <c r="V2243" i="10"/>
  <c r="X2243" i="10" s="1"/>
  <c r="V2251" i="10"/>
  <c r="V2259" i="10"/>
  <c r="V2267" i="10"/>
  <c r="V2275" i="10"/>
  <c r="X2275" i="10" s="1"/>
  <c r="V2283" i="10"/>
  <c r="V2291" i="10"/>
  <c r="V2299" i="10"/>
  <c r="V2307" i="10"/>
  <c r="X2307" i="10" s="1"/>
  <c r="V2315" i="10"/>
  <c r="V2323" i="10"/>
  <c r="V2331" i="10"/>
  <c r="V2339" i="10"/>
  <c r="X2339" i="10" s="1"/>
  <c r="V2347" i="10"/>
  <c r="V2355" i="10"/>
  <c r="V2363" i="10"/>
  <c r="V2371" i="10"/>
  <c r="X2371" i="10" s="1"/>
  <c r="V2379" i="10"/>
  <c r="V2387" i="10"/>
  <c r="V2395" i="10"/>
  <c r="V2403" i="10"/>
  <c r="X2403" i="10" s="1"/>
  <c r="V2411" i="10"/>
  <c r="V2419" i="10"/>
  <c r="V2427" i="10"/>
  <c r="V2435" i="10"/>
  <c r="X2435" i="10" s="1"/>
  <c r="V2443" i="10"/>
  <c r="V2451" i="10"/>
  <c r="V2459" i="10"/>
  <c r="V2467" i="10"/>
  <c r="X2467" i="10" s="1"/>
  <c r="V3" i="10"/>
  <c r="V376" i="10"/>
  <c r="V440" i="10"/>
  <c r="V568" i="10"/>
  <c r="V660" i="10"/>
  <c r="X660" i="10" s="1"/>
  <c r="V730" i="10"/>
  <c r="V794" i="10"/>
  <c r="V858" i="10"/>
  <c r="X858" i="10" s="1"/>
  <c r="V922" i="10"/>
  <c r="X922" i="10" s="1"/>
  <c r="V986" i="10"/>
  <c r="V1023" i="10"/>
  <c r="V1051" i="10"/>
  <c r="X1051" i="10" s="1"/>
  <c r="V1079" i="10"/>
  <c r="X1079" i="10" s="1"/>
  <c r="V1109" i="10"/>
  <c r="V1133" i="10"/>
  <c r="V1154" i="10"/>
  <c r="X1154" i="10" s="1"/>
  <c r="V1176" i="10"/>
  <c r="X1176" i="10" s="1"/>
  <c r="V1197" i="10"/>
  <c r="V1218" i="10"/>
  <c r="V1240" i="10"/>
  <c r="X1240" i="10" s="1"/>
  <c r="V1261" i="10"/>
  <c r="X1261" i="10" s="1"/>
  <c r="V1282" i="10"/>
  <c r="V1304" i="10"/>
  <c r="V1325" i="10"/>
  <c r="X1325" i="10" s="1"/>
  <c r="V1346" i="10"/>
  <c r="X1346" i="10" s="1"/>
  <c r="V1368" i="10"/>
  <c r="V1389" i="10"/>
  <c r="V1410" i="10"/>
  <c r="X1410" i="10" s="1"/>
  <c r="V1432" i="10"/>
  <c r="X1432" i="10" s="1"/>
  <c r="V1453" i="10"/>
  <c r="V1474" i="10"/>
  <c r="V1496" i="10"/>
  <c r="X1496" i="10" s="1"/>
  <c r="V1517" i="10"/>
  <c r="X1517" i="10" s="1"/>
  <c r="V1538" i="10"/>
  <c r="V1560" i="10"/>
  <c r="V1581" i="10"/>
  <c r="X1581" i="10" s="1"/>
  <c r="V1602" i="10"/>
  <c r="X1602" i="10" s="1"/>
  <c r="V1624" i="10"/>
  <c r="V1645" i="10"/>
  <c r="V1666" i="10"/>
  <c r="X1666" i="10" s="1"/>
  <c r="V1688" i="10"/>
  <c r="X1688" i="10" s="1"/>
  <c r="V1709" i="10"/>
  <c r="V1730" i="10"/>
  <c r="V1752" i="10"/>
  <c r="X1752" i="10" s="1"/>
  <c r="V1766" i="10"/>
  <c r="X1766" i="10" s="1"/>
  <c r="V1780" i="10"/>
  <c r="V1792" i="10"/>
  <c r="V1802" i="10"/>
  <c r="V1813" i="10"/>
  <c r="X1813" i="10" s="1"/>
  <c r="V1824" i="10"/>
  <c r="X1824" i="10" s="1"/>
  <c r="V1834" i="10"/>
  <c r="X1834" i="10" s="1"/>
  <c r="V1845" i="10"/>
  <c r="V1856" i="10"/>
  <c r="X1856" i="10" s="1"/>
  <c r="V1866" i="10"/>
  <c r="V1877" i="10"/>
  <c r="X1877" i="10" s="1"/>
  <c r="V1888" i="10"/>
  <c r="V1898" i="10"/>
  <c r="X1898" i="10" s="1"/>
  <c r="V1909" i="10"/>
  <c r="V1920" i="10"/>
  <c r="V1930" i="10"/>
  <c r="V1941" i="10"/>
  <c r="V1952" i="10"/>
  <c r="X1952" i="10" s="1"/>
  <c r="V1957" i="10"/>
  <c r="V1968" i="10"/>
  <c r="V1978" i="10"/>
  <c r="X1978" i="10" s="1"/>
  <c r="V1989" i="10"/>
  <c r="V2000" i="10"/>
  <c r="V2010" i="10"/>
  <c r="V2021" i="10"/>
  <c r="X2021" i="10" s="1"/>
  <c r="V2032" i="10"/>
  <c r="X2032" i="10" s="1"/>
  <c r="V2042" i="10"/>
  <c r="V2053" i="10"/>
  <c r="V2064" i="10"/>
  <c r="X2064" i="10" s="1"/>
  <c r="V2074" i="10"/>
  <c r="V2085" i="10"/>
  <c r="V2096" i="10"/>
  <c r="V2106" i="10"/>
  <c r="X2106" i="10" s="1"/>
  <c r="V2116" i="10"/>
  <c r="V2124" i="10"/>
  <c r="V2132" i="10"/>
  <c r="V2140" i="10"/>
  <c r="X2140" i="10" s="1"/>
  <c r="V2148" i="10"/>
  <c r="V2156" i="10"/>
  <c r="V2164" i="10"/>
  <c r="V2172" i="10"/>
  <c r="X2172" i="10" s="1"/>
  <c r="V2180" i="10"/>
  <c r="V2188" i="10"/>
  <c r="V2196" i="10"/>
  <c r="V2204" i="10"/>
  <c r="X2204" i="10" s="1"/>
  <c r="V2212" i="10"/>
  <c r="V2220" i="10"/>
  <c r="V2228" i="10"/>
  <c r="V2236" i="10"/>
  <c r="X2236" i="10" s="1"/>
  <c r="V2244" i="10"/>
  <c r="V2252" i="10"/>
  <c r="V2260" i="10"/>
  <c r="V2268" i="10"/>
  <c r="X2268" i="10" s="1"/>
  <c r="V2276" i="10"/>
  <c r="V2284" i="10"/>
  <c r="V2292" i="10"/>
  <c r="V2300" i="10"/>
  <c r="X2300" i="10" s="1"/>
  <c r="V2308" i="10"/>
  <c r="V2316" i="10"/>
  <c r="V2324" i="10"/>
  <c r="V2332" i="10"/>
  <c r="X2332" i="10" s="1"/>
  <c r="V2340" i="10"/>
  <c r="V2348" i="10"/>
  <c r="V2356" i="10"/>
  <c r="V2368" i="10"/>
  <c r="X2368" i="10" s="1"/>
  <c r="V2376" i="10"/>
  <c r="V2384" i="10"/>
  <c r="V2392" i="10"/>
  <c r="V2400" i="10"/>
  <c r="X2400" i="10" s="1"/>
  <c r="V2408" i="10"/>
  <c r="V2416" i="10"/>
  <c r="V2424" i="10"/>
  <c r="V2432" i="10"/>
  <c r="X2432" i="10" s="1"/>
  <c r="V2440" i="10"/>
  <c r="V2448" i="10"/>
  <c r="V2456" i="10"/>
  <c r="V2464" i="10"/>
  <c r="X2464" i="10" s="1"/>
  <c r="V2472" i="10"/>
  <c r="V259" i="10"/>
  <c r="X259" i="10" s="1"/>
  <c r="V505" i="10"/>
  <c r="V619" i="10"/>
  <c r="X619" i="10" s="1"/>
  <c r="V699" i="10"/>
  <c r="V763" i="10"/>
  <c r="V827" i="10"/>
  <c r="V891" i="10"/>
  <c r="X891" i="10" s="1"/>
  <c r="V955" i="10"/>
  <c r="V1010" i="10"/>
  <c r="V1039" i="10"/>
  <c r="X1039" i="10" s="1"/>
  <c r="V1067" i="10"/>
  <c r="X1067" i="10" s="1"/>
  <c r="V1095" i="10"/>
  <c r="V1124" i="10"/>
  <c r="X1124" i="10" s="1"/>
  <c r="V1145" i="10"/>
  <c r="V1166" i="10"/>
  <c r="X1166" i="10" s="1"/>
  <c r="V1188" i="10"/>
  <c r="V1209" i="10"/>
  <c r="V1230" i="10"/>
  <c r="V1252" i="10"/>
  <c r="X1252" i="10" s="1"/>
  <c r="V1273" i="10"/>
  <c r="V1294" i="10"/>
  <c r="V1316" i="10"/>
  <c r="X1316" i="10" s="1"/>
  <c r="V1337" i="10"/>
  <c r="X1337" i="10" s="1"/>
  <c r="V1358" i="10"/>
  <c r="V1380" i="10"/>
  <c r="X1380" i="10" s="1"/>
  <c r="V1401" i="10"/>
  <c r="V1422" i="10"/>
  <c r="X1422" i="10" s="1"/>
  <c r="V1444" i="10"/>
  <c r="V1465" i="10"/>
  <c r="V1486" i="10"/>
  <c r="V1508" i="10"/>
  <c r="X1508" i="10" s="1"/>
  <c r="V1529" i="10"/>
  <c r="V1550" i="10"/>
  <c r="V1572" i="10"/>
  <c r="X1572" i="10" s="1"/>
  <c r="V1593" i="10"/>
  <c r="X1593" i="10" s="1"/>
  <c r="V1614" i="10"/>
  <c r="V1636" i="10"/>
  <c r="X1636" i="10" s="1"/>
  <c r="V1657" i="10"/>
  <c r="V1678" i="10"/>
  <c r="X1678" i="10" s="1"/>
  <c r="V1700" i="10"/>
  <c r="V1721" i="10"/>
  <c r="V1742" i="10"/>
  <c r="V1761" i="10"/>
  <c r="X1761" i="10" s="1"/>
  <c r="V1774" i="10"/>
  <c r="V1788" i="10"/>
  <c r="V1809" i="10"/>
  <c r="V1830" i="10"/>
  <c r="X1830" i="10" s="1"/>
  <c r="V1852" i="10"/>
  <c r="V1873" i="10"/>
  <c r="V1894" i="10"/>
  <c r="V1916" i="10"/>
  <c r="X1916" i="10" s="1"/>
  <c r="V1937" i="10"/>
  <c r="V1958" i="10"/>
  <c r="X1958" i="10" s="1"/>
  <c r="V1980" i="10"/>
  <c r="V2001" i="10"/>
  <c r="X2001" i="10" s="1"/>
  <c r="V2022" i="10"/>
  <c r="V2044" i="10"/>
  <c r="V2065" i="10"/>
  <c r="V2086" i="10"/>
  <c r="X2086" i="10" s="1"/>
  <c r="V2108" i="10"/>
  <c r="V2125" i="10"/>
  <c r="X2125" i="10" s="1"/>
  <c r="V2141" i="10"/>
  <c r="V2157" i="10"/>
  <c r="X2157" i="10" s="1"/>
  <c r="V2173" i="10"/>
  <c r="V2189" i="10"/>
  <c r="X2189" i="10" s="1"/>
  <c r="V2205" i="10"/>
  <c r="V2221" i="10"/>
  <c r="X2221" i="10" s="1"/>
  <c r="V2237" i="10"/>
  <c r="V2253" i="10"/>
  <c r="X2253" i="10" s="1"/>
  <c r="V2269" i="10"/>
  <c r="V2285" i="10"/>
  <c r="X2285" i="10" s="1"/>
  <c r="V2301" i="10"/>
  <c r="V2317" i="10"/>
  <c r="X2317" i="10" s="1"/>
  <c r="V2333" i="10"/>
  <c r="V2349" i="10"/>
  <c r="X2349" i="10" s="1"/>
  <c r="V2365" i="10"/>
  <c r="V2381" i="10"/>
  <c r="V2397" i="10"/>
  <c r="V2413" i="10"/>
  <c r="X2413" i="10" s="1"/>
  <c r="V2429" i="10"/>
  <c r="V2445" i="10"/>
  <c r="V2461" i="10"/>
  <c r="V1804" i="10"/>
  <c r="X1804" i="10" s="1"/>
  <c r="V1868" i="10"/>
  <c r="V1910" i="10"/>
  <c r="V1953" i="10"/>
  <c r="V1996" i="10"/>
  <c r="X1996" i="10" s="1"/>
  <c r="V2038" i="10"/>
  <c r="V2081" i="10"/>
  <c r="V2121" i="10"/>
  <c r="X2121" i="10" s="1"/>
  <c r="V2153" i="10"/>
  <c r="X2153" i="10" s="1"/>
  <c r="V2185" i="10"/>
  <c r="V2217" i="10"/>
  <c r="V2249" i="10"/>
  <c r="X2249" i="10" s="1"/>
  <c r="V2281" i="10"/>
  <c r="X2281" i="10" s="1"/>
  <c r="V2313" i="10"/>
  <c r="V2345" i="10"/>
  <c r="V2377" i="10"/>
  <c r="V2409" i="10"/>
  <c r="V2441" i="10"/>
  <c r="X2441" i="10" s="1"/>
  <c r="V2473" i="10"/>
  <c r="V1793" i="10"/>
  <c r="V1814" i="10"/>
  <c r="V1836" i="10"/>
  <c r="V1857" i="10"/>
  <c r="V1878" i="10"/>
  <c r="V1900" i="10"/>
  <c r="X1900" i="10" s="1"/>
  <c r="V1921" i="10"/>
  <c r="V1942" i="10"/>
  <c r="V1964" i="10"/>
  <c r="V1985" i="10"/>
  <c r="X1985" i="10" s="1"/>
  <c r="V2006" i="10"/>
  <c r="V2028" i="10"/>
  <c r="V2049" i="10"/>
  <c r="V2070" i="10"/>
  <c r="X2070" i="10" s="1"/>
  <c r="V2092" i="10"/>
  <c r="V2113" i="10"/>
  <c r="X2113" i="10" s="1"/>
  <c r="V2129" i="10"/>
  <c r="V2145" i="10"/>
  <c r="X2145" i="10" s="1"/>
  <c r="V2161" i="10"/>
  <c r="V2177" i="10"/>
  <c r="X2177" i="10" s="1"/>
  <c r="V2193" i="10"/>
  <c r="V2209" i="10"/>
  <c r="X2209" i="10" s="1"/>
  <c r="V2225" i="10"/>
  <c r="V2241" i="10"/>
  <c r="X2241" i="10" s="1"/>
  <c r="V2257" i="10"/>
  <c r="V2273" i="10"/>
  <c r="X2273" i="10" s="1"/>
  <c r="V2289" i="10"/>
  <c r="V2305" i="10"/>
  <c r="X2305" i="10" s="1"/>
  <c r="V2321" i="10"/>
  <c r="V2337" i="10"/>
  <c r="X2337" i="10" s="1"/>
  <c r="V2353" i="10"/>
  <c r="V2369" i="10"/>
  <c r="V2385" i="10"/>
  <c r="V2401" i="10"/>
  <c r="X2401" i="10" s="1"/>
  <c r="V2417" i="10"/>
  <c r="V2433" i="10"/>
  <c r="V2449" i="10"/>
  <c r="V2465" i="10"/>
  <c r="X2465" i="10" s="1"/>
  <c r="V1798" i="10"/>
  <c r="X1798" i="10" s="1"/>
  <c r="V1820" i="10"/>
  <c r="V1841" i="10"/>
  <c r="V1862" i="10"/>
  <c r="X1862" i="10" s="1"/>
  <c r="V1884" i="10"/>
  <c r="V1905" i="10"/>
  <c r="V1926" i="10"/>
  <c r="V1948" i="10"/>
  <c r="X1948" i="10" s="1"/>
  <c r="V1969" i="10"/>
  <c r="V1990" i="10"/>
  <c r="V2012" i="10"/>
  <c r="V2033" i="10"/>
  <c r="V2054" i="10"/>
  <c r="V2076" i="10"/>
  <c r="V2097" i="10"/>
  <c r="X2097" i="10" s="1"/>
  <c r="V2117" i="10"/>
  <c r="V2133" i="10"/>
  <c r="V2149" i="10"/>
  <c r="V2165" i="10"/>
  <c r="X2165" i="10" s="1"/>
  <c r="V2181" i="10"/>
  <c r="V2197" i="10"/>
  <c r="V2213" i="10"/>
  <c r="V2229" i="10"/>
  <c r="X2229" i="10" s="1"/>
  <c r="V2245" i="10"/>
  <c r="V2261" i="10"/>
  <c r="V2277" i="10"/>
  <c r="V2293" i="10"/>
  <c r="X2293" i="10" s="1"/>
  <c r="V2309" i="10"/>
  <c r="V2325" i="10"/>
  <c r="V2341" i="10"/>
  <c r="V2357" i="10"/>
  <c r="X2357" i="10" s="1"/>
  <c r="V2373" i="10"/>
  <c r="X2373" i="10" s="1"/>
  <c r="V2389" i="10"/>
  <c r="X2389" i="10" s="1"/>
  <c r="V2405" i="10"/>
  <c r="V2421" i="10"/>
  <c r="V2437" i="10"/>
  <c r="X2437" i="10" s="1"/>
  <c r="V2453" i="10"/>
  <c r="X2453" i="10" s="1"/>
  <c r="V2469" i="10"/>
  <c r="V1825" i="10"/>
  <c r="V1846" i="10"/>
  <c r="X1846" i="10" s="1"/>
  <c r="V1889" i="10"/>
  <c r="V1932" i="10"/>
  <c r="V1974" i="10"/>
  <c r="V2017" i="10"/>
  <c r="X2017" i="10" s="1"/>
  <c r="V2060" i="10"/>
  <c r="V2102" i="10"/>
  <c r="V2137" i="10"/>
  <c r="V2169" i="10"/>
  <c r="X2169" i="10" s="1"/>
  <c r="V2201" i="10"/>
  <c r="X2201" i="10" s="1"/>
  <c r="V2233" i="10"/>
  <c r="V2265" i="10"/>
  <c r="V2297" i="10"/>
  <c r="X2297" i="10" s="1"/>
  <c r="V2329" i="10"/>
  <c r="X2329" i="10" s="1"/>
  <c r="V2361" i="10"/>
  <c r="V2393" i="10"/>
  <c r="X2393" i="10" s="1"/>
  <c r="V2425" i="10"/>
  <c r="X2425" i="10" s="1"/>
  <c r="V2457" i="10"/>
  <c r="N3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L2" i="10"/>
  <c r="X1277" i="10" l="1"/>
  <c r="X1234" i="10"/>
  <c r="X1149" i="10"/>
  <c r="X1553" i="10"/>
  <c r="X1814" i="10"/>
  <c r="X2449" i="10"/>
  <c r="X2385" i="10"/>
  <c r="X1878" i="10"/>
  <c r="X1793" i="10"/>
  <c r="X2461" i="10"/>
  <c r="X2397" i="10"/>
  <c r="X1894" i="10"/>
  <c r="X1809" i="10"/>
  <c r="X1930" i="10"/>
  <c r="X2143" i="10"/>
  <c r="X2110" i="10"/>
  <c r="X2025" i="10"/>
  <c r="X1982" i="10"/>
  <c r="X1129" i="10"/>
  <c r="X1074" i="10"/>
  <c r="X907" i="10"/>
  <c r="X779" i="10"/>
  <c r="X640" i="10"/>
  <c r="X409" i="10"/>
  <c r="X1604" i="10"/>
  <c r="X1946" i="10"/>
  <c r="X2084" i="10"/>
  <c r="X1956" i="10"/>
  <c r="X1897" i="10"/>
  <c r="X1021" i="10"/>
  <c r="X967" i="10"/>
  <c r="X935" i="10"/>
  <c r="X903" i="10"/>
  <c r="X871" i="10"/>
  <c r="X839" i="10"/>
  <c r="X807" i="10"/>
  <c r="X775" i="10"/>
  <c r="X743" i="10"/>
  <c r="X711" i="10"/>
  <c r="X677" i="10"/>
  <c r="X592" i="10"/>
  <c r="X529" i="10"/>
  <c r="X465" i="10"/>
  <c r="X401" i="10"/>
  <c r="X544" i="10"/>
  <c r="X480" i="10"/>
  <c r="X416" i="10"/>
  <c r="X352" i="10"/>
  <c r="X355" i="10"/>
  <c r="X2447" i="10"/>
  <c r="X2415" i="10"/>
  <c r="X2383" i="10"/>
  <c r="X2351" i="10"/>
  <c r="X2319" i="10"/>
  <c r="X2287" i="10"/>
  <c r="X2255" i="10"/>
  <c r="X2223" i="10"/>
  <c r="X2191" i="10"/>
  <c r="X2159" i="10"/>
  <c r="X1746" i="10"/>
  <c r="X1661" i="10"/>
  <c r="X1618" i="10"/>
  <c r="X1533" i="10"/>
  <c r="X1490" i="10"/>
  <c r="X1405" i="10"/>
  <c r="X1362" i="10"/>
  <c r="X199" i="10"/>
  <c r="X1941" i="10"/>
  <c r="X2131" i="10"/>
  <c r="X2094" i="10"/>
  <c r="X2009" i="10"/>
  <c r="X1966" i="10"/>
  <c r="X263" i="10"/>
  <c r="X1700" i="10"/>
  <c r="X1444" i="10"/>
  <c r="X1188" i="10"/>
  <c r="X1780" i="10"/>
  <c r="X2004" i="10"/>
  <c r="X1892" i="10"/>
  <c r="X1828" i="10"/>
  <c r="X1716" i="10"/>
  <c r="X1588" i="10"/>
  <c r="X1460" i="10"/>
  <c r="X1332" i="10"/>
  <c r="X1103" i="10"/>
  <c r="X131" i="10"/>
  <c r="X1732" i="10"/>
  <c r="X1476" i="10"/>
  <c r="X1220" i="10"/>
  <c r="X1037" i="10"/>
  <c r="X2020" i="10"/>
  <c r="X1005" i="10"/>
  <c r="X227" i="10"/>
  <c r="X512" i="10"/>
  <c r="X448" i="10"/>
  <c r="X384" i="10"/>
  <c r="X627" i="10"/>
  <c r="X307" i="10"/>
  <c r="X179" i="10"/>
  <c r="X51" i="10"/>
  <c r="X325" i="10"/>
  <c r="X329" i="10"/>
  <c r="X730" i="10"/>
  <c r="X2309" i="10"/>
  <c r="X2245" i="10"/>
  <c r="X2181" i="10"/>
  <c r="X2117" i="10"/>
  <c r="X2033" i="10"/>
  <c r="X2409" i="10"/>
  <c r="X2443" i="10"/>
  <c r="X2411" i="10"/>
  <c r="X2379" i="10"/>
  <c r="X2347" i="10"/>
  <c r="X2315" i="10"/>
  <c r="X2283" i="10"/>
  <c r="X2251" i="10"/>
  <c r="X2219" i="10"/>
  <c r="X2187" i="10"/>
  <c r="X1710" i="10"/>
  <c r="X1625" i="10"/>
  <c r="X1454" i="10"/>
  <c r="X1369" i="10"/>
  <c r="X1198" i="10"/>
  <c r="X1110" i="10"/>
  <c r="X987" i="10"/>
  <c r="X731" i="10"/>
  <c r="X377" i="10"/>
  <c r="X2128" i="10"/>
  <c r="X2090" i="10"/>
  <c r="X2005" i="10"/>
  <c r="X1962" i="10"/>
  <c r="X1829" i="10"/>
  <c r="X1786" i="10"/>
  <c r="X1634" i="10"/>
  <c r="X1549" i="10"/>
  <c r="X2454" i="10"/>
  <c r="X1649" i="10"/>
  <c r="X1776" i="10"/>
  <c r="X1712" i="10"/>
  <c r="X1456" i="10"/>
  <c r="X1264" i="10"/>
  <c r="X1136" i="10"/>
  <c r="X866" i="10"/>
  <c r="X738" i="10"/>
  <c r="X1547" i="10"/>
  <c r="X1419" i="10"/>
  <c r="X1291" i="10"/>
  <c r="X1227" i="10"/>
  <c r="X1076" i="10"/>
  <c r="X1012" i="10"/>
  <c r="X2265" i="10"/>
  <c r="X1974" i="10"/>
  <c r="X2421" i="10"/>
  <c r="X1926" i="10"/>
  <c r="X1953" i="10"/>
  <c r="X1742" i="10"/>
  <c r="X1401" i="10"/>
  <c r="X1230" i="10"/>
  <c r="X505" i="10"/>
  <c r="X2424" i="10"/>
  <c r="X2080" i="10"/>
  <c r="X1904" i="10"/>
  <c r="X1698" i="10"/>
  <c r="X1357" i="10"/>
  <c r="X1186" i="10"/>
  <c r="X2123" i="10"/>
  <c r="X2041" i="10"/>
  <c r="X1728" i="10"/>
  <c r="X1664" i="10"/>
  <c r="X1600" i="10"/>
  <c r="X1536" i="10"/>
  <c r="X1472" i="10"/>
  <c r="X1408" i="10"/>
  <c r="X1344" i="10"/>
  <c r="X1280" i="10"/>
  <c r="X1216" i="10"/>
  <c r="X1152" i="10"/>
  <c r="X978" i="10"/>
  <c r="X914" i="10"/>
  <c r="X850" i="10"/>
  <c r="X786" i="10"/>
  <c r="X722" i="10"/>
  <c r="X649" i="10"/>
  <c r="X326" i="10"/>
  <c r="X1584" i="10"/>
  <c r="X1520" i="10"/>
  <c r="X1392" i="10"/>
  <c r="X1328" i="10"/>
  <c r="X1200" i="10"/>
  <c r="X1055" i="10"/>
  <c r="X930" i="10"/>
  <c r="X802" i="10"/>
  <c r="X1739" i="10"/>
  <c r="X1675" i="10"/>
  <c r="X1611" i="10"/>
  <c r="X1483" i="10"/>
  <c r="X1355" i="10"/>
  <c r="X1163" i="10"/>
  <c r="X1091" i="10"/>
  <c r="X2137" i="10"/>
  <c r="X1825" i="10"/>
  <c r="X1841" i="10"/>
  <c r="X1657" i="10"/>
  <c r="X1486" i="10"/>
  <c r="X1145" i="10"/>
  <c r="X827" i="10"/>
  <c r="X2456" i="10"/>
  <c r="X2392" i="10"/>
  <c r="X2096" i="10"/>
  <c r="X1968" i="10"/>
  <c r="X1888" i="10"/>
  <c r="X1613" i="10"/>
  <c r="X1442" i="10"/>
  <c r="X1094" i="10"/>
  <c r="X2155" i="10"/>
  <c r="X1998" i="10"/>
  <c r="X2361" i="10"/>
  <c r="X2233" i="10"/>
  <c r="X2102" i="10"/>
  <c r="X2000" i="10"/>
  <c r="X1920" i="10"/>
  <c r="X1792" i="10"/>
  <c r="X1161" i="10"/>
  <c r="X999" i="10"/>
  <c r="X875" i="10"/>
  <c r="X747" i="10"/>
  <c r="X597" i="10"/>
  <c r="X345" i="10"/>
  <c r="X2112" i="10"/>
  <c r="X1984" i="10"/>
  <c r="X1936" i="10"/>
  <c r="X1808" i="10"/>
  <c r="X1677" i="10"/>
  <c r="X1506" i="10"/>
  <c r="X1421" i="10"/>
  <c r="X1250" i="10"/>
  <c r="X1165" i="10"/>
  <c r="X1744" i="10"/>
  <c r="X1680" i="10"/>
  <c r="X1616" i="10"/>
  <c r="X1552" i="10"/>
  <c r="X1488" i="10"/>
  <c r="X1424" i="10"/>
  <c r="X1360" i="10"/>
  <c r="X1296" i="10"/>
  <c r="X1232" i="10"/>
  <c r="X1168" i="10"/>
  <c r="X1098" i="10"/>
  <c r="X962" i="10"/>
  <c r="X898" i="10"/>
  <c r="X834" i="10"/>
  <c r="X770" i="10"/>
  <c r="X706" i="10"/>
  <c r="X628" i="10"/>
  <c r="X991" i="10"/>
  <c r="X959" i="10"/>
  <c r="X927" i="10"/>
  <c r="X895" i="10"/>
  <c r="X863" i="10"/>
  <c r="X831" i="10"/>
  <c r="X799" i="10"/>
  <c r="X767" i="10"/>
  <c r="X735" i="10"/>
  <c r="X703" i="10"/>
  <c r="X624" i="10"/>
  <c r="X577" i="10"/>
  <c r="X513" i="10"/>
  <c r="X449" i="10"/>
  <c r="X385" i="10"/>
  <c r="X1023" i="10"/>
  <c r="X794" i="10"/>
  <c r="X2459" i="10"/>
  <c r="X2427" i="10"/>
  <c r="X2395" i="10"/>
  <c r="X2363" i="10"/>
  <c r="X2331" i="10"/>
  <c r="X2299" i="10"/>
  <c r="X2267" i="10"/>
  <c r="X2235" i="10"/>
  <c r="X2203" i="10"/>
  <c r="X2171" i="10"/>
  <c r="X617" i="10"/>
  <c r="X1073" i="10"/>
  <c r="X1025" i="10"/>
  <c r="X2470" i="10"/>
  <c r="X2422" i="10"/>
  <c r="X2406" i="10"/>
  <c r="X2390" i="10"/>
  <c r="X2358" i="10"/>
  <c r="X2342" i="10"/>
  <c r="X2326" i="10"/>
  <c r="X2294" i="10"/>
  <c r="X2278" i="10"/>
  <c r="X2262" i="10"/>
  <c r="X2230" i="10"/>
  <c r="X2214" i="10"/>
  <c r="X2198" i="10"/>
  <c r="X2166" i="10"/>
  <c r="X2150" i="10"/>
  <c r="X2134" i="10"/>
  <c r="X2098" i="10"/>
  <c r="X2077" i="10"/>
  <c r="X1970" i="10"/>
  <c r="X1906" i="10"/>
  <c r="X1885" i="10"/>
  <c r="X1821" i="10"/>
  <c r="X1754" i="10"/>
  <c r="X1733" i="10"/>
  <c r="X1669" i="10"/>
  <c r="X1562" i="10"/>
  <c r="X1498" i="10"/>
  <c r="X1477" i="10"/>
  <c r="X1413" i="10"/>
  <c r="X1306" i="10"/>
  <c r="X1242" i="10"/>
  <c r="X1221" i="10"/>
  <c r="X1157" i="10"/>
  <c r="X1026" i="10"/>
  <c r="X2059" i="10"/>
  <c r="X2027" i="10"/>
  <c r="X1883" i="10"/>
  <c r="X1851" i="10"/>
  <c r="X1771" i="10"/>
  <c r="X1723" i="10"/>
  <c r="X1707" i="10"/>
  <c r="X1659" i="10"/>
  <c r="X1643" i="10"/>
  <c r="X1595" i="10"/>
  <c r="X1579" i="10"/>
  <c r="X1531" i="10"/>
  <c r="X1515" i="10"/>
  <c r="X1467" i="10"/>
  <c r="X1451" i="10"/>
  <c r="X1403" i="10"/>
  <c r="X1387" i="10"/>
  <c r="X1339" i="10"/>
  <c r="X1323" i="10"/>
  <c r="X1275" i="10"/>
  <c r="X1259" i="10"/>
  <c r="X1211" i="10"/>
  <c r="X1195" i="10"/>
  <c r="X1147" i="10"/>
  <c r="X1131" i="10"/>
  <c r="X1070" i="10"/>
  <c r="X1006" i="10"/>
  <c r="X1108" i="10"/>
  <c r="X1060" i="10"/>
  <c r="X1044" i="10"/>
  <c r="X996" i="10"/>
  <c r="X964" i="10"/>
  <c r="X948" i="10"/>
  <c r="X900" i="10"/>
  <c r="X884" i="10"/>
  <c r="X836" i="10"/>
  <c r="X820" i="10"/>
  <c r="X772" i="10"/>
  <c r="X756" i="10"/>
  <c r="X708" i="10"/>
  <c r="X666" i="10"/>
  <c r="X634" i="10"/>
  <c r="X602" i="10"/>
  <c r="X330" i="10"/>
  <c r="X300" i="10"/>
  <c r="X284" i="10"/>
  <c r="X268" i="10"/>
  <c r="X236" i="10"/>
  <c r="X220" i="10"/>
  <c r="X204" i="10"/>
  <c r="X172" i="10"/>
  <c r="X156" i="10"/>
  <c r="X140" i="10"/>
  <c r="X108" i="10"/>
  <c r="X92" i="10"/>
  <c r="X76" i="10"/>
  <c r="X44" i="10"/>
  <c r="X28" i="10"/>
  <c r="X12" i="10"/>
  <c r="X2013" i="10"/>
  <c r="X1842" i="10"/>
  <c r="X1690" i="10"/>
  <c r="X1605" i="10"/>
  <c r="X1434" i="10"/>
  <c r="X1349" i="10"/>
  <c r="X1178" i="10"/>
  <c r="X1083" i="10"/>
  <c r="X2075" i="10"/>
  <c r="X2043" i="10"/>
  <c r="X2011" i="10"/>
  <c r="X1995" i="10"/>
  <c r="X1947" i="10"/>
  <c r="X1931" i="10"/>
  <c r="X1867" i="10"/>
  <c r="X1835" i="10"/>
  <c r="X1819" i="10"/>
  <c r="X1803" i="10"/>
  <c r="X980" i="10"/>
  <c r="X916" i="10"/>
  <c r="X852" i="10"/>
  <c r="X788" i="10"/>
  <c r="X724" i="10"/>
  <c r="X692" i="10"/>
  <c r="X652" i="10"/>
  <c r="X609" i="10"/>
  <c r="X682" i="10"/>
  <c r="X650" i="10"/>
  <c r="X618" i="10"/>
  <c r="X570" i="10"/>
  <c r="X554" i="10"/>
  <c r="X538" i="10"/>
  <c r="X522" i="10"/>
  <c r="X506" i="10"/>
  <c r="X490" i="10"/>
  <c r="X442" i="10"/>
  <c r="X426" i="10"/>
  <c r="X410" i="10"/>
  <c r="X394" i="10"/>
  <c r="X362" i="10"/>
  <c r="X346" i="10"/>
  <c r="X332" i="10"/>
  <c r="X2277" i="10"/>
  <c r="X2213" i="10"/>
  <c r="X2149" i="10"/>
  <c r="X1990" i="10"/>
  <c r="X1910" i="10"/>
  <c r="X2377" i="10"/>
  <c r="X2356" i="10"/>
  <c r="X2324" i="10"/>
  <c r="X2292" i="10"/>
  <c r="X2260" i="10"/>
  <c r="X2228" i="10"/>
  <c r="X2196" i="10"/>
  <c r="X2164" i="10"/>
  <c r="X2434" i="10"/>
  <c r="X2418" i="10"/>
  <c r="X2354" i="10"/>
  <c r="X2290" i="10"/>
  <c r="X2226" i="10"/>
  <c r="X2162" i="10"/>
  <c r="X2093" i="10"/>
  <c r="X1922" i="10"/>
  <c r="X1837" i="10"/>
  <c r="X1194" i="10"/>
  <c r="X1047" i="10"/>
  <c r="X1719" i="10"/>
  <c r="X1655" i="10"/>
  <c r="X1591" i="10"/>
  <c r="X1527" i="10"/>
  <c r="X1463" i="10"/>
  <c r="X1399" i="10"/>
  <c r="X1335" i="10"/>
  <c r="X1271" i="10"/>
  <c r="X1207" i="10"/>
  <c r="X1143" i="10"/>
  <c r="X1120" i="10"/>
  <c r="X1008" i="10"/>
  <c r="X2341" i="10"/>
  <c r="X2473" i="10"/>
  <c r="X1850" i="10"/>
  <c r="X1758" i="10"/>
  <c r="X572" i="10"/>
  <c r="X540" i="10"/>
  <c r="X508" i="10"/>
  <c r="X476" i="10"/>
  <c r="X444" i="10"/>
  <c r="X412" i="10"/>
  <c r="X380" i="10"/>
  <c r="X348" i="10"/>
  <c r="X575" i="10"/>
  <c r="X559" i="10"/>
  <c r="X543" i="10"/>
  <c r="X527" i="10"/>
  <c r="X511" i="10"/>
  <c r="X495" i="10"/>
  <c r="X479" i="10"/>
  <c r="X463" i="10"/>
  <c r="X447" i="10"/>
  <c r="X431" i="10"/>
  <c r="X614" i="10"/>
  <c r="X582" i="10"/>
  <c r="X550" i="10"/>
  <c r="X518" i="10"/>
  <c r="X486" i="10"/>
  <c r="X454" i="10"/>
  <c r="X422" i="10"/>
  <c r="X390" i="10"/>
  <c r="X358" i="10"/>
  <c r="X328" i="10"/>
  <c r="X296" i="10"/>
  <c r="X280" i="10"/>
  <c r="X232" i="10"/>
  <c r="X216" i="10"/>
  <c r="X168" i="10"/>
  <c r="X152" i="10"/>
  <c r="X104" i="10"/>
  <c r="X88" i="10"/>
  <c r="X40" i="10"/>
  <c r="X24" i="10"/>
  <c r="X1645" i="10"/>
  <c r="X1474" i="10"/>
  <c r="X1389" i="10"/>
  <c r="X1304" i="10"/>
  <c r="X1133" i="10"/>
  <c r="X1893" i="10"/>
  <c r="X1592" i="10"/>
  <c r="X1336" i="10"/>
  <c r="X1066" i="10"/>
  <c r="X890" i="10"/>
  <c r="X2088" i="10"/>
  <c r="X2024" i="10"/>
  <c r="X1960" i="10"/>
  <c r="X1896" i="10"/>
  <c r="X1832" i="10"/>
  <c r="X1640" i="10"/>
  <c r="X1512" i="10"/>
  <c r="X1384" i="10"/>
  <c r="X1256" i="10"/>
  <c r="X1128" i="10"/>
  <c r="X906" i="10"/>
  <c r="X778" i="10"/>
  <c r="X1041" i="10"/>
  <c r="X2083" i="10"/>
  <c r="X2019" i="10"/>
  <c r="X1955" i="10"/>
  <c r="X1004" i="10"/>
  <c r="X658" i="10"/>
  <c r="X594" i="10"/>
  <c r="X338" i="10"/>
  <c r="X1730" i="10"/>
  <c r="X1560" i="10"/>
  <c r="X1218" i="10"/>
  <c r="X1624" i="10"/>
  <c r="X1368" i="10"/>
  <c r="X986" i="10"/>
  <c r="X1144" i="10"/>
  <c r="X826" i="10"/>
  <c r="X2380" i="10"/>
  <c r="X2374" i="10"/>
  <c r="X1979" i="10"/>
  <c r="X1915" i="10"/>
  <c r="X1691" i="10"/>
  <c r="X1563" i="10"/>
  <c r="X1499" i="10"/>
  <c r="X1179" i="10"/>
  <c r="X1027" i="10"/>
  <c r="X1028" i="10"/>
  <c r="X932" i="10"/>
  <c r="X804" i="10"/>
  <c r="X740" i="10"/>
  <c r="X314" i="10"/>
  <c r="X60" i="10"/>
  <c r="X2065" i="10"/>
  <c r="X2444" i="10"/>
  <c r="X2310" i="10"/>
  <c r="X2182" i="10"/>
  <c r="X2118" i="10"/>
  <c r="X1949" i="10"/>
  <c r="X1111" i="10"/>
  <c r="X2091" i="10"/>
  <c r="X1963" i="10"/>
  <c r="X1787" i="10"/>
  <c r="X1627" i="10"/>
  <c r="X1435" i="10"/>
  <c r="X1307" i="10"/>
  <c r="X1243" i="10"/>
  <c r="X1092" i="10"/>
  <c r="X458" i="10"/>
  <c r="X316" i="10"/>
  <c r="X252" i="10"/>
  <c r="X188" i="10"/>
  <c r="X124" i="10"/>
  <c r="X2321" i="10"/>
  <c r="X2193" i="10"/>
  <c r="X2049" i="10"/>
  <c r="X1964" i="10"/>
  <c r="X2333" i="10"/>
  <c r="X2269" i="10"/>
  <c r="X2205" i="10"/>
  <c r="X2141" i="10"/>
  <c r="X2132" i="10"/>
  <c r="X2412" i="10"/>
  <c r="X1914" i="10"/>
  <c r="X2438" i="10"/>
  <c r="X2246" i="10"/>
  <c r="X2034" i="10"/>
  <c r="X1626" i="10"/>
  <c r="X1541" i="10"/>
  <c r="X1370" i="10"/>
  <c r="X1285" i="10"/>
  <c r="X2107" i="10"/>
  <c r="X1899" i="10"/>
  <c r="X1755" i="10"/>
  <c r="X1371" i="10"/>
  <c r="X868" i="10"/>
  <c r="X673" i="10"/>
  <c r="X586" i="10"/>
  <c r="X474" i="10"/>
  <c r="X378" i="10"/>
  <c r="T2" i="10"/>
  <c r="V2" i="10"/>
  <c r="X3" i="10" s="1"/>
  <c r="X2012" i="10"/>
  <c r="X2257" i="10"/>
  <c r="X2129" i="10"/>
  <c r="X1980" i="10"/>
  <c r="X2010" i="10"/>
  <c r="X1845" i="10"/>
  <c r="X1772" i="10"/>
  <c r="X1689" i="10"/>
  <c r="X1518" i="10"/>
  <c r="X1177" i="10"/>
  <c r="X923" i="10"/>
  <c r="X2468" i="10"/>
  <c r="X2404" i="10"/>
  <c r="X2120" i="10"/>
  <c r="X2037" i="10"/>
  <c r="X1818" i="10"/>
  <c r="X2471" i="10"/>
  <c r="X2439" i="10"/>
  <c r="X2407" i="10"/>
  <c r="X2375" i="10"/>
  <c r="X2343" i="10"/>
  <c r="X2311" i="10"/>
  <c r="X2279" i="10"/>
  <c r="X2247" i="10"/>
  <c r="X2183" i="10"/>
  <c r="X2466" i="10"/>
  <c r="X2450" i="10"/>
  <c r="X2402" i="10"/>
  <c r="X2386" i="10"/>
  <c r="X2370" i="10"/>
  <c r="X2338" i="10"/>
  <c r="X2322" i="10"/>
  <c r="X2306" i="10"/>
  <c r="X2274" i="10"/>
  <c r="X2258" i="10"/>
  <c r="X2242" i="10"/>
  <c r="X2210" i="10"/>
  <c r="X2194" i="10"/>
  <c r="X2178" i="10"/>
  <c r="X2146" i="10"/>
  <c r="X2130" i="10"/>
  <c r="X2114" i="10"/>
  <c r="X2050" i="10"/>
  <c r="X2029" i="10"/>
  <c r="X1986" i="10"/>
  <c r="X1965" i="10"/>
  <c r="X1901" i="10"/>
  <c r="X1858" i="10"/>
  <c r="X1794" i="10"/>
  <c r="X1769" i="10"/>
  <c r="X1693" i="10"/>
  <c r="X1650" i="10"/>
  <c r="X1565" i="10"/>
  <c r="X1522" i="10"/>
  <c r="X1437" i="10"/>
  <c r="X1394" i="10"/>
  <c r="X1309" i="10"/>
  <c r="X1266" i="10"/>
  <c r="X1181" i="10"/>
  <c r="X1138" i="10"/>
  <c r="X1030" i="10"/>
  <c r="X472" i="10"/>
  <c r="X1708" i="10"/>
  <c r="X1644" i="10"/>
  <c r="X1580" i="10"/>
  <c r="X1516" i="10"/>
  <c r="X1452" i="10"/>
  <c r="X1388" i="10"/>
  <c r="X1324" i="10"/>
  <c r="X1260" i="10"/>
  <c r="X1196" i="10"/>
  <c r="X1132" i="10"/>
  <c r="X1050" i="10"/>
  <c r="X651" i="10"/>
  <c r="X1770" i="10"/>
  <c r="X1749" i="10"/>
  <c r="X1706" i="10"/>
  <c r="X1685" i="10"/>
  <c r="X1642" i="10"/>
  <c r="X1621" i="10"/>
  <c r="X1578" i="10"/>
  <c r="X1557" i="10"/>
  <c r="X1514" i="10"/>
  <c r="X1493" i="10"/>
  <c r="X1450" i="10"/>
  <c r="X1429" i="10"/>
  <c r="X1386" i="10"/>
  <c r="X1365" i="10"/>
  <c r="X1322" i="10"/>
  <c r="X1301" i="10"/>
  <c r="X1258" i="10"/>
  <c r="X1237" i="10"/>
  <c r="X1173" i="10"/>
  <c r="X1130" i="10"/>
  <c r="X1077" i="10"/>
  <c r="X1019" i="10"/>
  <c r="X552" i="10"/>
  <c r="X424" i="10"/>
  <c r="X997" i="10"/>
  <c r="X635" i="10"/>
  <c r="X331" i="10"/>
  <c r="X2103" i="10"/>
  <c r="X2087" i="10"/>
  <c r="X2071" i="10"/>
  <c r="X2055" i="10"/>
  <c r="X2039" i="10"/>
  <c r="X2023" i="10"/>
  <c r="X2007" i="10"/>
  <c r="X1991" i="10"/>
  <c r="X1975" i="10"/>
  <c r="X1959" i="10"/>
  <c r="X1943" i="10"/>
  <c r="X1927" i="10"/>
  <c r="X1911" i="10"/>
  <c r="X1895" i="10"/>
  <c r="X1879" i="10"/>
  <c r="X1863" i="10"/>
  <c r="X1847" i="10"/>
  <c r="X1831" i="10"/>
  <c r="X1815" i="10"/>
  <c r="X1799" i="10"/>
  <c r="X1783" i="10"/>
  <c r="X1767" i="10"/>
  <c r="X1751" i="10"/>
  <c r="X1735" i="10"/>
  <c r="X1703" i="10"/>
  <c r="X1687" i="10"/>
  <c r="X1671" i="10"/>
  <c r="X1639" i="10"/>
  <c r="X1623" i="10"/>
  <c r="X1607" i="10"/>
  <c r="X1575" i="10"/>
  <c r="X1559" i="10"/>
  <c r="X1543" i="10"/>
  <c r="X1511" i="10"/>
  <c r="X1495" i="10"/>
  <c r="X1479" i="10"/>
  <c r="X1447" i="10"/>
  <c r="X1431" i="10"/>
  <c r="X1415" i="10"/>
  <c r="X1383" i="10"/>
  <c r="X1367" i="10"/>
  <c r="X1351" i="10"/>
  <c r="X1319" i="10"/>
  <c r="X1303" i="10"/>
  <c r="X1287" i="10"/>
  <c r="X1255" i="10"/>
  <c r="X1239" i="10"/>
  <c r="X1223" i="10"/>
  <c r="X1191" i="10"/>
  <c r="X1175" i="10"/>
  <c r="X1159" i="10"/>
  <c r="X1127" i="10"/>
  <c r="X1107" i="10"/>
  <c r="X1086" i="10"/>
  <c r="X1043" i="10"/>
  <c r="X1022" i="10"/>
  <c r="X974" i="10"/>
  <c r="X942" i="10"/>
  <c r="X910" i="10"/>
  <c r="X878" i="10"/>
  <c r="X846" i="10"/>
  <c r="X814" i="10"/>
  <c r="X782" i="10"/>
  <c r="X750" i="10"/>
  <c r="X718" i="10"/>
  <c r="X686" i="10"/>
  <c r="X644" i="10"/>
  <c r="X601" i="10"/>
  <c r="X1104" i="10"/>
  <c r="X1088" i="10"/>
  <c r="X1072" i="10"/>
  <c r="X1056" i="10"/>
  <c r="X2053" i="10"/>
  <c r="X1802" i="10"/>
  <c r="X568" i="10"/>
  <c r="X1433" i="10"/>
  <c r="X1262" i="10"/>
  <c r="X661" i="10"/>
  <c r="X2436" i="10"/>
  <c r="X2372" i="10"/>
  <c r="X2152" i="10"/>
  <c r="X1994" i="10"/>
  <c r="X1861" i="10"/>
  <c r="X1773" i="10"/>
  <c r="X2215" i="10"/>
  <c r="X1932" i="10"/>
  <c r="X2405" i="10"/>
  <c r="X2076" i="10"/>
  <c r="X1905" i="10"/>
  <c r="X2433" i="10"/>
  <c r="X1942" i="10"/>
  <c r="X2217" i="10"/>
  <c r="X2445" i="10"/>
  <c r="X2044" i="10"/>
  <c r="X1788" i="10"/>
  <c r="X1465" i="10"/>
  <c r="X1294" i="10"/>
  <c r="X2416" i="10"/>
  <c r="X2316" i="10"/>
  <c r="X2252" i="10"/>
  <c r="X2188" i="10"/>
  <c r="X2124" i="10"/>
  <c r="X2085" i="10"/>
  <c r="X2014" i="10"/>
  <c r="X1902" i="10"/>
  <c r="X1061" i="10"/>
  <c r="X1753" i="10"/>
  <c r="X1582" i="10"/>
  <c r="X1497" i="10"/>
  <c r="X1326" i="10"/>
  <c r="X1241" i="10"/>
  <c r="X859" i="10"/>
  <c r="X569" i="10"/>
  <c r="X2460" i="10"/>
  <c r="X2428" i="10"/>
  <c r="X2396" i="10"/>
  <c r="X2364" i="10"/>
  <c r="X2144" i="10"/>
  <c r="X2069" i="10"/>
  <c r="X2026" i="10"/>
  <c r="X2147" i="10"/>
  <c r="X2115" i="10"/>
  <c r="X2073" i="10"/>
  <c r="X2030" i="10"/>
  <c r="X1945" i="10"/>
  <c r="X2462" i="10"/>
  <c r="X2446" i="10"/>
  <c r="X2430" i="10"/>
  <c r="X2414" i="10"/>
  <c r="X2398" i="10"/>
  <c r="X2382" i="10"/>
  <c r="X2366" i="10"/>
  <c r="X2350" i="10"/>
  <c r="X2334" i="10"/>
  <c r="X2318" i="10"/>
  <c r="X2302" i="10"/>
  <c r="X2286" i="10"/>
  <c r="X2270" i="10"/>
  <c r="X2254" i="10"/>
  <c r="X2238" i="10"/>
  <c r="X2222" i="10"/>
  <c r="X2206" i="10"/>
  <c r="X2190" i="10"/>
  <c r="X2174" i="10"/>
  <c r="X2158" i="10"/>
  <c r="X2142" i="10"/>
  <c r="X2126" i="10"/>
  <c r="X2109" i="10"/>
  <c r="X2066" i="10"/>
  <c r="X2045" i="10"/>
  <c r="X2002" i="10"/>
  <c r="X1981" i="10"/>
  <c r="X1938" i="10"/>
  <c r="X1917" i="10"/>
  <c r="X1874" i="10"/>
  <c r="X1853" i="10"/>
  <c r="X1810" i="10"/>
  <c r="X1789" i="10"/>
  <c r="X1762" i="10"/>
  <c r="X408" i="10"/>
  <c r="X1724" i="10"/>
  <c r="X1660" i="10"/>
  <c r="X1596" i="10"/>
  <c r="X1532" i="10"/>
  <c r="X1468" i="10"/>
  <c r="X1404" i="10"/>
  <c r="X1340" i="10"/>
  <c r="X1276" i="10"/>
  <c r="X1212" i="10"/>
  <c r="X1148" i="10"/>
  <c r="X1071" i="10"/>
  <c r="X1765" i="10"/>
  <c r="X1722" i="10"/>
  <c r="X1701" i="10"/>
  <c r="X1658" i="10"/>
  <c r="X1637" i="10"/>
  <c r="X1594" i="10"/>
  <c r="X1573" i="10"/>
  <c r="X1530" i="10"/>
  <c r="X1509" i="10"/>
  <c r="X1466" i="10"/>
  <c r="X1445" i="10"/>
  <c r="X1402" i="10"/>
  <c r="X1381" i="10"/>
  <c r="X1338" i="10"/>
  <c r="X1317" i="10"/>
  <c r="X1274" i="10"/>
  <c r="X1253" i="10"/>
  <c r="X1210" i="10"/>
  <c r="X1189" i="10"/>
  <c r="X1146" i="10"/>
  <c r="X1125" i="10"/>
  <c r="X1013" i="10"/>
  <c r="X520" i="10"/>
  <c r="X392" i="10"/>
  <c r="X667" i="10"/>
  <c r="X2099" i="10"/>
  <c r="X2067" i="10"/>
  <c r="X2051" i="10"/>
  <c r="X2035" i="10"/>
  <c r="X2003" i="10"/>
  <c r="X1987" i="10"/>
  <c r="X1971" i="10"/>
  <c r="X2469" i="10"/>
  <c r="X1820" i="10"/>
  <c r="X2369" i="10"/>
  <c r="X2028" i="10"/>
  <c r="X1857" i="10"/>
  <c r="X2345" i="10"/>
  <c r="X2081" i="10"/>
  <c r="X2381" i="10"/>
  <c r="X1873" i="10"/>
  <c r="X1721" i="10"/>
  <c r="X1550" i="10"/>
  <c r="X1209" i="10"/>
  <c r="X1010" i="10"/>
  <c r="X763" i="10"/>
  <c r="X2448" i="10"/>
  <c r="X2384" i="10"/>
  <c r="X2348" i="10"/>
  <c r="X2284" i="10"/>
  <c r="X2220" i="10"/>
  <c r="X2156" i="10"/>
  <c r="X2042" i="10"/>
  <c r="X1957" i="10"/>
  <c r="X440" i="10"/>
  <c r="X2135" i="10"/>
  <c r="X2057" i="10"/>
  <c r="X1929" i="10"/>
  <c r="X2457" i="10"/>
  <c r="X2060" i="10"/>
  <c r="X1889" i="10"/>
  <c r="X2325" i="10"/>
  <c r="X2261" i="10"/>
  <c r="X2197" i="10"/>
  <c r="X2133" i="10"/>
  <c r="X2054" i="10"/>
  <c r="X1969" i="10"/>
  <c r="X1884" i="10"/>
  <c r="X2417" i="10"/>
  <c r="X2353" i="10"/>
  <c r="X2289" i="10"/>
  <c r="X2225" i="10"/>
  <c r="X2161" i="10"/>
  <c r="X2092" i="10"/>
  <c r="X2006" i="10"/>
  <c r="X1921" i="10"/>
  <c r="X1836" i="10"/>
  <c r="X2313" i="10"/>
  <c r="X2185" i="10"/>
  <c r="X2038" i="10"/>
  <c r="X1868" i="10"/>
  <c r="X2429" i="10"/>
  <c r="X2365" i="10"/>
  <c r="X2301" i="10"/>
  <c r="X2237" i="10"/>
  <c r="X2173" i="10"/>
  <c r="X2108" i="10"/>
  <c r="X2022" i="10"/>
  <c r="X1937" i="10"/>
  <c r="X1852" i="10"/>
  <c r="X1774" i="10"/>
  <c r="X1614" i="10"/>
  <c r="X1529" i="10"/>
  <c r="X1358" i="10"/>
  <c r="X1273" i="10"/>
  <c r="X1095" i="10"/>
  <c r="X955" i="10"/>
  <c r="X699" i="10"/>
  <c r="X2472" i="10"/>
  <c r="X2440" i="10"/>
  <c r="X2408" i="10"/>
  <c r="X2376" i="10"/>
  <c r="X2340" i="10"/>
  <c r="X2308" i="10"/>
  <c r="X2276" i="10"/>
  <c r="X2244" i="10"/>
  <c r="X2212" i="10"/>
  <c r="X2180" i="10"/>
  <c r="X2148" i="10"/>
  <c r="X2116" i="10"/>
  <c r="X2074" i="10"/>
  <c r="X1989" i="10"/>
  <c r="X1909" i="10"/>
  <c r="X1866" i="10"/>
  <c r="X1709" i="10"/>
  <c r="X1538" i="10"/>
  <c r="X1453" i="10"/>
  <c r="X1282" i="10"/>
  <c r="X1197" i="10"/>
  <c r="X1109" i="10"/>
  <c r="X376" i="10"/>
  <c r="X2451" i="10"/>
  <c r="X2419" i="10"/>
  <c r="X2387" i="10"/>
  <c r="X2355" i="10"/>
  <c r="X2323" i="10"/>
  <c r="X2291" i="10"/>
  <c r="X2259" i="10"/>
  <c r="X2227" i="10"/>
  <c r="AG12" i="10" s="1"/>
  <c r="X2195" i="10"/>
  <c r="X2163" i="10"/>
  <c r="X2127" i="10"/>
  <c r="X2089" i="10"/>
  <c r="X2046" i="10"/>
  <c r="X1961" i="10"/>
  <c r="X1918" i="10"/>
  <c r="X1193" i="10"/>
  <c r="X1150" i="10"/>
  <c r="X1046" i="10"/>
  <c r="X971" i="10"/>
  <c r="X843" i="10"/>
  <c r="X715" i="10"/>
  <c r="X537" i="10"/>
  <c r="X1646" i="10"/>
  <c r="X1561" i="10"/>
  <c r="X1390" i="10"/>
  <c r="X1305" i="10"/>
  <c r="X1134" i="10"/>
  <c r="X795" i="10"/>
  <c r="X441" i="10"/>
  <c r="X2452" i="10"/>
  <c r="X2420" i="10"/>
  <c r="X2388" i="10"/>
  <c r="X2136" i="10"/>
  <c r="X2101" i="10"/>
  <c r="X2058" i="10"/>
  <c r="X1973" i="10"/>
  <c r="X1925" i="10"/>
  <c r="X1882" i="10"/>
  <c r="X1797" i="10"/>
  <c r="X1656" i="10"/>
  <c r="X1400" i="10"/>
  <c r="X504" i="10"/>
  <c r="X2455" i="10"/>
  <c r="X2423" i="10"/>
  <c r="X2391" i="10"/>
  <c r="X2359" i="10"/>
  <c r="X2327" i="10"/>
  <c r="X2295" i="10"/>
  <c r="X2263" i="10"/>
  <c r="X2231" i="10"/>
  <c r="X2199" i="10"/>
  <c r="X2167" i="10"/>
  <c r="X2474" i="10"/>
  <c r="X2458" i="10"/>
  <c r="X2442" i="10"/>
  <c r="X2426" i="10"/>
  <c r="X2410" i="10"/>
  <c r="X2394" i="10"/>
  <c r="X2378" i="10"/>
  <c r="X2362" i="10"/>
  <c r="X2346" i="10"/>
  <c r="X2330" i="10"/>
  <c r="X2314" i="10"/>
  <c r="X2298" i="10"/>
  <c r="X2282" i="10"/>
  <c r="X2266" i="10"/>
  <c r="X2250" i="10"/>
  <c r="X2234" i="10"/>
  <c r="X2218" i="10"/>
  <c r="X2202" i="10"/>
  <c r="X2186" i="10"/>
  <c r="X2170" i="10"/>
  <c r="X2154" i="10"/>
  <c r="X2138" i="10"/>
  <c r="X2122" i="10"/>
  <c r="X2104" i="10"/>
  <c r="X2082" i="10"/>
  <c r="X2061" i="10"/>
  <c r="X2040" i="10"/>
  <c r="X2018" i="10"/>
  <c r="X1997" i="10"/>
  <c r="X1976" i="10"/>
  <c r="X1954" i="10"/>
  <c r="X1933" i="10"/>
  <c r="X1040" i="10"/>
  <c r="X1024" i="10"/>
  <c r="X992" i="10"/>
  <c r="X976" i="10"/>
  <c r="X960" i="10"/>
  <c r="X944" i="10"/>
  <c r="X928" i="10"/>
  <c r="X912" i="10"/>
  <c r="X896" i="10"/>
  <c r="X880" i="10"/>
  <c r="X864" i="10"/>
  <c r="X848" i="10"/>
  <c r="X832" i="10"/>
  <c r="X816" i="10"/>
  <c r="X800" i="10"/>
  <c r="X784" i="10"/>
  <c r="X768" i="10"/>
  <c r="X752" i="10"/>
  <c r="X736" i="10"/>
  <c r="X720" i="10"/>
  <c r="X704" i="10"/>
  <c r="X688" i="10"/>
  <c r="X668" i="10"/>
  <c r="X625" i="10"/>
  <c r="X604" i="10"/>
  <c r="X299" i="10"/>
  <c r="X235" i="10"/>
  <c r="X171" i="10"/>
  <c r="X107" i="10"/>
  <c r="X43" i="10"/>
  <c r="X678" i="10"/>
  <c r="X662" i="10"/>
  <c r="X646" i="10"/>
  <c r="X630" i="10"/>
  <c r="X598" i="10"/>
  <c r="X566" i="10"/>
  <c r="X534" i="10"/>
  <c r="X502" i="10"/>
  <c r="X470" i="10"/>
  <c r="X438" i="10"/>
  <c r="X406" i="10"/>
  <c r="X374" i="10"/>
  <c r="X342" i="10"/>
  <c r="X310" i="10"/>
  <c r="X312" i="10"/>
  <c r="X264" i="10"/>
  <c r="X248" i="10"/>
  <c r="X200" i="10"/>
  <c r="X184" i="10"/>
  <c r="X136" i="10"/>
  <c r="X120" i="10"/>
  <c r="X72" i="10"/>
  <c r="X56" i="10"/>
  <c r="X8" i="10"/>
  <c r="X1939" i="10"/>
  <c r="X1923" i="10"/>
  <c r="X1907" i="10"/>
  <c r="X1891" i="10"/>
  <c r="X1875" i="10"/>
  <c r="X1859" i="10"/>
  <c r="X1843" i="10"/>
  <c r="X1827" i="10"/>
  <c r="X1811" i="10"/>
  <c r="X1795" i="10"/>
  <c r="X1779" i="10"/>
  <c r="X1763" i="10"/>
  <c r="X1747" i="10"/>
  <c r="X1731" i="10"/>
  <c r="X1715" i="10"/>
  <c r="X1699" i="10"/>
  <c r="X1683" i="10"/>
  <c r="X1667" i="10"/>
  <c r="X1651" i="10"/>
  <c r="X1635" i="10"/>
  <c r="X1619" i="10"/>
  <c r="X1603" i="10"/>
  <c r="X1587" i="10"/>
  <c r="X1571" i="10"/>
  <c r="X1555" i="10"/>
  <c r="X1539" i="10"/>
  <c r="X1523" i="10"/>
  <c r="X1507" i="10"/>
  <c r="X1491" i="10"/>
  <c r="X1475" i="10"/>
  <c r="X1459" i="10"/>
  <c r="X1443" i="10"/>
  <c r="X1427" i="10"/>
  <c r="X1411" i="10"/>
  <c r="X1395" i="10"/>
  <c r="X1379" i="10"/>
  <c r="X1363" i="10"/>
  <c r="X1347" i="10"/>
  <c r="X1331" i="10"/>
  <c r="X1315" i="10"/>
  <c r="X1299" i="10"/>
  <c r="X1283" i="10"/>
  <c r="X1267" i="10"/>
  <c r="X1251" i="10"/>
  <c r="X1235" i="10"/>
  <c r="X1219" i="10"/>
  <c r="X1203" i="10"/>
  <c r="X1187" i="10"/>
  <c r="X1171" i="10"/>
  <c r="X1155" i="10"/>
  <c r="X1139" i="10"/>
  <c r="X1123" i="10"/>
  <c r="X1102" i="10"/>
  <c r="X1059" i="10"/>
  <c r="X1038" i="10"/>
  <c r="X995" i="10"/>
  <c r="X981" i="10"/>
  <c r="X965" i="10"/>
  <c r="X949" i="10"/>
  <c r="X933" i="10"/>
  <c r="X917" i="10"/>
  <c r="X901" i="10"/>
  <c r="X885" i="10"/>
  <c r="X869" i="10"/>
  <c r="X853" i="10"/>
  <c r="X837" i="10"/>
  <c r="X821" i="10"/>
  <c r="X805" i="10"/>
  <c r="X789" i="10"/>
  <c r="X773" i="10"/>
  <c r="X757" i="10"/>
  <c r="X741" i="10"/>
  <c r="X725" i="10"/>
  <c r="X709" i="10"/>
  <c r="X693" i="10"/>
  <c r="X653" i="10"/>
  <c r="X632" i="10"/>
  <c r="X589" i="10"/>
  <c r="X557" i="10"/>
  <c r="X525" i="10"/>
  <c r="X493" i="10"/>
  <c r="X461" i="10"/>
  <c r="X429" i="10"/>
  <c r="X397" i="10"/>
  <c r="X365" i="10"/>
  <c r="X1116" i="10"/>
  <c r="X1100" i="10"/>
  <c r="X1084" i="10"/>
  <c r="X1068" i="10"/>
  <c r="X1052" i="10"/>
  <c r="X1036" i="10"/>
  <c r="X1020" i="10"/>
  <c r="X988" i="10"/>
  <c r="X972" i="10"/>
  <c r="X956" i="10"/>
  <c r="X940" i="10"/>
  <c r="X924" i="10"/>
  <c r="X908" i="10"/>
  <c r="X892" i="10"/>
  <c r="X876" i="10"/>
  <c r="X860" i="10"/>
  <c r="X844" i="10"/>
  <c r="X828" i="10"/>
  <c r="X812" i="10"/>
  <c r="X796" i="10"/>
  <c r="X780" i="10"/>
  <c r="X764" i="10"/>
  <c r="X748" i="10"/>
  <c r="X732" i="10"/>
  <c r="X716" i="10"/>
  <c r="X700" i="10"/>
  <c r="X684" i="10"/>
  <c r="X663" i="10"/>
  <c r="X641" i="10"/>
  <c r="X620" i="10"/>
  <c r="X599" i="10"/>
  <c r="X327" i="10"/>
  <c r="X283" i="10"/>
  <c r="X219" i="10"/>
  <c r="X155" i="10"/>
  <c r="X91" i="10"/>
  <c r="X27" i="10"/>
  <c r="X674" i="10"/>
  <c r="X642" i="10"/>
  <c r="X626" i="10"/>
  <c r="X610" i="10"/>
  <c r="X578" i="10"/>
  <c r="X562" i="10"/>
  <c r="X546" i="10"/>
  <c r="X530" i="10"/>
  <c r="X514" i="10"/>
  <c r="X498" i="10"/>
  <c r="X482" i="10"/>
  <c r="X466" i="10"/>
  <c r="X450" i="10"/>
  <c r="X434" i="10"/>
  <c r="X418" i="10"/>
  <c r="X402" i="10"/>
  <c r="X386" i="10"/>
  <c r="X370" i="10"/>
  <c r="X354" i="10"/>
  <c r="X333" i="10"/>
  <c r="X295" i="10"/>
  <c r="X231" i="10"/>
  <c r="X167" i="10"/>
  <c r="X103" i="10"/>
  <c r="X39" i="10"/>
  <c r="X322" i="10"/>
  <c r="X340" i="10"/>
  <c r="X324" i="10"/>
  <c r="X308" i="10"/>
  <c r="X292" i="10"/>
  <c r="X276" i="10"/>
  <c r="X260" i="10"/>
  <c r="X244" i="10"/>
  <c r="X228" i="10"/>
  <c r="X212" i="10"/>
  <c r="X196" i="10"/>
  <c r="X180" i="10"/>
  <c r="X164" i="10"/>
  <c r="X148" i="10"/>
  <c r="X132" i="10"/>
  <c r="X116" i="10"/>
  <c r="X100" i="10"/>
  <c r="X84" i="10"/>
  <c r="X68" i="10"/>
  <c r="X52" i="10"/>
  <c r="X36" i="10"/>
  <c r="X20" i="10"/>
  <c r="X4" i="10"/>
  <c r="X1912" i="10"/>
  <c r="X1890" i="10"/>
  <c r="X1869" i="10"/>
  <c r="X1848" i="10"/>
  <c r="X1826" i="10"/>
  <c r="X1805" i="10"/>
  <c r="X1784" i="10"/>
  <c r="X1756" i="10"/>
  <c r="X1714" i="10"/>
  <c r="X1672" i="10"/>
  <c r="X1629" i="10"/>
  <c r="X1586" i="10"/>
  <c r="X1544" i="10"/>
  <c r="X1501" i="10"/>
  <c r="X1458" i="10"/>
  <c r="X1416" i="10"/>
  <c r="X1373" i="10"/>
  <c r="X1330" i="10"/>
  <c r="X1288" i="10"/>
  <c r="X1245" i="10"/>
  <c r="X1202" i="10"/>
  <c r="X1160" i="10"/>
  <c r="X1115" i="10"/>
  <c r="X1058" i="10"/>
  <c r="X998" i="10"/>
  <c r="X874" i="10"/>
  <c r="X746" i="10"/>
  <c r="X596" i="10"/>
  <c r="X344" i="10"/>
  <c r="X1740" i="10"/>
  <c r="X1676" i="10"/>
  <c r="X1612" i="10"/>
  <c r="X1548" i="10"/>
  <c r="X1484" i="10"/>
  <c r="X1420" i="10"/>
  <c r="X1356" i="10"/>
  <c r="X1292" i="10"/>
  <c r="X1228" i="10"/>
  <c r="X1164" i="10"/>
  <c r="X1121" i="10"/>
  <c r="X1093" i="10"/>
  <c r="X1781" i="10"/>
  <c r="X1738" i="10"/>
  <c r="X1717" i="10"/>
  <c r="X1674" i="10"/>
  <c r="X1653" i="10"/>
  <c r="X1610" i="10"/>
  <c r="X1589" i="10"/>
  <c r="X1546" i="10"/>
  <c r="X1525" i="10"/>
  <c r="X1482" i="10"/>
  <c r="X1461" i="10"/>
  <c r="X1418" i="10"/>
  <c r="X1397" i="10"/>
  <c r="X1354" i="10"/>
  <c r="X1333" i="10"/>
  <c r="X1290" i="10"/>
  <c r="X1269" i="10"/>
  <c r="X1226" i="10"/>
  <c r="X1205" i="10"/>
  <c r="X1162" i="10"/>
  <c r="X1141" i="10"/>
  <c r="X1090" i="10"/>
  <c r="X1062" i="10"/>
  <c r="X1003" i="10"/>
  <c r="X488" i="10"/>
  <c r="X360" i="10"/>
  <c r="X1007" i="10"/>
  <c r="X983" i="10"/>
  <c r="X951" i="10"/>
  <c r="X919" i="10"/>
  <c r="X887" i="10"/>
  <c r="X855" i="10"/>
  <c r="X823" i="10"/>
  <c r="X791" i="10"/>
  <c r="X759" i="10"/>
  <c r="X727" i="10"/>
  <c r="X695" i="10"/>
  <c r="X656" i="10"/>
  <c r="X613" i="10"/>
  <c r="X561" i="10"/>
  <c r="X497" i="10"/>
  <c r="X433" i="10"/>
  <c r="X369" i="10"/>
  <c r="X2111" i="10"/>
  <c r="X2095" i="10"/>
  <c r="X2079" i="10"/>
  <c r="X2063" i="10"/>
  <c r="X2047" i="10"/>
  <c r="X2031" i="10"/>
  <c r="X2015" i="10"/>
  <c r="X1999" i="10"/>
  <c r="X1983" i="10"/>
  <c r="X1967" i="10"/>
  <c r="X1951" i="10"/>
  <c r="X1935" i="10"/>
  <c r="X1919" i="10"/>
  <c r="X1903" i="10"/>
  <c r="X1887" i="10"/>
  <c r="X1871" i="10"/>
  <c r="X1855" i="10"/>
  <c r="X1839" i="10"/>
  <c r="X1823" i="10"/>
  <c r="X1807" i="10"/>
  <c r="X1791" i="10"/>
  <c r="X1775" i="10"/>
  <c r="X1759" i="10"/>
  <c r="X1743" i="10"/>
  <c r="X1727" i="10"/>
  <c r="X1711" i="10"/>
  <c r="X1695" i="10"/>
  <c r="X1679" i="10"/>
  <c r="X1663" i="10"/>
  <c r="X1647" i="10"/>
  <c r="X1631" i="10"/>
  <c r="X1615" i="10"/>
  <c r="X1599" i="10"/>
  <c r="X1583" i="10"/>
  <c r="X1567" i="10"/>
  <c r="X1551" i="10"/>
  <c r="X1535" i="10"/>
  <c r="X1519" i="10"/>
  <c r="X1503" i="10"/>
  <c r="X1487" i="10"/>
  <c r="AG9" i="10" s="1"/>
  <c r="X1471" i="10"/>
  <c r="X1455" i="10"/>
  <c r="X1439" i="10"/>
  <c r="X1423" i="10"/>
  <c r="X1407" i="10"/>
  <c r="X1391" i="10"/>
  <c r="X1375" i="10"/>
  <c r="X1359" i="10"/>
  <c r="X1343" i="10"/>
  <c r="X1327" i="10"/>
  <c r="X1311" i="10"/>
  <c r="X1295" i="10"/>
  <c r="X1279" i="10"/>
  <c r="X1263" i="10"/>
  <c r="X1247" i="10"/>
  <c r="X1231" i="10"/>
  <c r="X1215" i="10"/>
  <c r="X1199" i="10"/>
  <c r="X1183" i="10"/>
  <c r="X1167" i="10"/>
  <c r="X1151" i="10"/>
  <c r="X1135" i="10"/>
  <c r="X1118" i="10"/>
  <c r="X1075" i="10"/>
  <c r="X1054" i="10"/>
  <c r="X1011" i="10"/>
  <c r="X990" i="10"/>
  <c r="X958" i="10"/>
  <c r="X926" i="10"/>
  <c r="X894" i="10"/>
  <c r="X862" i="10"/>
  <c r="X830" i="10"/>
  <c r="X798" i="10"/>
  <c r="X766" i="10"/>
  <c r="X734" i="10"/>
  <c r="X702" i="10"/>
  <c r="X665" i="10"/>
  <c r="X576" i="10"/>
  <c r="X977" i="10"/>
  <c r="X961" i="10"/>
  <c r="X945" i="10"/>
  <c r="X929" i="10"/>
  <c r="X913" i="10"/>
  <c r="X897" i="10"/>
  <c r="X881" i="10"/>
  <c r="X865" i="10"/>
  <c r="X849" i="10"/>
  <c r="X833" i="10"/>
  <c r="X817" i="10"/>
  <c r="X801" i="10"/>
  <c r="X785" i="10"/>
  <c r="X769" i="10"/>
  <c r="X753" i="10"/>
  <c r="X737" i="10"/>
  <c r="X721" i="10"/>
  <c r="X705" i="10"/>
  <c r="X689" i="10"/>
  <c r="X669" i="10"/>
  <c r="X648" i="10"/>
  <c r="X605" i="10"/>
  <c r="X581" i="10"/>
  <c r="X549" i="10"/>
  <c r="X517" i="10"/>
  <c r="X485" i="10"/>
  <c r="X453" i="10"/>
  <c r="X421" i="10"/>
  <c r="X389" i="10"/>
  <c r="X357" i="10"/>
  <c r="X1112" i="10"/>
  <c r="X1096" i="10"/>
  <c r="X1080" i="10"/>
  <c r="X1064" i="10"/>
  <c r="X1048" i="10"/>
  <c r="X1032" i="10"/>
  <c r="X1016" i="10"/>
  <c r="X1000" i="10"/>
  <c r="X984" i="10"/>
  <c r="X968" i="10"/>
  <c r="X952" i="10"/>
  <c r="X936" i="10"/>
  <c r="X920" i="10"/>
  <c r="X904" i="10"/>
  <c r="X888" i="10"/>
  <c r="X872" i="10"/>
  <c r="X856" i="10"/>
  <c r="X840" i="10"/>
  <c r="X824" i="10"/>
  <c r="X808" i="10"/>
  <c r="X792" i="10"/>
  <c r="X776" i="10"/>
  <c r="X760" i="10"/>
  <c r="X744" i="10"/>
  <c r="X728" i="10"/>
  <c r="X712" i="10"/>
  <c r="X696" i="10"/>
  <c r="X679" i="10"/>
  <c r="X657" i="10"/>
  <c r="X636" i="10"/>
  <c r="X615" i="10"/>
  <c r="X593" i="10"/>
  <c r="X564" i="10"/>
  <c r="X532" i="10"/>
  <c r="X500" i="10"/>
  <c r="X468" i="10"/>
  <c r="X436" i="10"/>
  <c r="X404" i="10"/>
  <c r="X372" i="10"/>
  <c r="X587" i="10"/>
  <c r="X571" i="10"/>
  <c r="X555" i="10"/>
  <c r="X539" i="10"/>
  <c r="X523" i="10"/>
  <c r="X507" i="10"/>
  <c r="X491" i="10"/>
  <c r="X475" i="10"/>
  <c r="X459" i="10"/>
  <c r="X443" i="10"/>
  <c r="X427" i="10"/>
  <c r="X411" i="10"/>
  <c r="X395" i="10"/>
  <c r="X379" i="10"/>
  <c r="X363" i="10"/>
  <c r="X347" i="10"/>
  <c r="X267" i="10"/>
  <c r="X203" i="10"/>
  <c r="X139" i="10"/>
  <c r="X75" i="10"/>
  <c r="X11" i="10"/>
  <c r="X670" i="10"/>
  <c r="X654" i="10"/>
  <c r="X638" i="10"/>
  <c r="X622" i="10"/>
  <c r="X606" i="10"/>
  <c r="X590" i="10"/>
  <c r="X574" i="10"/>
  <c r="X558" i="10"/>
  <c r="X542" i="10"/>
  <c r="X526" i="10"/>
  <c r="X510" i="10"/>
  <c r="X494" i="10"/>
  <c r="X478" i="10"/>
  <c r="X462" i="10"/>
  <c r="X446" i="10"/>
  <c r="X430" i="10"/>
  <c r="X414" i="10"/>
  <c r="X398" i="10"/>
  <c r="X382" i="10"/>
  <c r="X366" i="10"/>
  <c r="X350" i="10"/>
  <c r="X279" i="10"/>
  <c r="X215" i="10"/>
  <c r="X151" i="10"/>
  <c r="X87" i="10"/>
  <c r="X23" i="10"/>
  <c r="X334" i="10"/>
  <c r="X318" i="10"/>
  <c r="X301" i="10"/>
  <c r="X285" i="10"/>
  <c r="X269" i="10"/>
  <c r="X253" i="10"/>
  <c r="X237" i="10"/>
  <c r="X221" i="10"/>
  <c r="X205" i="10"/>
  <c r="X189" i="10"/>
  <c r="X173" i="10"/>
  <c r="X157" i="10"/>
  <c r="X141" i="10"/>
  <c r="X125" i="10"/>
  <c r="X109" i="10"/>
  <c r="X93" i="10"/>
  <c r="X77" i="10"/>
  <c r="X61" i="10"/>
  <c r="X45" i="10"/>
  <c r="X29" i="10"/>
  <c r="X13" i="10"/>
  <c r="X336" i="10"/>
  <c r="X320" i="10"/>
  <c r="X304" i="10"/>
  <c r="X288" i="10"/>
  <c r="X272" i="10"/>
  <c r="X256" i="10"/>
  <c r="X240" i="10"/>
  <c r="X224" i="10"/>
  <c r="X208" i="10"/>
  <c r="X192" i="10"/>
  <c r="X176" i="10"/>
  <c r="X160" i="10"/>
  <c r="X144" i="10"/>
  <c r="X128" i="10"/>
  <c r="X112" i="10"/>
  <c r="X96" i="10"/>
  <c r="X80" i="10"/>
  <c r="X64" i="10"/>
  <c r="X48" i="10"/>
  <c r="X32" i="10"/>
  <c r="X16" i="10"/>
  <c r="L3" i="10"/>
  <c r="W3" i="10" s="1"/>
  <c r="S2" i="10"/>
  <c r="AG10" i="10" l="1"/>
  <c r="AG5" i="10"/>
  <c r="AG6" i="10"/>
  <c r="AG4" i="10"/>
  <c r="AG7" i="10"/>
  <c r="AG8" i="10"/>
  <c r="AG11" i="10"/>
  <c r="AG3" i="10"/>
  <c r="O3" i="10"/>
  <c r="M4" i="10" s="1"/>
  <c r="P3" i="10"/>
  <c r="N4" i="10" s="1"/>
  <c r="AG13" i="10" l="1"/>
  <c r="S3" i="10"/>
  <c r="L4" i="10"/>
  <c r="W4" i="10" s="1"/>
  <c r="T3" i="10"/>
  <c r="P4" i="10" l="1"/>
  <c r="T4" i="10" s="1"/>
  <c r="O4" i="10"/>
  <c r="S4" i="10" s="1"/>
  <c r="N5" i="10" l="1"/>
  <c r="M5" i="10"/>
  <c r="L5" i="10" l="1"/>
  <c r="W5" i="10" l="1"/>
  <c r="O5" i="10"/>
  <c r="P5" i="10"/>
  <c r="N6" i="10" s="1"/>
  <c r="T5" i="10" l="1"/>
  <c r="M6" i="10"/>
  <c r="L6" i="10" s="1"/>
  <c r="S5" i="10"/>
  <c r="W6" i="10" l="1"/>
  <c r="O6" i="10"/>
  <c r="P6" i="10"/>
  <c r="M7" i="10" l="1"/>
  <c r="S6" i="10"/>
  <c r="N7" i="10"/>
  <c r="T6" i="10"/>
  <c r="L7" i="10" l="1"/>
  <c r="W7" i="10" l="1"/>
  <c r="P7" i="10"/>
  <c r="O7" i="10"/>
  <c r="M8" i="10" l="1"/>
  <c r="S7" i="10"/>
  <c r="N8" i="10"/>
  <c r="T7" i="10"/>
  <c r="L8" i="10" l="1"/>
  <c r="W8" i="10" l="1"/>
  <c r="P8" i="10"/>
  <c r="O8" i="10"/>
  <c r="M9" i="10" l="1"/>
  <c r="S8" i="10"/>
  <c r="T8" i="10"/>
  <c r="N9" i="10"/>
  <c r="L9" i="10" l="1"/>
  <c r="W9" i="10" l="1"/>
  <c r="P9" i="10"/>
  <c r="O9" i="10"/>
  <c r="M10" i="10" l="1"/>
  <c r="S9" i="10"/>
  <c r="N10" i="10"/>
  <c r="T9" i="10"/>
  <c r="L10" i="10" l="1"/>
  <c r="W10" i="10" l="1"/>
  <c r="P10" i="10"/>
  <c r="O10" i="10"/>
  <c r="T10" i="10" l="1"/>
  <c r="N11" i="10"/>
  <c r="M11" i="10"/>
  <c r="S10" i="10"/>
  <c r="L11" i="10" l="1"/>
  <c r="W11" i="10" s="1"/>
  <c r="O11" i="10"/>
  <c r="S11" i="10" s="1"/>
  <c r="P11" i="10"/>
  <c r="N12" i="10" s="1"/>
  <c r="M12" i="10"/>
  <c r="T11" i="10" l="1"/>
  <c r="L12" i="10"/>
  <c r="W12" i="10" s="1"/>
  <c r="P12" i="10" l="1"/>
  <c r="N13" i="10" s="1"/>
  <c r="O12" i="10"/>
  <c r="M13" i="10" s="1"/>
  <c r="L13" i="10" l="1"/>
  <c r="W13" i="10" s="1"/>
  <c r="T12" i="10"/>
  <c r="S12" i="10"/>
  <c r="P13" i="10" l="1"/>
  <c r="N14" i="10" s="1"/>
  <c r="O13" i="10"/>
  <c r="M14" i="10" s="1"/>
  <c r="S13" i="10" l="1"/>
  <c r="L14" i="10"/>
  <c r="W14" i="10" s="1"/>
  <c r="T13" i="10"/>
  <c r="O14" i="10" l="1"/>
  <c r="M15" i="10" s="1"/>
  <c r="P14" i="10"/>
  <c r="N15" i="10" s="1"/>
  <c r="S14" i="10" l="1"/>
  <c r="L15" i="10"/>
  <c r="W15" i="10" s="1"/>
  <c r="O15" i="10"/>
  <c r="M16" i="10" s="1"/>
  <c r="T14" i="10"/>
  <c r="P15" i="10"/>
  <c r="N16" i="10" s="1"/>
  <c r="L16" i="10" l="1"/>
  <c r="W16" i="10" s="1"/>
  <c r="S15" i="10"/>
  <c r="P16" i="10"/>
  <c r="T16" i="10" s="1"/>
  <c r="T15" i="10"/>
  <c r="O16" i="10"/>
  <c r="M17" i="10" s="1"/>
  <c r="N17" i="10" l="1"/>
  <c r="L17" i="10" s="1"/>
  <c r="W17" i="10" s="1"/>
  <c r="S16" i="10"/>
  <c r="O17" i="10"/>
  <c r="P17" i="10"/>
  <c r="N18" i="10" s="1"/>
  <c r="S17" i="10" l="1"/>
  <c r="M18" i="10"/>
  <c r="L18" i="10" s="1"/>
  <c r="W18" i="10" s="1"/>
  <c r="T17" i="10"/>
  <c r="O18" i="10" l="1"/>
  <c r="P18" i="10"/>
  <c r="N19" i="10" l="1"/>
  <c r="T18" i="10"/>
  <c r="S18" i="10"/>
  <c r="M19" i="10"/>
  <c r="L19" i="10" l="1"/>
  <c r="W19" i="10" s="1"/>
  <c r="O19" i="10"/>
  <c r="P19" i="10"/>
  <c r="N20" i="10" l="1"/>
  <c r="T19" i="10"/>
  <c r="M20" i="10"/>
  <c r="S19" i="10"/>
  <c r="L20" i="10" l="1"/>
  <c r="W20" i="10" s="1"/>
  <c r="P20" i="10"/>
  <c r="O20" i="10"/>
  <c r="M21" i="10" l="1"/>
  <c r="S20" i="10"/>
  <c r="T20" i="10"/>
  <c r="N21" i="10"/>
  <c r="L21" i="10" l="1"/>
  <c r="W21" i="10" s="1"/>
  <c r="P21" i="10" l="1"/>
  <c r="O21" i="10"/>
  <c r="S21" i="10" l="1"/>
  <c r="M22" i="10"/>
  <c r="N22" i="10"/>
  <c r="T21" i="10"/>
  <c r="L22" i="10" l="1"/>
  <c r="W22" i="10" s="1"/>
  <c r="P22" i="10" l="1"/>
  <c r="O22" i="10"/>
  <c r="M23" i="10" l="1"/>
  <c r="S22" i="10"/>
  <c r="N23" i="10"/>
  <c r="T22" i="10"/>
  <c r="L23" i="10" l="1"/>
  <c r="W23" i="10" s="1"/>
  <c r="P23" i="10" l="1"/>
  <c r="O23" i="10"/>
  <c r="S23" i="10" l="1"/>
  <c r="M24" i="10"/>
  <c r="N24" i="10"/>
  <c r="T23" i="10"/>
  <c r="L24" i="10" l="1"/>
  <c r="P24" i="10" l="1"/>
  <c r="T24" i="10" s="1"/>
  <c r="W24" i="10"/>
  <c r="O24" i="10"/>
  <c r="S24" i="10" s="1"/>
  <c r="N25" i="10" l="1"/>
  <c r="M25" i="10"/>
  <c r="L25" i="10" l="1"/>
  <c r="W25" i="10" s="1"/>
  <c r="P25" i="10"/>
  <c r="O25" i="10"/>
  <c r="S25" i="10" s="1"/>
  <c r="T25" i="10" l="1"/>
  <c r="M26" i="10"/>
  <c r="N26" i="10"/>
  <c r="L26" i="10" l="1"/>
  <c r="W26" i="10" s="1"/>
  <c r="P26" i="10"/>
  <c r="O26" i="10"/>
  <c r="S26" i="10" l="1"/>
  <c r="M27" i="10"/>
  <c r="N27" i="10"/>
  <c r="T26" i="10"/>
  <c r="L27" i="10" l="1"/>
  <c r="W27" i="10" s="1"/>
  <c r="P27" i="10" l="1"/>
  <c r="O27" i="10"/>
  <c r="S27" i="10" l="1"/>
  <c r="M28" i="10"/>
  <c r="N28" i="10"/>
  <c r="T27" i="10"/>
  <c r="L28" i="10" l="1"/>
  <c r="P28" i="10" l="1"/>
  <c r="N29" i="10" s="1"/>
  <c r="W28" i="10"/>
  <c r="O28" i="10"/>
  <c r="S28" i="10" s="1"/>
  <c r="T28" i="10" l="1"/>
  <c r="M29" i="10"/>
  <c r="L29" i="10" s="1"/>
  <c r="W29" i="10" s="1"/>
  <c r="P29" i="10" l="1"/>
  <c r="T29" i="10" s="1"/>
  <c r="O29" i="10"/>
  <c r="M30" i="10" s="1"/>
  <c r="S29" i="10" l="1"/>
  <c r="N30" i="10"/>
  <c r="L30" i="10" s="1"/>
  <c r="W30" i="10" s="1"/>
  <c r="P30" i="10" l="1"/>
  <c r="O30" i="10"/>
  <c r="S30" i="10" l="1"/>
  <c r="M31" i="10"/>
  <c r="N31" i="10"/>
  <c r="T30" i="10"/>
  <c r="L31" i="10" l="1"/>
  <c r="W31" i="10" s="1"/>
  <c r="P31" i="10" l="1"/>
  <c r="O31" i="10"/>
  <c r="S31" i="10" l="1"/>
  <c r="M32" i="10"/>
  <c r="N32" i="10"/>
  <c r="T31" i="10"/>
  <c r="L32" i="10" l="1"/>
  <c r="W32" i="10" s="1"/>
  <c r="P32" i="10" l="1"/>
  <c r="O32" i="10"/>
  <c r="N33" i="10" l="1"/>
  <c r="T32" i="10"/>
  <c r="M33" i="10"/>
  <c r="S32" i="10"/>
  <c r="L33" i="10" l="1"/>
  <c r="W33" i="10" s="1"/>
  <c r="P33" i="10"/>
  <c r="O33" i="10"/>
  <c r="M34" i="10" l="1"/>
  <c r="S33" i="10"/>
  <c r="N34" i="10"/>
  <c r="T33" i="10"/>
  <c r="L34" i="10" l="1"/>
  <c r="W34" i="10" s="1"/>
  <c r="O34" i="10" l="1"/>
  <c r="P34" i="10"/>
  <c r="M35" i="10" l="1"/>
  <c r="S34" i="10"/>
  <c r="N35" i="10"/>
  <c r="T34" i="10"/>
  <c r="L35" i="10" l="1"/>
  <c r="W35" i="10" s="1"/>
  <c r="P35" i="10"/>
  <c r="O35" i="10"/>
  <c r="S35" i="10" l="1"/>
  <c r="M36" i="10"/>
  <c r="N36" i="10"/>
  <c r="T35" i="10"/>
  <c r="L36" i="10" l="1"/>
  <c r="W36" i="10" s="1"/>
  <c r="P36" i="10" l="1"/>
  <c r="O36" i="10"/>
  <c r="S36" i="10" l="1"/>
  <c r="M37" i="10"/>
  <c r="N37" i="10"/>
  <c r="T36" i="10"/>
  <c r="L37" i="10" l="1"/>
  <c r="W37" i="10" s="1"/>
  <c r="P37" i="10" l="1"/>
  <c r="O37" i="10"/>
  <c r="S37" i="10" l="1"/>
  <c r="M38" i="10"/>
  <c r="N38" i="10"/>
  <c r="T37" i="10"/>
  <c r="L38" i="10" l="1"/>
  <c r="W38" i="10" s="1"/>
  <c r="P38" i="10" l="1"/>
  <c r="O38" i="10"/>
  <c r="S38" i="10" l="1"/>
  <c r="M39" i="10"/>
  <c r="N39" i="10"/>
  <c r="T38" i="10"/>
  <c r="L39" i="10" l="1"/>
  <c r="W39" i="10" s="1"/>
  <c r="O39" i="10" l="1"/>
  <c r="P39" i="10"/>
  <c r="N40" i="10" l="1"/>
  <c r="T39" i="10"/>
  <c r="M40" i="10"/>
  <c r="S39" i="10"/>
  <c r="L40" i="10" l="1"/>
  <c r="W40" i="10" s="1"/>
  <c r="O40" i="10"/>
  <c r="P40" i="10" l="1"/>
  <c r="T40" i="10" s="1"/>
  <c r="S40" i="10"/>
  <c r="M41" i="10"/>
  <c r="N41" i="10" l="1"/>
  <c r="L41" i="10" s="1"/>
  <c r="W41" i="10" s="1"/>
  <c r="P41" i="10" l="1"/>
  <c r="O41" i="10"/>
  <c r="M42" i="10" l="1"/>
  <c r="S41" i="10"/>
  <c r="N42" i="10"/>
  <c r="T41" i="10"/>
  <c r="L42" i="10" l="1"/>
  <c r="O42" i="10"/>
  <c r="P42" i="10" l="1"/>
  <c r="T42" i="10" s="1"/>
  <c r="W42" i="10"/>
  <c r="M43" i="10"/>
  <c r="S42" i="10"/>
  <c r="N43" i="10" l="1"/>
  <c r="L43" i="10" s="1"/>
  <c r="W43" i="10" s="1"/>
  <c r="P43" i="10" l="1"/>
  <c r="O43" i="10"/>
  <c r="S43" i="10" l="1"/>
  <c r="M44" i="10"/>
  <c r="N44" i="10"/>
  <c r="T43" i="10"/>
  <c r="L44" i="10" l="1"/>
  <c r="P44" i="10" l="1"/>
  <c r="N45" i="10" s="1"/>
  <c r="W44" i="10"/>
  <c r="O44" i="10"/>
  <c r="M45" i="10" s="1"/>
  <c r="T44" i="10" l="1"/>
  <c r="S44" i="10"/>
  <c r="L45" i="10"/>
  <c r="W45" i="10" s="1"/>
  <c r="P45" i="10" l="1"/>
  <c r="O45" i="10"/>
  <c r="M46" i="10" l="1"/>
  <c r="S45" i="10"/>
  <c r="N46" i="10"/>
  <c r="T45" i="10"/>
  <c r="L46" i="10" l="1"/>
  <c r="W46" i="10" s="1"/>
  <c r="P46" i="10" l="1"/>
  <c r="O46" i="10"/>
  <c r="M47" i="10" l="1"/>
  <c r="S46" i="10"/>
  <c r="N47" i="10"/>
  <c r="T46" i="10"/>
  <c r="L47" i="10" l="1"/>
  <c r="W47" i="10" s="1"/>
  <c r="P47" i="10" l="1"/>
  <c r="O47" i="10"/>
  <c r="N48" i="10" l="1"/>
  <c r="T47" i="10"/>
  <c r="S47" i="10"/>
  <c r="M48" i="10"/>
  <c r="L48" i="10" l="1"/>
  <c r="P48" i="10" l="1"/>
  <c r="N49" i="10" s="1"/>
  <c r="W48" i="10"/>
  <c r="O48" i="10"/>
  <c r="M49" i="10" s="1"/>
  <c r="T48" i="10" l="1"/>
  <c r="S48" i="10"/>
  <c r="L49" i="10"/>
  <c r="W49" i="10" s="1"/>
  <c r="P49" i="10" l="1"/>
  <c r="O49" i="10"/>
  <c r="S49" i="10" l="1"/>
  <c r="M50" i="10"/>
  <c r="N50" i="10"/>
  <c r="T49" i="10"/>
  <c r="L50" i="10" l="1"/>
  <c r="W50" i="10" s="1"/>
  <c r="P50" i="10" l="1"/>
  <c r="O50" i="10"/>
  <c r="N51" i="10" l="1"/>
  <c r="T50" i="10"/>
  <c r="M51" i="10"/>
  <c r="S50" i="10"/>
  <c r="L51" i="10" l="1"/>
  <c r="W51" i="10" s="1"/>
  <c r="P51" i="10"/>
  <c r="O51" i="10"/>
  <c r="S51" i="10" l="1"/>
  <c r="M52" i="10"/>
  <c r="N52" i="10"/>
  <c r="T51" i="10"/>
  <c r="L52" i="10" l="1"/>
  <c r="W52" i="10" s="1"/>
  <c r="P52" i="10"/>
  <c r="O52" i="10"/>
  <c r="M53" i="10" l="1"/>
  <c r="S52" i="10"/>
  <c r="N53" i="10"/>
  <c r="T52" i="10"/>
  <c r="L53" i="10" l="1"/>
  <c r="W53" i="10" s="1"/>
  <c r="O53" i="10"/>
  <c r="P53" i="10"/>
  <c r="N54" i="10" l="1"/>
  <c r="T53" i="10"/>
  <c r="S53" i="10"/>
  <c r="M54" i="10"/>
  <c r="L54" i="10" l="1"/>
  <c r="W54" i="10" s="1"/>
  <c r="P54" i="10"/>
  <c r="O54" i="10"/>
  <c r="S54" i="10" l="1"/>
  <c r="M55" i="10"/>
  <c r="N55" i="10"/>
  <c r="T54" i="10"/>
  <c r="L55" i="10" l="1"/>
  <c r="P55" i="10" l="1"/>
  <c r="T55" i="10" s="1"/>
  <c r="W55" i="10"/>
  <c r="O55" i="10"/>
  <c r="M56" i="10" s="1"/>
  <c r="N56" i="10" l="1"/>
  <c r="L56" i="10" s="1"/>
  <c r="W56" i="10" s="1"/>
  <c r="S55" i="10"/>
  <c r="P56" i="10" l="1"/>
  <c r="O56" i="10"/>
  <c r="M57" i="10" l="1"/>
  <c r="S56" i="10"/>
  <c r="N57" i="10"/>
  <c r="T56" i="10"/>
  <c r="L57" i="10" l="1"/>
  <c r="W57" i="10" s="1"/>
  <c r="P57" i="10" l="1"/>
  <c r="O57" i="10"/>
  <c r="S57" i="10" l="1"/>
  <c r="M58" i="10"/>
  <c r="N58" i="10"/>
  <c r="T57" i="10"/>
  <c r="L58" i="10" l="1"/>
  <c r="O58" i="10" l="1"/>
  <c r="S58" i="10" s="1"/>
  <c r="W58" i="10"/>
  <c r="P58" i="10"/>
  <c r="N59" i="10" s="1"/>
  <c r="M59" i="10"/>
  <c r="T58" i="10" l="1"/>
  <c r="L59" i="10"/>
  <c r="W59" i="10" s="1"/>
  <c r="O59" i="10" l="1"/>
  <c r="P59" i="10"/>
  <c r="N60" i="10" l="1"/>
  <c r="T59" i="10"/>
  <c r="S59" i="10"/>
  <c r="M60" i="10"/>
  <c r="L60" i="10" l="1"/>
  <c r="W60" i="10" s="1"/>
  <c r="O60" i="10"/>
  <c r="P60" i="10"/>
  <c r="N61" i="10" l="1"/>
  <c r="T60" i="10"/>
  <c r="M61" i="10"/>
  <c r="S60" i="10"/>
  <c r="L61" i="10" l="1"/>
  <c r="W61" i="10" s="1"/>
  <c r="P61" i="10"/>
  <c r="O61" i="10"/>
  <c r="N62" i="10" l="1"/>
  <c r="T61" i="10"/>
  <c r="S61" i="10"/>
  <c r="M62" i="10"/>
  <c r="L62" i="10" l="1"/>
  <c r="O62" i="10" s="1"/>
  <c r="P62" i="10" l="1"/>
  <c r="T62" i="10" s="1"/>
  <c r="W62" i="10"/>
  <c r="M63" i="10"/>
  <c r="S62" i="10"/>
  <c r="N63" i="10" l="1"/>
  <c r="L63" i="10" s="1"/>
  <c r="W63" i="10" s="1"/>
  <c r="P63" i="10" l="1"/>
  <c r="O63" i="10"/>
  <c r="M64" i="10" l="1"/>
  <c r="S63" i="10"/>
  <c r="N64" i="10"/>
  <c r="T63" i="10"/>
  <c r="L64" i="10" l="1"/>
  <c r="W64" i="10" s="1"/>
  <c r="P64" i="10" l="1"/>
  <c r="O64" i="10"/>
  <c r="S64" i="10" l="1"/>
  <c r="M65" i="10"/>
  <c r="N65" i="10"/>
  <c r="T64" i="10"/>
  <c r="L65" i="10" l="1"/>
  <c r="W65" i="10" s="1"/>
  <c r="P65" i="10" l="1"/>
  <c r="O65" i="10"/>
  <c r="N66" i="10" l="1"/>
  <c r="T65" i="10"/>
  <c r="M66" i="10"/>
  <c r="S65" i="10"/>
  <c r="L66" i="10" l="1"/>
  <c r="W66" i="10" s="1"/>
  <c r="P66" i="10"/>
  <c r="O66" i="10"/>
  <c r="S66" i="10" l="1"/>
  <c r="M67" i="10"/>
  <c r="N67" i="10"/>
  <c r="T66" i="10"/>
  <c r="L67" i="10" l="1"/>
  <c r="W67" i="10" s="1"/>
  <c r="P67" i="10" l="1"/>
  <c r="O67" i="10"/>
  <c r="M68" i="10" l="1"/>
  <c r="S67" i="10"/>
  <c r="N68" i="10"/>
  <c r="T67" i="10"/>
  <c r="L68" i="10" l="1"/>
  <c r="W68" i="10" s="1"/>
  <c r="P68" i="10" l="1"/>
  <c r="O68" i="10"/>
  <c r="N69" i="10" l="1"/>
  <c r="T68" i="10"/>
  <c r="S68" i="10"/>
  <c r="M69" i="10"/>
  <c r="L69" i="10" l="1"/>
  <c r="W69" i="10" s="1"/>
  <c r="P69" i="10"/>
  <c r="O69" i="10"/>
  <c r="S69" i="10" l="1"/>
  <c r="M70" i="10"/>
  <c r="N70" i="10"/>
  <c r="T69" i="10"/>
  <c r="L70" i="10" l="1"/>
  <c r="W70" i="10" s="1"/>
  <c r="P70" i="10" l="1"/>
  <c r="O70" i="10"/>
  <c r="S70" i="10" l="1"/>
  <c r="M71" i="10"/>
  <c r="N71" i="10"/>
  <c r="T70" i="10"/>
  <c r="L71" i="10" l="1"/>
  <c r="W71" i="10" s="1"/>
  <c r="P71" i="10" l="1"/>
  <c r="O71" i="10"/>
  <c r="S71" i="10" l="1"/>
  <c r="M72" i="10"/>
  <c r="N72" i="10"/>
  <c r="T71" i="10"/>
  <c r="L72" i="10" l="1"/>
  <c r="W72" i="10" s="1"/>
  <c r="P72" i="10" l="1"/>
  <c r="O72" i="10"/>
  <c r="M73" i="10" l="1"/>
  <c r="S72" i="10"/>
  <c r="N73" i="10"/>
  <c r="T72" i="10"/>
  <c r="L73" i="10" l="1"/>
  <c r="W73" i="10" s="1"/>
  <c r="P73" i="10" l="1"/>
  <c r="O73" i="10"/>
  <c r="M74" i="10" l="1"/>
  <c r="S73" i="10"/>
  <c r="N74" i="10"/>
  <c r="T73" i="10"/>
  <c r="L74" i="10" l="1"/>
  <c r="W74" i="10" s="1"/>
  <c r="P74" i="10" l="1"/>
  <c r="O74" i="10"/>
  <c r="M75" i="10" l="1"/>
  <c r="S74" i="10"/>
  <c r="N75" i="10"/>
  <c r="T74" i="10"/>
  <c r="L75" i="10" l="1"/>
  <c r="W75" i="10" s="1"/>
  <c r="P75" i="10" l="1"/>
  <c r="O75" i="10"/>
  <c r="M76" i="10" l="1"/>
  <c r="S75" i="10"/>
  <c r="N76" i="10"/>
  <c r="T75" i="10"/>
  <c r="L76" i="10" l="1"/>
  <c r="W76" i="10" s="1"/>
  <c r="P76" i="10" l="1"/>
  <c r="O76" i="10"/>
  <c r="S76" i="10" l="1"/>
  <c r="M77" i="10"/>
  <c r="N77" i="10"/>
  <c r="T76" i="10"/>
  <c r="L77" i="10" l="1"/>
  <c r="P77" i="10" l="1"/>
  <c r="N78" i="10" s="1"/>
  <c r="W77" i="10"/>
  <c r="O77" i="10"/>
  <c r="M78" i="10" s="1"/>
  <c r="T77" i="10" l="1"/>
  <c r="S77" i="10"/>
  <c r="L78" i="10"/>
  <c r="W78" i="10" s="1"/>
  <c r="P78" i="10" l="1"/>
  <c r="O78" i="10"/>
  <c r="S78" i="10" l="1"/>
  <c r="M79" i="10"/>
  <c r="N79" i="10"/>
  <c r="T78" i="10"/>
  <c r="L79" i="10" l="1"/>
  <c r="O79" i="10"/>
  <c r="P79" i="10" l="1"/>
  <c r="T79" i="10" s="1"/>
  <c r="W79" i="10"/>
  <c r="M80" i="10"/>
  <c r="S79" i="10"/>
  <c r="N80" i="10" l="1"/>
  <c r="L80" i="10" s="1"/>
  <c r="W80" i="10" s="1"/>
  <c r="P80" i="10" l="1"/>
  <c r="O80" i="10"/>
  <c r="S80" i="10" l="1"/>
  <c r="M81" i="10"/>
  <c r="N81" i="10"/>
  <c r="T80" i="10"/>
  <c r="L81" i="10" l="1"/>
  <c r="W81" i="10" s="1"/>
  <c r="P81" i="10" l="1"/>
  <c r="O81" i="10"/>
  <c r="M82" i="10" l="1"/>
  <c r="S81" i="10"/>
  <c r="N82" i="10"/>
  <c r="T81" i="10"/>
  <c r="L82" i="10" l="1"/>
  <c r="W82" i="10" s="1"/>
  <c r="P82" i="10" l="1"/>
  <c r="O82" i="10"/>
  <c r="S82" i="10" l="1"/>
  <c r="M83" i="10"/>
  <c r="N83" i="10"/>
  <c r="T82" i="10"/>
  <c r="L83" i="10" l="1"/>
  <c r="W83" i="10" s="1"/>
  <c r="P83" i="10" l="1"/>
  <c r="O83" i="10"/>
  <c r="N84" i="10" l="1"/>
  <c r="T83" i="10"/>
  <c r="M84" i="10"/>
  <c r="S83" i="10"/>
  <c r="L84" i="10" l="1"/>
  <c r="P84" i="10" s="1"/>
  <c r="O84" i="10" l="1"/>
  <c r="S84" i="10" s="1"/>
  <c r="W84" i="10"/>
  <c r="N85" i="10"/>
  <c r="T84" i="10"/>
  <c r="M85" i="10" l="1"/>
  <c r="L85" i="10" s="1"/>
  <c r="W85" i="10" l="1"/>
  <c r="P85" i="10"/>
  <c r="N86" i="10" s="1"/>
  <c r="O85" i="10"/>
  <c r="M86" i="10" s="1"/>
  <c r="S85" i="10" l="1"/>
  <c r="T85" i="10"/>
  <c r="L86" i="10"/>
  <c r="W86" i="10" s="1"/>
  <c r="P86" i="10" l="1"/>
  <c r="O86" i="10"/>
  <c r="M87" i="10" l="1"/>
  <c r="S86" i="10"/>
  <c r="N87" i="10"/>
  <c r="T86" i="10"/>
  <c r="L87" i="10" l="1"/>
  <c r="W87" i="10" s="1"/>
  <c r="P87" i="10" l="1"/>
  <c r="O87" i="10"/>
  <c r="M88" i="10" l="1"/>
  <c r="S87" i="10"/>
  <c r="N88" i="10"/>
  <c r="T87" i="10"/>
  <c r="L88" i="10" l="1"/>
  <c r="W88" i="10" s="1"/>
  <c r="P88" i="10" l="1"/>
  <c r="O88" i="10"/>
  <c r="N89" i="10" l="1"/>
  <c r="T88" i="10"/>
  <c r="S88" i="10"/>
  <c r="M89" i="10"/>
  <c r="L89" i="10" l="1"/>
  <c r="W89" i="10" s="1"/>
  <c r="P89" i="10" l="1"/>
  <c r="O89" i="10"/>
  <c r="M90" i="10" l="1"/>
  <c r="S89" i="10"/>
  <c r="T89" i="10"/>
  <c r="N90" i="10"/>
  <c r="L90" i="10" l="1"/>
  <c r="W90" i="10" s="1"/>
  <c r="P90" i="10" l="1"/>
  <c r="O90" i="10"/>
  <c r="N91" i="10" l="1"/>
  <c r="T90" i="10"/>
  <c r="M91" i="10"/>
  <c r="S90" i="10"/>
  <c r="L91" i="10" l="1"/>
  <c r="W91" i="10" s="1"/>
  <c r="P91" i="10"/>
  <c r="O91" i="10"/>
  <c r="M92" i="10" l="1"/>
  <c r="S91" i="10"/>
  <c r="N92" i="10"/>
  <c r="T91" i="10"/>
  <c r="L92" i="10" l="1"/>
  <c r="W92" i="10" s="1"/>
  <c r="P92" i="10" l="1"/>
  <c r="O92" i="10"/>
  <c r="M93" i="10" l="1"/>
  <c r="S92" i="10"/>
  <c r="N93" i="10"/>
  <c r="T92" i="10"/>
  <c r="L93" i="10" l="1"/>
  <c r="W93" i="10" s="1"/>
  <c r="P93" i="10"/>
  <c r="O93" i="10"/>
  <c r="M94" i="10" l="1"/>
  <c r="S93" i="10"/>
  <c r="N94" i="10"/>
  <c r="T93" i="10"/>
  <c r="L94" i="10" l="1"/>
  <c r="W94" i="10" s="1"/>
  <c r="P94" i="10" l="1"/>
  <c r="O94" i="10"/>
  <c r="M95" i="10" l="1"/>
  <c r="S94" i="10"/>
  <c r="N95" i="10"/>
  <c r="T94" i="10"/>
  <c r="L95" i="10" l="1"/>
  <c r="W95" i="10" s="1"/>
  <c r="P95" i="10" l="1"/>
  <c r="O95" i="10"/>
  <c r="S95" i="10" l="1"/>
  <c r="M96" i="10"/>
  <c r="N96" i="10"/>
  <c r="T95" i="10"/>
  <c r="L96" i="10" l="1"/>
  <c r="W96" i="10" s="1"/>
  <c r="P96" i="10" l="1"/>
  <c r="O96" i="10"/>
  <c r="M97" i="10" l="1"/>
  <c r="S96" i="10"/>
  <c r="T96" i="10"/>
  <c r="N97" i="10"/>
  <c r="L97" i="10" l="1"/>
  <c r="W97" i="10" s="1"/>
  <c r="O97" i="10" l="1"/>
  <c r="P97" i="10"/>
  <c r="T97" i="10" l="1"/>
  <c r="N98" i="10"/>
  <c r="S97" i="10"/>
  <c r="M98" i="10"/>
  <c r="L98" i="10" l="1"/>
  <c r="W98" i="10" s="1"/>
  <c r="P98" i="10"/>
  <c r="O98" i="10"/>
  <c r="S98" i="10" l="1"/>
  <c r="M99" i="10"/>
  <c r="N99" i="10"/>
  <c r="T98" i="10"/>
  <c r="L99" i="10" l="1"/>
  <c r="W99" i="10" s="1"/>
  <c r="P99" i="10" l="1"/>
  <c r="O99" i="10"/>
  <c r="N100" i="10" l="1"/>
  <c r="T99" i="10"/>
  <c r="M100" i="10"/>
  <c r="S99" i="10"/>
  <c r="L100" i="10" l="1"/>
  <c r="W100" i="10" s="1"/>
  <c r="P100" i="10"/>
  <c r="O100" i="10"/>
  <c r="S100" i="10" l="1"/>
  <c r="M101" i="10"/>
  <c r="T100" i="10"/>
  <c r="N101" i="10"/>
  <c r="L101" i="10" l="1"/>
  <c r="W101" i="10" s="1"/>
  <c r="P101" i="10" l="1"/>
  <c r="O101" i="10"/>
  <c r="M102" i="10" l="1"/>
  <c r="S101" i="10"/>
  <c r="N102" i="10"/>
  <c r="T101" i="10"/>
  <c r="L102" i="10" l="1"/>
  <c r="W102" i="10" s="1"/>
  <c r="O102" i="10" l="1"/>
  <c r="P102" i="10"/>
  <c r="N103" i="10" l="1"/>
  <c r="T102" i="10"/>
  <c r="S102" i="10"/>
  <c r="M103" i="10"/>
  <c r="L103" i="10" l="1"/>
  <c r="W103" i="10" s="1"/>
  <c r="P103" i="10"/>
  <c r="O103" i="10"/>
  <c r="S103" i="10" l="1"/>
  <c r="M104" i="10"/>
  <c r="N104" i="10"/>
  <c r="T103" i="10"/>
  <c r="L104" i="10" l="1"/>
  <c r="W104" i="10" s="1"/>
  <c r="P104" i="10" l="1"/>
  <c r="O104" i="10"/>
  <c r="M105" i="10" l="1"/>
  <c r="S104" i="10"/>
  <c r="T104" i="10"/>
  <c r="N105" i="10"/>
  <c r="L105" i="10" l="1"/>
  <c r="W105" i="10" s="1"/>
  <c r="O105" i="10" l="1"/>
  <c r="P105" i="10"/>
  <c r="M106" i="10" l="1"/>
  <c r="S105" i="10"/>
  <c r="N106" i="10"/>
  <c r="T105" i="10"/>
  <c r="L106" i="10" l="1"/>
  <c r="W106" i="10" s="1"/>
  <c r="P106" i="10" l="1"/>
  <c r="O106" i="10"/>
  <c r="M107" i="10" l="1"/>
  <c r="S106" i="10"/>
  <c r="N107" i="10"/>
  <c r="T106" i="10"/>
  <c r="L107" i="10" l="1"/>
  <c r="W107" i="10" s="1"/>
  <c r="P107" i="10" l="1"/>
  <c r="O107" i="10"/>
  <c r="N108" i="10" l="1"/>
  <c r="T107" i="10"/>
  <c r="S107" i="10"/>
  <c r="M108" i="10"/>
  <c r="L108" i="10" l="1"/>
  <c r="W108" i="10" s="1"/>
  <c r="P108" i="10"/>
  <c r="O108" i="10"/>
  <c r="S108" i="10" l="1"/>
  <c r="M109" i="10"/>
  <c r="N109" i="10"/>
  <c r="T108" i="10"/>
  <c r="L109" i="10" l="1"/>
  <c r="W109" i="10" s="1"/>
  <c r="P109" i="10" l="1"/>
  <c r="O109" i="10"/>
  <c r="N110" i="10" l="1"/>
  <c r="T109" i="10"/>
  <c r="M110" i="10"/>
  <c r="S109" i="10"/>
  <c r="L110" i="10" l="1"/>
  <c r="W110" i="10" s="1"/>
  <c r="P110" i="10"/>
  <c r="O110" i="10"/>
  <c r="M111" i="10" l="1"/>
  <c r="S110" i="10"/>
  <c r="N111" i="10"/>
  <c r="T110" i="10"/>
  <c r="L111" i="10" l="1"/>
  <c r="W111" i="10" s="1"/>
  <c r="P111" i="10" l="1"/>
  <c r="O111" i="10"/>
  <c r="S111" i="10" l="1"/>
  <c r="M112" i="10"/>
  <c r="N112" i="10"/>
  <c r="T111" i="10"/>
  <c r="L112" i="10" l="1"/>
  <c r="W112" i="10" s="1"/>
  <c r="O112" i="10" l="1"/>
  <c r="P112" i="10"/>
  <c r="N113" i="10" l="1"/>
  <c r="T112" i="10"/>
  <c r="S112" i="10"/>
  <c r="M113" i="10"/>
  <c r="L113" i="10" l="1"/>
  <c r="W113" i="10" s="1"/>
  <c r="P113" i="10"/>
  <c r="O113" i="10"/>
  <c r="M114" i="10" l="1"/>
  <c r="S113" i="10"/>
  <c r="N114" i="10"/>
  <c r="T113" i="10"/>
  <c r="L114" i="10" l="1"/>
  <c r="W114" i="10" s="1"/>
  <c r="P114" i="10" l="1"/>
  <c r="O114" i="10"/>
  <c r="M115" i="10" l="1"/>
  <c r="S114" i="10"/>
  <c r="N115" i="10"/>
  <c r="T114" i="10"/>
  <c r="L115" i="10" l="1"/>
  <c r="W115" i="10" s="1"/>
  <c r="P115" i="10" l="1"/>
  <c r="O115" i="10"/>
  <c r="S115" i="10" l="1"/>
  <c r="M116" i="10"/>
  <c r="N116" i="10"/>
  <c r="T115" i="10"/>
  <c r="L116" i="10" l="1"/>
  <c r="W116" i="10" s="1"/>
  <c r="O116" i="10" l="1"/>
  <c r="P116" i="10"/>
  <c r="M117" i="10" l="1"/>
  <c r="S116" i="10"/>
  <c r="N117" i="10"/>
  <c r="T116" i="10"/>
  <c r="L117" i="10" l="1"/>
  <c r="W117" i="10" s="1"/>
  <c r="P117" i="10" l="1"/>
  <c r="O117" i="10"/>
  <c r="M118" i="10" l="1"/>
  <c r="S117" i="10"/>
  <c r="N118" i="10"/>
  <c r="T117" i="10"/>
  <c r="L118" i="10" l="1"/>
  <c r="W118" i="10" s="1"/>
  <c r="P118" i="10" l="1"/>
  <c r="O118" i="10"/>
  <c r="S118" i="10" l="1"/>
  <c r="M119" i="10"/>
  <c r="T118" i="10"/>
  <c r="N119" i="10"/>
  <c r="L119" i="10" l="1"/>
  <c r="W119" i="10" s="1"/>
  <c r="O119" i="10" l="1"/>
  <c r="S119" i="10" s="1"/>
  <c r="P119" i="10"/>
  <c r="T119" i="10" s="1"/>
  <c r="N120" i="10" l="1"/>
  <c r="M120" i="10"/>
  <c r="L120" i="10" l="1"/>
  <c r="W120" i="10" s="1"/>
  <c r="P120" i="10"/>
  <c r="O120" i="10"/>
  <c r="S120" i="10" l="1"/>
  <c r="M121" i="10"/>
  <c r="N121" i="10"/>
  <c r="T120" i="10"/>
  <c r="L121" i="10" l="1"/>
  <c r="W121" i="10" s="1"/>
  <c r="O121" i="10" l="1"/>
  <c r="P121" i="10"/>
  <c r="N122" i="10" l="1"/>
  <c r="T121" i="10"/>
  <c r="M122" i="10"/>
  <c r="S121" i="10"/>
  <c r="L122" i="10" l="1"/>
  <c r="P122" i="10" l="1"/>
  <c r="N123" i="10" s="1"/>
  <c r="W122" i="10"/>
  <c r="O122" i="10"/>
  <c r="S122" i="10" s="1"/>
  <c r="T122" i="10" l="1"/>
  <c r="M123" i="10"/>
  <c r="L123" i="10" s="1"/>
  <c r="W123" i="10" s="1"/>
  <c r="P123" i="10" l="1"/>
  <c r="O123" i="10"/>
  <c r="M124" i="10" l="1"/>
  <c r="S123" i="10"/>
  <c r="N124" i="10"/>
  <c r="T123" i="10"/>
  <c r="L124" i="10" l="1"/>
  <c r="W124" i="10" s="1"/>
  <c r="P124" i="10" l="1"/>
  <c r="O124" i="10"/>
  <c r="S124" i="10" l="1"/>
  <c r="M125" i="10"/>
  <c r="N125" i="10"/>
  <c r="T124" i="10"/>
  <c r="L125" i="10" l="1"/>
  <c r="W125" i="10" s="1"/>
  <c r="P125" i="10" l="1"/>
  <c r="O125" i="10"/>
  <c r="M126" i="10" l="1"/>
  <c r="S125" i="10"/>
  <c r="N126" i="10"/>
  <c r="T125" i="10"/>
  <c r="L126" i="10" l="1"/>
  <c r="W126" i="10" s="1"/>
  <c r="P126" i="10" l="1"/>
  <c r="O126" i="10"/>
  <c r="S126" i="10" l="1"/>
  <c r="M127" i="10"/>
  <c r="N127" i="10"/>
  <c r="T126" i="10"/>
  <c r="L127" i="10" l="1"/>
  <c r="W127" i="10" s="1"/>
  <c r="P127" i="10" l="1"/>
  <c r="O127" i="10"/>
  <c r="S127" i="10" l="1"/>
  <c r="M128" i="10"/>
  <c r="N128" i="10"/>
  <c r="T127" i="10"/>
  <c r="L128" i="10" l="1"/>
  <c r="W128" i="10" s="1"/>
  <c r="P128" i="10"/>
  <c r="O128" i="10"/>
  <c r="S128" i="10" l="1"/>
  <c r="M129" i="10"/>
  <c r="N129" i="10"/>
  <c r="T128" i="10"/>
  <c r="L129" i="10" l="1"/>
  <c r="W129" i="10" s="1"/>
  <c r="P129" i="10" l="1"/>
  <c r="O129" i="10"/>
  <c r="M130" i="10" l="1"/>
  <c r="S129" i="10"/>
  <c r="N130" i="10"/>
  <c r="T129" i="10"/>
  <c r="L130" i="10" l="1"/>
  <c r="W130" i="10" s="1"/>
  <c r="P130" i="10" l="1"/>
  <c r="O130" i="10"/>
  <c r="N131" i="10" l="1"/>
  <c r="T130" i="10"/>
  <c r="M131" i="10"/>
  <c r="S130" i="10"/>
  <c r="L131" i="10" l="1"/>
  <c r="W131" i="10" s="1"/>
  <c r="O131" i="10"/>
  <c r="P131" i="10"/>
  <c r="N132" i="10" l="1"/>
  <c r="T131" i="10"/>
  <c r="S131" i="10"/>
  <c r="M132" i="10"/>
  <c r="L132" i="10" l="1"/>
  <c r="W132" i="10" s="1"/>
  <c r="P132" i="10"/>
  <c r="O132" i="10"/>
  <c r="M133" i="10" l="1"/>
  <c r="S132" i="10"/>
  <c r="N133" i="10"/>
  <c r="T132" i="10"/>
  <c r="L133" i="10" l="1"/>
  <c r="W133" i="10" s="1"/>
  <c r="P133" i="10" l="1"/>
  <c r="O133" i="10"/>
  <c r="M134" i="10" l="1"/>
  <c r="S133" i="10"/>
  <c r="N134" i="10"/>
  <c r="T133" i="10"/>
  <c r="L134" i="10" l="1"/>
  <c r="O134" i="10" l="1"/>
  <c r="M135" i="10" s="1"/>
  <c r="W134" i="10"/>
  <c r="P134" i="10"/>
  <c r="N135" i="10" s="1"/>
  <c r="S134" i="10" l="1"/>
  <c r="T134" i="10"/>
  <c r="L135" i="10"/>
  <c r="W135" i="10" s="1"/>
  <c r="O135" i="10" l="1"/>
  <c r="P135" i="10"/>
  <c r="N136" i="10" l="1"/>
  <c r="T135" i="10"/>
  <c r="M136" i="10"/>
  <c r="S135" i="10"/>
  <c r="L136" i="10" l="1"/>
  <c r="O136" i="10" s="1"/>
  <c r="P136" i="10" l="1"/>
  <c r="T136" i="10" s="1"/>
  <c r="W136" i="10"/>
  <c r="M137" i="10"/>
  <c r="S136" i="10"/>
  <c r="N137" i="10" l="1"/>
  <c r="L137" i="10" s="1"/>
  <c r="W137" i="10" s="1"/>
  <c r="P137" i="10" l="1"/>
  <c r="O137" i="10"/>
  <c r="S137" i="10" l="1"/>
  <c r="M138" i="10"/>
  <c r="N138" i="10"/>
  <c r="T137" i="10"/>
  <c r="L138" i="10" l="1"/>
  <c r="O138" i="10"/>
  <c r="P138" i="10" l="1"/>
  <c r="T138" i="10" s="1"/>
  <c r="W138" i="10"/>
  <c r="M139" i="10"/>
  <c r="S138" i="10"/>
  <c r="N139" i="10" l="1"/>
  <c r="L139" i="10" s="1"/>
  <c r="W139" i="10" s="1"/>
  <c r="P139" i="10" l="1"/>
  <c r="O139" i="10"/>
  <c r="S139" i="10" l="1"/>
  <c r="M140" i="10"/>
  <c r="N140" i="10"/>
  <c r="T139" i="10"/>
  <c r="L140" i="10" l="1"/>
  <c r="W140" i="10" s="1"/>
  <c r="P140" i="10" l="1"/>
  <c r="O140" i="10"/>
  <c r="S140" i="10" l="1"/>
  <c r="M141" i="10"/>
  <c r="N141" i="10"/>
  <c r="T140" i="10"/>
  <c r="L141" i="10" l="1"/>
  <c r="W141" i="10" s="1"/>
  <c r="P141" i="10" l="1"/>
  <c r="O141" i="10"/>
  <c r="M142" i="10" l="1"/>
  <c r="S141" i="10"/>
  <c r="N142" i="10"/>
  <c r="T141" i="10"/>
  <c r="L142" i="10" l="1"/>
  <c r="W142" i="10" s="1"/>
  <c r="O142" i="10" l="1"/>
  <c r="P142" i="10"/>
  <c r="N143" i="10" l="1"/>
  <c r="T142" i="10"/>
  <c r="M143" i="10"/>
  <c r="S142" i="10"/>
  <c r="L143" i="10" l="1"/>
  <c r="W143" i="10" s="1"/>
  <c r="O143" i="10"/>
  <c r="P143" i="10" l="1"/>
  <c r="N144" i="10" s="1"/>
  <c r="S143" i="10"/>
  <c r="M144" i="10"/>
  <c r="T143" i="10" l="1"/>
  <c r="L144" i="10"/>
  <c r="W144" i="10" s="1"/>
  <c r="P144" i="10" l="1"/>
  <c r="O144" i="10"/>
  <c r="N145" i="10" l="1"/>
  <c r="T144" i="10"/>
  <c r="S144" i="10"/>
  <c r="M145" i="10"/>
  <c r="L145" i="10" l="1"/>
  <c r="W145" i="10" s="1"/>
  <c r="O145" i="10" l="1"/>
  <c r="M146" i="10" s="1"/>
  <c r="P145" i="10"/>
  <c r="N146" i="10" s="1"/>
  <c r="T145" i="10" l="1"/>
  <c r="S145" i="10"/>
  <c r="L146" i="10"/>
  <c r="W146" i="10" s="1"/>
  <c r="P146" i="10" l="1"/>
  <c r="O146" i="10"/>
  <c r="M147" i="10" l="1"/>
  <c r="S146" i="10"/>
  <c r="N147" i="10"/>
  <c r="T146" i="10"/>
  <c r="L147" i="10" l="1"/>
  <c r="W147" i="10" s="1"/>
  <c r="O147" i="10" l="1"/>
  <c r="P147" i="10"/>
  <c r="N148" i="10" l="1"/>
  <c r="T147" i="10"/>
  <c r="M148" i="10"/>
  <c r="S147" i="10"/>
  <c r="L148" i="10" l="1"/>
  <c r="W148" i="10" s="1"/>
  <c r="P148" i="10"/>
  <c r="O148" i="10"/>
  <c r="M149" i="10" l="1"/>
  <c r="S148" i="10"/>
  <c r="N149" i="10"/>
  <c r="T148" i="10"/>
  <c r="L149" i="10" l="1"/>
  <c r="W149" i="10" s="1"/>
  <c r="P149" i="10"/>
  <c r="O149" i="10"/>
  <c r="M150" i="10" l="1"/>
  <c r="S149" i="10"/>
  <c r="T149" i="10"/>
  <c r="N150" i="10"/>
  <c r="L150" i="10" l="1"/>
  <c r="W150" i="10" s="1"/>
  <c r="P150" i="10" l="1"/>
  <c r="O150" i="10"/>
  <c r="M151" i="10" l="1"/>
  <c r="S150" i="10"/>
  <c r="N151" i="10"/>
  <c r="T150" i="10"/>
  <c r="L151" i="10" l="1"/>
  <c r="W151" i="10" s="1"/>
  <c r="P151" i="10" l="1"/>
  <c r="O151" i="10"/>
  <c r="S151" i="10" l="1"/>
  <c r="M152" i="10"/>
  <c r="N152" i="10"/>
  <c r="T151" i="10"/>
  <c r="L152" i="10" l="1"/>
  <c r="W152" i="10" s="1"/>
  <c r="O152" i="10" l="1"/>
  <c r="P152" i="10"/>
  <c r="S152" i="10" l="1"/>
  <c r="M153" i="10"/>
  <c r="N153" i="10"/>
  <c r="T152" i="10"/>
  <c r="L153" i="10" l="1"/>
  <c r="W153" i="10" s="1"/>
  <c r="O153" i="10" l="1"/>
  <c r="P153" i="10"/>
  <c r="N154" i="10" l="1"/>
  <c r="T153" i="10"/>
  <c r="M154" i="10"/>
  <c r="S153" i="10"/>
  <c r="L154" i="10" l="1"/>
  <c r="W154" i="10" s="1"/>
  <c r="O154" i="10"/>
  <c r="P154" i="10"/>
  <c r="N155" i="10" l="1"/>
  <c r="T154" i="10"/>
  <c r="S154" i="10"/>
  <c r="M155" i="10"/>
  <c r="L155" i="10" l="1"/>
  <c r="W155" i="10" s="1"/>
  <c r="P155" i="10" l="1"/>
  <c r="O155" i="10"/>
  <c r="M156" i="10" l="1"/>
  <c r="S155" i="10"/>
  <c r="N156" i="10"/>
  <c r="T155" i="10"/>
  <c r="L156" i="10" l="1"/>
  <c r="W156" i="10" s="1"/>
  <c r="P156" i="10" l="1"/>
  <c r="O156" i="10"/>
  <c r="N157" i="10" l="1"/>
  <c r="T156" i="10"/>
  <c r="S156" i="10"/>
  <c r="M157" i="10"/>
  <c r="L157" i="10" l="1"/>
  <c r="W157" i="10" s="1"/>
  <c r="P157" i="10"/>
  <c r="O157" i="10"/>
  <c r="M158" i="10" l="1"/>
  <c r="S157" i="10"/>
  <c r="N158" i="10"/>
  <c r="T157" i="10"/>
  <c r="L158" i="10" l="1"/>
  <c r="W158" i="10" s="1"/>
  <c r="P158" i="10" l="1"/>
  <c r="O158" i="10"/>
  <c r="N159" i="10" l="1"/>
  <c r="T158" i="10"/>
  <c r="S158" i="10"/>
  <c r="M159" i="10"/>
  <c r="L159" i="10" l="1"/>
  <c r="W159" i="10" s="1"/>
  <c r="P159" i="10" l="1"/>
  <c r="N160" i="10" s="1"/>
  <c r="O159" i="10"/>
  <c r="S159" i="10" s="1"/>
  <c r="M160" i="10" l="1"/>
  <c r="L160" i="10" s="1"/>
  <c r="W160" i="10" s="1"/>
  <c r="T159" i="10"/>
  <c r="O160" i="10"/>
  <c r="P160" i="10" l="1"/>
  <c r="N161" i="10" s="1"/>
  <c r="M161" i="10"/>
  <c r="S160" i="10"/>
  <c r="L161" i="10" l="1"/>
  <c r="W161" i="10" s="1"/>
  <c r="T160" i="10"/>
  <c r="P161" i="10"/>
  <c r="O161" i="10"/>
  <c r="S161" i="10" l="1"/>
  <c r="M162" i="10"/>
  <c r="N162" i="10"/>
  <c r="T161" i="10"/>
  <c r="L162" i="10" l="1"/>
  <c r="W162" i="10" s="1"/>
  <c r="P162" i="10" l="1"/>
  <c r="O162" i="10"/>
  <c r="M163" i="10" l="1"/>
  <c r="S162" i="10"/>
  <c r="N163" i="10"/>
  <c r="T162" i="10"/>
  <c r="L163" i="10" l="1"/>
  <c r="W163" i="10" s="1"/>
  <c r="P163" i="10" l="1"/>
  <c r="O163" i="10"/>
  <c r="M164" i="10" l="1"/>
  <c r="S163" i="10"/>
  <c r="N164" i="10"/>
  <c r="T163" i="10"/>
  <c r="L164" i="10" l="1"/>
  <c r="W164" i="10" s="1"/>
  <c r="P164" i="10" l="1"/>
  <c r="O164" i="10"/>
  <c r="S164" i="10" l="1"/>
  <c r="M165" i="10"/>
  <c r="T164" i="10"/>
  <c r="N165" i="10"/>
  <c r="L165" i="10" l="1"/>
  <c r="W165" i="10" s="1"/>
  <c r="P165" i="10" l="1"/>
  <c r="O165" i="10"/>
  <c r="S165" i="10" l="1"/>
  <c r="M166" i="10"/>
  <c r="N166" i="10"/>
  <c r="T165" i="10"/>
  <c r="L166" i="10" l="1"/>
  <c r="W166" i="10" s="1"/>
  <c r="P166" i="10" l="1"/>
  <c r="O166" i="10"/>
  <c r="S166" i="10" l="1"/>
  <c r="M167" i="10"/>
  <c r="N167" i="10"/>
  <c r="T166" i="10"/>
  <c r="L167" i="10" l="1"/>
  <c r="W167" i="10" s="1"/>
  <c r="P167" i="10" l="1"/>
  <c r="O167" i="10"/>
  <c r="S167" i="10" l="1"/>
  <c r="M168" i="10"/>
  <c r="N168" i="10"/>
  <c r="T167" i="10"/>
  <c r="L168" i="10" l="1"/>
  <c r="P168" i="10" l="1"/>
  <c r="N169" i="10" s="1"/>
  <c r="W168" i="10"/>
  <c r="O168" i="10"/>
  <c r="S168" i="10" s="1"/>
  <c r="T168" i="10" l="1"/>
  <c r="M169" i="10"/>
  <c r="L169" i="10" s="1"/>
  <c r="W169" i="10" s="1"/>
  <c r="P169" i="10" l="1"/>
  <c r="O169" i="10"/>
  <c r="M170" i="10" l="1"/>
  <c r="S169" i="10"/>
  <c r="N170" i="10"/>
  <c r="T169" i="10"/>
  <c r="L170" i="10" l="1"/>
  <c r="W170" i="10" s="1"/>
  <c r="O170" i="10" l="1"/>
  <c r="S170" i="10" s="1"/>
  <c r="P170" i="10"/>
  <c r="N171" i="10" s="1"/>
  <c r="T170" i="10" l="1"/>
  <c r="M171" i="10"/>
  <c r="L171" i="10" s="1"/>
  <c r="W171" i="10" s="1"/>
  <c r="P171" i="10" l="1"/>
  <c r="N172" i="10" s="1"/>
  <c r="O171" i="10"/>
  <c r="M172" i="10" s="1"/>
  <c r="T171" i="10"/>
  <c r="S171" i="10" l="1"/>
  <c r="L172" i="10"/>
  <c r="W172" i="10" s="1"/>
  <c r="P172" i="10"/>
  <c r="O172" i="10"/>
  <c r="M173" i="10" l="1"/>
  <c r="S172" i="10"/>
  <c r="N173" i="10"/>
  <c r="T172" i="10"/>
  <c r="L173" i="10" l="1"/>
  <c r="W173" i="10" s="1"/>
  <c r="O173" i="10" l="1"/>
  <c r="P173" i="10"/>
  <c r="N174" i="10" l="1"/>
  <c r="T173" i="10"/>
  <c r="M174" i="10"/>
  <c r="S173" i="10"/>
  <c r="L174" i="10" l="1"/>
  <c r="W174" i="10" s="1"/>
  <c r="P174" i="10" l="1"/>
  <c r="O174" i="10"/>
  <c r="S174" i="10" l="1"/>
  <c r="M175" i="10"/>
  <c r="N175" i="10"/>
  <c r="T174" i="10"/>
  <c r="L175" i="10" l="1"/>
  <c r="W175" i="10" s="1"/>
  <c r="P175" i="10" l="1"/>
  <c r="O175" i="10"/>
  <c r="N176" i="10" l="1"/>
  <c r="T175" i="10"/>
  <c r="M176" i="10"/>
  <c r="S175" i="10"/>
  <c r="L176" i="10" l="1"/>
  <c r="W176" i="10" s="1"/>
  <c r="O176" i="10" l="1"/>
  <c r="M177" i="10" s="1"/>
  <c r="P176" i="10"/>
  <c r="T176" i="10" s="1"/>
  <c r="S176" i="10"/>
  <c r="N177" i="10"/>
  <c r="L177" i="10" l="1"/>
  <c r="P177" i="10" l="1"/>
  <c r="N178" i="10" s="1"/>
  <c r="W177" i="10"/>
  <c r="O177" i="10"/>
  <c r="M178" i="10" s="1"/>
  <c r="T177" i="10" l="1"/>
  <c r="S177" i="10"/>
  <c r="L178" i="10"/>
  <c r="W178" i="10" s="1"/>
  <c r="O178" i="10" l="1"/>
  <c r="P178" i="10"/>
  <c r="N179" i="10" l="1"/>
  <c r="T178" i="10"/>
  <c r="S178" i="10"/>
  <c r="M179" i="10"/>
  <c r="L179" i="10" l="1"/>
  <c r="W179" i="10" s="1"/>
  <c r="O179" i="10" l="1"/>
  <c r="S179" i="10" s="1"/>
  <c r="P179" i="10"/>
  <c r="N180" i="10" s="1"/>
  <c r="M180" i="10" l="1"/>
  <c r="L180" i="10" s="1"/>
  <c r="W180" i="10" s="1"/>
  <c r="T179" i="10"/>
  <c r="P180" i="10" l="1"/>
  <c r="O180" i="10"/>
  <c r="N181" i="10" l="1"/>
  <c r="T180" i="10"/>
  <c r="M181" i="10"/>
  <c r="S180" i="10"/>
  <c r="L181" i="10" l="1"/>
  <c r="W181" i="10" s="1"/>
  <c r="O181" i="10"/>
  <c r="P181" i="10"/>
  <c r="N182" i="10" l="1"/>
  <c r="T181" i="10"/>
  <c r="M182" i="10"/>
  <c r="S181" i="10"/>
  <c r="L182" i="10" l="1"/>
  <c r="O182" i="10" l="1"/>
  <c r="M183" i="10" s="1"/>
  <c r="W182" i="10"/>
  <c r="P182" i="10"/>
  <c r="T182" i="10" s="1"/>
  <c r="S182" i="10" l="1"/>
  <c r="N183" i="10"/>
  <c r="L183" i="10" s="1"/>
  <c r="W183" i="10" s="1"/>
  <c r="O183" i="10" l="1"/>
  <c r="S183" i="10" s="1"/>
  <c r="P183" i="10"/>
  <c r="N184" i="10" s="1"/>
  <c r="M184" i="10" l="1"/>
  <c r="L184" i="10" s="1"/>
  <c r="W184" i="10" s="1"/>
  <c r="T183" i="10"/>
  <c r="P184" i="10" l="1"/>
  <c r="O184" i="10"/>
  <c r="S184" i="10" l="1"/>
  <c r="M185" i="10"/>
  <c r="N185" i="10"/>
  <c r="T184" i="10"/>
  <c r="L185" i="10" l="1"/>
  <c r="W185" i="10" s="1"/>
  <c r="P185" i="10" l="1"/>
  <c r="O185" i="10"/>
  <c r="M186" i="10" l="1"/>
  <c r="S185" i="10"/>
  <c r="N186" i="10"/>
  <c r="T185" i="10"/>
  <c r="L186" i="10" l="1"/>
  <c r="P186" i="10" s="1"/>
  <c r="O186" i="10" l="1"/>
  <c r="M187" i="10" s="1"/>
  <c r="W186" i="10"/>
  <c r="N187" i="10"/>
  <c r="T186" i="10"/>
  <c r="S186" i="10" l="1"/>
  <c r="L187" i="10"/>
  <c r="W187" i="10" s="1"/>
  <c r="O187" i="10" l="1"/>
  <c r="S187" i="10" s="1"/>
  <c r="P187" i="10"/>
  <c r="N188" i="10" s="1"/>
  <c r="M188" i="10" l="1"/>
  <c r="L188" i="10" s="1"/>
  <c r="W188" i="10" s="1"/>
  <c r="T187" i="10"/>
  <c r="P188" i="10" l="1"/>
  <c r="O188" i="10"/>
  <c r="S188" i="10" l="1"/>
  <c r="M189" i="10"/>
  <c r="N189" i="10"/>
  <c r="T188" i="10"/>
  <c r="L189" i="10" l="1"/>
  <c r="W189" i="10" s="1"/>
  <c r="P189" i="10" l="1"/>
  <c r="O189" i="10"/>
  <c r="S189" i="10" l="1"/>
  <c r="M190" i="10"/>
  <c r="N190" i="10"/>
  <c r="T189" i="10"/>
  <c r="L190" i="10" l="1"/>
  <c r="W190" i="10" s="1"/>
  <c r="P190" i="10" l="1"/>
  <c r="O190" i="10"/>
  <c r="M191" i="10" l="1"/>
  <c r="S190" i="10"/>
  <c r="N191" i="10"/>
  <c r="T190" i="10"/>
  <c r="L191" i="10" l="1"/>
  <c r="W191" i="10" s="1"/>
  <c r="P191" i="10" l="1"/>
  <c r="O191" i="10"/>
  <c r="S191" i="10" l="1"/>
  <c r="M192" i="10"/>
  <c r="N192" i="10"/>
  <c r="T191" i="10"/>
  <c r="L192" i="10" l="1"/>
  <c r="W192" i="10" s="1"/>
  <c r="P192" i="10" l="1"/>
  <c r="O192" i="10"/>
  <c r="M193" i="10" l="1"/>
  <c r="S192" i="10"/>
  <c r="N193" i="10"/>
  <c r="T192" i="10"/>
  <c r="L193" i="10" l="1"/>
  <c r="W193" i="10" s="1"/>
  <c r="P193" i="10" l="1"/>
  <c r="O193" i="10"/>
  <c r="M194" i="10" l="1"/>
  <c r="S193" i="10"/>
  <c r="N194" i="10"/>
  <c r="T193" i="10"/>
  <c r="L194" i="10" l="1"/>
  <c r="W194" i="10" s="1"/>
  <c r="P194" i="10" l="1"/>
  <c r="O194" i="10"/>
  <c r="S194" i="10" l="1"/>
  <c r="M195" i="10"/>
  <c r="N195" i="10"/>
  <c r="T194" i="10"/>
  <c r="L195" i="10" l="1"/>
  <c r="W195" i="10" s="1"/>
  <c r="P195" i="10" l="1"/>
  <c r="O195" i="10"/>
  <c r="S195" i="10" l="1"/>
  <c r="M196" i="10"/>
  <c r="N196" i="10"/>
  <c r="T195" i="10"/>
  <c r="L196" i="10" l="1"/>
  <c r="W196" i="10" s="1"/>
  <c r="P196" i="10" l="1"/>
  <c r="O196" i="10"/>
  <c r="S196" i="10" l="1"/>
  <c r="M197" i="10"/>
  <c r="N197" i="10"/>
  <c r="T196" i="10"/>
  <c r="L197" i="10" l="1"/>
  <c r="W197" i="10" s="1"/>
  <c r="P197" i="10" l="1"/>
  <c r="O197" i="10"/>
  <c r="S197" i="10" l="1"/>
  <c r="M198" i="10"/>
  <c r="N198" i="10"/>
  <c r="T197" i="10"/>
  <c r="L198" i="10" l="1"/>
  <c r="W198" i="10" s="1"/>
  <c r="P198" i="10" l="1"/>
  <c r="O198" i="10"/>
  <c r="M199" i="10" l="1"/>
  <c r="S198" i="10"/>
  <c r="N199" i="10"/>
  <c r="T198" i="10"/>
  <c r="L199" i="10" l="1"/>
  <c r="P199" i="10" l="1"/>
  <c r="N200" i="10" s="1"/>
  <c r="W199" i="10"/>
  <c r="O199" i="10"/>
  <c r="M200" i="10" s="1"/>
  <c r="T199" i="10" l="1"/>
  <c r="S199" i="10"/>
  <c r="L200" i="10"/>
  <c r="W200" i="10" s="1"/>
  <c r="P200" i="10" l="1"/>
  <c r="O200" i="10"/>
  <c r="S200" i="10" l="1"/>
  <c r="M201" i="10"/>
  <c r="T200" i="10"/>
  <c r="N201" i="10"/>
  <c r="L201" i="10" l="1"/>
  <c r="W201" i="10" s="1"/>
  <c r="P201" i="10" l="1"/>
  <c r="O201" i="10"/>
  <c r="S201" i="10" l="1"/>
  <c r="M202" i="10"/>
  <c r="N202" i="10"/>
  <c r="T201" i="10"/>
  <c r="L202" i="10" l="1"/>
  <c r="O202" i="10" s="1"/>
  <c r="P202" i="10" l="1"/>
  <c r="T202" i="10" s="1"/>
  <c r="W202" i="10"/>
  <c r="S202" i="10"/>
  <c r="M203" i="10"/>
  <c r="N203" i="10" l="1"/>
  <c r="L203" i="10" s="1"/>
  <c r="W203" i="10" s="1"/>
  <c r="P203" i="10" l="1"/>
  <c r="O203" i="10"/>
  <c r="S203" i="10" l="1"/>
  <c r="M204" i="10"/>
  <c r="N204" i="10"/>
  <c r="T203" i="10"/>
  <c r="L204" i="10" l="1"/>
  <c r="W204" i="10" s="1"/>
  <c r="P204" i="10" l="1"/>
  <c r="O204" i="10"/>
  <c r="M205" i="10" l="1"/>
  <c r="S204" i="10"/>
  <c r="N205" i="10"/>
  <c r="T204" i="10"/>
  <c r="L205" i="10" l="1"/>
  <c r="W205" i="10" s="1"/>
  <c r="O205" i="10" l="1"/>
  <c r="P205" i="10"/>
  <c r="N206" i="10" l="1"/>
  <c r="T205" i="10"/>
  <c r="S205" i="10"/>
  <c r="M206" i="10"/>
  <c r="L206" i="10" l="1"/>
  <c r="O206" i="10"/>
  <c r="P206" i="10" l="1"/>
  <c r="T206" i="10" s="1"/>
  <c r="W206" i="10"/>
  <c r="S206" i="10"/>
  <c r="M207" i="10"/>
  <c r="N207" i="10" l="1"/>
  <c r="L207" i="10" s="1"/>
  <c r="W207" i="10" s="1"/>
  <c r="P207" i="10" l="1"/>
  <c r="O207" i="10"/>
  <c r="M208" i="10" l="1"/>
  <c r="S207" i="10"/>
  <c r="N208" i="10"/>
  <c r="T207" i="10"/>
  <c r="L208" i="10" l="1"/>
  <c r="W208" i="10" s="1"/>
  <c r="P208" i="10" l="1"/>
  <c r="O208" i="10"/>
  <c r="M209" i="10" l="1"/>
  <c r="S208" i="10"/>
  <c r="N209" i="10"/>
  <c r="T208" i="10"/>
  <c r="L209" i="10" l="1"/>
  <c r="W209" i="10" s="1"/>
  <c r="P209" i="10" l="1"/>
  <c r="O209" i="10"/>
  <c r="S209" i="10" l="1"/>
  <c r="M210" i="10"/>
  <c r="N210" i="10"/>
  <c r="T209" i="10"/>
  <c r="L210" i="10" l="1"/>
  <c r="W210" i="10" s="1"/>
  <c r="O210" i="10" l="1"/>
  <c r="P210" i="10"/>
  <c r="N211" i="10" l="1"/>
  <c r="T210" i="10"/>
  <c r="M211" i="10"/>
  <c r="S210" i="10"/>
  <c r="L211" i="10" l="1"/>
  <c r="P211" i="10" l="1"/>
  <c r="T211" i="10" s="1"/>
  <c r="W211" i="10"/>
  <c r="O211" i="10"/>
  <c r="M212" i="10" s="1"/>
  <c r="N212" i="10" l="1"/>
  <c r="L212" i="10" s="1"/>
  <c r="W212" i="10" s="1"/>
  <c r="S211" i="10"/>
  <c r="O212" i="10" l="1"/>
  <c r="P212" i="10"/>
  <c r="N213" i="10" l="1"/>
  <c r="T212" i="10"/>
  <c r="S212" i="10"/>
  <c r="M213" i="10"/>
  <c r="L213" i="10" l="1"/>
  <c r="W213" i="10" s="1"/>
  <c r="O213" i="10" l="1"/>
  <c r="M214" i="10" s="1"/>
  <c r="P213" i="10"/>
  <c r="T213" i="10" s="1"/>
  <c r="N214" i="10" l="1"/>
  <c r="L214" i="10" s="1"/>
  <c r="W214" i="10" s="1"/>
  <c r="S213" i="10"/>
  <c r="P214" i="10" l="1"/>
  <c r="O214" i="10"/>
  <c r="S214" i="10" l="1"/>
  <c r="M215" i="10"/>
  <c r="N215" i="10"/>
  <c r="T214" i="10"/>
  <c r="L215" i="10" l="1"/>
  <c r="W215" i="10" s="1"/>
  <c r="O215" i="10" l="1"/>
  <c r="P215" i="10"/>
  <c r="N216" i="10" l="1"/>
  <c r="T215" i="10"/>
  <c r="S215" i="10"/>
  <c r="M216" i="10"/>
  <c r="L216" i="10" l="1"/>
  <c r="W216" i="10" s="1"/>
  <c r="O216" i="10" l="1"/>
  <c r="M217" i="10" s="1"/>
  <c r="P216" i="10"/>
  <c r="N217" i="10" s="1"/>
  <c r="T216" i="10" l="1"/>
  <c r="S216" i="10"/>
  <c r="L217" i="10"/>
  <c r="W217" i="10" s="1"/>
  <c r="P217" i="10" l="1"/>
  <c r="O217" i="10"/>
  <c r="S217" i="10" l="1"/>
  <c r="M218" i="10"/>
  <c r="N218" i="10"/>
  <c r="T217" i="10"/>
  <c r="L218" i="10" l="1"/>
  <c r="W218" i="10" s="1"/>
  <c r="O218" i="10" l="1"/>
  <c r="P218" i="10"/>
  <c r="N219" i="10" l="1"/>
  <c r="T218" i="10"/>
  <c r="S218" i="10"/>
  <c r="M219" i="10"/>
  <c r="L219" i="10" l="1"/>
  <c r="O219" i="10"/>
  <c r="P219" i="10" l="1"/>
  <c r="T219" i="10" s="1"/>
  <c r="W219" i="10"/>
  <c r="M220" i="10"/>
  <c r="S219" i="10"/>
  <c r="N220" i="10" l="1"/>
  <c r="L220" i="10" s="1"/>
  <c r="W220" i="10" s="1"/>
  <c r="P220" i="10" l="1"/>
  <c r="O220" i="10"/>
  <c r="S220" i="10" l="1"/>
  <c r="M221" i="10"/>
  <c r="N221" i="10"/>
  <c r="T220" i="10"/>
  <c r="L221" i="10" l="1"/>
  <c r="W221" i="10" s="1"/>
  <c r="P221" i="10" l="1"/>
  <c r="O221" i="10"/>
  <c r="S221" i="10" l="1"/>
  <c r="M222" i="10"/>
  <c r="N222" i="10"/>
  <c r="T221" i="10"/>
  <c r="L222" i="10" l="1"/>
  <c r="W222" i="10" s="1"/>
  <c r="P222" i="10" l="1"/>
  <c r="O222" i="10"/>
  <c r="M223" i="10" l="1"/>
  <c r="S222" i="10"/>
  <c r="N223" i="10"/>
  <c r="T222" i="10"/>
  <c r="L223" i="10" l="1"/>
  <c r="W223" i="10" s="1"/>
  <c r="P223" i="10" l="1"/>
  <c r="O223" i="10"/>
  <c r="M224" i="10" l="1"/>
  <c r="S223" i="10"/>
  <c r="N224" i="10"/>
  <c r="T223" i="10"/>
  <c r="L224" i="10" l="1"/>
  <c r="W224" i="10" s="1"/>
  <c r="O224" i="10"/>
  <c r="P224" i="10" l="1"/>
  <c r="T224" i="10" s="1"/>
  <c r="S224" i="10"/>
  <c r="M225" i="10"/>
  <c r="N225" i="10" l="1"/>
  <c r="L225" i="10" s="1"/>
  <c r="W225" i="10" s="1"/>
  <c r="P225" i="10" l="1"/>
  <c r="O225" i="10"/>
  <c r="S225" i="10" l="1"/>
  <c r="M226" i="10"/>
  <c r="N226" i="10"/>
  <c r="T225" i="10"/>
  <c r="L226" i="10" l="1"/>
  <c r="W226" i="10" s="1"/>
  <c r="P226" i="10" l="1"/>
  <c r="O226" i="10"/>
  <c r="M227" i="10" l="1"/>
  <c r="S226" i="10"/>
  <c r="N227" i="10"/>
  <c r="T226" i="10"/>
  <c r="L227" i="10" l="1"/>
  <c r="W227" i="10" s="1"/>
  <c r="O227" i="10" l="1"/>
  <c r="P227" i="10"/>
  <c r="N228" i="10" l="1"/>
  <c r="T227" i="10"/>
  <c r="S227" i="10"/>
  <c r="M228" i="10"/>
  <c r="L228" i="10" l="1"/>
  <c r="W228" i="10" s="1"/>
  <c r="O228" i="10" l="1"/>
  <c r="M229" i="10" s="1"/>
  <c r="P228" i="10"/>
  <c r="N229" i="10" s="1"/>
  <c r="S228" i="10" l="1"/>
  <c r="T228" i="10"/>
  <c r="L229" i="10"/>
  <c r="W229" i="10" s="1"/>
  <c r="P229" i="10" l="1"/>
  <c r="O229" i="10"/>
  <c r="M230" i="10" l="1"/>
  <c r="S229" i="10"/>
  <c r="N230" i="10"/>
  <c r="T229" i="10"/>
  <c r="L230" i="10" l="1"/>
  <c r="W230" i="10" s="1"/>
  <c r="O230" i="10" l="1"/>
  <c r="P230" i="10"/>
  <c r="N231" i="10" l="1"/>
  <c r="T230" i="10"/>
  <c r="M231" i="10"/>
  <c r="S230" i="10"/>
  <c r="L231" i="10" l="1"/>
  <c r="W231" i="10" s="1"/>
  <c r="O231" i="10" l="1"/>
  <c r="S231" i="10" s="1"/>
  <c r="P231" i="10"/>
  <c r="N232" i="10" s="1"/>
  <c r="T231" i="10" l="1"/>
  <c r="M232" i="10"/>
  <c r="L232" i="10" s="1"/>
  <c r="W232" i="10" s="1"/>
  <c r="O232" i="10" l="1"/>
  <c r="M233" i="10" s="1"/>
  <c r="P232" i="10"/>
  <c r="N233" i="10" s="1"/>
  <c r="S232" i="10" l="1"/>
  <c r="T232" i="10"/>
  <c r="L233" i="10"/>
  <c r="W233" i="10" s="1"/>
  <c r="P233" i="10" l="1"/>
  <c r="O233" i="10"/>
  <c r="S233" i="10" l="1"/>
  <c r="M234" i="10"/>
  <c r="N234" i="10"/>
  <c r="T233" i="10"/>
  <c r="L234" i="10" l="1"/>
  <c r="W234" i="10" s="1"/>
  <c r="P234" i="10" l="1"/>
  <c r="O234" i="10"/>
  <c r="S234" i="10" l="1"/>
  <c r="M235" i="10"/>
  <c r="N235" i="10"/>
  <c r="T234" i="10"/>
  <c r="L235" i="10" l="1"/>
  <c r="W235" i="10" s="1"/>
  <c r="P235" i="10" l="1"/>
  <c r="O235" i="10"/>
  <c r="M236" i="10" l="1"/>
  <c r="S235" i="10"/>
  <c r="N236" i="10"/>
  <c r="T235" i="10"/>
  <c r="L236" i="10" l="1"/>
  <c r="W236" i="10" s="1"/>
  <c r="P236" i="10" l="1"/>
  <c r="O236" i="10"/>
  <c r="S236" i="10" l="1"/>
  <c r="M237" i="10"/>
  <c r="N237" i="10"/>
  <c r="T236" i="10"/>
  <c r="L237" i="10" l="1"/>
  <c r="W237" i="10" s="1"/>
  <c r="P237" i="10" l="1"/>
  <c r="O237" i="10"/>
  <c r="S237" i="10" l="1"/>
  <c r="M238" i="10"/>
  <c r="N238" i="10"/>
  <c r="T237" i="10"/>
  <c r="L238" i="10" l="1"/>
  <c r="W238" i="10" s="1"/>
  <c r="P238" i="10" l="1"/>
  <c r="O238" i="10"/>
  <c r="M239" i="10" l="1"/>
  <c r="S238" i="10"/>
  <c r="N239" i="10"/>
  <c r="T238" i="10"/>
  <c r="L239" i="10" l="1"/>
  <c r="W239" i="10" s="1"/>
  <c r="P239" i="10" l="1"/>
  <c r="O239" i="10"/>
  <c r="S239" i="10" l="1"/>
  <c r="M240" i="10"/>
  <c r="N240" i="10"/>
  <c r="T239" i="10"/>
  <c r="L240" i="10" l="1"/>
  <c r="W240" i="10" s="1"/>
  <c r="O240" i="10" l="1"/>
  <c r="P240" i="10"/>
  <c r="N241" i="10" l="1"/>
  <c r="T240" i="10"/>
  <c r="M241" i="10"/>
  <c r="S240" i="10"/>
  <c r="L241" i="10" l="1"/>
  <c r="W241" i="10" s="1"/>
  <c r="O241" i="10"/>
  <c r="P241" i="10"/>
  <c r="N242" i="10" l="1"/>
  <c r="T241" i="10"/>
  <c r="M242" i="10"/>
  <c r="S241" i="10"/>
  <c r="L242" i="10" l="1"/>
  <c r="W242" i="10" s="1"/>
  <c r="O242" i="10" l="1"/>
  <c r="M243" i="10" s="1"/>
  <c r="P242" i="10"/>
  <c r="N243" i="10" s="1"/>
  <c r="S242" i="10" l="1"/>
  <c r="T242" i="10"/>
  <c r="L243" i="10"/>
  <c r="W243" i="10" s="1"/>
  <c r="P243" i="10" l="1"/>
  <c r="O243" i="10"/>
  <c r="M244" i="10" l="1"/>
  <c r="S243" i="10"/>
  <c r="N244" i="10"/>
  <c r="T243" i="10"/>
  <c r="L244" i="10" l="1"/>
  <c r="W244" i="10" s="1"/>
  <c r="O244" i="10" l="1"/>
  <c r="P244" i="10"/>
  <c r="N245" i="10" l="1"/>
  <c r="T244" i="10"/>
  <c r="S244" i="10"/>
  <c r="M245" i="10"/>
  <c r="L245" i="10" l="1"/>
  <c r="W245" i="10" s="1"/>
  <c r="P245" i="10"/>
  <c r="O245" i="10"/>
  <c r="M246" i="10" l="1"/>
  <c r="S245" i="10"/>
  <c r="N246" i="10"/>
  <c r="T245" i="10"/>
  <c r="L246" i="10" l="1"/>
  <c r="W246" i="10" s="1"/>
  <c r="P246" i="10" l="1"/>
  <c r="O246" i="10"/>
  <c r="S246" i="10" l="1"/>
  <c r="M247" i="10"/>
  <c r="N247" i="10"/>
  <c r="T246" i="10"/>
  <c r="L247" i="10" l="1"/>
  <c r="W247" i="10" s="1"/>
  <c r="P247" i="10" l="1"/>
  <c r="O247" i="10"/>
  <c r="M248" i="10" l="1"/>
  <c r="S247" i="10"/>
  <c r="N248" i="10"/>
  <c r="T247" i="10"/>
  <c r="L248" i="10" l="1"/>
  <c r="W248" i="10" s="1"/>
  <c r="O248" i="10" l="1"/>
  <c r="P248" i="10"/>
  <c r="N249" i="10" l="1"/>
  <c r="T248" i="10"/>
  <c r="S248" i="10"/>
  <c r="M249" i="10"/>
  <c r="L249" i="10" l="1"/>
  <c r="O249" i="10" l="1"/>
  <c r="S249" i="10" s="1"/>
  <c r="W249" i="10"/>
  <c r="P249" i="10"/>
  <c r="N250" i="10" s="1"/>
  <c r="M250" i="10" l="1"/>
  <c r="L250" i="10" s="1"/>
  <c r="W250" i="10" s="1"/>
  <c r="T249" i="10"/>
  <c r="P250" i="10"/>
  <c r="O250" i="10" l="1"/>
  <c r="M251" i="10" s="1"/>
  <c r="N251" i="10"/>
  <c r="T250" i="10"/>
  <c r="S250" i="10" l="1"/>
  <c r="L251" i="10"/>
  <c r="W251" i="10" s="1"/>
  <c r="P251" i="10" l="1"/>
  <c r="O251" i="10"/>
  <c r="S251" i="10" l="1"/>
  <c r="M252" i="10"/>
  <c r="N252" i="10"/>
  <c r="T251" i="10"/>
  <c r="L252" i="10" l="1"/>
  <c r="O252" i="10" l="1"/>
  <c r="M253" i="10" s="1"/>
  <c r="W252" i="10"/>
  <c r="P252" i="10"/>
  <c r="N253" i="10" s="1"/>
  <c r="S252" i="10" l="1"/>
  <c r="T252" i="10"/>
  <c r="L253" i="10"/>
  <c r="W253" i="10" s="1"/>
  <c r="P253" i="10" l="1"/>
  <c r="O253" i="10"/>
  <c r="S253" i="10" l="1"/>
  <c r="M254" i="10"/>
  <c r="N254" i="10"/>
  <c r="T253" i="10"/>
  <c r="L254" i="10" l="1"/>
  <c r="W254" i="10" s="1"/>
  <c r="P254" i="10" l="1"/>
  <c r="O254" i="10"/>
  <c r="S254" i="10" l="1"/>
  <c r="M255" i="10"/>
  <c r="N255" i="10"/>
  <c r="T254" i="10"/>
  <c r="L255" i="10" l="1"/>
  <c r="W255" i="10" s="1"/>
  <c r="P255" i="10" l="1"/>
  <c r="O255" i="10"/>
  <c r="M256" i="10" l="1"/>
  <c r="S255" i="10"/>
  <c r="N256" i="10"/>
  <c r="T255" i="10"/>
  <c r="L256" i="10" l="1"/>
  <c r="W256" i="10" s="1"/>
  <c r="P256" i="10" l="1"/>
  <c r="O256" i="10"/>
  <c r="M257" i="10" l="1"/>
  <c r="S256" i="10"/>
  <c r="N257" i="10"/>
  <c r="T256" i="10"/>
  <c r="L257" i="10" l="1"/>
  <c r="W257" i="10" s="1"/>
  <c r="P257" i="10" l="1"/>
  <c r="O257" i="10"/>
  <c r="S257" i="10" l="1"/>
  <c r="M258" i="10"/>
  <c r="N258" i="10"/>
  <c r="T257" i="10"/>
  <c r="L258" i="10" l="1"/>
  <c r="W258" i="10" s="1"/>
  <c r="O258" i="10" l="1"/>
  <c r="P258" i="10"/>
  <c r="N259" i="10" l="1"/>
  <c r="T258" i="10"/>
  <c r="M259" i="10"/>
  <c r="S258" i="10"/>
  <c r="L259" i="10" l="1"/>
  <c r="P259" i="10" l="1"/>
  <c r="N260" i="10" s="1"/>
  <c r="W259" i="10"/>
  <c r="O259" i="10"/>
  <c r="M260" i="10" s="1"/>
  <c r="T259" i="10" l="1"/>
  <c r="S259" i="10"/>
  <c r="L260" i="10"/>
  <c r="W260" i="10" s="1"/>
  <c r="P260" i="10" l="1"/>
  <c r="O260" i="10"/>
  <c r="M261" i="10" l="1"/>
  <c r="S260" i="10"/>
  <c r="N261" i="10"/>
  <c r="T260" i="10"/>
  <c r="L261" i="10" l="1"/>
  <c r="W261" i="10" s="1"/>
  <c r="P261" i="10" l="1"/>
  <c r="O261" i="10"/>
  <c r="S261" i="10" l="1"/>
  <c r="M262" i="10"/>
  <c r="N262" i="10"/>
  <c r="T261" i="10"/>
  <c r="L262" i="10" l="1"/>
  <c r="W262" i="10" s="1"/>
  <c r="O262" i="10" l="1"/>
  <c r="P262" i="10"/>
  <c r="N263" i="10" l="1"/>
  <c r="T262" i="10"/>
  <c r="M263" i="10"/>
  <c r="S262" i="10"/>
  <c r="L263" i="10" l="1"/>
  <c r="W263" i="10" s="1"/>
  <c r="O263" i="10" l="1"/>
  <c r="S263" i="10" s="1"/>
  <c r="P263" i="10"/>
  <c r="N264" i="10" s="1"/>
  <c r="T263" i="10" l="1"/>
  <c r="M264" i="10"/>
  <c r="L264" i="10" s="1"/>
  <c r="W264" i="10" s="1"/>
  <c r="P264" i="10" l="1"/>
  <c r="O264" i="10"/>
  <c r="M265" i="10" l="1"/>
  <c r="S264" i="10"/>
  <c r="N265" i="10"/>
  <c r="T264" i="10"/>
  <c r="L265" i="10" l="1"/>
  <c r="W265" i="10" s="1"/>
  <c r="P265" i="10" l="1"/>
  <c r="O265" i="10"/>
  <c r="S265" i="10" l="1"/>
  <c r="M266" i="10"/>
  <c r="N266" i="10"/>
  <c r="T265" i="10"/>
  <c r="L266" i="10" l="1"/>
  <c r="P266" i="10" l="1"/>
  <c r="N267" i="10" s="1"/>
  <c r="W266" i="10"/>
  <c r="O266" i="10"/>
  <c r="M267" i="10" s="1"/>
  <c r="T266" i="10"/>
  <c r="S266" i="10" l="1"/>
  <c r="L267" i="10"/>
  <c r="W267" i="10" s="1"/>
  <c r="P267" i="10" l="1"/>
  <c r="O267" i="10"/>
  <c r="S267" i="10" l="1"/>
  <c r="M268" i="10"/>
  <c r="N268" i="10"/>
  <c r="T267" i="10"/>
  <c r="L268" i="10" l="1"/>
  <c r="W268" i="10" s="1"/>
  <c r="P268" i="10" l="1"/>
  <c r="O268" i="10"/>
  <c r="M269" i="10" l="1"/>
  <c r="S268" i="10"/>
  <c r="N269" i="10"/>
  <c r="T268" i="10"/>
  <c r="L269" i="10" l="1"/>
  <c r="W269" i="10" s="1"/>
  <c r="P269" i="10" l="1"/>
  <c r="O269" i="10"/>
  <c r="S269" i="10" l="1"/>
  <c r="M270" i="10"/>
  <c r="N270" i="10"/>
  <c r="T269" i="10"/>
  <c r="L270" i="10" l="1"/>
  <c r="W270" i="10" s="1"/>
  <c r="P270" i="10" l="1"/>
  <c r="O270" i="10"/>
  <c r="M271" i="10" l="1"/>
  <c r="S270" i="10"/>
  <c r="N271" i="10"/>
  <c r="T270" i="10"/>
  <c r="L271" i="10" l="1"/>
  <c r="W271" i="10" s="1"/>
  <c r="P271" i="10" l="1"/>
  <c r="O271" i="10"/>
  <c r="S271" i="10" l="1"/>
  <c r="M272" i="10"/>
  <c r="N272" i="10"/>
  <c r="T271" i="10"/>
  <c r="L272" i="10" l="1"/>
  <c r="W272" i="10" s="1"/>
  <c r="P272" i="10" l="1"/>
  <c r="O272" i="10"/>
  <c r="M273" i="10" l="1"/>
  <c r="S272" i="10"/>
  <c r="T272" i="10"/>
  <c r="N273" i="10"/>
  <c r="L273" i="10" l="1"/>
  <c r="W273" i="10" s="1"/>
  <c r="P273" i="10" l="1"/>
  <c r="O273" i="10"/>
  <c r="S273" i="10" l="1"/>
  <c r="M274" i="10"/>
  <c r="N274" i="10"/>
  <c r="T273" i="10"/>
  <c r="L274" i="10" l="1"/>
  <c r="W274" i="10" s="1"/>
  <c r="O274" i="10" l="1"/>
  <c r="P274" i="10"/>
  <c r="N275" i="10" l="1"/>
  <c r="T274" i="10"/>
  <c r="M275" i="10"/>
  <c r="S274" i="10"/>
  <c r="L275" i="10" l="1"/>
  <c r="O275" i="10" l="1"/>
  <c r="S275" i="10" s="1"/>
  <c r="W275" i="10"/>
  <c r="P275" i="10"/>
  <c r="N276" i="10" s="1"/>
  <c r="M276" i="10" l="1"/>
  <c r="L276" i="10" s="1"/>
  <c r="W276" i="10" s="1"/>
  <c r="T275" i="10"/>
  <c r="O276" i="10" l="1"/>
  <c r="S276" i="10" s="1"/>
  <c r="P276" i="10"/>
  <c r="N277" i="10" s="1"/>
  <c r="T276" i="10" l="1"/>
  <c r="M277" i="10"/>
  <c r="L277" i="10" s="1"/>
  <c r="W277" i="10" s="1"/>
  <c r="P277" i="10" l="1"/>
  <c r="O277" i="10"/>
  <c r="S277" i="10" l="1"/>
  <c r="M278" i="10"/>
  <c r="N278" i="10"/>
  <c r="T277" i="10"/>
  <c r="L278" i="10" l="1"/>
  <c r="W278" i="10" s="1"/>
  <c r="P278" i="10" l="1"/>
  <c r="O278" i="10"/>
  <c r="S278" i="10" l="1"/>
  <c r="M279" i="10"/>
  <c r="N279" i="10"/>
  <c r="T278" i="10"/>
  <c r="L279" i="10" l="1"/>
  <c r="W279" i="10" s="1"/>
  <c r="P279" i="10" l="1"/>
  <c r="O279" i="10"/>
  <c r="M280" i="10" l="1"/>
  <c r="S279" i="10"/>
  <c r="N280" i="10"/>
  <c r="T279" i="10"/>
  <c r="L280" i="10" l="1"/>
  <c r="W280" i="10" s="1"/>
  <c r="P280" i="10" l="1"/>
  <c r="O280" i="10"/>
  <c r="M281" i="10" l="1"/>
  <c r="S280" i="10"/>
  <c r="N281" i="10"/>
  <c r="T280" i="10"/>
  <c r="L281" i="10" l="1"/>
  <c r="W281" i="10" s="1"/>
  <c r="P281" i="10" l="1"/>
  <c r="O281" i="10"/>
  <c r="M282" i="10" l="1"/>
  <c r="S281" i="10"/>
  <c r="N282" i="10"/>
  <c r="T281" i="10"/>
  <c r="L282" i="10" l="1"/>
  <c r="W282" i="10" s="1"/>
  <c r="P282" i="10" l="1"/>
  <c r="O282" i="10"/>
  <c r="S282" i="10" l="1"/>
  <c r="M283" i="10"/>
  <c r="N283" i="10"/>
  <c r="T282" i="10"/>
  <c r="L283" i="10" l="1"/>
  <c r="W283" i="10" s="1"/>
  <c r="P283" i="10" l="1"/>
  <c r="O283" i="10"/>
  <c r="M284" i="10" l="1"/>
  <c r="S283" i="10"/>
  <c r="N284" i="10"/>
  <c r="T283" i="10"/>
  <c r="L284" i="10" l="1"/>
  <c r="W284" i="10" s="1"/>
  <c r="P284" i="10" l="1"/>
  <c r="O284" i="10"/>
  <c r="S284" i="10" l="1"/>
  <c r="M285" i="10"/>
  <c r="N285" i="10"/>
  <c r="T284" i="10"/>
  <c r="L285" i="10" l="1"/>
  <c r="W285" i="10" s="1"/>
  <c r="P285" i="10" l="1"/>
  <c r="O285" i="10"/>
  <c r="M286" i="10" l="1"/>
  <c r="S285" i="10"/>
  <c r="T285" i="10"/>
  <c r="N286" i="10"/>
  <c r="L286" i="10" l="1"/>
  <c r="W286" i="10" s="1"/>
  <c r="P286" i="10" l="1"/>
  <c r="O286" i="10"/>
  <c r="S286" i="10" l="1"/>
  <c r="M287" i="10"/>
  <c r="N287" i="10"/>
  <c r="T286" i="10"/>
  <c r="L287" i="10" l="1"/>
  <c r="P287" i="10" l="1"/>
  <c r="N288" i="10" s="1"/>
  <c r="W287" i="10"/>
  <c r="O287" i="10"/>
  <c r="S287" i="10" s="1"/>
  <c r="T287" i="10" l="1"/>
  <c r="M288" i="10"/>
  <c r="L288" i="10" s="1"/>
  <c r="W288" i="10" s="1"/>
  <c r="P288" i="10" l="1"/>
  <c r="O288" i="10"/>
  <c r="M289" i="10" l="1"/>
  <c r="S288" i="10"/>
  <c r="N289" i="10"/>
  <c r="T288" i="10"/>
  <c r="L289" i="10" l="1"/>
  <c r="W289" i="10" s="1"/>
  <c r="O289" i="10" l="1"/>
  <c r="P289" i="10"/>
  <c r="N290" i="10" l="1"/>
  <c r="T289" i="10"/>
  <c r="S289" i="10"/>
  <c r="M290" i="10"/>
  <c r="L290" i="10" l="1"/>
  <c r="W290" i="10" s="1"/>
  <c r="P290" i="10"/>
  <c r="O290" i="10"/>
  <c r="S290" i="10" l="1"/>
  <c r="M291" i="10"/>
  <c r="N291" i="10"/>
  <c r="T290" i="10"/>
  <c r="L291" i="10" l="1"/>
  <c r="W291" i="10" s="1"/>
  <c r="P291" i="10" l="1"/>
  <c r="O291" i="10"/>
  <c r="M292" i="10" l="1"/>
  <c r="S291" i="10"/>
  <c r="N292" i="10"/>
  <c r="T291" i="10"/>
  <c r="L292" i="10" l="1"/>
  <c r="W292" i="10" s="1"/>
  <c r="P292" i="10" l="1"/>
  <c r="O292" i="10"/>
  <c r="M293" i="10" l="1"/>
  <c r="S292" i="10"/>
  <c r="N293" i="10"/>
  <c r="T292" i="10"/>
  <c r="L293" i="10" l="1"/>
  <c r="W293" i="10" s="1"/>
  <c r="P293" i="10" l="1"/>
  <c r="O293" i="10"/>
  <c r="S293" i="10" l="1"/>
  <c r="M294" i="10"/>
  <c r="T293" i="10"/>
  <c r="N294" i="10"/>
  <c r="L294" i="10" l="1"/>
  <c r="W294" i="10" s="1"/>
  <c r="P294" i="10" l="1"/>
  <c r="O294" i="10"/>
  <c r="S294" i="10" l="1"/>
  <c r="M295" i="10"/>
  <c r="N295" i="10"/>
  <c r="T294" i="10"/>
  <c r="L295" i="10" l="1"/>
  <c r="W295" i="10" s="1"/>
  <c r="P295" i="10" l="1"/>
  <c r="O295" i="10"/>
  <c r="M296" i="10" l="1"/>
  <c r="S295" i="10"/>
  <c r="N296" i="10"/>
  <c r="T295" i="10"/>
  <c r="L296" i="10" l="1"/>
  <c r="W296" i="10" s="1"/>
  <c r="P296" i="10" l="1"/>
  <c r="O296" i="10"/>
  <c r="M297" i="10" l="1"/>
  <c r="S296" i="10"/>
  <c r="N297" i="10"/>
  <c r="T296" i="10"/>
  <c r="L297" i="10" l="1"/>
  <c r="W297" i="10" s="1"/>
  <c r="O297" i="10" l="1"/>
  <c r="P297" i="10"/>
  <c r="N298" i="10" l="1"/>
  <c r="T297" i="10"/>
  <c r="M298" i="10"/>
  <c r="S297" i="10"/>
  <c r="L298" i="10" l="1"/>
  <c r="W298" i="10" s="1"/>
  <c r="O298" i="10"/>
  <c r="P298" i="10" l="1"/>
  <c r="N299" i="10" s="1"/>
  <c r="M299" i="10"/>
  <c r="S298" i="10"/>
  <c r="T298" i="10" l="1"/>
  <c r="L299" i="10"/>
  <c r="W299" i="10" s="1"/>
  <c r="P299" i="10" l="1"/>
  <c r="O299" i="10"/>
  <c r="M300" i="10" l="1"/>
  <c r="S299" i="10"/>
  <c r="N300" i="10"/>
  <c r="T299" i="10"/>
  <c r="L300" i="10" l="1"/>
  <c r="W300" i="10" s="1"/>
  <c r="P300" i="10" l="1"/>
  <c r="O300" i="10"/>
  <c r="M301" i="10" l="1"/>
  <c r="S300" i="10"/>
  <c r="N301" i="10"/>
  <c r="T300" i="10"/>
  <c r="L301" i="10" l="1"/>
  <c r="W301" i="10" s="1"/>
  <c r="P301" i="10" l="1"/>
  <c r="O301" i="10"/>
  <c r="M302" i="10" l="1"/>
  <c r="S301" i="10"/>
  <c r="N302" i="10"/>
  <c r="T301" i="10"/>
  <c r="L302" i="10" l="1"/>
  <c r="W302" i="10" s="1"/>
  <c r="P302" i="10" l="1"/>
  <c r="O302" i="10"/>
  <c r="S302" i="10" l="1"/>
  <c r="M303" i="10"/>
  <c r="T302" i="10"/>
  <c r="N303" i="10"/>
  <c r="L303" i="10" l="1"/>
  <c r="W303" i="10" s="1"/>
  <c r="P303" i="10" l="1"/>
  <c r="O303" i="10"/>
  <c r="S303" i="10" l="1"/>
  <c r="M304" i="10"/>
  <c r="T303" i="10"/>
  <c r="N304" i="10"/>
  <c r="L304" i="10" l="1"/>
  <c r="W304" i="10" s="1"/>
  <c r="P304" i="10" l="1"/>
  <c r="O304" i="10"/>
  <c r="M305" i="10" l="1"/>
  <c r="S304" i="10"/>
  <c r="N305" i="10"/>
  <c r="T304" i="10"/>
  <c r="L305" i="10" l="1"/>
  <c r="W305" i="10" s="1"/>
  <c r="O305" i="10" l="1"/>
  <c r="P305" i="10"/>
  <c r="N306" i="10" l="1"/>
  <c r="T305" i="10"/>
  <c r="M306" i="10"/>
  <c r="S305" i="10"/>
  <c r="L306" i="10" l="1"/>
  <c r="O306" i="10" s="1"/>
  <c r="P306" i="10" l="1"/>
  <c r="T306" i="10" s="1"/>
  <c r="W306" i="10"/>
  <c r="M307" i="10"/>
  <c r="S306" i="10"/>
  <c r="N307" i="10" l="1"/>
  <c r="L307" i="10" s="1"/>
  <c r="W307" i="10" s="1"/>
  <c r="P307" i="10" l="1"/>
  <c r="O307" i="10"/>
  <c r="S307" i="10" l="1"/>
  <c r="M308" i="10"/>
  <c r="N308" i="10"/>
  <c r="T307" i="10"/>
  <c r="L308" i="10" l="1"/>
  <c r="O308" i="10" s="1"/>
  <c r="P308" i="10" l="1"/>
  <c r="T308" i="10" s="1"/>
  <c r="W308" i="10"/>
  <c r="M309" i="10"/>
  <c r="S308" i="10"/>
  <c r="N309" i="10" l="1"/>
  <c r="L309" i="10" s="1"/>
  <c r="W309" i="10" s="1"/>
  <c r="P309" i="10" l="1"/>
  <c r="O309" i="10"/>
  <c r="N310" i="10" l="1"/>
  <c r="T309" i="10"/>
  <c r="S309" i="10"/>
  <c r="M310" i="10"/>
  <c r="L310" i="10" l="1"/>
  <c r="W310" i="10" s="1"/>
  <c r="P310" i="10" l="1"/>
  <c r="N311" i="10" s="1"/>
  <c r="O310" i="10"/>
  <c r="M311" i="10" s="1"/>
  <c r="T310" i="10" l="1"/>
  <c r="S310" i="10"/>
  <c r="L311" i="10"/>
  <c r="P311" i="10" l="1"/>
  <c r="T311" i="10" s="1"/>
  <c r="W311" i="10"/>
  <c r="O311" i="10"/>
  <c r="M312" i="10" s="1"/>
  <c r="N312" i="10" l="1"/>
  <c r="L312" i="10" s="1"/>
  <c r="W312" i="10" s="1"/>
  <c r="S311" i="10"/>
  <c r="O312" i="10" l="1"/>
  <c r="P312" i="10"/>
  <c r="N313" i="10" l="1"/>
  <c r="T312" i="10"/>
  <c r="S312" i="10"/>
  <c r="M313" i="10"/>
  <c r="L313" i="10" l="1"/>
  <c r="W313" i="10" s="1"/>
  <c r="P313" i="10"/>
  <c r="O313" i="10"/>
  <c r="M314" i="10" l="1"/>
  <c r="S313" i="10"/>
  <c r="N314" i="10"/>
  <c r="T313" i="10"/>
  <c r="L314" i="10" l="1"/>
  <c r="W314" i="10" s="1"/>
  <c r="P314" i="10" l="1"/>
  <c r="O314" i="10"/>
  <c r="M315" i="10" l="1"/>
  <c r="S314" i="10"/>
  <c r="N315" i="10"/>
  <c r="T314" i="10"/>
  <c r="L315" i="10" l="1"/>
  <c r="W315" i="10" s="1"/>
  <c r="O315" i="10" l="1"/>
  <c r="P315" i="10"/>
  <c r="N316" i="10" l="1"/>
  <c r="T315" i="10"/>
  <c r="S315" i="10"/>
  <c r="M316" i="10"/>
  <c r="L316" i="10" l="1"/>
  <c r="W316" i="10" s="1"/>
  <c r="P316" i="10" l="1"/>
  <c r="N317" i="10" s="1"/>
  <c r="O316" i="10"/>
  <c r="M317" i="10" s="1"/>
  <c r="T316" i="10" l="1"/>
  <c r="S316" i="10"/>
  <c r="L317" i="10"/>
  <c r="W317" i="10" s="1"/>
  <c r="P317" i="10" l="1"/>
  <c r="T317" i="10" s="1"/>
  <c r="O317" i="10"/>
  <c r="S317" i="10" s="1"/>
  <c r="N318" i="10" l="1"/>
  <c r="M318" i="10"/>
  <c r="L318" i="10" l="1"/>
  <c r="W318" i="10" s="1"/>
  <c r="O318" i="10"/>
  <c r="P318" i="10"/>
  <c r="T318" i="10" l="1"/>
  <c r="N319" i="10"/>
  <c r="M319" i="10"/>
  <c r="S318" i="10"/>
  <c r="L319" i="10" l="1"/>
  <c r="W319" i="10" s="1"/>
  <c r="O319" i="10" l="1"/>
  <c r="P319" i="10"/>
  <c r="N320" i="10" l="1"/>
  <c r="T319" i="10"/>
  <c r="M320" i="10"/>
  <c r="S319" i="10"/>
  <c r="L320" i="10" l="1"/>
  <c r="W320" i="10" s="1"/>
  <c r="O320" i="10"/>
  <c r="P320" i="10"/>
  <c r="N321" i="10" l="1"/>
  <c r="T320" i="10"/>
  <c r="S320" i="10"/>
  <c r="M321" i="10"/>
  <c r="L321" i="10" l="1"/>
  <c r="W321" i="10" s="1"/>
  <c r="O321" i="10"/>
  <c r="P321" i="10" l="1"/>
  <c r="T321" i="10" s="1"/>
  <c r="S321" i="10"/>
  <c r="M322" i="10"/>
  <c r="N322" i="10"/>
  <c r="L322" i="10" l="1"/>
  <c r="W322" i="10" s="1"/>
  <c r="P322" i="10" l="1"/>
  <c r="O322" i="10"/>
  <c r="M323" i="10" l="1"/>
  <c r="S322" i="10"/>
  <c r="N323" i="10"/>
  <c r="T322" i="10"/>
  <c r="L323" i="10" l="1"/>
  <c r="W323" i="10" s="1"/>
  <c r="P323" i="10" l="1"/>
  <c r="O323" i="10"/>
  <c r="M324" i="10" l="1"/>
  <c r="S323" i="10"/>
  <c r="N324" i="10"/>
  <c r="T323" i="10"/>
  <c r="L324" i="10" l="1"/>
  <c r="W324" i="10" s="1"/>
  <c r="P324" i="10" l="1"/>
  <c r="O324" i="10"/>
  <c r="M325" i="10" l="1"/>
  <c r="S324" i="10"/>
  <c r="N325" i="10"/>
  <c r="T324" i="10"/>
  <c r="L325" i="10" l="1"/>
  <c r="W325" i="10" s="1"/>
  <c r="P325" i="10" l="1"/>
  <c r="O325" i="10"/>
  <c r="M326" i="10" l="1"/>
  <c r="S325" i="10"/>
  <c r="N326" i="10"/>
  <c r="T325" i="10"/>
  <c r="L326" i="10" l="1"/>
  <c r="W326" i="10" s="1"/>
  <c r="P326" i="10" l="1"/>
  <c r="O326" i="10"/>
  <c r="M327" i="10" l="1"/>
  <c r="S326" i="10"/>
  <c r="N327" i="10"/>
  <c r="T326" i="10"/>
  <c r="L327" i="10" l="1"/>
  <c r="W327" i="10" s="1"/>
  <c r="O327" i="10" l="1"/>
  <c r="P327" i="10"/>
  <c r="N328" i="10" l="1"/>
  <c r="T327" i="10"/>
  <c r="S327" i="10"/>
  <c r="M328" i="10"/>
  <c r="L328" i="10" l="1"/>
  <c r="W328" i="10" s="1"/>
  <c r="O328" i="10"/>
  <c r="P328" i="10"/>
  <c r="N329" i="10" l="1"/>
  <c r="T328" i="10"/>
  <c r="S328" i="10"/>
  <c r="M329" i="10"/>
  <c r="L329" i="10" l="1"/>
  <c r="W329" i="10" s="1"/>
  <c r="P329" i="10"/>
  <c r="O329" i="10" l="1"/>
  <c r="M330" i="10" s="1"/>
  <c r="N330" i="10"/>
  <c r="T329" i="10"/>
  <c r="S329" i="10" l="1"/>
  <c r="L330" i="10"/>
  <c r="W330" i="10" s="1"/>
  <c r="P330" i="10" l="1"/>
  <c r="O330" i="10"/>
  <c r="M331" i="10" l="1"/>
  <c r="S330" i="10"/>
  <c r="N331" i="10"/>
  <c r="T330" i="10"/>
  <c r="L331" i="10" l="1"/>
  <c r="W331" i="10" s="1"/>
  <c r="P331" i="10" l="1"/>
  <c r="O331" i="10"/>
  <c r="M332" i="10" l="1"/>
  <c r="S331" i="10"/>
  <c r="N332" i="10"/>
  <c r="T331" i="10"/>
  <c r="L332" i="10" l="1"/>
  <c r="W332" i="10" s="1"/>
  <c r="P332" i="10" l="1"/>
  <c r="O332" i="10"/>
  <c r="S332" i="10" l="1"/>
  <c r="M333" i="10"/>
  <c r="N333" i="10"/>
  <c r="T332" i="10"/>
  <c r="L333" i="10" l="1"/>
  <c r="W333" i="10" s="1"/>
  <c r="P333" i="10" l="1"/>
  <c r="O333" i="10"/>
  <c r="M334" i="10" l="1"/>
  <c r="S333" i="10"/>
  <c r="N334" i="10"/>
  <c r="T333" i="10"/>
  <c r="L334" i="10" l="1"/>
  <c r="W334" i="10" s="1"/>
  <c r="P334" i="10" l="1"/>
  <c r="O334" i="10"/>
  <c r="S334" i="10" l="1"/>
  <c r="M335" i="10"/>
  <c r="N335" i="10"/>
  <c r="T334" i="10"/>
  <c r="L335" i="10" l="1"/>
  <c r="W335" i="10" s="1"/>
  <c r="P335" i="10" l="1"/>
  <c r="O335" i="10"/>
  <c r="M336" i="10" l="1"/>
  <c r="S335" i="10"/>
  <c r="N336" i="10"/>
  <c r="T335" i="10"/>
  <c r="L336" i="10" l="1"/>
  <c r="W336" i="10" s="1"/>
  <c r="O336" i="10" l="1"/>
  <c r="P336" i="10"/>
  <c r="N337" i="10" l="1"/>
  <c r="T336" i="10"/>
  <c r="M337" i="10"/>
  <c r="S336" i="10"/>
  <c r="L337" i="10" l="1"/>
  <c r="W337" i="10" s="1"/>
  <c r="P337" i="10"/>
  <c r="O337" i="10"/>
  <c r="M338" i="10" l="1"/>
  <c r="S337" i="10"/>
  <c r="N338" i="10"/>
  <c r="T337" i="10"/>
  <c r="L338" i="10" l="1"/>
  <c r="W338" i="10" s="1"/>
  <c r="P338" i="10" l="1"/>
  <c r="O338" i="10"/>
  <c r="M339" i="10" l="1"/>
  <c r="S338" i="10"/>
  <c r="N339" i="10"/>
  <c r="T338" i="10"/>
  <c r="L339" i="10" l="1"/>
  <c r="W339" i="10" s="1"/>
  <c r="O339" i="10" l="1"/>
  <c r="P339" i="10"/>
  <c r="N340" i="10" l="1"/>
  <c r="T339" i="10"/>
  <c r="M340" i="10"/>
  <c r="S339" i="10"/>
  <c r="L340" i="10" l="1"/>
  <c r="W340" i="10" s="1"/>
  <c r="P340" i="10" l="1"/>
  <c r="N341" i="10" s="1"/>
  <c r="O340" i="10"/>
  <c r="M341" i="10" s="1"/>
  <c r="S340" i="10" l="1"/>
  <c r="T340" i="10"/>
  <c r="L341" i="10"/>
  <c r="W341" i="10" s="1"/>
  <c r="P341" i="10"/>
  <c r="O341" i="10" l="1"/>
  <c r="M342" i="10" s="1"/>
  <c r="N342" i="10"/>
  <c r="T341" i="10"/>
  <c r="S341" i="10" l="1"/>
  <c r="L342" i="10"/>
  <c r="W342" i="10" s="1"/>
  <c r="P342" i="10" l="1"/>
  <c r="O342" i="10"/>
  <c r="S342" i="10" l="1"/>
  <c r="M343" i="10"/>
  <c r="N343" i="10"/>
  <c r="T342" i="10"/>
  <c r="L343" i="10" l="1"/>
  <c r="W343" i="10" s="1"/>
  <c r="P343" i="10" l="1"/>
  <c r="O343" i="10"/>
  <c r="M344" i="10" l="1"/>
  <c r="S343" i="10"/>
  <c r="N344" i="10"/>
  <c r="T343" i="10"/>
  <c r="L344" i="10" l="1"/>
  <c r="W344" i="10" s="1"/>
  <c r="P344" i="10" l="1"/>
  <c r="O344" i="10"/>
  <c r="M345" i="10" l="1"/>
  <c r="S344" i="10"/>
  <c r="N345" i="10"/>
  <c r="T344" i="10"/>
  <c r="L345" i="10" l="1"/>
  <c r="W345" i="10" s="1"/>
  <c r="P345" i="10" l="1"/>
  <c r="O345" i="10"/>
  <c r="S345" i="10" l="1"/>
  <c r="M346" i="10"/>
  <c r="N346" i="10"/>
  <c r="T345" i="10"/>
  <c r="L346" i="10" l="1"/>
  <c r="W346" i="10" s="1"/>
  <c r="P346" i="10" l="1"/>
  <c r="O346" i="10"/>
  <c r="S346" i="10" l="1"/>
  <c r="M347" i="10"/>
  <c r="N347" i="10"/>
  <c r="T346" i="10"/>
  <c r="L347" i="10" l="1"/>
  <c r="W347" i="10" s="1"/>
  <c r="P347" i="10"/>
  <c r="O347" i="10"/>
  <c r="S347" i="10" l="1"/>
  <c r="M348" i="10"/>
  <c r="N348" i="10"/>
  <c r="T347" i="10"/>
  <c r="L348" i="10" l="1"/>
  <c r="W348" i="10" s="1"/>
  <c r="O348" i="10" l="1"/>
  <c r="S348" i="10" s="1"/>
  <c r="P348" i="10"/>
  <c r="N349" i="10" s="1"/>
  <c r="M349" i="10" l="1"/>
  <c r="L349" i="10" s="1"/>
  <c r="W349" i="10" s="1"/>
  <c r="T348" i="10"/>
  <c r="P349" i="10" l="1"/>
  <c r="O349" i="10"/>
  <c r="S349" i="10" l="1"/>
  <c r="M350" i="10"/>
  <c r="N350" i="10"/>
  <c r="T349" i="10"/>
  <c r="L350" i="10" l="1"/>
  <c r="W350" i="10" s="1"/>
  <c r="P350" i="10" l="1"/>
  <c r="O350" i="10"/>
  <c r="S350" i="10" l="1"/>
  <c r="M351" i="10"/>
  <c r="N351" i="10"/>
  <c r="T350" i="10"/>
  <c r="L351" i="10" l="1"/>
  <c r="W351" i="10" s="1"/>
  <c r="P351" i="10" l="1"/>
  <c r="O351" i="10"/>
  <c r="M352" i="10" l="1"/>
  <c r="S351" i="10"/>
  <c r="N352" i="10"/>
  <c r="T351" i="10"/>
  <c r="L352" i="10" l="1"/>
  <c r="W352" i="10" s="1"/>
  <c r="O352" i="10" l="1"/>
  <c r="P352" i="10"/>
  <c r="N353" i="10" l="1"/>
  <c r="T352" i="10"/>
  <c r="S352" i="10"/>
  <c r="M353" i="10"/>
  <c r="L353" i="10" l="1"/>
  <c r="W353" i="10" s="1"/>
  <c r="O353" i="10" l="1"/>
  <c r="S353" i="10" s="1"/>
  <c r="P353" i="10"/>
  <c r="N354" i="10" s="1"/>
  <c r="T353" i="10" l="1"/>
  <c r="M354" i="10"/>
  <c r="L354" i="10" s="1"/>
  <c r="W354" i="10" s="1"/>
  <c r="P354" i="10" l="1"/>
  <c r="O354" i="10"/>
  <c r="S354" i="10" l="1"/>
  <c r="M355" i="10"/>
  <c r="N355" i="10"/>
  <c r="T354" i="10"/>
  <c r="L355" i="10" l="1"/>
  <c r="W355" i="10" s="1"/>
  <c r="O355" i="10" l="1"/>
  <c r="P355" i="10"/>
  <c r="N356" i="10" l="1"/>
  <c r="T355" i="10"/>
  <c r="M356" i="10"/>
  <c r="S355" i="10"/>
  <c r="L356" i="10" l="1"/>
  <c r="W356" i="10" s="1"/>
  <c r="O356" i="10" l="1"/>
  <c r="M357" i="10" s="1"/>
  <c r="P356" i="10"/>
  <c r="N357" i="10" s="1"/>
  <c r="S356" i="10"/>
  <c r="T356" i="10" l="1"/>
  <c r="L357" i="10"/>
  <c r="W357" i="10" s="1"/>
  <c r="O357" i="10" l="1"/>
  <c r="P357" i="10"/>
  <c r="N358" i="10" l="1"/>
  <c r="T357" i="10"/>
  <c r="M358" i="10"/>
  <c r="S357" i="10"/>
  <c r="L358" i="10" l="1"/>
  <c r="W358" i="10" s="1"/>
  <c r="P358" i="10"/>
  <c r="O358" i="10" l="1"/>
  <c r="M359" i="10" s="1"/>
  <c r="N359" i="10"/>
  <c r="T358" i="10"/>
  <c r="S358" i="10"/>
  <c r="L359" i="10" l="1"/>
  <c r="W359" i="10" s="1"/>
  <c r="P359" i="10"/>
  <c r="O359" i="10"/>
  <c r="S359" i="10" l="1"/>
  <c r="M360" i="10"/>
  <c r="N360" i="10"/>
  <c r="T359" i="10"/>
  <c r="L360" i="10" l="1"/>
  <c r="W360" i="10" s="1"/>
  <c r="P360" i="10" l="1"/>
  <c r="O360" i="10"/>
  <c r="S360" i="10" l="1"/>
  <c r="M361" i="10"/>
  <c r="N361" i="10"/>
  <c r="T360" i="10"/>
  <c r="L361" i="10" l="1"/>
  <c r="W361" i="10" s="1"/>
  <c r="O361" i="10" l="1"/>
  <c r="P361" i="10"/>
  <c r="N362" i="10" l="1"/>
  <c r="T361" i="10"/>
  <c r="S361" i="10"/>
  <c r="M362" i="10"/>
  <c r="L362" i="10" l="1"/>
  <c r="W362" i="10" s="1"/>
  <c r="O362" i="10" l="1"/>
  <c r="S362" i="10" s="1"/>
  <c r="P362" i="10"/>
  <c r="N363" i="10" s="1"/>
  <c r="T362" i="10" l="1"/>
  <c r="M363" i="10"/>
  <c r="L363" i="10" s="1"/>
  <c r="W363" i="10" s="1"/>
  <c r="P363" i="10" l="1"/>
  <c r="O363" i="10"/>
  <c r="S363" i="10" l="1"/>
  <c r="M364" i="10"/>
  <c r="N364" i="10"/>
  <c r="T363" i="10"/>
  <c r="L364" i="10" l="1"/>
  <c r="W364" i="10" s="1"/>
  <c r="O364" i="10" l="1"/>
  <c r="P364" i="10"/>
  <c r="N365" i="10" l="1"/>
  <c r="T364" i="10"/>
  <c r="S364" i="10"/>
  <c r="M365" i="10"/>
  <c r="L365" i="10" l="1"/>
  <c r="W365" i="10" s="1"/>
  <c r="P365" i="10"/>
  <c r="O365" i="10"/>
  <c r="S365" i="10" l="1"/>
  <c r="M366" i="10"/>
  <c r="N366" i="10"/>
  <c r="T365" i="10"/>
  <c r="L366" i="10" l="1"/>
  <c r="W366" i="10" s="1"/>
  <c r="P366" i="10" l="1"/>
  <c r="O366" i="10"/>
  <c r="S366" i="10" l="1"/>
  <c r="M367" i="10"/>
  <c r="T366" i="10"/>
  <c r="N367" i="10"/>
  <c r="L367" i="10" l="1"/>
  <c r="W367" i="10" s="1"/>
  <c r="P367" i="10" l="1"/>
  <c r="O367" i="10"/>
  <c r="M368" i="10" l="1"/>
  <c r="S367" i="10"/>
  <c r="N368" i="10"/>
  <c r="T367" i="10"/>
  <c r="L368" i="10" l="1"/>
  <c r="W368" i="10" s="1"/>
  <c r="O368" i="10" l="1"/>
  <c r="P368" i="10"/>
  <c r="N369" i="10" l="1"/>
  <c r="T368" i="10"/>
  <c r="S368" i="10"/>
  <c r="M369" i="10"/>
  <c r="L369" i="10" l="1"/>
  <c r="W369" i="10" s="1"/>
  <c r="O369" i="10" l="1"/>
  <c r="S369" i="10" s="1"/>
  <c r="P369" i="10"/>
  <c r="N370" i="10" s="1"/>
  <c r="T369" i="10" l="1"/>
  <c r="M370" i="10"/>
  <c r="L370" i="10" s="1"/>
  <c r="W370" i="10" s="1"/>
  <c r="P370" i="10" l="1"/>
  <c r="O370" i="10"/>
  <c r="S370" i="10" l="1"/>
  <c r="M371" i="10"/>
  <c r="N371" i="10"/>
  <c r="T370" i="10"/>
  <c r="L371" i="10" l="1"/>
  <c r="W371" i="10" s="1"/>
  <c r="P371" i="10" l="1"/>
  <c r="O371" i="10"/>
  <c r="M372" i="10" l="1"/>
  <c r="S371" i="10"/>
  <c r="N372" i="10"/>
  <c r="T371" i="10"/>
  <c r="L372" i="10" l="1"/>
  <c r="P372" i="10" s="1"/>
  <c r="O372" i="10" l="1"/>
  <c r="S372" i="10" s="1"/>
  <c r="W372" i="10"/>
  <c r="N373" i="10"/>
  <c r="T372" i="10"/>
  <c r="M373" i="10" l="1"/>
  <c r="L373" i="10" s="1"/>
  <c r="W373" i="10" s="1"/>
  <c r="P373" i="10" l="1"/>
  <c r="O373" i="10"/>
  <c r="S373" i="10" l="1"/>
  <c r="M374" i="10"/>
  <c r="N374" i="10"/>
  <c r="T373" i="10"/>
  <c r="L374" i="10" l="1"/>
  <c r="W374" i="10" s="1"/>
  <c r="P374" i="10" l="1"/>
  <c r="O374" i="10"/>
  <c r="S374" i="10" l="1"/>
  <c r="M375" i="10"/>
  <c r="N375" i="10"/>
  <c r="T374" i="10"/>
  <c r="L375" i="10" l="1"/>
  <c r="W375" i="10" s="1"/>
  <c r="O375" i="10" l="1"/>
  <c r="P375" i="10"/>
  <c r="S375" i="10" l="1"/>
  <c r="M376" i="10"/>
  <c r="N376" i="10"/>
  <c r="T375" i="10"/>
  <c r="L376" i="10" l="1"/>
  <c r="W376" i="10" s="1"/>
  <c r="P376" i="10" l="1"/>
  <c r="O376" i="10"/>
  <c r="N377" i="10" l="1"/>
  <c r="T376" i="10"/>
  <c r="S376" i="10"/>
  <c r="M377" i="10"/>
  <c r="L377" i="10" l="1"/>
  <c r="W377" i="10" s="1"/>
  <c r="O377" i="10" l="1"/>
  <c r="S377" i="10" s="1"/>
  <c r="P377" i="10"/>
  <c r="N378" i="10" s="1"/>
  <c r="M378" i="10" l="1"/>
  <c r="L378" i="10" s="1"/>
  <c r="W378" i="10" s="1"/>
  <c r="T377" i="10"/>
  <c r="O378" i="10" l="1"/>
  <c r="P378" i="10"/>
  <c r="N379" i="10" l="1"/>
  <c r="T378" i="10"/>
  <c r="S378" i="10"/>
  <c r="M379" i="10"/>
  <c r="L379" i="10" l="1"/>
  <c r="W379" i="10" s="1"/>
  <c r="P379" i="10"/>
  <c r="O379" i="10"/>
  <c r="S379" i="10" l="1"/>
  <c r="M380" i="10"/>
  <c r="N380" i="10"/>
  <c r="T379" i="10"/>
  <c r="L380" i="10" l="1"/>
  <c r="W380" i="10" s="1"/>
  <c r="P380" i="10" l="1"/>
  <c r="O380" i="10"/>
  <c r="S380" i="10" l="1"/>
  <c r="M381" i="10"/>
  <c r="N381" i="10"/>
  <c r="T380" i="10"/>
  <c r="L381" i="10" l="1"/>
  <c r="W381" i="10" s="1"/>
  <c r="P381" i="10" l="1"/>
  <c r="O381" i="10"/>
  <c r="S381" i="10" l="1"/>
  <c r="M382" i="10"/>
  <c r="N382" i="10"/>
  <c r="T381" i="10"/>
  <c r="L382" i="10" l="1"/>
  <c r="W382" i="10" s="1"/>
  <c r="P382" i="10" l="1"/>
  <c r="O382" i="10"/>
  <c r="S382" i="10" l="1"/>
  <c r="M383" i="10"/>
  <c r="N383" i="10"/>
  <c r="T382" i="10"/>
  <c r="L383" i="10" l="1"/>
  <c r="W383" i="10" s="1"/>
  <c r="P383" i="10" l="1"/>
  <c r="O383" i="10"/>
  <c r="M384" i="10" l="1"/>
  <c r="S383" i="10"/>
  <c r="T383" i="10"/>
  <c r="N384" i="10"/>
  <c r="L384" i="10" l="1"/>
  <c r="W384" i="10" s="1"/>
  <c r="P384" i="10" l="1"/>
  <c r="O384" i="10"/>
  <c r="M385" i="10" l="1"/>
  <c r="S384" i="10"/>
  <c r="N385" i="10"/>
  <c r="T384" i="10"/>
  <c r="L385" i="10" l="1"/>
  <c r="W385" i="10" s="1"/>
  <c r="P385" i="10" l="1"/>
  <c r="O385" i="10"/>
  <c r="S385" i="10" l="1"/>
  <c r="M386" i="10"/>
  <c r="N386" i="10"/>
  <c r="T385" i="10"/>
  <c r="L386" i="10" l="1"/>
  <c r="P386" i="10" l="1"/>
  <c r="N387" i="10" s="1"/>
  <c r="W386" i="10"/>
  <c r="O386" i="10"/>
  <c r="S386" i="10" s="1"/>
  <c r="T386" i="10" l="1"/>
  <c r="M387" i="10"/>
  <c r="L387" i="10" s="1"/>
  <c r="W387" i="10" s="1"/>
  <c r="P387" i="10" l="1"/>
  <c r="O387" i="10"/>
  <c r="M388" i="10" l="1"/>
  <c r="S387" i="10"/>
  <c r="N388" i="10"/>
  <c r="T387" i="10"/>
  <c r="L388" i="10" l="1"/>
  <c r="W388" i="10" s="1"/>
  <c r="P388" i="10" l="1"/>
  <c r="O388" i="10"/>
  <c r="S388" i="10" l="1"/>
  <c r="M389" i="10"/>
  <c r="N389" i="10"/>
  <c r="T388" i="10"/>
  <c r="L389" i="10" l="1"/>
  <c r="O389" i="10" s="1"/>
  <c r="P389" i="10" l="1"/>
  <c r="T389" i="10" s="1"/>
  <c r="W389" i="10"/>
  <c r="S389" i="10"/>
  <c r="M390" i="10"/>
  <c r="N390" i="10" l="1"/>
  <c r="L390" i="10" s="1"/>
  <c r="W390" i="10" s="1"/>
  <c r="O390" i="10" l="1"/>
  <c r="P390" i="10"/>
  <c r="N391" i="10" l="1"/>
  <c r="T390" i="10"/>
  <c r="S390" i="10"/>
  <c r="M391" i="10"/>
  <c r="L391" i="10" l="1"/>
  <c r="W391" i="10" s="1"/>
  <c r="P391" i="10" l="1"/>
  <c r="N392" i="10" s="1"/>
  <c r="O391" i="10"/>
  <c r="M392" i="10" s="1"/>
  <c r="S391" i="10" l="1"/>
  <c r="T391" i="10"/>
  <c r="L392" i="10"/>
  <c r="W392" i="10" s="1"/>
  <c r="P392" i="10"/>
  <c r="O392" i="10" l="1"/>
  <c r="S392" i="10" s="1"/>
  <c r="N393" i="10"/>
  <c r="T392" i="10"/>
  <c r="M393" i="10" l="1"/>
  <c r="L393" i="10" s="1"/>
  <c r="P393" i="10" l="1"/>
  <c r="T393" i="10" s="1"/>
  <c r="W393" i="10"/>
  <c r="O393" i="10"/>
  <c r="M394" i="10" s="1"/>
  <c r="N394" i="10" l="1"/>
  <c r="L394" i="10" s="1"/>
  <c r="W394" i="10" s="1"/>
  <c r="S393" i="10"/>
  <c r="P394" i="10" l="1"/>
  <c r="O394" i="10"/>
  <c r="S394" i="10" l="1"/>
  <c r="M395" i="10"/>
  <c r="N395" i="10"/>
  <c r="T394" i="10"/>
  <c r="L395" i="10" l="1"/>
  <c r="P395" i="10" l="1"/>
  <c r="N396" i="10" s="1"/>
  <c r="W395" i="10"/>
  <c r="O395" i="10"/>
  <c r="M396" i="10" s="1"/>
  <c r="T395" i="10" l="1"/>
  <c r="S395" i="10"/>
  <c r="L396" i="10"/>
  <c r="P396" i="10" l="1"/>
  <c r="T396" i="10" s="1"/>
  <c r="W396" i="10"/>
  <c r="O396" i="10"/>
  <c r="M397" i="10" s="1"/>
  <c r="N397" i="10" l="1"/>
  <c r="L397" i="10" s="1"/>
  <c r="W397" i="10" s="1"/>
  <c r="S396" i="10"/>
  <c r="O397" i="10" l="1"/>
  <c r="P397" i="10"/>
  <c r="S397" i="10" l="1"/>
  <c r="M398" i="10"/>
  <c r="N398" i="10"/>
  <c r="T397" i="10"/>
  <c r="L398" i="10" l="1"/>
  <c r="W398" i="10" s="1"/>
  <c r="P398" i="10" l="1"/>
  <c r="O398" i="10"/>
  <c r="S398" i="10" l="1"/>
  <c r="M399" i="10"/>
  <c r="N399" i="10"/>
  <c r="T398" i="10"/>
  <c r="L399" i="10" l="1"/>
  <c r="P399" i="10" l="1"/>
  <c r="N400" i="10" s="1"/>
  <c r="W399" i="10"/>
  <c r="O399" i="10"/>
  <c r="S399" i="10" s="1"/>
  <c r="T399" i="10" l="1"/>
  <c r="M400" i="10"/>
  <c r="L400" i="10" s="1"/>
  <c r="W400" i="10" s="1"/>
  <c r="P400" i="10" l="1"/>
  <c r="O400" i="10"/>
  <c r="M401" i="10" l="1"/>
  <c r="S400" i="10"/>
  <c r="N401" i="10"/>
  <c r="T400" i="10"/>
  <c r="L401" i="10" l="1"/>
  <c r="W401" i="10" s="1"/>
  <c r="P401" i="10" l="1"/>
  <c r="O401" i="10"/>
  <c r="M402" i="10" l="1"/>
  <c r="S401" i="10"/>
  <c r="N402" i="10"/>
  <c r="T401" i="10"/>
  <c r="L402" i="10" l="1"/>
  <c r="W402" i="10" s="1"/>
  <c r="P402" i="10" l="1"/>
  <c r="O402" i="10"/>
  <c r="M403" i="10" l="1"/>
  <c r="S402" i="10"/>
  <c r="N403" i="10"/>
  <c r="T402" i="10"/>
  <c r="L403" i="10" l="1"/>
  <c r="W403" i="10" s="1"/>
  <c r="P403" i="10" l="1"/>
  <c r="O403" i="10"/>
  <c r="M404" i="10" l="1"/>
  <c r="S403" i="10"/>
  <c r="N404" i="10"/>
  <c r="T403" i="10"/>
  <c r="L404" i="10" l="1"/>
  <c r="P404" i="10" l="1"/>
  <c r="N405" i="10" s="1"/>
  <c r="W404" i="10"/>
  <c r="O404" i="10"/>
  <c r="S404" i="10" s="1"/>
  <c r="T404" i="10" l="1"/>
  <c r="M405" i="10"/>
  <c r="L405" i="10" s="1"/>
  <c r="W405" i="10" s="1"/>
  <c r="P405" i="10" l="1"/>
  <c r="O405" i="10"/>
  <c r="M406" i="10" l="1"/>
  <c r="S405" i="10"/>
  <c r="N406" i="10"/>
  <c r="T405" i="10"/>
  <c r="L406" i="10" l="1"/>
  <c r="W406" i="10" s="1"/>
  <c r="O406" i="10" l="1"/>
  <c r="P406" i="10"/>
  <c r="N407" i="10" l="1"/>
  <c r="T406" i="10"/>
  <c r="S406" i="10"/>
  <c r="M407" i="10"/>
  <c r="L407" i="10" l="1"/>
  <c r="W407" i="10" s="1"/>
  <c r="O407" i="10" l="1"/>
  <c r="M408" i="10" s="1"/>
  <c r="P407" i="10"/>
  <c r="N408" i="10" s="1"/>
  <c r="T407" i="10" l="1"/>
  <c r="S407" i="10"/>
  <c r="L408" i="10"/>
  <c r="W408" i="10" s="1"/>
  <c r="P408" i="10" l="1"/>
  <c r="O408" i="10"/>
  <c r="M409" i="10" l="1"/>
  <c r="S408" i="10"/>
  <c r="N409" i="10"/>
  <c r="T408" i="10"/>
  <c r="L409" i="10" l="1"/>
  <c r="W409" i="10" s="1"/>
  <c r="P409" i="10" l="1"/>
  <c r="O409" i="10"/>
  <c r="S409" i="10" l="1"/>
  <c r="M410" i="10"/>
  <c r="N410" i="10"/>
  <c r="T409" i="10"/>
  <c r="L410" i="10" l="1"/>
  <c r="W410" i="10" s="1"/>
  <c r="P410" i="10" l="1"/>
  <c r="O410" i="10"/>
  <c r="M411" i="10" l="1"/>
  <c r="S410" i="10"/>
  <c r="N411" i="10"/>
  <c r="T410" i="10"/>
  <c r="L411" i="10" l="1"/>
  <c r="W411" i="10" s="1"/>
  <c r="P411" i="10" l="1"/>
  <c r="O411" i="10"/>
  <c r="S411" i="10" l="1"/>
  <c r="M412" i="10"/>
  <c r="N412" i="10"/>
  <c r="T411" i="10"/>
  <c r="L412" i="10" l="1"/>
  <c r="W412" i="10" s="1"/>
  <c r="P412" i="10" l="1"/>
  <c r="O412" i="10"/>
  <c r="M413" i="10" l="1"/>
  <c r="S412" i="10"/>
  <c r="N413" i="10"/>
  <c r="T412" i="10"/>
  <c r="L413" i="10" l="1"/>
  <c r="W413" i="10" s="1"/>
  <c r="P413" i="10" l="1"/>
  <c r="O413" i="10"/>
  <c r="S413" i="10" l="1"/>
  <c r="M414" i="10"/>
  <c r="N414" i="10"/>
  <c r="T413" i="10"/>
  <c r="L414" i="10" l="1"/>
  <c r="W414" i="10" s="1"/>
  <c r="O414" i="10" l="1"/>
  <c r="P414" i="10"/>
  <c r="N415" i="10" l="1"/>
  <c r="T414" i="10"/>
  <c r="S414" i="10"/>
  <c r="M415" i="10"/>
  <c r="L415" i="10" l="1"/>
  <c r="W415" i="10" s="1"/>
  <c r="P415" i="10"/>
  <c r="O415" i="10"/>
  <c r="S415" i="10" l="1"/>
  <c r="M416" i="10"/>
  <c r="T415" i="10"/>
  <c r="N416" i="10"/>
  <c r="L416" i="10" l="1"/>
  <c r="W416" i="10" s="1"/>
  <c r="O416" i="10" l="1"/>
  <c r="P416" i="10"/>
  <c r="N417" i="10" l="1"/>
  <c r="T416" i="10"/>
  <c r="S416" i="10"/>
  <c r="M417" i="10"/>
  <c r="L417" i="10" l="1"/>
  <c r="P417" i="10" l="1"/>
  <c r="N418" i="10" s="1"/>
  <c r="W417" i="10"/>
  <c r="O417" i="10"/>
  <c r="M418" i="10" s="1"/>
  <c r="T417" i="10" l="1"/>
  <c r="S417" i="10"/>
  <c r="L418" i="10"/>
  <c r="W418" i="10" s="1"/>
  <c r="P418" i="10" l="1"/>
  <c r="O418" i="10"/>
  <c r="S418" i="10" l="1"/>
  <c r="M419" i="10"/>
  <c r="N419" i="10"/>
  <c r="T418" i="10"/>
  <c r="L419" i="10" l="1"/>
  <c r="W419" i="10" s="1"/>
  <c r="P419" i="10" l="1"/>
  <c r="O419" i="10"/>
  <c r="M420" i="10" l="1"/>
  <c r="S419" i="10"/>
  <c r="T419" i="10"/>
  <c r="N420" i="10"/>
  <c r="L420" i="10" l="1"/>
  <c r="W420" i="10" s="1"/>
  <c r="P420" i="10" l="1"/>
  <c r="O420" i="10"/>
  <c r="S420" i="10" l="1"/>
  <c r="M421" i="10"/>
  <c r="N421" i="10"/>
  <c r="T420" i="10"/>
  <c r="L421" i="10" l="1"/>
  <c r="W421" i="10" s="1"/>
  <c r="P421" i="10" l="1"/>
  <c r="O421" i="10"/>
  <c r="S421" i="10" l="1"/>
  <c r="M422" i="10"/>
  <c r="T421" i="10"/>
  <c r="N422" i="10"/>
  <c r="L422" i="10" l="1"/>
  <c r="W422" i="10" s="1"/>
  <c r="P422" i="10" l="1"/>
  <c r="O422" i="10"/>
  <c r="S422" i="10" l="1"/>
  <c r="M423" i="10"/>
  <c r="N423" i="10"/>
  <c r="T422" i="10"/>
  <c r="L423" i="10" l="1"/>
  <c r="W423" i="10" s="1"/>
  <c r="P423" i="10" l="1"/>
  <c r="O423" i="10"/>
  <c r="M424" i="10" l="1"/>
  <c r="S423" i="10"/>
  <c r="N424" i="10"/>
  <c r="T423" i="10"/>
  <c r="L424" i="10" l="1"/>
  <c r="W424" i="10" s="1"/>
  <c r="P424" i="10" l="1"/>
  <c r="O424" i="10"/>
  <c r="M425" i="10" l="1"/>
  <c r="S424" i="10"/>
  <c r="N425" i="10"/>
  <c r="T424" i="10"/>
  <c r="L425" i="10" l="1"/>
  <c r="W425" i="10" s="1"/>
  <c r="P425" i="10" l="1"/>
  <c r="O425" i="10"/>
  <c r="S425" i="10" l="1"/>
  <c r="M426" i="10"/>
  <c r="N426" i="10"/>
  <c r="T425" i="10"/>
  <c r="L426" i="10" l="1"/>
  <c r="W426" i="10" s="1"/>
  <c r="P426" i="10" l="1"/>
  <c r="O426" i="10"/>
  <c r="M427" i="10" l="1"/>
  <c r="S426" i="10"/>
  <c r="N427" i="10"/>
  <c r="T426" i="10"/>
  <c r="L427" i="10" l="1"/>
  <c r="W427" i="10" s="1"/>
  <c r="P427" i="10" l="1"/>
  <c r="O427" i="10"/>
  <c r="M428" i="10" l="1"/>
  <c r="S427" i="10"/>
  <c r="N428" i="10"/>
  <c r="T427" i="10"/>
  <c r="L428" i="10" l="1"/>
  <c r="W428" i="10" s="1"/>
  <c r="P428" i="10" l="1"/>
  <c r="O428" i="10"/>
  <c r="S428" i="10" l="1"/>
  <c r="M429" i="10"/>
  <c r="N429" i="10"/>
  <c r="T428" i="10"/>
  <c r="L429" i="10" l="1"/>
  <c r="W429" i="10" s="1"/>
  <c r="O429" i="10" l="1"/>
  <c r="P429" i="10"/>
  <c r="T429" i="10" l="1"/>
  <c r="N430" i="10"/>
  <c r="S429" i="10"/>
  <c r="M430" i="10"/>
  <c r="L430" i="10" l="1"/>
  <c r="W430" i="10" s="1"/>
  <c r="O430" i="10" l="1"/>
  <c r="P430" i="10"/>
  <c r="N431" i="10" s="1"/>
  <c r="M431" i="10"/>
  <c r="S430" i="10"/>
  <c r="T430" i="10" l="1"/>
  <c r="L431" i="10"/>
  <c r="W431" i="10" s="1"/>
  <c r="P431" i="10" l="1"/>
  <c r="O431" i="10"/>
  <c r="M432" i="10" l="1"/>
  <c r="S431" i="10"/>
  <c r="N432" i="10"/>
  <c r="T431" i="10"/>
  <c r="L432" i="10" l="1"/>
  <c r="W432" i="10" s="1"/>
  <c r="O432" i="10" l="1"/>
  <c r="P432" i="10"/>
  <c r="N433" i="10" l="1"/>
  <c r="T432" i="10"/>
  <c r="S432" i="10"/>
  <c r="M433" i="10"/>
  <c r="L433" i="10" l="1"/>
  <c r="P433" i="10" l="1"/>
  <c r="N434" i="10" s="1"/>
  <c r="W433" i="10"/>
  <c r="O433" i="10"/>
  <c r="S433" i="10" s="1"/>
  <c r="T433" i="10" l="1"/>
  <c r="M434" i="10"/>
  <c r="L434" i="10" s="1"/>
  <c r="W434" i="10" s="1"/>
  <c r="P434" i="10" l="1"/>
  <c r="O434" i="10"/>
  <c r="M435" i="10" l="1"/>
  <c r="S434" i="10"/>
  <c r="N435" i="10"/>
  <c r="T434" i="10"/>
  <c r="L435" i="10" l="1"/>
  <c r="W435" i="10" s="1"/>
  <c r="P435" i="10" l="1"/>
  <c r="O435" i="10"/>
  <c r="S435" i="10" l="1"/>
  <c r="M436" i="10"/>
  <c r="N436" i="10"/>
  <c r="T435" i="10"/>
  <c r="L436" i="10" l="1"/>
  <c r="W436" i="10" s="1"/>
  <c r="P436" i="10" l="1"/>
  <c r="O436" i="10"/>
  <c r="M437" i="10" l="1"/>
  <c r="S436" i="10"/>
  <c r="N437" i="10"/>
  <c r="T436" i="10"/>
  <c r="L437" i="10" l="1"/>
  <c r="W437" i="10" s="1"/>
  <c r="P437" i="10" l="1"/>
  <c r="O437" i="10"/>
  <c r="S437" i="10" l="1"/>
  <c r="M438" i="10"/>
  <c r="N438" i="10"/>
  <c r="T437" i="10"/>
  <c r="L438" i="10" l="1"/>
  <c r="W438" i="10" s="1"/>
  <c r="P438" i="10" l="1"/>
  <c r="O438" i="10"/>
  <c r="M439" i="10" l="1"/>
  <c r="S438" i="10"/>
  <c r="N439" i="10"/>
  <c r="T438" i="10"/>
  <c r="L439" i="10" l="1"/>
  <c r="W439" i="10" s="1"/>
  <c r="P439" i="10" l="1"/>
  <c r="O439" i="10"/>
  <c r="M440" i="10" l="1"/>
  <c r="S439" i="10"/>
  <c r="N440" i="10"/>
  <c r="T439" i="10"/>
  <c r="L440" i="10" l="1"/>
  <c r="W440" i="10" s="1"/>
  <c r="O440" i="10" l="1"/>
  <c r="P440" i="10"/>
  <c r="N441" i="10" l="1"/>
  <c r="T440" i="10"/>
  <c r="M441" i="10"/>
  <c r="S440" i="10"/>
  <c r="L441" i="10" l="1"/>
  <c r="W441" i="10" s="1"/>
  <c r="O441" i="10"/>
  <c r="P441" i="10" l="1"/>
  <c r="S441" i="10"/>
  <c r="M442" i="10"/>
  <c r="N442" i="10"/>
  <c r="T441" i="10"/>
  <c r="L442" i="10" l="1"/>
  <c r="W442" i="10" s="1"/>
  <c r="P442" i="10" l="1"/>
  <c r="O442" i="10"/>
  <c r="M443" i="10" l="1"/>
  <c r="S442" i="10"/>
  <c r="N443" i="10"/>
  <c r="T442" i="10"/>
  <c r="L443" i="10" l="1"/>
  <c r="W443" i="10" s="1"/>
  <c r="P443" i="10" l="1"/>
  <c r="O443" i="10"/>
  <c r="S443" i="10" l="1"/>
  <c r="M444" i="10"/>
  <c r="N444" i="10"/>
  <c r="T443" i="10"/>
  <c r="L444" i="10" l="1"/>
  <c r="W444" i="10" s="1"/>
  <c r="P444" i="10" l="1"/>
  <c r="O444" i="10"/>
  <c r="M445" i="10" l="1"/>
  <c r="S444" i="10"/>
  <c r="N445" i="10"/>
  <c r="T444" i="10"/>
  <c r="L445" i="10" l="1"/>
  <c r="W445" i="10" s="1"/>
  <c r="P445" i="10" l="1"/>
  <c r="O445" i="10"/>
  <c r="M446" i="10" l="1"/>
  <c r="S445" i="10"/>
  <c r="N446" i="10"/>
  <c r="T445" i="10"/>
  <c r="L446" i="10" l="1"/>
  <c r="W446" i="10" s="1"/>
  <c r="P446" i="10" l="1"/>
  <c r="O446" i="10"/>
  <c r="S446" i="10" l="1"/>
  <c r="M447" i="10"/>
  <c r="N447" i="10"/>
  <c r="T446" i="10"/>
  <c r="L447" i="10" l="1"/>
  <c r="W447" i="10" s="1"/>
  <c r="O447" i="10" l="1"/>
  <c r="P447" i="10"/>
  <c r="N448" i="10" l="1"/>
  <c r="T447" i="10"/>
  <c r="M448" i="10"/>
  <c r="S447" i="10"/>
  <c r="L448" i="10" l="1"/>
  <c r="W448" i="10" s="1"/>
  <c r="P448" i="10"/>
  <c r="O448" i="10"/>
  <c r="M449" i="10" l="1"/>
  <c r="S448" i="10"/>
  <c r="N449" i="10"/>
  <c r="T448" i="10"/>
  <c r="L449" i="10" l="1"/>
  <c r="W449" i="10" s="1"/>
  <c r="O449" i="10" l="1"/>
  <c r="P449" i="10"/>
  <c r="N450" i="10" l="1"/>
  <c r="T449" i="10"/>
  <c r="M450" i="10"/>
  <c r="S449" i="10"/>
  <c r="L450" i="10" l="1"/>
  <c r="W450" i="10" s="1"/>
  <c r="P450" i="10"/>
  <c r="O450" i="10"/>
  <c r="S450" i="10" l="1"/>
  <c r="M451" i="10"/>
  <c r="N451" i="10"/>
  <c r="T450" i="10"/>
  <c r="L451" i="10" l="1"/>
  <c r="W451" i="10" s="1"/>
  <c r="P451" i="10" l="1"/>
  <c r="O451" i="10"/>
  <c r="M452" i="10" l="1"/>
  <c r="S451" i="10"/>
  <c r="N452" i="10"/>
  <c r="T451" i="10"/>
  <c r="L452" i="10" l="1"/>
  <c r="W452" i="10" s="1"/>
  <c r="P452" i="10" l="1"/>
  <c r="O452" i="10"/>
  <c r="M453" i="10" l="1"/>
  <c r="S452" i="10"/>
  <c r="N453" i="10"/>
  <c r="T452" i="10"/>
  <c r="L453" i="10" l="1"/>
  <c r="W453" i="10" s="1"/>
  <c r="P453" i="10" l="1"/>
  <c r="O453" i="10"/>
  <c r="M454" i="10" l="1"/>
  <c r="S453" i="10"/>
  <c r="N454" i="10"/>
  <c r="T453" i="10"/>
  <c r="L454" i="10" l="1"/>
  <c r="W454" i="10" s="1"/>
  <c r="P454" i="10" l="1"/>
  <c r="O454" i="10"/>
  <c r="S454" i="10" l="1"/>
  <c r="M455" i="10"/>
  <c r="N455" i="10"/>
  <c r="T454" i="10"/>
  <c r="L455" i="10" l="1"/>
  <c r="W455" i="10" s="1"/>
  <c r="P455" i="10" l="1"/>
  <c r="O455" i="10"/>
  <c r="M456" i="10" l="1"/>
  <c r="S455" i="10"/>
  <c r="N456" i="10"/>
  <c r="T455" i="10"/>
  <c r="L456" i="10" l="1"/>
  <c r="W456" i="10" s="1"/>
  <c r="P456" i="10" l="1"/>
  <c r="O456" i="10"/>
  <c r="M457" i="10" l="1"/>
  <c r="S456" i="10"/>
  <c r="N457" i="10"/>
  <c r="T456" i="10"/>
  <c r="L457" i="10" l="1"/>
  <c r="W457" i="10" s="1"/>
  <c r="P457" i="10" l="1"/>
  <c r="O457" i="10"/>
  <c r="M458" i="10" l="1"/>
  <c r="S457" i="10"/>
  <c r="N458" i="10"/>
  <c r="T457" i="10"/>
  <c r="L458" i="10" l="1"/>
  <c r="W458" i="10" s="1"/>
  <c r="O458" i="10" l="1"/>
  <c r="P458" i="10"/>
  <c r="N459" i="10" l="1"/>
  <c r="T458" i="10"/>
  <c r="S458" i="10"/>
  <c r="M459" i="10"/>
  <c r="L459" i="10" l="1"/>
  <c r="W459" i="10" s="1"/>
  <c r="P459" i="10"/>
  <c r="O459" i="10"/>
  <c r="M460" i="10" l="1"/>
  <c r="S459" i="10"/>
  <c r="N460" i="10"/>
  <c r="T459" i="10"/>
  <c r="L460" i="10" l="1"/>
  <c r="W460" i="10" s="1"/>
  <c r="P460" i="10" l="1"/>
  <c r="O460" i="10"/>
  <c r="M461" i="10" l="1"/>
  <c r="S460" i="10"/>
  <c r="N461" i="10"/>
  <c r="T460" i="10"/>
  <c r="L461" i="10" l="1"/>
  <c r="W461" i="10" s="1"/>
  <c r="O461" i="10" l="1"/>
  <c r="P461" i="10"/>
  <c r="N462" i="10" l="1"/>
  <c r="T461" i="10"/>
  <c r="S461" i="10"/>
  <c r="M462" i="10"/>
  <c r="L462" i="10" l="1"/>
  <c r="W462" i="10" s="1"/>
  <c r="P462" i="10"/>
  <c r="O462" i="10"/>
  <c r="S462" i="10" l="1"/>
  <c r="M463" i="10"/>
  <c r="N463" i="10"/>
  <c r="T462" i="10"/>
  <c r="L463" i="10" l="1"/>
  <c r="W463" i="10" s="1"/>
  <c r="O463" i="10" l="1"/>
  <c r="P463" i="10"/>
  <c r="N464" i="10" l="1"/>
  <c r="T463" i="10"/>
  <c r="M464" i="10"/>
  <c r="S463" i="10"/>
  <c r="L464" i="10" l="1"/>
  <c r="W464" i="10" s="1"/>
  <c r="P464" i="10"/>
  <c r="O464" i="10"/>
  <c r="M465" i="10" l="1"/>
  <c r="S464" i="10"/>
  <c r="N465" i="10"/>
  <c r="T464" i="10"/>
  <c r="L465" i="10" l="1"/>
  <c r="W465" i="10" s="1"/>
  <c r="O465" i="10" l="1"/>
  <c r="P465" i="10"/>
  <c r="N466" i="10" l="1"/>
  <c r="T465" i="10"/>
  <c r="M466" i="10"/>
  <c r="S465" i="10"/>
  <c r="L466" i="10" l="1"/>
  <c r="W466" i="10" s="1"/>
  <c r="O466" i="10" l="1"/>
  <c r="M467" i="10" s="1"/>
  <c r="P466" i="10"/>
  <c r="N467" i="10" s="1"/>
  <c r="S466" i="10" l="1"/>
  <c r="T466" i="10"/>
  <c r="L467" i="10"/>
  <c r="W467" i="10" s="1"/>
  <c r="P467" i="10" l="1"/>
  <c r="O467" i="10"/>
  <c r="M468" i="10" l="1"/>
  <c r="S467" i="10"/>
  <c r="N468" i="10"/>
  <c r="T467" i="10"/>
  <c r="L468" i="10" l="1"/>
  <c r="W468" i="10" s="1"/>
  <c r="P468" i="10" l="1"/>
  <c r="O468" i="10"/>
  <c r="M469" i="10" l="1"/>
  <c r="S468" i="10"/>
  <c r="N469" i="10"/>
  <c r="T468" i="10"/>
  <c r="L469" i="10" l="1"/>
  <c r="W469" i="10" s="1"/>
  <c r="P469" i="10" l="1"/>
  <c r="O469" i="10"/>
  <c r="S469" i="10" l="1"/>
  <c r="M470" i="10"/>
  <c r="N470" i="10"/>
  <c r="T469" i="10"/>
  <c r="L470" i="10" l="1"/>
  <c r="O470" i="10" l="1"/>
  <c r="M471" i="10" s="1"/>
  <c r="W470" i="10"/>
  <c r="P470" i="10"/>
  <c r="N471" i="10" s="1"/>
  <c r="S470" i="10" l="1"/>
  <c r="T470" i="10"/>
  <c r="L471" i="10"/>
  <c r="W471" i="10" s="1"/>
  <c r="P471" i="10" l="1"/>
  <c r="O471" i="10"/>
  <c r="S471" i="10" l="1"/>
  <c r="M472" i="10"/>
  <c r="N472" i="10"/>
  <c r="T471" i="10"/>
  <c r="L472" i="10" l="1"/>
  <c r="W472" i="10" s="1"/>
  <c r="P472" i="10" l="1"/>
  <c r="O472" i="10"/>
  <c r="M473" i="10" l="1"/>
  <c r="S472" i="10"/>
  <c r="N473" i="10"/>
  <c r="T472" i="10"/>
  <c r="L473" i="10" l="1"/>
  <c r="W473" i="10" s="1"/>
  <c r="O473" i="10" l="1"/>
  <c r="P473" i="10"/>
  <c r="N474" i="10" l="1"/>
  <c r="T473" i="10"/>
  <c r="S473" i="10"/>
  <c r="M474" i="10"/>
  <c r="L474" i="10" l="1"/>
  <c r="W474" i="10" s="1"/>
  <c r="O474" i="10"/>
  <c r="P474" i="10"/>
  <c r="N475" i="10" l="1"/>
  <c r="T474" i="10"/>
  <c r="M475" i="10"/>
  <c r="S474" i="10"/>
  <c r="L475" i="10" l="1"/>
  <c r="W475" i="10" s="1"/>
  <c r="P475" i="10"/>
  <c r="O475" i="10"/>
  <c r="S475" i="10" l="1"/>
  <c r="M476" i="10"/>
  <c r="N476" i="10"/>
  <c r="T475" i="10"/>
  <c r="L476" i="10" l="1"/>
  <c r="W476" i="10" s="1"/>
  <c r="P476" i="10" l="1"/>
  <c r="O476" i="10"/>
  <c r="M477" i="10" l="1"/>
  <c r="S476" i="10"/>
  <c r="N477" i="10"/>
  <c r="T476" i="10"/>
  <c r="L477" i="10" l="1"/>
  <c r="W477" i="10" s="1"/>
  <c r="P477" i="10" l="1"/>
  <c r="O477" i="10"/>
  <c r="S477" i="10" l="1"/>
  <c r="M478" i="10"/>
  <c r="N478" i="10"/>
  <c r="T477" i="10"/>
  <c r="L478" i="10" l="1"/>
  <c r="W478" i="10" s="1"/>
  <c r="P478" i="10" l="1"/>
  <c r="O478" i="10"/>
  <c r="M479" i="10" l="1"/>
  <c r="S478" i="10"/>
  <c r="N479" i="10"/>
  <c r="T478" i="10"/>
  <c r="L479" i="10" l="1"/>
  <c r="W479" i="10" s="1"/>
  <c r="O479" i="10" l="1"/>
  <c r="P479" i="10"/>
  <c r="N480" i="10" l="1"/>
  <c r="T479" i="10"/>
  <c r="S479" i="10"/>
  <c r="M480" i="10"/>
  <c r="L480" i="10" l="1"/>
  <c r="W480" i="10" s="1"/>
  <c r="O480" i="10"/>
  <c r="P480" i="10"/>
  <c r="N481" i="10" l="1"/>
  <c r="T480" i="10"/>
  <c r="M481" i="10"/>
  <c r="S480" i="10"/>
  <c r="L481" i="10" l="1"/>
  <c r="W481" i="10" s="1"/>
  <c r="P481" i="10"/>
  <c r="O481" i="10"/>
  <c r="S481" i="10" l="1"/>
  <c r="M482" i="10"/>
  <c r="N482" i="10"/>
  <c r="T481" i="10"/>
  <c r="L482" i="10" l="1"/>
  <c r="W482" i="10" s="1"/>
  <c r="P482" i="10" l="1"/>
  <c r="O482" i="10"/>
  <c r="M483" i="10" l="1"/>
  <c r="S482" i="10"/>
  <c r="N483" i="10"/>
  <c r="T482" i="10"/>
  <c r="L483" i="10" l="1"/>
  <c r="W483" i="10" s="1"/>
  <c r="P483" i="10" l="1"/>
  <c r="O483" i="10"/>
  <c r="S483" i="10" l="1"/>
  <c r="M484" i="10"/>
  <c r="N484" i="10"/>
  <c r="T483" i="10"/>
  <c r="L484" i="10" l="1"/>
  <c r="W484" i="10" s="1"/>
  <c r="O484" i="10" l="1"/>
  <c r="P484" i="10"/>
  <c r="N485" i="10" l="1"/>
  <c r="T484" i="10"/>
  <c r="S484" i="10"/>
  <c r="M485" i="10"/>
  <c r="L485" i="10" l="1"/>
  <c r="W485" i="10" s="1"/>
  <c r="O485" i="10"/>
  <c r="P485" i="10"/>
  <c r="N486" i="10" l="1"/>
  <c r="T485" i="10"/>
  <c r="M486" i="10"/>
  <c r="S485" i="10"/>
  <c r="L486" i="10" l="1"/>
  <c r="W486" i="10" s="1"/>
  <c r="P486" i="10"/>
  <c r="O486" i="10"/>
  <c r="S486" i="10" l="1"/>
  <c r="M487" i="10"/>
  <c r="N487" i="10"/>
  <c r="T486" i="10"/>
  <c r="L487" i="10" l="1"/>
  <c r="W487" i="10" s="1"/>
  <c r="P487" i="10" l="1"/>
  <c r="O487" i="10"/>
  <c r="M488" i="10" l="1"/>
  <c r="S487" i="10"/>
  <c r="N488" i="10"/>
  <c r="T487" i="10"/>
  <c r="L488" i="10" l="1"/>
  <c r="W488" i="10" s="1"/>
  <c r="O488" i="10" l="1"/>
  <c r="P488" i="10"/>
  <c r="N489" i="10" l="1"/>
  <c r="T488" i="10"/>
  <c r="M489" i="10"/>
  <c r="S488" i="10"/>
  <c r="L489" i="10" l="1"/>
  <c r="W489" i="10" s="1"/>
  <c r="P489" i="10"/>
  <c r="O489" i="10"/>
  <c r="S489" i="10" l="1"/>
  <c r="M490" i="10"/>
  <c r="N490" i="10"/>
  <c r="T489" i="10"/>
  <c r="L490" i="10" l="1"/>
  <c r="W490" i="10" s="1"/>
  <c r="P490" i="10" l="1"/>
  <c r="O490" i="10"/>
  <c r="M491" i="10" l="1"/>
  <c r="S490" i="10"/>
  <c r="N491" i="10"/>
  <c r="T490" i="10"/>
  <c r="L491" i="10" l="1"/>
  <c r="W491" i="10" s="1"/>
  <c r="P491" i="10" l="1"/>
  <c r="O491" i="10"/>
  <c r="M492" i="10" l="1"/>
  <c r="S491" i="10"/>
  <c r="N492" i="10"/>
  <c r="T491" i="10"/>
  <c r="L492" i="10" l="1"/>
  <c r="W492" i="10" s="1"/>
  <c r="O492" i="10" l="1"/>
  <c r="P492" i="10"/>
  <c r="N493" i="10" l="1"/>
  <c r="T492" i="10"/>
  <c r="S492" i="10"/>
  <c r="M493" i="10"/>
  <c r="L493" i="10" l="1"/>
  <c r="W493" i="10" s="1"/>
  <c r="P493" i="10"/>
  <c r="O493" i="10"/>
  <c r="S493" i="10" l="1"/>
  <c r="M494" i="10"/>
  <c r="N494" i="10"/>
  <c r="T493" i="10"/>
  <c r="L494" i="10" l="1"/>
  <c r="W494" i="10" s="1"/>
  <c r="O494" i="10" l="1"/>
  <c r="P494" i="10"/>
  <c r="N495" i="10" l="1"/>
  <c r="T494" i="10"/>
  <c r="S494" i="10"/>
  <c r="M495" i="10"/>
  <c r="L495" i="10" l="1"/>
  <c r="W495" i="10" s="1"/>
  <c r="P495" i="10"/>
  <c r="O495" i="10"/>
  <c r="S495" i="10" l="1"/>
  <c r="M496" i="10"/>
  <c r="N496" i="10"/>
  <c r="T495" i="10"/>
  <c r="L496" i="10" l="1"/>
  <c r="W496" i="10" s="1"/>
  <c r="P496" i="10" l="1"/>
  <c r="O496" i="10"/>
  <c r="M497" i="10" l="1"/>
  <c r="S496" i="10"/>
  <c r="N497" i="10"/>
  <c r="T496" i="10"/>
  <c r="L497" i="10" l="1"/>
  <c r="W497" i="10" s="1"/>
  <c r="P497" i="10" l="1"/>
  <c r="O497" i="10"/>
  <c r="M498" i="10" l="1"/>
  <c r="S497" i="10"/>
  <c r="N498" i="10"/>
  <c r="T497" i="10"/>
  <c r="L498" i="10" l="1"/>
  <c r="W498" i="10" s="1"/>
  <c r="P498" i="10" l="1"/>
  <c r="O498" i="10"/>
  <c r="S498" i="10" l="1"/>
  <c r="M499" i="10"/>
  <c r="N499" i="10"/>
  <c r="T498" i="10"/>
  <c r="L499" i="10" l="1"/>
  <c r="W499" i="10" s="1"/>
  <c r="O499" i="10" l="1"/>
  <c r="P499" i="10"/>
  <c r="N500" i="10" l="1"/>
  <c r="T499" i="10"/>
  <c r="M500" i="10"/>
  <c r="S499" i="10"/>
  <c r="L500" i="10" l="1"/>
  <c r="W500" i="10" s="1"/>
  <c r="P500" i="10"/>
  <c r="O500" i="10"/>
  <c r="S500" i="10" l="1"/>
  <c r="M501" i="10"/>
  <c r="N501" i="10"/>
  <c r="T500" i="10"/>
  <c r="L501" i="10" l="1"/>
  <c r="W501" i="10" s="1"/>
  <c r="P501" i="10" l="1"/>
  <c r="O501" i="10"/>
  <c r="M502" i="10" l="1"/>
  <c r="S501" i="10"/>
  <c r="N502" i="10"/>
  <c r="T501" i="10"/>
  <c r="L502" i="10" l="1"/>
  <c r="O502" i="10" l="1"/>
  <c r="W502" i="10"/>
  <c r="P502" i="10"/>
  <c r="N503" i="10" s="1"/>
  <c r="S502" i="10"/>
  <c r="M503" i="10"/>
  <c r="T502" i="10" l="1"/>
  <c r="L503" i="10"/>
  <c r="W503" i="10" s="1"/>
  <c r="P503" i="10" l="1"/>
  <c r="O503" i="10"/>
  <c r="M504" i="10" l="1"/>
  <c r="S503" i="10"/>
  <c r="N504" i="10"/>
  <c r="T503" i="10"/>
  <c r="L504" i="10" l="1"/>
  <c r="W504" i="10" s="1"/>
  <c r="P504" i="10" l="1"/>
  <c r="O504" i="10"/>
  <c r="S504" i="10" l="1"/>
  <c r="M505" i="10"/>
  <c r="N505" i="10"/>
  <c r="T504" i="10"/>
  <c r="L505" i="10" l="1"/>
  <c r="P505" i="10"/>
  <c r="O505" i="10" l="1"/>
  <c r="S505" i="10" s="1"/>
  <c r="W505" i="10"/>
  <c r="N506" i="10"/>
  <c r="T505" i="10"/>
  <c r="M506" i="10" l="1"/>
  <c r="L506" i="10" s="1"/>
  <c r="O506" i="10" l="1"/>
  <c r="S506" i="10" s="1"/>
  <c r="W506" i="10"/>
  <c r="P506" i="10"/>
  <c r="N507" i="10" s="1"/>
  <c r="M507" i="10" l="1"/>
  <c r="L507" i="10" s="1"/>
  <c r="W507" i="10" s="1"/>
  <c r="T506" i="10"/>
  <c r="P507" i="10"/>
  <c r="O507" i="10"/>
  <c r="M508" i="10" l="1"/>
  <c r="S507" i="10"/>
  <c r="N508" i="10"/>
  <c r="T507" i="10"/>
  <c r="L508" i="10" l="1"/>
  <c r="W508" i="10" s="1"/>
  <c r="O508" i="10" l="1"/>
  <c r="P508" i="10"/>
  <c r="N509" i="10" l="1"/>
  <c r="T508" i="10"/>
  <c r="S508" i="10"/>
  <c r="M509" i="10"/>
  <c r="L509" i="10" l="1"/>
  <c r="W509" i="10" s="1"/>
  <c r="O509" i="10"/>
  <c r="P509" i="10" l="1"/>
  <c r="N510" i="10" s="1"/>
  <c r="M510" i="10"/>
  <c r="S509" i="10"/>
  <c r="T509" i="10" l="1"/>
  <c r="L510" i="10"/>
  <c r="W510" i="10" s="1"/>
  <c r="O510" i="10" l="1"/>
  <c r="P510" i="10"/>
  <c r="N511" i="10" l="1"/>
  <c r="T510" i="10"/>
  <c r="M511" i="10"/>
  <c r="S510" i="10"/>
  <c r="L511" i="10" l="1"/>
  <c r="W511" i="10" s="1"/>
  <c r="P511" i="10"/>
  <c r="O511" i="10"/>
  <c r="S511" i="10" l="1"/>
  <c r="M512" i="10"/>
  <c r="N512" i="10"/>
  <c r="T511" i="10"/>
  <c r="L512" i="10" l="1"/>
  <c r="W512" i="10" s="1"/>
  <c r="P512" i="10" l="1"/>
  <c r="O512" i="10"/>
  <c r="S512" i="10" l="1"/>
  <c r="M513" i="10"/>
  <c r="N513" i="10"/>
  <c r="T512" i="10"/>
  <c r="L513" i="10" l="1"/>
  <c r="P513" i="10" l="1"/>
  <c r="T513" i="10" s="1"/>
  <c r="W513" i="10"/>
  <c r="O513" i="10"/>
  <c r="S513" i="10" s="1"/>
  <c r="N514" i="10" l="1"/>
  <c r="M514" i="10"/>
  <c r="L514" i="10" l="1"/>
  <c r="W514" i="10" s="1"/>
  <c r="P514" i="10"/>
  <c r="O514" i="10"/>
  <c r="M515" i="10" l="1"/>
  <c r="S514" i="10"/>
  <c r="N515" i="10"/>
  <c r="T514" i="10"/>
  <c r="L515" i="10" l="1"/>
  <c r="P515" i="10" l="1"/>
  <c r="T515" i="10" s="1"/>
  <c r="W515" i="10"/>
  <c r="O515" i="10"/>
  <c r="S515" i="10" s="1"/>
  <c r="N516" i="10" l="1"/>
  <c r="M516" i="10"/>
  <c r="L516" i="10" l="1"/>
  <c r="W516" i="10" s="1"/>
  <c r="P516" i="10"/>
  <c r="O516" i="10"/>
  <c r="M517" i="10" l="1"/>
  <c r="S516" i="10"/>
  <c r="N517" i="10"/>
  <c r="T516" i="10"/>
  <c r="L517" i="10" l="1"/>
  <c r="W517" i="10" s="1"/>
  <c r="O517" i="10" l="1"/>
  <c r="P517" i="10"/>
  <c r="N518" i="10" l="1"/>
  <c r="T517" i="10"/>
  <c r="M518" i="10"/>
  <c r="S517" i="10"/>
  <c r="L518" i="10" l="1"/>
  <c r="W518" i="10" s="1"/>
  <c r="O518" i="10"/>
  <c r="P518" i="10"/>
  <c r="N519" i="10" l="1"/>
  <c r="T518" i="10"/>
  <c r="S518" i="10"/>
  <c r="M519" i="10"/>
  <c r="L519" i="10" l="1"/>
  <c r="W519" i="10" s="1"/>
  <c r="O519" i="10"/>
  <c r="P519" i="10"/>
  <c r="N520" i="10" l="1"/>
  <c r="T519" i="10"/>
  <c r="S519" i="10"/>
  <c r="M520" i="10"/>
  <c r="L520" i="10" l="1"/>
  <c r="P520" i="10" l="1"/>
  <c r="T520" i="10" s="1"/>
  <c r="W520" i="10"/>
  <c r="O520" i="10"/>
  <c r="M521" i="10" s="1"/>
  <c r="N521" i="10" l="1"/>
  <c r="L521" i="10" s="1"/>
  <c r="W521" i="10" s="1"/>
  <c r="S520" i="10"/>
  <c r="P521" i="10" l="1"/>
  <c r="O521" i="10"/>
  <c r="M522" i="10" l="1"/>
  <c r="S521" i="10"/>
  <c r="N522" i="10"/>
  <c r="T521" i="10"/>
  <c r="L522" i="10" l="1"/>
  <c r="W522" i="10" s="1"/>
  <c r="P522" i="10" l="1"/>
  <c r="O522" i="10"/>
  <c r="S522" i="10" l="1"/>
  <c r="M523" i="10"/>
  <c r="N523" i="10"/>
  <c r="T522" i="10"/>
  <c r="L523" i="10" l="1"/>
  <c r="W523" i="10" s="1"/>
  <c r="P523" i="10" l="1"/>
  <c r="O523" i="10"/>
  <c r="S523" i="10" l="1"/>
  <c r="M524" i="10"/>
  <c r="N524" i="10"/>
  <c r="T523" i="10"/>
  <c r="L524" i="10" l="1"/>
  <c r="O524" i="10" l="1"/>
  <c r="S524" i="10" s="1"/>
  <c r="W524" i="10"/>
  <c r="P524" i="10"/>
  <c r="N525" i="10" s="1"/>
  <c r="M525" i="10" l="1"/>
  <c r="L525" i="10" s="1"/>
  <c r="T524" i="10"/>
  <c r="P525" i="10" l="1"/>
  <c r="N526" i="10" s="1"/>
  <c r="W525" i="10"/>
  <c r="O525" i="10"/>
  <c r="S525" i="10" s="1"/>
  <c r="T525" i="10" l="1"/>
  <c r="M526" i="10"/>
  <c r="L526" i="10" s="1"/>
  <c r="W526" i="10" s="1"/>
  <c r="P526" i="10" l="1"/>
  <c r="O526" i="10"/>
  <c r="S526" i="10" l="1"/>
  <c r="M527" i="10"/>
  <c r="N527" i="10"/>
  <c r="T526" i="10"/>
  <c r="L527" i="10" l="1"/>
  <c r="W527" i="10" s="1"/>
  <c r="O527" i="10" l="1"/>
  <c r="P527" i="10"/>
  <c r="N528" i="10" l="1"/>
  <c r="T527" i="10"/>
  <c r="M528" i="10"/>
  <c r="S527" i="10"/>
  <c r="L528" i="10" l="1"/>
  <c r="W528" i="10" s="1"/>
  <c r="P528" i="10"/>
  <c r="O528" i="10"/>
  <c r="M529" i="10" l="1"/>
  <c r="S528" i="10"/>
  <c r="N529" i="10"/>
  <c r="T528" i="10"/>
  <c r="L529" i="10" l="1"/>
  <c r="W529" i="10" s="1"/>
  <c r="P529" i="10" l="1"/>
  <c r="O529" i="10"/>
  <c r="M530" i="10" l="1"/>
  <c r="S529" i="10"/>
  <c r="N530" i="10"/>
  <c r="T529" i="10"/>
  <c r="L530" i="10" l="1"/>
  <c r="W530" i="10" s="1"/>
  <c r="P530" i="10" l="1"/>
  <c r="O530" i="10"/>
  <c r="S530" i="10" l="1"/>
  <c r="M531" i="10"/>
  <c r="N531" i="10"/>
  <c r="T530" i="10"/>
  <c r="L531" i="10" l="1"/>
  <c r="W531" i="10" s="1"/>
  <c r="P531" i="10" l="1"/>
  <c r="O531" i="10"/>
  <c r="S531" i="10" l="1"/>
  <c r="M532" i="10"/>
  <c r="N532" i="10"/>
  <c r="T531" i="10"/>
  <c r="L532" i="10" l="1"/>
  <c r="W532" i="10" s="1"/>
  <c r="P532" i="10" l="1"/>
  <c r="O532" i="10"/>
  <c r="M533" i="10" l="1"/>
  <c r="S532" i="10"/>
  <c r="N533" i="10"/>
  <c r="T532" i="10"/>
  <c r="L533" i="10" l="1"/>
  <c r="W533" i="10" s="1"/>
  <c r="P533" i="10" l="1"/>
  <c r="O533" i="10"/>
  <c r="M534" i="10" l="1"/>
  <c r="S533" i="10"/>
  <c r="N534" i="10"/>
  <c r="T533" i="10"/>
  <c r="L534" i="10" l="1"/>
  <c r="W534" i="10" s="1"/>
  <c r="P534" i="10" l="1"/>
  <c r="O534" i="10"/>
  <c r="M535" i="10" l="1"/>
  <c r="S534" i="10"/>
  <c r="N535" i="10"/>
  <c r="T534" i="10"/>
  <c r="L535" i="10" l="1"/>
  <c r="W535" i="10" s="1"/>
  <c r="P535" i="10" l="1"/>
  <c r="O535" i="10"/>
  <c r="S535" i="10" l="1"/>
  <c r="M536" i="10"/>
  <c r="N536" i="10"/>
  <c r="T535" i="10"/>
  <c r="L536" i="10" l="1"/>
  <c r="W536" i="10" s="1"/>
  <c r="O536" i="10" l="1"/>
  <c r="P536" i="10"/>
  <c r="N537" i="10" l="1"/>
  <c r="T536" i="10"/>
  <c r="M537" i="10"/>
  <c r="S536" i="10"/>
  <c r="L537" i="10" l="1"/>
  <c r="W537" i="10" s="1"/>
  <c r="O537" i="10" l="1"/>
  <c r="M538" i="10" s="1"/>
  <c r="P537" i="10"/>
  <c r="N538" i="10" s="1"/>
  <c r="S537" i="10" l="1"/>
  <c r="T537" i="10"/>
  <c r="L538" i="10"/>
  <c r="W538" i="10" s="1"/>
  <c r="P538" i="10" l="1"/>
  <c r="O538" i="10"/>
  <c r="S538" i="10" l="1"/>
  <c r="M539" i="10"/>
  <c r="T538" i="10"/>
  <c r="N539" i="10"/>
  <c r="L539" i="10" l="1"/>
  <c r="W539" i="10" s="1"/>
  <c r="P539" i="10" l="1"/>
  <c r="O539" i="10"/>
  <c r="S539" i="10" l="1"/>
  <c r="M540" i="10"/>
  <c r="N540" i="10"/>
  <c r="T539" i="10"/>
  <c r="L540" i="10" l="1"/>
  <c r="W540" i="10" s="1"/>
  <c r="P540" i="10" l="1"/>
  <c r="O540" i="10"/>
  <c r="S540" i="10" l="1"/>
  <c r="M541" i="10"/>
  <c r="N541" i="10"/>
  <c r="T540" i="10"/>
  <c r="L541" i="10" l="1"/>
  <c r="O541" i="10"/>
  <c r="P541" i="10" l="1"/>
  <c r="T541" i="10" s="1"/>
  <c r="W541" i="10"/>
  <c r="M542" i="10"/>
  <c r="S541" i="10"/>
  <c r="N542" i="10" l="1"/>
  <c r="L542" i="10" s="1"/>
  <c r="W542" i="10" s="1"/>
  <c r="P542" i="10" l="1"/>
  <c r="O542" i="10"/>
  <c r="M543" i="10" l="1"/>
  <c r="S542" i="10"/>
  <c r="N543" i="10"/>
  <c r="T542" i="10"/>
  <c r="L543" i="10" l="1"/>
  <c r="W543" i="10" s="1"/>
  <c r="P543" i="10" l="1"/>
  <c r="O543" i="10"/>
  <c r="M544" i="10" l="1"/>
  <c r="S543" i="10"/>
  <c r="N544" i="10"/>
  <c r="T543" i="10"/>
  <c r="L544" i="10" l="1"/>
  <c r="W544" i="10" s="1"/>
  <c r="P544" i="10" l="1"/>
  <c r="O544" i="10"/>
  <c r="S544" i="10" l="1"/>
  <c r="M545" i="10"/>
  <c r="N545" i="10"/>
  <c r="T544" i="10"/>
  <c r="L545" i="10" l="1"/>
  <c r="W545" i="10" s="1"/>
  <c r="P545" i="10" l="1"/>
  <c r="O545" i="10"/>
  <c r="S545" i="10" l="1"/>
  <c r="M546" i="10"/>
  <c r="N546" i="10"/>
  <c r="T545" i="10"/>
  <c r="L546" i="10" l="1"/>
  <c r="W546" i="10" s="1"/>
  <c r="P546" i="10" l="1"/>
  <c r="O546" i="10"/>
  <c r="M547" i="10" l="1"/>
  <c r="S546" i="10"/>
  <c r="N547" i="10"/>
  <c r="T546" i="10"/>
  <c r="L547" i="10" l="1"/>
  <c r="W547" i="10" s="1"/>
  <c r="P547" i="10" l="1"/>
  <c r="O547" i="10"/>
  <c r="M548" i="10" l="1"/>
  <c r="S547" i="10"/>
  <c r="N548" i="10"/>
  <c r="T547" i="10"/>
  <c r="L548" i="10" l="1"/>
  <c r="W548" i="10" s="1"/>
  <c r="P548" i="10" l="1"/>
  <c r="O548" i="10"/>
  <c r="S548" i="10" l="1"/>
  <c r="M549" i="10"/>
  <c r="N549" i="10"/>
  <c r="T548" i="10"/>
  <c r="L549" i="10" l="1"/>
  <c r="W549" i="10" s="1"/>
  <c r="P549" i="10" l="1"/>
  <c r="O549" i="10"/>
  <c r="S549" i="10" l="1"/>
  <c r="M550" i="10"/>
  <c r="N550" i="10"/>
  <c r="T549" i="10"/>
  <c r="L550" i="10" l="1"/>
  <c r="W550" i="10" s="1"/>
  <c r="P550" i="10" l="1"/>
  <c r="O550" i="10"/>
  <c r="S550" i="10" l="1"/>
  <c r="M551" i="10"/>
  <c r="N551" i="10"/>
  <c r="T550" i="10"/>
  <c r="L551" i="10" l="1"/>
  <c r="W551" i="10" s="1"/>
  <c r="P551" i="10" l="1"/>
  <c r="O551" i="10"/>
  <c r="S551" i="10" l="1"/>
  <c r="M552" i="10"/>
  <c r="T551" i="10"/>
  <c r="N552" i="10"/>
  <c r="L552" i="10" l="1"/>
  <c r="W552" i="10" s="1"/>
  <c r="P552" i="10" l="1"/>
  <c r="O552" i="10"/>
  <c r="M553" i="10" l="1"/>
  <c r="S552" i="10"/>
  <c r="N553" i="10"/>
  <c r="T552" i="10"/>
  <c r="L553" i="10" l="1"/>
  <c r="W553" i="10" s="1"/>
  <c r="P553" i="10" l="1"/>
  <c r="O553" i="10"/>
  <c r="M554" i="10" l="1"/>
  <c r="S553" i="10"/>
  <c r="N554" i="10"/>
  <c r="T553" i="10"/>
  <c r="L554" i="10" l="1"/>
  <c r="W554" i="10" s="1"/>
  <c r="P554" i="10" l="1"/>
  <c r="O554" i="10"/>
  <c r="S554" i="10" l="1"/>
  <c r="M555" i="10"/>
  <c r="N555" i="10"/>
  <c r="T554" i="10"/>
  <c r="L555" i="10" l="1"/>
  <c r="W555" i="10" s="1"/>
  <c r="O555" i="10" l="1"/>
  <c r="P555" i="10"/>
  <c r="N556" i="10" l="1"/>
  <c r="T555" i="10"/>
  <c r="S555" i="10"/>
  <c r="M556" i="10"/>
  <c r="L556" i="10" s="1"/>
  <c r="W556" i="10" s="1"/>
  <c r="P556" i="10" l="1"/>
  <c r="O556" i="10"/>
  <c r="S556" i="10" l="1"/>
  <c r="M557" i="10"/>
  <c r="N557" i="10"/>
  <c r="T556" i="10"/>
  <c r="L557" i="10" l="1"/>
  <c r="O557" i="10"/>
  <c r="P557" i="10" l="1"/>
  <c r="N558" i="10" s="1"/>
  <c r="W557" i="10"/>
  <c r="M558" i="10"/>
  <c r="S557" i="10"/>
  <c r="T557" i="10" l="1"/>
  <c r="L558" i="10"/>
  <c r="W558" i="10" s="1"/>
  <c r="P558" i="10" l="1"/>
  <c r="O558" i="10"/>
  <c r="M559" i="10" l="1"/>
  <c r="S558" i="10"/>
  <c r="N559" i="10"/>
  <c r="T558" i="10"/>
  <c r="L559" i="10" l="1"/>
  <c r="W559" i="10" s="1"/>
  <c r="P559" i="10" l="1"/>
  <c r="O559" i="10"/>
  <c r="S559" i="10" l="1"/>
  <c r="M560" i="10"/>
  <c r="N560" i="10"/>
  <c r="T559" i="10"/>
  <c r="L560" i="10" l="1"/>
  <c r="W560" i="10" s="1"/>
  <c r="P560" i="10" l="1"/>
  <c r="O560" i="10"/>
  <c r="S560" i="10" l="1"/>
  <c r="M561" i="10"/>
  <c r="T560" i="10"/>
  <c r="N561" i="10"/>
  <c r="L561" i="10" l="1"/>
  <c r="W561" i="10" s="1"/>
  <c r="P561" i="10" l="1"/>
  <c r="O561" i="10"/>
  <c r="S561" i="10" l="1"/>
  <c r="M562" i="10"/>
  <c r="N562" i="10"/>
  <c r="T561" i="10"/>
  <c r="L562" i="10" l="1"/>
  <c r="W562" i="10" s="1"/>
  <c r="P562" i="10" l="1"/>
  <c r="O562" i="10"/>
  <c r="M563" i="10" l="1"/>
  <c r="S562" i="10"/>
  <c r="N563" i="10"/>
  <c r="T562" i="10"/>
  <c r="L563" i="10" l="1"/>
  <c r="W563" i="10" s="1"/>
  <c r="O563" i="10" l="1"/>
  <c r="P563" i="10"/>
  <c r="N564" i="10" l="1"/>
  <c r="T563" i="10"/>
  <c r="M564" i="10"/>
  <c r="S563" i="10"/>
  <c r="L564" i="10" l="1"/>
  <c r="W564" i="10" s="1"/>
  <c r="O564" i="10" l="1"/>
  <c r="M565" i="10" s="1"/>
  <c r="P564" i="10"/>
  <c r="N565" i="10" s="1"/>
  <c r="S564" i="10" l="1"/>
  <c r="T564" i="10"/>
  <c r="L565" i="10"/>
  <c r="W565" i="10" s="1"/>
  <c r="P565" i="10" l="1"/>
  <c r="O565" i="10"/>
  <c r="M566" i="10" l="1"/>
  <c r="S565" i="10"/>
  <c r="N566" i="10"/>
  <c r="T565" i="10"/>
  <c r="L566" i="10" l="1"/>
  <c r="W566" i="10" s="1"/>
  <c r="P566" i="10" l="1"/>
  <c r="O566" i="10"/>
  <c r="S566" i="10" l="1"/>
  <c r="M567" i="10"/>
  <c r="N567" i="10"/>
  <c r="T566" i="10"/>
  <c r="L567" i="10" l="1"/>
  <c r="W567" i="10" s="1"/>
  <c r="O567" i="10" l="1"/>
  <c r="P567" i="10"/>
  <c r="N568" i="10" l="1"/>
  <c r="T567" i="10"/>
  <c r="S567" i="10"/>
  <c r="M568" i="10"/>
  <c r="L568" i="10" l="1"/>
  <c r="W568" i="10" s="1"/>
  <c r="P568" i="10"/>
  <c r="O568" i="10"/>
  <c r="M569" i="10" l="1"/>
  <c r="S568" i="10"/>
  <c r="N569" i="10"/>
  <c r="T568" i="10"/>
  <c r="L569" i="10" l="1"/>
  <c r="W569" i="10" s="1"/>
  <c r="P569" i="10" l="1"/>
  <c r="O569" i="10"/>
  <c r="S569" i="10" l="1"/>
  <c r="M570" i="10"/>
  <c r="N570" i="10"/>
  <c r="T569" i="10"/>
  <c r="L570" i="10" l="1"/>
  <c r="W570" i="10" s="1"/>
  <c r="P570" i="10" l="1"/>
  <c r="O570" i="10"/>
  <c r="S570" i="10" l="1"/>
  <c r="M571" i="10"/>
  <c r="T570" i="10"/>
  <c r="N571" i="10"/>
  <c r="L571" i="10" l="1"/>
  <c r="W571" i="10" s="1"/>
  <c r="P571" i="10" l="1"/>
  <c r="O571" i="10"/>
  <c r="M572" i="10" l="1"/>
  <c r="S571" i="10"/>
  <c r="N572" i="10"/>
  <c r="T571" i="10"/>
  <c r="L572" i="10" l="1"/>
  <c r="W572" i="10" s="1"/>
  <c r="P572" i="10" l="1"/>
  <c r="O572" i="10"/>
  <c r="S572" i="10" l="1"/>
  <c r="M573" i="10"/>
  <c r="N573" i="10"/>
  <c r="T572" i="10"/>
  <c r="L573" i="10" l="1"/>
  <c r="W573" i="10" s="1"/>
  <c r="P573" i="10" l="1"/>
  <c r="O573" i="10"/>
  <c r="M574" i="10" l="1"/>
  <c r="S573" i="10"/>
  <c r="N574" i="10"/>
  <c r="T573" i="10"/>
  <c r="L574" i="10" l="1"/>
  <c r="W574" i="10" s="1"/>
  <c r="P574" i="10" l="1"/>
  <c r="O574" i="10"/>
  <c r="M575" i="10" l="1"/>
  <c r="S574" i="10"/>
  <c r="N575" i="10"/>
  <c r="T574" i="10"/>
  <c r="L575" i="10" l="1"/>
  <c r="W575" i="10" s="1"/>
  <c r="P575" i="10" l="1"/>
  <c r="O575" i="10"/>
  <c r="M576" i="10" l="1"/>
  <c r="S575" i="10"/>
  <c r="N576" i="10"/>
  <c r="T575" i="10"/>
  <c r="L576" i="10" l="1"/>
  <c r="W576" i="10" s="1"/>
  <c r="P576" i="10" l="1"/>
  <c r="O576" i="10"/>
  <c r="M577" i="10" l="1"/>
  <c r="S576" i="10"/>
  <c r="N577" i="10"/>
  <c r="T576" i="10"/>
  <c r="L577" i="10" l="1"/>
  <c r="W577" i="10" s="1"/>
  <c r="O577" i="10" l="1"/>
  <c r="P577" i="10"/>
  <c r="N578" i="10" l="1"/>
  <c r="T577" i="10"/>
  <c r="M578" i="10"/>
  <c r="S577" i="10"/>
  <c r="L578" i="10" l="1"/>
  <c r="W578" i="10" s="1"/>
  <c r="P578" i="10"/>
  <c r="O578" i="10"/>
  <c r="S578" i="10" l="1"/>
  <c r="M579" i="10"/>
  <c r="N579" i="10"/>
  <c r="T578" i="10"/>
  <c r="L579" i="10" l="1"/>
  <c r="W579" i="10" s="1"/>
  <c r="P579" i="10" l="1"/>
  <c r="O579" i="10"/>
  <c r="M580" i="10" l="1"/>
  <c r="S579" i="10"/>
  <c r="N580" i="10"/>
  <c r="T579" i="10"/>
  <c r="L580" i="10" l="1"/>
  <c r="W580" i="10" s="1"/>
  <c r="P580" i="10" l="1"/>
  <c r="O580" i="10"/>
  <c r="S580" i="10" l="1"/>
  <c r="M581" i="10"/>
  <c r="N581" i="10"/>
  <c r="T580" i="10"/>
  <c r="L581" i="10" l="1"/>
  <c r="W581" i="10" s="1"/>
  <c r="O581" i="10" l="1"/>
  <c r="P581" i="10"/>
  <c r="N582" i="10" l="1"/>
  <c r="T581" i="10"/>
  <c r="M582" i="10"/>
  <c r="S581" i="10"/>
  <c r="L582" i="10" l="1"/>
  <c r="W582" i="10" s="1"/>
  <c r="O582" i="10"/>
  <c r="P582" i="10"/>
  <c r="N583" i="10" l="1"/>
  <c r="T582" i="10"/>
  <c r="S582" i="10"/>
  <c r="M583" i="10"/>
  <c r="L583" i="10" l="1"/>
  <c r="W583" i="10" s="1"/>
  <c r="P583" i="10"/>
  <c r="O583" i="10"/>
  <c r="M584" i="10" l="1"/>
  <c r="S583" i="10"/>
  <c r="N584" i="10"/>
  <c r="T583" i="10"/>
  <c r="L584" i="10" l="1"/>
  <c r="W584" i="10" s="1"/>
  <c r="P584" i="10" l="1"/>
  <c r="O584" i="10"/>
  <c r="M585" i="10" l="1"/>
  <c r="S584" i="10"/>
  <c r="N585" i="10"/>
  <c r="T584" i="10"/>
  <c r="L585" i="10" l="1"/>
  <c r="W585" i="10" s="1"/>
  <c r="P585" i="10" l="1"/>
  <c r="O585" i="10"/>
  <c r="M586" i="10" l="1"/>
  <c r="S585" i="10"/>
  <c r="N586" i="10"/>
  <c r="T585" i="10"/>
  <c r="L586" i="10" l="1"/>
  <c r="W586" i="10" s="1"/>
  <c r="P586" i="10" l="1"/>
  <c r="O586" i="10"/>
  <c r="S586" i="10" l="1"/>
  <c r="M587" i="10"/>
  <c r="T586" i="10"/>
  <c r="N587" i="10"/>
  <c r="L587" i="10" l="1"/>
  <c r="W587" i="10" s="1"/>
  <c r="P587" i="10" l="1"/>
  <c r="O587" i="10"/>
  <c r="S587" i="10" l="1"/>
  <c r="M588" i="10"/>
  <c r="N588" i="10"/>
  <c r="T587" i="10"/>
  <c r="L588" i="10" l="1"/>
  <c r="W588" i="10" s="1"/>
  <c r="O588" i="10" l="1"/>
  <c r="P588" i="10"/>
  <c r="N589" i="10" l="1"/>
  <c r="T588" i="10"/>
  <c r="M589" i="10"/>
  <c r="S588" i="10"/>
  <c r="L589" i="10" l="1"/>
  <c r="W589" i="10" s="1"/>
  <c r="P589" i="10"/>
  <c r="O589" i="10"/>
  <c r="S589" i="10" l="1"/>
  <c r="M590" i="10"/>
  <c r="N590" i="10"/>
  <c r="T589" i="10"/>
  <c r="L590" i="10" l="1"/>
  <c r="W590" i="10" s="1"/>
  <c r="P590" i="10" l="1"/>
  <c r="O590" i="10"/>
  <c r="M591" i="10" l="1"/>
  <c r="S590" i="10"/>
  <c r="N591" i="10"/>
  <c r="T590" i="10"/>
  <c r="L591" i="10" l="1"/>
  <c r="W591" i="10" s="1"/>
  <c r="O591" i="10" l="1"/>
  <c r="P591" i="10"/>
  <c r="N592" i="10" l="1"/>
  <c r="T591" i="10"/>
  <c r="M592" i="10"/>
  <c r="S591" i="10"/>
  <c r="L592" i="10" l="1"/>
  <c r="W592" i="10" s="1"/>
  <c r="P592" i="10"/>
  <c r="O592" i="10"/>
  <c r="M593" i="10" l="1"/>
  <c r="S592" i="10"/>
  <c r="N593" i="10"/>
  <c r="T592" i="10"/>
  <c r="L593" i="10" l="1"/>
  <c r="W593" i="10" s="1"/>
  <c r="P593" i="10" l="1"/>
  <c r="O593" i="10"/>
  <c r="S593" i="10" l="1"/>
  <c r="M594" i="10"/>
  <c r="N594" i="10"/>
  <c r="T593" i="10"/>
  <c r="L594" i="10" l="1"/>
  <c r="W594" i="10" s="1"/>
  <c r="P594" i="10" l="1"/>
  <c r="O594" i="10"/>
  <c r="M595" i="10" l="1"/>
  <c r="S594" i="10"/>
  <c r="N595" i="10"/>
  <c r="T594" i="10"/>
  <c r="L595" i="10" l="1"/>
  <c r="W595" i="10" s="1"/>
  <c r="P595" i="10" l="1"/>
  <c r="O595" i="10"/>
  <c r="M596" i="10" l="1"/>
  <c r="S595" i="10"/>
  <c r="N596" i="10"/>
  <c r="T595" i="10"/>
  <c r="L596" i="10" l="1"/>
  <c r="W596" i="10" s="1"/>
  <c r="P596" i="10" l="1"/>
  <c r="O596" i="10"/>
  <c r="M597" i="10" l="1"/>
  <c r="S596" i="10"/>
  <c r="N597" i="10"/>
  <c r="T596" i="10"/>
  <c r="L597" i="10" l="1"/>
  <c r="W597" i="10" s="1"/>
  <c r="P597" i="10" l="1"/>
  <c r="O597" i="10"/>
  <c r="M598" i="10" l="1"/>
  <c r="S597" i="10"/>
  <c r="N598" i="10"/>
  <c r="T597" i="10"/>
  <c r="L598" i="10" l="1"/>
  <c r="W598" i="10" s="1"/>
  <c r="P598" i="10" l="1"/>
  <c r="O598" i="10"/>
  <c r="S598" i="10" l="1"/>
  <c r="M599" i="10"/>
  <c r="N599" i="10"/>
  <c r="T598" i="10"/>
  <c r="L599" i="10" l="1"/>
  <c r="W599" i="10" s="1"/>
  <c r="P599" i="10" l="1"/>
  <c r="O599" i="10"/>
  <c r="M600" i="10" l="1"/>
  <c r="S599" i="10"/>
  <c r="N600" i="10"/>
  <c r="T599" i="10"/>
  <c r="L600" i="10" l="1"/>
  <c r="W600" i="10" s="1"/>
  <c r="O600" i="10" l="1"/>
  <c r="P600" i="10"/>
  <c r="N601" i="10" l="1"/>
  <c r="T600" i="10"/>
  <c r="S600" i="10"/>
  <c r="M601" i="10"/>
  <c r="L601" i="10" l="1"/>
  <c r="W601" i="10" s="1"/>
  <c r="P601" i="10"/>
  <c r="O601" i="10"/>
  <c r="S601" i="10" l="1"/>
  <c r="M602" i="10"/>
  <c r="N602" i="10"/>
  <c r="T601" i="10"/>
  <c r="L602" i="10" l="1"/>
  <c r="W602" i="10" s="1"/>
  <c r="P602" i="10" l="1"/>
  <c r="O602" i="10"/>
  <c r="M603" i="10" l="1"/>
  <c r="S602" i="10"/>
  <c r="N603" i="10"/>
  <c r="T602" i="10"/>
  <c r="L603" i="10" l="1"/>
  <c r="W603" i="10" s="1"/>
  <c r="P603" i="10" l="1"/>
  <c r="O603" i="10"/>
  <c r="S603" i="10" l="1"/>
  <c r="M604" i="10"/>
  <c r="N604" i="10"/>
  <c r="T603" i="10"/>
  <c r="L604" i="10" l="1"/>
  <c r="W604" i="10" s="1"/>
  <c r="P604" i="10" l="1"/>
  <c r="O604" i="10"/>
  <c r="S604" i="10" l="1"/>
  <c r="M605" i="10"/>
  <c r="N605" i="10"/>
  <c r="T604" i="10"/>
  <c r="L605" i="10" l="1"/>
  <c r="W605" i="10" s="1"/>
  <c r="P605" i="10" l="1"/>
  <c r="O605" i="10"/>
  <c r="S605" i="10" l="1"/>
  <c r="M606" i="10"/>
  <c r="N606" i="10"/>
  <c r="T605" i="10"/>
  <c r="L606" i="10" l="1"/>
  <c r="W606" i="10" s="1"/>
  <c r="P606" i="10" l="1"/>
  <c r="O606" i="10"/>
  <c r="S606" i="10" l="1"/>
  <c r="M607" i="10"/>
  <c r="N607" i="10"/>
  <c r="T606" i="10"/>
  <c r="L607" i="10" l="1"/>
  <c r="W607" i="10" s="1"/>
  <c r="P607" i="10" l="1"/>
  <c r="O607" i="10"/>
  <c r="S607" i="10" l="1"/>
  <c r="M608" i="10"/>
  <c r="N608" i="10"/>
  <c r="T607" i="10"/>
  <c r="L608" i="10" l="1"/>
  <c r="W608" i="10" s="1"/>
  <c r="P608" i="10"/>
  <c r="O608" i="10"/>
  <c r="M609" i="10" l="1"/>
  <c r="S608" i="10"/>
  <c r="N609" i="10"/>
  <c r="T608" i="10"/>
  <c r="L609" i="10" l="1"/>
  <c r="W609" i="10" s="1"/>
  <c r="P609" i="10" l="1"/>
  <c r="O609" i="10"/>
  <c r="M610" i="10" l="1"/>
  <c r="S609" i="10"/>
  <c r="N610" i="10"/>
  <c r="T609" i="10"/>
  <c r="L610" i="10" l="1"/>
  <c r="W610" i="10" s="1"/>
  <c r="O610" i="10" l="1"/>
  <c r="P610" i="10"/>
  <c r="N611" i="10" l="1"/>
  <c r="T610" i="10"/>
  <c r="S610" i="10"/>
  <c r="M611" i="10"/>
  <c r="L611" i="10" l="1"/>
  <c r="W611" i="10" s="1"/>
  <c r="P611" i="10" l="1"/>
  <c r="N612" i="10" s="1"/>
  <c r="O611" i="10"/>
  <c r="S611" i="10" s="1"/>
  <c r="M612" i="10" l="1"/>
  <c r="T611" i="10"/>
  <c r="L612" i="10"/>
  <c r="W612" i="10" s="1"/>
  <c r="O612" i="10"/>
  <c r="P612" i="10" l="1"/>
  <c r="N613" i="10" s="1"/>
  <c r="M613" i="10"/>
  <c r="S612" i="10"/>
  <c r="T612" i="10" l="1"/>
  <c r="L613" i="10"/>
  <c r="W613" i="10" s="1"/>
  <c r="P613" i="10" l="1"/>
  <c r="N614" i="10" s="1"/>
  <c r="O613" i="10"/>
  <c r="S613" i="10" s="1"/>
  <c r="T613" i="10" l="1"/>
  <c r="M614" i="10"/>
  <c r="L614" i="10" s="1"/>
  <c r="W614" i="10" s="1"/>
  <c r="O614" i="10"/>
  <c r="P614" i="10" l="1"/>
  <c r="S614" i="10"/>
  <c r="M615" i="10"/>
  <c r="N615" i="10"/>
  <c r="T614" i="10"/>
  <c r="L615" i="10" l="1"/>
  <c r="W615" i="10" s="1"/>
  <c r="P615" i="10" l="1"/>
  <c r="O615" i="10"/>
  <c r="M616" i="10" l="1"/>
  <c r="S615" i="10"/>
  <c r="N616" i="10"/>
  <c r="T615" i="10"/>
  <c r="L616" i="10" l="1"/>
  <c r="W616" i="10" s="1"/>
  <c r="P616" i="10" l="1"/>
  <c r="O616" i="10"/>
  <c r="S616" i="10" l="1"/>
  <c r="M617" i="10"/>
  <c r="N617" i="10"/>
  <c r="T616" i="10"/>
  <c r="L617" i="10" l="1"/>
  <c r="W617" i="10" s="1"/>
  <c r="O617" i="10" l="1"/>
  <c r="P617" i="10"/>
  <c r="N618" i="10" l="1"/>
  <c r="T617" i="10"/>
  <c r="S617" i="10"/>
  <c r="M618" i="10"/>
  <c r="L618" i="10" l="1"/>
  <c r="W618" i="10" s="1"/>
  <c r="O618" i="10" l="1"/>
  <c r="M619" i="10" s="1"/>
  <c r="P618" i="10"/>
  <c r="N619" i="10" s="1"/>
  <c r="T618" i="10" l="1"/>
  <c r="S618" i="10"/>
  <c r="L619" i="10"/>
  <c r="W619" i="10" s="1"/>
  <c r="P619" i="10" l="1"/>
  <c r="O619" i="10"/>
  <c r="M620" i="10" l="1"/>
  <c r="S619" i="10"/>
  <c r="N620" i="10"/>
  <c r="T619" i="10"/>
  <c r="L620" i="10" l="1"/>
  <c r="W620" i="10" s="1"/>
  <c r="P620" i="10" l="1"/>
  <c r="O620" i="10"/>
  <c r="S620" i="10" l="1"/>
  <c r="M621" i="10"/>
  <c r="N621" i="10"/>
  <c r="T620" i="10"/>
  <c r="L621" i="10" l="1"/>
  <c r="W621" i="10" s="1"/>
  <c r="P621" i="10" l="1"/>
  <c r="O621" i="10"/>
  <c r="M622" i="10" l="1"/>
  <c r="S621" i="10"/>
  <c r="N622" i="10"/>
  <c r="T621" i="10"/>
  <c r="L622" i="10" l="1"/>
  <c r="W622" i="10" s="1"/>
  <c r="P622" i="10" l="1"/>
  <c r="O622" i="10"/>
  <c r="S622" i="10" l="1"/>
  <c r="M623" i="10"/>
  <c r="N623" i="10"/>
  <c r="T622" i="10"/>
  <c r="L623" i="10" l="1"/>
  <c r="W623" i="10" s="1"/>
  <c r="P623" i="10" l="1"/>
  <c r="O623" i="10"/>
  <c r="M624" i="10" l="1"/>
  <c r="S623" i="10"/>
  <c r="N624" i="10"/>
  <c r="T623" i="10"/>
  <c r="L624" i="10" l="1"/>
  <c r="W624" i="10" s="1"/>
  <c r="P624" i="10" l="1"/>
  <c r="O624" i="10"/>
  <c r="M625" i="10" l="1"/>
  <c r="S624" i="10"/>
  <c r="N625" i="10"/>
  <c r="T624" i="10"/>
  <c r="L625" i="10" l="1"/>
  <c r="W625" i="10" s="1"/>
  <c r="P625" i="10" l="1"/>
  <c r="O625" i="10"/>
  <c r="S625" i="10" l="1"/>
  <c r="M626" i="10"/>
  <c r="N626" i="10"/>
  <c r="T625" i="10"/>
  <c r="L626" i="10" l="1"/>
  <c r="W626" i="10" s="1"/>
  <c r="P626" i="10" l="1"/>
  <c r="O626" i="10"/>
  <c r="M627" i="10" l="1"/>
  <c r="S626" i="10"/>
  <c r="N627" i="10"/>
  <c r="T626" i="10"/>
  <c r="L627" i="10" l="1"/>
  <c r="W627" i="10" s="1"/>
  <c r="P627" i="10" l="1"/>
  <c r="O627" i="10"/>
  <c r="M628" i="10" l="1"/>
  <c r="S627" i="10"/>
  <c r="N628" i="10"/>
  <c r="T627" i="10"/>
  <c r="L628" i="10" l="1"/>
  <c r="W628" i="10" s="1"/>
  <c r="P628" i="10" l="1"/>
  <c r="O628" i="10"/>
  <c r="S628" i="10" l="1"/>
  <c r="M629" i="10"/>
  <c r="N629" i="10"/>
  <c r="T628" i="10"/>
  <c r="L629" i="10" l="1"/>
  <c r="W629" i="10" s="1"/>
  <c r="P629" i="10" l="1"/>
  <c r="O629" i="10"/>
  <c r="S629" i="10" l="1"/>
  <c r="M630" i="10"/>
  <c r="N630" i="10"/>
  <c r="T629" i="10"/>
  <c r="L630" i="10" l="1"/>
  <c r="W630" i="10" s="1"/>
  <c r="P630" i="10" l="1"/>
  <c r="O630" i="10"/>
  <c r="M631" i="10" l="1"/>
  <c r="S630" i="10"/>
  <c r="N631" i="10"/>
  <c r="T630" i="10"/>
  <c r="L631" i="10" l="1"/>
  <c r="W631" i="10" s="1"/>
  <c r="P631" i="10" l="1"/>
  <c r="O631" i="10"/>
  <c r="S631" i="10" l="1"/>
  <c r="M632" i="10"/>
  <c r="N632" i="10"/>
  <c r="T631" i="10"/>
  <c r="L632" i="10" l="1"/>
  <c r="W632" i="10" s="1"/>
  <c r="O632" i="10" l="1"/>
  <c r="P632" i="10"/>
  <c r="N633" i="10" l="1"/>
  <c r="T632" i="10"/>
  <c r="S632" i="10"/>
  <c r="M633" i="10"/>
  <c r="L633" i="10" l="1"/>
  <c r="W633" i="10" s="1"/>
  <c r="P633" i="10"/>
  <c r="O633" i="10"/>
  <c r="S633" i="10" l="1"/>
  <c r="M634" i="10"/>
  <c r="N634" i="10"/>
  <c r="T633" i="10"/>
  <c r="L634" i="10" l="1"/>
  <c r="W634" i="10" s="1"/>
  <c r="O634" i="10" l="1"/>
  <c r="P634" i="10"/>
  <c r="N635" i="10" l="1"/>
  <c r="T634" i="10"/>
  <c r="M635" i="10"/>
  <c r="S634" i="10"/>
  <c r="L635" i="10" l="1"/>
  <c r="W635" i="10" s="1"/>
  <c r="O635" i="10"/>
  <c r="P635" i="10" l="1"/>
  <c r="N636" i="10" s="1"/>
  <c r="M636" i="10"/>
  <c r="S635" i="10"/>
  <c r="T635" i="10" l="1"/>
  <c r="L636" i="10"/>
  <c r="W636" i="10" s="1"/>
  <c r="P636" i="10" l="1"/>
  <c r="O636" i="10"/>
  <c r="S636" i="10" l="1"/>
  <c r="M637" i="10"/>
  <c r="N637" i="10"/>
  <c r="T636" i="10"/>
  <c r="L637" i="10" l="1"/>
  <c r="W637" i="10" s="1"/>
  <c r="P637" i="10"/>
  <c r="O637" i="10"/>
  <c r="S637" i="10" l="1"/>
  <c r="M638" i="10"/>
  <c r="N638" i="10"/>
  <c r="T637" i="10"/>
  <c r="L638" i="10" l="1"/>
  <c r="W638" i="10" s="1"/>
  <c r="P638" i="10" l="1"/>
  <c r="O638" i="10"/>
  <c r="M639" i="10" l="1"/>
  <c r="S638" i="10"/>
  <c r="T638" i="10"/>
  <c r="N639" i="10"/>
  <c r="L639" i="10" l="1"/>
  <c r="W639" i="10" s="1"/>
  <c r="P639" i="10" l="1"/>
  <c r="O639" i="10"/>
  <c r="M640" i="10" l="1"/>
  <c r="S639" i="10"/>
  <c r="N640" i="10"/>
  <c r="T639" i="10"/>
  <c r="L640" i="10" l="1"/>
  <c r="W640" i="10" s="1"/>
  <c r="P640" i="10" l="1"/>
  <c r="O640" i="10"/>
  <c r="S640" i="10" l="1"/>
  <c r="M641" i="10"/>
  <c r="N641" i="10"/>
  <c r="T640" i="10"/>
  <c r="L641" i="10" l="1"/>
  <c r="W641" i="10" s="1"/>
  <c r="P641" i="10" l="1"/>
  <c r="O641" i="10"/>
  <c r="M642" i="10" l="1"/>
  <c r="S641" i="10"/>
  <c r="N642" i="10"/>
  <c r="T641" i="10"/>
  <c r="L642" i="10" l="1"/>
  <c r="W642" i="10" s="1"/>
  <c r="O642" i="10" l="1"/>
  <c r="P642" i="10"/>
  <c r="N643" i="10" l="1"/>
  <c r="T642" i="10"/>
  <c r="M643" i="10"/>
  <c r="S642" i="10"/>
  <c r="L643" i="10" l="1"/>
  <c r="W643" i="10" s="1"/>
  <c r="P643" i="10"/>
  <c r="O643" i="10"/>
  <c r="S643" i="10" l="1"/>
  <c r="M644" i="10"/>
  <c r="N644" i="10"/>
  <c r="T643" i="10"/>
  <c r="L644" i="10" l="1"/>
  <c r="W644" i="10" s="1"/>
  <c r="P644" i="10" l="1"/>
  <c r="O644" i="10"/>
  <c r="S644" i="10" l="1"/>
  <c r="M645" i="10"/>
  <c r="T644" i="10"/>
  <c r="N645" i="10"/>
  <c r="L645" i="10" l="1"/>
  <c r="W645" i="10" s="1"/>
  <c r="P645" i="10" l="1"/>
  <c r="O645" i="10"/>
  <c r="S645" i="10" l="1"/>
  <c r="M646" i="10"/>
  <c r="N646" i="10"/>
  <c r="T645" i="10"/>
  <c r="L646" i="10" l="1"/>
  <c r="W646" i="10" s="1"/>
  <c r="P646" i="10" l="1"/>
  <c r="O646" i="10"/>
  <c r="S646" i="10" l="1"/>
  <c r="M647" i="10"/>
  <c r="T646" i="10"/>
  <c r="N647" i="10"/>
  <c r="L647" i="10" l="1"/>
  <c r="W647" i="10" s="1"/>
  <c r="O647" i="10" l="1"/>
  <c r="P647" i="10"/>
  <c r="N648" i="10" l="1"/>
  <c r="T647" i="10"/>
  <c r="S647" i="10"/>
  <c r="M648" i="10"/>
  <c r="L648" i="10" l="1"/>
  <c r="P648" i="10"/>
  <c r="O648" i="10" l="1"/>
  <c r="S648" i="10" s="1"/>
  <c r="W648" i="10"/>
  <c r="N649" i="10"/>
  <c r="T648" i="10"/>
  <c r="M649" i="10" l="1"/>
  <c r="L649" i="10"/>
  <c r="W649" i="10" s="1"/>
  <c r="O649" i="10"/>
  <c r="P649" i="10" l="1"/>
  <c r="N650" i="10" s="1"/>
  <c r="M650" i="10"/>
  <c r="S649" i="10"/>
  <c r="T649" i="10" l="1"/>
  <c r="L650" i="10"/>
  <c r="W650" i="10" s="1"/>
  <c r="P650" i="10" l="1"/>
  <c r="O650" i="10"/>
  <c r="S650" i="10" l="1"/>
  <c r="M651" i="10"/>
  <c r="N651" i="10"/>
  <c r="T650" i="10"/>
  <c r="L651" i="10" l="1"/>
  <c r="W651" i="10" s="1"/>
  <c r="P651" i="10" l="1"/>
  <c r="O651" i="10"/>
  <c r="S651" i="10" l="1"/>
  <c r="M652" i="10"/>
  <c r="N652" i="10"/>
  <c r="T651" i="10"/>
  <c r="L652" i="10" l="1"/>
  <c r="W652" i="10" s="1"/>
  <c r="O652" i="10" l="1"/>
  <c r="P652" i="10"/>
  <c r="N653" i="10" l="1"/>
  <c r="T652" i="10"/>
  <c r="M653" i="10"/>
  <c r="S652" i="10"/>
  <c r="L653" i="10" l="1"/>
  <c r="W653" i="10" s="1"/>
  <c r="P653" i="10"/>
  <c r="O653" i="10"/>
  <c r="M654" i="10" l="1"/>
  <c r="S653" i="10"/>
  <c r="N654" i="10"/>
  <c r="T653" i="10"/>
  <c r="L654" i="10" l="1"/>
  <c r="W654" i="10" s="1"/>
  <c r="P654" i="10" l="1"/>
  <c r="O654" i="10"/>
  <c r="M655" i="10" l="1"/>
  <c r="S654" i="10"/>
  <c r="N655" i="10"/>
  <c r="T654" i="10"/>
  <c r="L655" i="10" l="1"/>
  <c r="W655" i="10" s="1"/>
  <c r="P655" i="10" l="1"/>
  <c r="O655" i="10"/>
  <c r="S655" i="10" l="1"/>
  <c r="M656" i="10"/>
  <c r="N656" i="10"/>
  <c r="T655" i="10"/>
  <c r="L656" i="10" l="1"/>
  <c r="W656" i="10" s="1"/>
  <c r="P656" i="10" l="1"/>
  <c r="O656" i="10"/>
  <c r="S656" i="10" l="1"/>
  <c r="M657" i="10"/>
  <c r="N657" i="10"/>
  <c r="T656" i="10"/>
  <c r="L657" i="10" l="1"/>
  <c r="W657" i="10" s="1"/>
  <c r="P657" i="10" l="1"/>
  <c r="O657" i="10"/>
  <c r="S657" i="10" l="1"/>
  <c r="M658" i="10"/>
  <c r="N658" i="10"/>
  <c r="T657" i="10"/>
  <c r="L658" i="10" l="1"/>
  <c r="W658" i="10" s="1"/>
  <c r="P658" i="10" l="1"/>
  <c r="O658" i="10"/>
  <c r="M659" i="10" l="1"/>
  <c r="S658" i="10"/>
  <c r="N659" i="10"/>
  <c r="T658" i="10"/>
  <c r="L659" i="10" l="1"/>
  <c r="W659" i="10" s="1"/>
  <c r="P659" i="10" l="1"/>
  <c r="O659" i="10"/>
  <c r="S659" i="10" l="1"/>
  <c r="M660" i="10"/>
  <c r="N660" i="10"/>
  <c r="T659" i="10"/>
  <c r="L660" i="10" l="1"/>
  <c r="W660" i="10" s="1"/>
  <c r="P660" i="10" l="1"/>
  <c r="O660" i="10"/>
  <c r="S660" i="10" l="1"/>
  <c r="M661" i="10"/>
  <c r="N661" i="10"/>
  <c r="T660" i="10"/>
  <c r="L661" i="10" l="1"/>
  <c r="W661" i="10" s="1"/>
  <c r="P661" i="10" l="1"/>
  <c r="O661" i="10"/>
  <c r="S661" i="10" l="1"/>
  <c r="M662" i="10"/>
  <c r="N662" i="10"/>
  <c r="T661" i="10"/>
  <c r="L662" i="10" l="1"/>
  <c r="W662" i="10" s="1"/>
  <c r="O662" i="10" l="1"/>
  <c r="P662" i="10"/>
  <c r="N663" i="10" l="1"/>
  <c r="T662" i="10"/>
  <c r="S662" i="10"/>
  <c r="M663" i="10"/>
  <c r="L663" i="10" l="1"/>
  <c r="W663" i="10" s="1"/>
  <c r="P663" i="10"/>
  <c r="O663" i="10"/>
  <c r="S663" i="10" l="1"/>
  <c r="M664" i="10"/>
  <c r="N664" i="10"/>
  <c r="T663" i="10"/>
  <c r="L664" i="10" l="1"/>
  <c r="W664" i="10" s="1"/>
  <c r="P664" i="10" l="1"/>
  <c r="O664" i="10"/>
  <c r="S664" i="10" l="1"/>
  <c r="M665" i="10"/>
  <c r="N665" i="10"/>
  <c r="T664" i="10"/>
  <c r="L665" i="10" l="1"/>
  <c r="W665" i="10" s="1"/>
  <c r="P665" i="10" l="1"/>
  <c r="O665" i="10"/>
  <c r="M666" i="10" l="1"/>
  <c r="S665" i="10"/>
  <c r="N666" i="10"/>
  <c r="T665" i="10"/>
  <c r="L666" i="10" l="1"/>
  <c r="W666" i="10" s="1"/>
  <c r="P666" i="10" l="1"/>
  <c r="O666" i="10"/>
  <c r="S666" i="10" l="1"/>
  <c r="M667" i="10"/>
  <c r="N667" i="10"/>
  <c r="T666" i="10"/>
  <c r="L667" i="10" l="1"/>
  <c r="W667" i="10" s="1"/>
  <c r="P667" i="10" l="1"/>
  <c r="O667" i="10"/>
  <c r="M668" i="10" l="1"/>
  <c r="S667" i="10"/>
  <c r="N668" i="10"/>
  <c r="T667" i="10"/>
  <c r="L668" i="10" l="1"/>
  <c r="W668" i="10" s="1"/>
  <c r="P668" i="10" l="1"/>
  <c r="O668" i="10"/>
  <c r="S668" i="10" l="1"/>
  <c r="M669" i="10"/>
  <c r="N669" i="10"/>
  <c r="T668" i="10"/>
  <c r="L669" i="10" l="1"/>
  <c r="W669" i="10" s="1"/>
  <c r="P669" i="10" l="1"/>
  <c r="O669" i="10"/>
  <c r="S669" i="10" l="1"/>
  <c r="M670" i="10"/>
  <c r="N670" i="10"/>
  <c r="T669" i="10"/>
  <c r="L670" i="10" l="1"/>
  <c r="W670" i="10" s="1"/>
  <c r="P670" i="10" l="1"/>
  <c r="O670" i="10"/>
  <c r="S670" i="10" l="1"/>
  <c r="M671" i="10"/>
  <c r="N671" i="10"/>
  <c r="T670" i="10"/>
  <c r="L671" i="10" l="1"/>
  <c r="W671" i="10" s="1"/>
  <c r="P671" i="10" l="1"/>
  <c r="O671" i="10"/>
  <c r="M672" i="10" l="1"/>
  <c r="S671" i="10"/>
  <c r="N672" i="10"/>
  <c r="T671" i="10"/>
  <c r="L672" i="10" l="1"/>
  <c r="W672" i="10" s="1"/>
  <c r="P672" i="10" l="1"/>
  <c r="O672" i="10"/>
  <c r="S672" i="10" l="1"/>
  <c r="M673" i="10"/>
  <c r="N673" i="10"/>
  <c r="T672" i="10"/>
  <c r="L673" i="10" l="1"/>
  <c r="W673" i="10" s="1"/>
  <c r="P673" i="10" l="1"/>
  <c r="O673" i="10"/>
  <c r="M674" i="10" l="1"/>
  <c r="S673" i="10"/>
  <c r="N674" i="10"/>
  <c r="T673" i="10"/>
  <c r="L674" i="10" l="1"/>
  <c r="W674" i="10" s="1"/>
  <c r="P674" i="10" l="1"/>
  <c r="O674" i="10"/>
  <c r="S674" i="10" l="1"/>
  <c r="M675" i="10"/>
  <c r="N675" i="10"/>
  <c r="T674" i="10"/>
  <c r="L675" i="10" l="1"/>
  <c r="W675" i="10" s="1"/>
  <c r="P675" i="10" l="1"/>
  <c r="O675" i="10"/>
  <c r="M676" i="10" l="1"/>
  <c r="S675" i="10"/>
  <c r="N676" i="10"/>
  <c r="T675" i="10"/>
  <c r="L676" i="10" l="1"/>
  <c r="W676" i="10" s="1"/>
  <c r="P676" i="10" l="1"/>
  <c r="O676" i="10"/>
  <c r="S676" i="10" l="1"/>
  <c r="M677" i="10"/>
  <c r="N677" i="10"/>
  <c r="T676" i="10"/>
  <c r="L677" i="10" l="1"/>
  <c r="W677" i="10" s="1"/>
  <c r="P677" i="10" l="1"/>
  <c r="O677" i="10"/>
  <c r="S677" i="10" l="1"/>
  <c r="M678" i="10"/>
  <c r="N678" i="10"/>
  <c r="T677" i="10"/>
  <c r="L678" i="10" l="1"/>
  <c r="W678" i="10" s="1"/>
  <c r="P678" i="10" l="1"/>
  <c r="O678" i="10"/>
  <c r="S678" i="10" l="1"/>
  <c r="M679" i="10"/>
  <c r="N679" i="10"/>
  <c r="T678" i="10"/>
  <c r="L679" i="10" l="1"/>
  <c r="W679" i="10" s="1"/>
  <c r="P679" i="10" l="1"/>
  <c r="O679" i="10"/>
  <c r="S679" i="10" l="1"/>
  <c r="M680" i="10"/>
  <c r="N680" i="10"/>
  <c r="T679" i="10"/>
  <c r="L680" i="10" l="1"/>
  <c r="W680" i="10" s="1"/>
  <c r="P680" i="10" l="1"/>
  <c r="O680" i="10"/>
  <c r="S680" i="10" l="1"/>
  <c r="M681" i="10"/>
  <c r="T680" i="10"/>
  <c r="N681" i="10"/>
  <c r="L681" i="10" l="1"/>
  <c r="W681" i="10" s="1"/>
  <c r="O681" i="10" l="1"/>
  <c r="P681" i="10"/>
  <c r="N682" i="10" l="1"/>
  <c r="T681" i="10"/>
  <c r="M682" i="10"/>
  <c r="S681" i="10"/>
  <c r="L682" i="10" l="1"/>
  <c r="W682" i="10" s="1"/>
  <c r="P682" i="10"/>
  <c r="O682" i="10"/>
  <c r="M683" i="10" l="1"/>
  <c r="S682" i="10"/>
  <c r="N683" i="10"/>
  <c r="T682" i="10"/>
  <c r="L683" i="10" l="1"/>
  <c r="W683" i="10" s="1"/>
  <c r="P683" i="10" l="1"/>
  <c r="O683" i="10"/>
  <c r="M684" i="10" l="1"/>
  <c r="S683" i="10"/>
  <c r="N684" i="10"/>
  <c r="T683" i="10"/>
  <c r="L684" i="10" l="1"/>
  <c r="W684" i="10" s="1"/>
  <c r="P684" i="10" l="1"/>
  <c r="O684" i="10"/>
  <c r="M685" i="10" l="1"/>
  <c r="S684" i="10"/>
  <c r="N685" i="10"/>
  <c r="T684" i="10"/>
  <c r="L685" i="10" l="1"/>
  <c r="W685" i="10" s="1"/>
  <c r="P685" i="10" l="1"/>
  <c r="O685" i="10"/>
  <c r="M686" i="10" l="1"/>
  <c r="S685" i="10"/>
  <c r="N686" i="10"/>
  <c r="T685" i="10"/>
  <c r="L686" i="10" l="1"/>
  <c r="W686" i="10" s="1"/>
  <c r="P686" i="10" l="1"/>
  <c r="O686" i="10"/>
  <c r="M687" i="10" l="1"/>
  <c r="S686" i="10"/>
  <c r="N687" i="10"/>
  <c r="T686" i="10"/>
  <c r="L687" i="10" l="1"/>
  <c r="W687" i="10" s="1"/>
  <c r="P687" i="10" l="1"/>
  <c r="O687" i="10"/>
  <c r="M688" i="10" l="1"/>
  <c r="S687" i="10"/>
  <c r="N688" i="10"/>
  <c r="T687" i="10"/>
  <c r="L688" i="10" l="1"/>
  <c r="W688" i="10" s="1"/>
  <c r="P688" i="10" l="1"/>
  <c r="O688" i="10"/>
  <c r="M689" i="10" l="1"/>
  <c r="S688" i="10"/>
  <c r="N689" i="10"/>
  <c r="T688" i="10"/>
  <c r="L689" i="10" l="1"/>
  <c r="W689" i="10" s="1"/>
  <c r="P689" i="10" l="1"/>
  <c r="O689" i="10"/>
  <c r="M690" i="10" l="1"/>
  <c r="S689" i="10"/>
  <c r="N690" i="10"/>
  <c r="T689" i="10"/>
  <c r="L690" i="10" l="1"/>
  <c r="W690" i="10" s="1"/>
  <c r="P690" i="10" l="1"/>
  <c r="O690" i="10"/>
  <c r="M691" i="10" l="1"/>
  <c r="S690" i="10"/>
  <c r="N691" i="10"/>
  <c r="T690" i="10"/>
  <c r="L691" i="10" l="1"/>
  <c r="W691" i="10" s="1"/>
  <c r="P691" i="10" l="1"/>
  <c r="O691" i="10"/>
  <c r="M692" i="10" l="1"/>
  <c r="S691" i="10"/>
  <c r="N692" i="10"/>
  <c r="T691" i="10"/>
  <c r="L692" i="10" l="1"/>
  <c r="W692" i="10" s="1"/>
  <c r="O692" i="10" l="1"/>
  <c r="P692" i="10"/>
  <c r="N693" i="10" l="1"/>
  <c r="T692" i="10"/>
  <c r="S692" i="10"/>
  <c r="M693" i="10"/>
  <c r="L693" i="10" l="1"/>
  <c r="W693" i="10" s="1"/>
  <c r="P693" i="10"/>
  <c r="O693" i="10"/>
  <c r="S693" i="10" l="1"/>
  <c r="M694" i="10"/>
  <c r="N694" i="10"/>
  <c r="T693" i="10"/>
  <c r="L694" i="10" l="1"/>
  <c r="W694" i="10" s="1"/>
  <c r="P694" i="10" l="1"/>
  <c r="O694" i="10"/>
  <c r="M695" i="10" l="1"/>
  <c r="S694" i="10"/>
  <c r="N695" i="10"/>
  <c r="T694" i="10"/>
  <c r="L695" i="10" l="1"/>
  <c r="W695" i="10" s="1"/>
  <c r="O695" i="10" l="1"/>
  <c r="P695" i="10"/>
  <c r="N696" i="10" l="1"/>
  <c r="T695" i="10"/>
  <c r="S695" i="10"/>
  <c r="M696" i="10"/>
  <c r="L696" i="10" l="1"/>
  <c r="W696" i="10" s="1"/>
  <c r="P696" i="10"/>
  <c r="O696" i="10"/>
  <c r="M697" i="10" l="1"/>
  <c r="S696" i="10"/>
  <c r="N697" i="10"/>
  <c r="T696" i="10"/>
  <c r="L697" i="10" l="1"/>
  <c r="W697" i="10" s="1"/>
  <c r="P697" i="10" l="1"/>
  <c r="O697" i="10"/>
  <c r="M698" i="10" l="1"/>
  <c r="S697" i="10"/>
  <c r="N698" i="10"/>
  <c r="T697" i="10"/>
  <c r="L698" i="10" l="1"/>
  <c r="W698" i="10" s="1"/>
  <c r="P698" i="10" l="1"/>
  <c r="O698" i="10"/>
  <c r="M699" i="10" l="1"/>
  <c r="S698" i="10"/>
  <c r="N699" i="10"/>
  <c r="T698" i="10"/>
  <c r="L699" i="10" l="1"/>
  <c r="W699" i="10" s="1"/>
  <c r="P699" i="10" l="1"/>
  <c r="O699" i="10"/>
  <c r="S699" i="10" l="1"/>
  <c r="M700" i="10"/>
  <c r="N700" i="10"/>
  <c r="T699" i="10"/>
  <c r="L700" i="10" l="1"/>
  <c r="W700" i="10" s="1"/>
  <c r="O700" i="10" l="1"/>
  <c r="P700" i="10"/>
  <c r="N701" i="10" l="1"/>
  <c r="T700" i="10"/>
  <c r="S700" i="10"/>
  <c r="M701" i="10"/>
  <c r="L701" i="10" l="1"/>
  <c r="W701" i="10" s="1"/>
  <c r="O701" i="10" l="1"/>
  <c r="S701" i="10" s="1"/>
  <c r="P701" i="10"/>
  <c r="N702" i="10" s="1"/>
  <c r="M702" i="10" l="1"/>
  <c r="L702" i="10" s="1"/>
  <c r="T701" i="10"/>
  <c r="O702" i="10"/>
  <c r="P702" i="10" l="1"/>
  <c r="T702" i="10" s="1"/>
  <c r="W702" i="10"/>
  <c r="M703" i="10"/>
  <c r="S702" i="10"/>
  <c r="N703" i="10" l="1"/>
  <c r="L703" i="10" s="1"/>
  <c r="W703" i="10" s="1"/>
  <c r="P703" i="10" l="1"/>
  <c r="O703" i="10"/>
  <c r="S703" i="10" l="1"/>
  <c r="M704" i="10"/>
  <c r="N704" i="10"/>
  <c r="T703" i="10"/>
  <c r="L704" i="10" l="1"/>
  <c r="W704" i="10" s="1"/>
  <c r="O704" i="10" l="1"/>
  <c r="P704" i="10"/>
  <c r="N705" i="10" l="1"/>
  <c r="T704" i="10"/>
  <c r="S704" i="10"/>
  <c r="M705" i="10"/>
  <c r="L705" i="10" l="1"/>
  <c r="W705" i="10" s="1"/>
  <c r="P705" i="10"/>
  <c r="O705" i="10"/>
  <c r="S705" i="10" l="1"/>
  <c r="M706" i="10"/>
  <c r="N706" i="10"/>
  <c r="T705" i="10"/>
  <c r="L706" i="10" l="1"/>
  <c r="W706" i="10" s="1"/>
  <c r="P706" i="10" l="1"/>
  <c r="O706" i="10"/>
  <c r="M707" i="10" l="1"/>
  <c r="S706" i="10"/>
  <c r="T706" i="10"/>
  <c r="N707" i="10"/>
  <c r="L707" i="10" l="1"/>
  <c r="W707" i="10" s="1"/>
  <c r="P707" i="10" l="1"/>
  <c r="O707" i="10"/>
  <c r="S707" i="10" l="1"/>
  <c r="M708" i="10"/>
  <c r="N708" i="10"/>
  <c r="T707" i="10"/>
  <c r="L708" i="10" l="1"/>
  <c r="W708" i="10" s="1"/>
  <c r="O708" i="10" l="1"/>
  <c r="P708" i="10"/>
  <c r="N709" i="10" l="1"/>
  <c r="T708" i="10"/>
  <c r="S708" i="10"/>
  <c r="M709" i="10"/>
  <c r="L709" i="10" l="1"/>
  <c r="O709" i="10"/>
  <c r="P709" i="10" l="1"/>
  <c r="T709" i="10" s="1"/>
  <c r="W709" i="10"/>
  <c r="M710" i="10"/>
  <c r="S709" i="10"/>
  <c r="N710" i="10" l="1"/>
  <c r="L710" i="10" s="1"/>
  <c r="W710" i="10" s="1"/>
  <c r="P710" i="10" l="1"/>
  <c r="O710" i="10"/>
  <c r="M711" i="10" l="1"/>
  <c r="S710" i="10"/>
  <c r="N711" i="10"/>
  <c r="T710" i="10"/>
  <c r="L711" i="10" l="1"/>
  <c r="W711" i="10" s="1"/>
  <c r="P711" i="10" l="1"/>
  <c r="O711" i="10"/>
  <c r="S711" i="10" l="1"/>
  <c r="M712" i="10"/>
  <c r="T711" i="10"/>
  <c r="N712" i="10"/>
  <c r="L712" i="10" l="1"/>
  <c r="W712" i="10" s="1"/>
  <c r="P712" i="10" l="1"/>
  <c r="O712" i="10"/>
  <c r="M713" i="10" l="1"/>
  <c r="S712" i="10"/>
  <c r="T712" i="10"/>
  <c r="N713" i="10"/>
  <c r="L713" i="10" l="1"/>
  <c r="W713" i="10" s="1"/>
  <c r="P713" i="10" l="1"/>
  <c r="O713" i="10"/>
  <c r="S713" i="10" l="1"/>
  <c r="M714" i="10"/>
  <c r="N714" i="10"/>
  <c r="T713" i="10"/>
  <c r="L714" i="10" l="1"/>
  <c r="W714" i="10" s="1"/>
  <c r="P714" i="10" l="1"/>
  <c r="O714" i="10"/>
  <c r="M715" i="10" l="1"/>
  <c r="S714" i="10"/>
  <c r="N715" i="10"/>
  <c r="T714" i="10"/>
  <c r="L715" i="10" l="1"/>
  <c r="W715" i="10" s="1"/>
  <c r="O715" i="10" l="1"/>
  <c r="P715" i="10"/>
  <c r="N716" i="10" l="1"/>
  <c r="T715" i="10"/>
  <c r="M716" i="10"/>
  <c r="S715" i="10"/>
  <c r="L716" i="10" l="1"/>
  <c r="O716" i="10"/>
  <c r="P716" i="10" l="1"/>
  <c r="T716" i="10" s="1"/>
  <c r="W716" i="10"/>
  <c r="S716" i="10"/>
  <c r="M717" i="10"/>
  <c r="N717" i="10" l="1"/>
  <c r="L717" i="10" s="1"/>
  <c r="W717" i="10" s="1"/>
  <c r="P717" i="10" l="1"/>
  <c r="O717" i="10"/>
  <c r="M718" i="10" l="1"/>
  <c r="S717" i="10"/>
  <c r="N718" i="10"/>
  <c r="T717" i="10"/>
  <c r="L718" i="10" l="1"/>
  <c r="W718" i="10" s="1"/>
  <c r="P718" i="10" l="1"/>
  <c r="O718" i="10"/>
  <c r="M719" i="10" l="1"/>
  <c r="S718" i="10"/>
  <c r="N719" i="10"/>
  <c r="T718" i="10"/>
  <c r="L719" i="10" l="1"/>
  <c r="W719" i="10" s="1"/>
  <c r="P719" i="10" l="1"/>
  <c r="O719" i="10"/>
  <c r="S719" i="10" l="1"/>
  <c r="M720" i="10"/>
  <c r="N720" i="10"/>
  <c r="T719" i="10"/>
  <c r="L720" i="10" l="1"/>
  <c r="W720" i="10" s="1"/>
  <c r="P720" i="10" l="1"/>
  <c r="O720" i="10"/>
  <c r="S720" i="10" l="1"/>
  <c r="M721" i="10"/>
  <c r="N721" i="10"/>
  <c r="T720" i="10"/>
  <c r="L721" i="10" l="1"/>
  <c r="W721" i="10" s="1"/>
  <c r="O721" i="10" l="1"/>
  <c r="P721" i="10"/>
  <c r="N722" i="10" l="1"/>
  <c r="T721" i="10"/>
  <c r="M722" i="10"/>
  <c r="S721" i="10"/>
  <c r="L722" i="10" l="1"/>
  <c r="W722" i="10" s="1"/>
  <c r="P722" i="10"/>
  <c r="O722" i="10"/>
  <c r="M723" i="10" l="1"/>
  <c r="S722" i="10"/>
  <c r="N723" i="10"/>
  <c r="T722" i="10"/>
  <c r="L723" i="10" l="1"/>
  <c r="W723" i="10" s="1"/>
  <c r="P723" i="10" l="1"/>
  <c r="O723" i="10"/>
  <c r="S723" i="10" l="1"/>
  <c r="M724" i="10"/>
  <c r="N724" i="10"/>
  <c r="T723" i="10"/>
  <c r="L724" i="10" l="1"/>
  <c r="W724" i="10" s="1"/>
  <c r="P724" i="10" l="1"/>
  <c r="O724" i="10"/>
  <c r="M725" i="10" l="1"/>
  <c r="S724" i="10"/>
  <c r="N725" i="10"/>
  <c r="T724" i="10"/>
  <c r="L725" i="10" l="1"/>
  <c r="W725" i="10" s="1"/>
  <c r="P725" i="10" l="1"/>
  <c r="O725" i="10"/>
  <c r="S725" i="10" l="1"/>
  <c r="M726" i="10"/>
  <c r="N726" i="10"/>
  <c r="T725" i="10"/>
  <c r="L726" i="10" l="1"/>
  <c r="P726" i="10" l="1"/>
  <c r="T726" i="10" s="1"/>
  <c r="W726" i="10"/>
  <c r="O726" i="10"/>
  <c r="M727" i="10" s="1"/>
  <c r="N727" i="10" l="1"/>
  <c r="L727" i="10" s="1"/>
  <c r="W727" i="10" s="1"/>
  <c r="S726" i="10"/>
  <c r="O727" i="10" l="1"/>
  <c r="P727" i="10"/>
  <c r="N728" i="10" l="1"/>
  <c r="T727" i="10"/>
  <c r="M728" i="10"/>
  <c r="S727" i="10"/>
  <c r="L728" i="10" l="1"/>
  <c r="P728" i="10"/>
  <c r="O728" i="10" l="1"/>
  <c r="S728" i="10" s="1"/>
  <c r="W728" i="10"/>
  <c r="N729" i="10"/>
  <c r="T728" i="10"/>
  <c r="M729" i="10" l="1"/>
  <c r="L729" i="10" s="1"/>
  <c r="O729" i="10"/>
  <c r="P729" i="10" l="1"/>
  <c r="T729" i="10" s="1"/>
  <c r="W729" i="10"/>
  <c r="M730" i="10"/>
  <c r="S729" i="10"/>
  <c r="N730" i="10"/>
  <c r="L730" i="10" l="1"/>
  <c r="W730" i="10" s="1"/>
  <c r="P730" i="10" l="1"/>
  <c r="O730" i="10"/>
  <c r="S730" i="10" l="1"/>
  <c r="M731" i="10"/>
  <c r="N731" i="10"/>
  <c r="T730" i="10"/>
  <c r="L731" i="10" l="1"/>
  <c r="W731" i="10" s="1"/>
  <c r="P731" i="10" l="1"/>
  <c r="O731" i="10"/>
  <c r="S731" i="10" l="1"/>
  <c r="M732" i="10"/>
  <c r="N732" i="10"/>
  <c r="T731" i="10"/>
  <c r="L732" i="10" l="1"/>
  <c r="W732" i="10" s="1"/>
  <c r="P732" i="10" l="1"/>
  <c r="O732" i="10"/>
  <c r="S732" i="10" l="1"/>
  <c r="M733" i="10"/>
  <c r="N733" i="10"/>
  <c r="T732" i="10"/>
  <c r="L733" i="10" l="1"/>
  <c r="W733" i="10" s="1"/>
  <c r="P733" i="10" l="1"/>
  <c r="O733" i="10"/>
  <c r="M734" i="10" l="1"/>
  <c r="S733" i="10"/>
  <c r="N734" i="10"/>
  <c r="T733" i="10"/>
  <c r="L734" i="10" l="1"/>
  <c r="W734" i="10" s="1"/>
  <c r="O734" i="10" l="1"/>
  <c r="P734" i="10"/>
  <c r="N735" i="10" l="1"/>
  <c r="T734" i="10"/>
  <c r="S734" i="10"/>
  <c r="M735" i="10"/>
  <c r="L735" i="10" l="1"/>
  <c r="P735" i="10" l="1"/>
  <c r="T735" i="10" s="1"/>
  <c r="W735" i="10"/>
  <c r="O735" i="10"/>
  <c r="S735" i="10" s="1"/>
  <c r="N736" i="10" l="1"/>
  <c r="M736" i="10"/>
  <c r="L736" i="10" l="1"/>
  <c r="W736" i="10" s="1"/>
  <c r="O736" i="10" l="1"/>
  <c r="S736" i="10" s="1"/>
  <c r="P736" i="10"/>
  <c r="N737" i="10" s="1"/>
  <c r="M737" i="10" l="1"/>
  <c r="L737" i="10" s="1"/>
  <c r="W737" i="10" s="1"/>
  <c r="T736" i="10"/>
  <c r="P737" i="10" l="1"/>
  <c r="O737" i="10"/>
  <c r="M738" i="10" l="1"/>
  <c r="S737" i="10"/>
  <c r="N738" i="10"/>
  <c r="T737" i="10"/>
  <c r="L738" i="10" l="1"/>
  <c r="W738" i="10" s="1"/>
  <c r="P738" i="10" l="1"/>
  <c r="O738" i="10"/>
  <c r="M739" i="10" l="1"/>
  <c r="S738" i="10"/>
  <c r="N739" i="10"/>
  <c r="T738" i="10"/>
  <c r="L739" i="10" l="1"/>
  <c r="W739" i="10" s="1"/>
  <c r="P739" i="10" l="1"/>
  <c r="O739" i="10"/>
  <c r="M740" i="10" l="1"/>
  <c r="S739" i="10"/>
  <c r="N740" i="10"/>
  <c r="T739" i="10"/>
  <c r="L740" i="10" l="1"/>
  <c r="W740" i="10" s="1"/>
  <c r="P740" i="10" l="1"/>
  <c r="O740" i="10"/>
  <c r="S740" i="10" l="1"/>
  <c r="M741" i="10"/>
  <c r="N741" i="10"/>
  <c r="T740" i="10"/>
  <c r="L741" i="10" l="1"/>
  <c r="W741" i="10" s="1"/>
  <c r="P741" i="10" l="1"/>
  <c r="O741" i="10"/>
  <c r="S741" i="10" l="1"/>
  <c r="M742" i="10"/>
  <c r="N742" i="10"/>
  <c r="T741" i="10"/>
  <c r="L742" i="10" l="1"/>
  <c r="W742" i="10" s="1"/>
  <c r="P742" i="10" l="1"/>
  <c r="O742" i="10"/>
  <c r="M743" i="10" l="1"/>
  <c r="S742" i="10"/>
  <c r="N743" i="10"/>
  <c r="T742" i="10"/>
  <c r="L743" i="10" l="1"/>
  <c r="W743" i="10" s="1"/>
  <c r="P743" i="10" l="1"/>
  <c r="O743" i="10"/>
  <c r="S743" i="10" l="1"/>
  <c r="M744" i="10"/>
  <c r="N744" i="10"/>
  <c r="T743" i="10"/>
  <c r="L744" i="10" l="1"/>
  <c r="W744" i="10" s="1"/>
  <c r="P744" i="10" l="1"/>
  <c r="O744" i="10"/>
  <c r="S744" i="10" l="1"/>
  <c r="M745" i="10"/>
  <c r="N745" i="10"/>
  <c r="T744" i="10"/>
  <c r="L745" i="10" l="1"/>
  <c r="W745" i="10" s="1"/>
  <c r="P745" i="10" l="1"/>
  <c r="O745" i="10"/>
  <c r="M746" i="10" l="1"/>
  <c r="S745" i="10"/>
  <c r="N746" i="10"/>
  <c r="T745" i="10"/>
  <c r="L746" i="10" l="1"/>
  <c r="W746" i="10" s="1"/>
  <c r="P746" i="10" l="1"/>
  <c r="O746" i="10"/>
  <c r="S746" i="10" l="1"/>
  <c r="M747" i="10"/>
  <c r="N747" i="10"/>
  <c r="T746" i="10"/>
  <c r="L747" i="10" l="1"/>
  <c r="W747" i="10" s="1"/>
  <c r="P747" i="10" l="1"/>
  <c r="O747" i="10"/>
  <c r="S747" i="10" l="1"/>
  <c r="M748" i="10"/>
  <c r="N748" i="10"/>
  <c r="T747" i="10"/>
  <c r="L748" i="10" l="1"/>
  <c r="W748" i="10" s="1"/>
  <c r="O748" i="10" l="1"/>
  <c r="P748" i="10"/>
  <c r="N749" i="10" l="1"/>
  <c r="T748" i="10"/>
  <c r="M749" i="10"/>
  <c r="S748" i="10"/>
  <c r="L749" i="10" l="1"/>
  <c r="W749" i="10" s="1"/>
  <c r="O749" i="10"/>
  <c r="P749" i="10"/>
  <c r="N750" i="10" l="1"/>
  <c r="T749" i="10"/>
  <c r="M750" i="10"/>
  <c r="S749" i="10"/>
  <c r="L750" i="10" l="1"/>
  <c r="W750" i="10" s="1"/>
  <c r="P750" i="10"/>
  <c r="O750" i="10"/>
  <c r="M751" i="10" l="1"/>
  <c r="S750" i="10"/>
  <c r="N751" i="10"/>
  <c r="T750" i="10"/>
  <c r="L751" i="10" l="1"/>
  <c r="W751" i="10" s="1"/>
  <c r="O751" i="10" l="1"/>
  <c r="P751" i="10"/>
  <c r="N752" i="10" l="1"/>
  <c r="T751" i="10"/>
  <c r="M752" i="10"/>
  <c r="S751" i="10"/>
  <c r="L752" i="10" l="1"/>
  <c r="W752" i="10" s="1"/>
  <c r="O752" i="10" l="1"/>
  <c r="M753" i="10" s="1"/>
  <c r="P752" i="10"/>
  <c r="N753" i="10" s="1"/>
  <c r="S752" i="10" l="1"/>
  <c r="T752" i="10"/>
  <c r="L753" i="10"/>
  <c r="W753" i="10" s="1"/>
  <c r="P753" i="10" l="1"/>
  <c r="O753" i="10"/>
  <c r="M754" i="10" l="1"/>
  <c r="S753" i="10"/>
  <c r="N754" i="10"/>
  <c r="T753" i="10"/>
  <c r="L754" i="10" l="1"/>
  <c r="W754" i="10" s="1"/>
  <c r="P754" i="10" l="1"/>
  <c r="O754" i="10"/>
  <c r="M755" i="10" l="1"/>
  <c r="S754" i="10"/>
  <c r="N755" i="10"/>
  <c r="T754" i="10"/>
  <c r="L755" i="10" l="1"/>
  <c r="W755" i="10" s="1"/>
  <c r="P755" i="10" l="1"/>
  <c r="O755" i="10"/>
  <c r="M756" i="10" l="1"/>
  <c r="S755" i="10"/>
  <c r="N756" i="10"/>
  <c r="T755" i="10"/>
  <c r="L756" i="10" l="1"/>
  <c r="W756" i="10" s="1"/>
  <c r="P756" i="10" l="1"/>
  <c r="O756" i="10"/>
  <c r="S756" i="10" l="1"/>
  <c r="M757" i="10"/>
  <c r="N757" i="10"/>
  <c r="T756" i="10"/>
  <c r="L757" i="10" l="1"/>
  <c r="W757" i="10" s="1"/>
  <c r="P757" i="10" l="1"/>
  <c r="O757" i="10"/>
  <c r="M758" i="10" l="1"/>
  <c r="S757" i="10"/>
  <c r="T757" i="10"/>
  <c r="N758" i="10"/>
  <c r="L758" i="10" l="1"/>
  <c r="W758" i="10" s="1"/>
  <c r="P758" i="10" l="1"/>
  <c r="O758" i="10"/>
  <c r="S758" i="10" l="1"/>
  <c r="M759" i="10"/>
  <c r="N759" i="10"/>
  <c r="T758" i="10"/>
  <c r="L759" i="10" l="1"/>
  <c r="W759" i="10" s="1"/>
  <c r="P759" i="10" l="1"/>
  <c r="O759" i="10"/>
  <c r="S759" i="10" l="1"/>
  <c r="M760" i="10"/>
  <c r="N760" i="10"/>
  <c r="T759" i="10"/>
  <c r="L760" i="10" l="1"/>
  <c r="P760" i="10" l="1"/>
  <c r="W760" i="10"/>
  <c r="O760" i="10"/>
  <c r="M761" i="10" s="1"/>
  <c r="N761" i="10"/>
  <c r="T760" i="10"/>
  <c r="S760" i="10" l="1"/>
  <c r="L761" i="10"/>
  <c r="W761" i="10" s="1"/>
  <c r="P761" i="10" l="1"/>
  <c r="O761" i="10"/>
  <c r="M762" i="10" l="1"/>
  <c r="S761" i="10"/>
  <c r="N762" i="10"/>
  <c r="T761" i="10"/>
  <c r="L762" i="10" l="1"/>
  <c r="W762" i="10" s="1"/>
  <c r="O762" i="10" l="1"/>
  <c r="P762" i="10"/>
  <c r="N763" i="10" l="1"/>
  <c r="T762" i="10"/>
  <c r="M763" i="10"/>
  <c r="S762" i="10"/>
  <c r="L763" i="10" l="1"/>
  <c r="P763" i="10" l="1"/>
  <c r="T763" i="10" s="1"/>
  <c r="W763" i="10"/>
  <c r="O763" i="10"/>
  <c r="S763" i="10" s="1"/>
  <c r="N764" i="10" l="1"/>
  <c r="M764" i="10"/>
  <c r="L764" i="10" s="1"/>
  <c r="W764" i="10" s="1"/>
  <c r="P764" i="10" l="1"/>
  <c r="O764" i="10"/>
  <c r="M765" i="10" l="1"/>
  <c r="S764" i="10"/>
  <c r="N765" i="10"/>
  <c r="T764" i="10"/>
  <c r="L765" i="10" l="1"/>
  <c r="W765" i="10" s="1"/>
  <c r="P765" i="10" l="1"/>
  <c r="O765" i="10"/>
  <c r="S765" i="10" l="1"/>
  <c r="M766" i="10"/>
  <c r="N766" i="10"/>
  <c r="T765" i="10"/>
  <c r="L766" i="10" l="1"/>
  <c r="W766" i="10" s="1"/>
  <c r="O766" i="10" l="1"/>
  <c r="P766" i="10"/>
  <c r="N767" i="10" l="1"/>
  <c r="T766" i="10"/>
  <c r="S766" i="10"/>
  <c r="M767" i="10"/>
  <c r="L767" i="10" l="1"/>
  <c r="W767" i="10" s="1"/>
  <c r="P767" i="10"/>
  <c r="O767" i="10"/>
  <c r="S767" i="10" l="1"/>
  <c r="M768" i="10"/>
  <c r="N768" i="10"/>
  <c r="T767" i="10"/>
  <c r="L768" i="10" l="1"/>
  <c r="W768" i="10" s="1"/>
  <c r="P768" i="10" l="1"/>
  <c r="O768" i="10"/>
  <c r="S768" i="10" l="1"/>
  <c r="M769" i="10"/>
  <c r="T768" i="10"/>
  <c r="N769" i="10"/>
  <c r="L769" i="10" l="1"/>
  <c r="W769" i="10" s="1"/>
  <c r="P769" i="10" l="1"/>
  <c r="O769" i="10"/>
  <c r="M770" i="10" l="1"/>
  <c r="S769" i="10"/>
  <c r="N770" i="10"/>
  <c r="T769" i="10"/>
  <c r="L770" i="10" l="1"/>
  <c r="W770" i="10" s="1"/>
  <c r="P770" i="10" l="1"/>
  <c r="O770" i="10"/>
  <c r="S770" i="10" l="1"/>
  <c r="M771" i="10"/>
  <c r="N771" i="10"/>
  <c r="T770" i="10"/>
  <c r="L771" i="10" l="1"/>
  <c r="W771" i="10" s="1"/>
  <c r="P771" i="10" l="1"/>
  <c r="O771" i="10"/>
  <c r="S771" i="10" l="1"/>
  <c r="M772" i="10"/>
  <c r="N772" i="10"/>
  <c r="T771" i="10"/>
  <c r="L772" i="10" l="1"/>
  <c r="W772" i="10" s="1"/>
  <c r="O772" i="10" l="1"/>
  <c r="P772" i="10"/>
  <c r="N773" i="10" l="1"/>
  <c r="T772" i="10"/>
  <c r="M773" i="10"/>
  <c r="S772" i="10"/>
  <c r="L773" i="10" l="1"/>
  <c r="W773" i="10" s="1"/>
  <c r="P773" i="10"/>
  <c r="O773" i="10"/>
  <c r="M774" i="10" l="1"/>
  <c r="S773" i="10"/>
  <c r="N774" i="10"/>
  <c r="T773" i="10"/>
  <c r="L774" i="10" l="1"/>
  <c r="W774" i="10" s="1"/>
  <c r="P774" i="10" l="1"/>
  <c r="O774" i="10"/>
  <c r="S774" i="10" l="1"/>
  <c r="M775" i="10"/>
  <c r="N775" i="10"/>
  <c r="T774" i="10"/>
  <c r="L775" i="10" l="1"/>
  <c r="W775" i="10" s="1"/>
  <c r="P775" i="10" l="1"/>
  <c r="O775" i="10"/>
  <c r="M776" i="10" l="1"/>
  <c r="S775" i="10"/>
  <c r="N776" i="10"/>
  <c r="T775" i="10"/>
  <c r="L776" i="10" l="1"/>
  <c r="W776" i="10" s="1"/>
  <c r="O776" i="10" l="1"/>
  <c r="P776" i="10"/>
  <c r="N777" i="10" l="1"/>
  <c r="T776" i="10"/>
  <c r="M777" i="10"/>
  <c r="S776" i="10"/>
  <c r="L777" i="10" l="1"/>
  <c r="W777" i="10" s="1"/>
  <c r="O777" i="10"/>
  <c r="P777" i="10"/>
  <c r="N778" i="10" l="1"/>
  <c r="T777" i="10"/>
  <c r="M778" i="10"/>
  <c r="S777" i="10"/>
  <c r="L778" i="10" l="1"/>
  <c r="P778" i="10" l="1"/>
  <c r="N779" i="10" s="1"/>
  <c r="W778" i="10"/>
  <c r="O778" i="10"/>
  <c r="S778" i="10" s="1"/>
  <c r="T778" i="10" l="1"/>
  <c r="M779" i="10"/>
  <c r="L779" i="10" s="1"/>
  <c r="W779" i="10" s="1"/>
  <c r="P779" i="10" l="1"/>
  <c r="O779" i="10"/>
  <c r="M780" i="10" l="1"/>
  <c r="S779" i="10"/>
  <c r="N780" i="10"/>
  <c r="T779" i="10"/>
  <c r="L780" i="10" l="1"/>
  <c r="W780" i="10" s="1"/>
  <c r="P780" i="10" l="1"/>
  <c r="O780" i="10"/>
  <c r="M781" i="10" l="1"/>
  <c r="S780" i="10"/>
  <c r="N781" i="10"/>
  <c r="T780" i="10"/>
  <c r="L781" i="10" l="1"/>
  <c r="W781" i="10" s="1"/>
  <c r="P781" i="10" l="1"/>
  <c r="O781" i="10"/>
  <c r="S781" i="10" l="1"/>
  <c r="M782" i="10"/>
  <c r="T781" i="10"/>
  <c r="N782" i="10"/>
  <c r="L782" i="10" l="1"/>
  <c r="W782" i="10" s="1"/>
  <c r="P782" i="10" l="1"/>
  <c r="O782" i="10"/>
  <c r="M783" i="10" l="1"/>
  <c r="S782" i="10"/>
  <c r="N783" i="10"/>
  <c r="T782" i="10"/>
  <c r="L783" i="10" l="1"/>
  <c r="W783" i="10" s="1"/>
  <c r="P783" i="10" l="1"/>
  <c r="O783" i="10"/>
  <c r="M784" i="10" l="1"/>
  <c r="S783" i="10"/>
  <c r="N784" i="10"/>
  <c r="T783" i="10"/>
  <c r="L784" i="10" l="1"/>
  <c r="W784" i="10" s="1"/>
  <c r="P784" i="10" l="1"/>
  <c r="O784" i="10"/>
  <c r="M785" i="10" l="1"/>
  <c r="S784" i="10"/>
  <c r="T784" i="10"/>
  <c r="N785" i="10"/>
  <c r="L785" i="10" l="1"/>
  <c r="W785" i="10" s="1"/>
  <c r="P785" i="10" l="1"/>
  <c r="O785" i="10"/>
  <c r="S785" i="10" l="1"/>
  <c r="M786" i="10"/>
  <c r="N786" i="10"/>
  <c r="T785" i="10"/>
  <c r="L786" i="10" l="1"/>
  <c r="W786" i="10" s="1"/>
  <c r="P786" i="10" l="1"/>
  <c r="O786" i="10"/>
  <c r="M787" i="10" l="1"/>
  <c r="S786" i="10"/>
  <c r="N787" i="10"/>
  <c r="T786" i="10"/>
  <c r="L787" i="10" l="1"/>
  <c r="W787" i="10" s="1"/>
  <c r="P787" i="10" l="1"/>
  <c r="O787" i="10"/>
  <c r="S787" i="10" l="1"/>
  <c r="M788" i="10"/>
  <c r="N788" i="10"/>
  <c r="T787" i="10"/>
  <c r="L788" i="10" l="1"/>
  <c r="W788" i="10" s="1"/>
  <c r="P788" i="10" l="1"/>
  <c r="O788" i="10"/>
  <c r="M789" i="10" l="1"/>
  <c r="S788" i="10"/>
  <c r="N789" i="10"/>
  <c r="T788" i="10"/>
  <c r="L789" i="10" l="1"/>
  <c r="W789" i="10" s="1"/>
  <c r="P789" i="10" l="1"/>
  <c r="O789" i="10"/>
  <c r="S789" i="10" l="1"/>
  <c r="M790" i="10"/>
  <c r="N790" i="10"/>
  <c r="T789" i="10"/>
  <c r="L790" i="10" l="1"/>
  <c r="O790" i="10" s="1"/>
  <c r="P790" i="10" l="1"/>
  <c r="T790" i="10" s="1"/>
  <c r="W790" i="10"/>
  <c r="M791" i="10"/>
  <c r="S790" i="10"/>
  <c r="N791" i="10" l="1"/>
  <c r="L791" i="10" s="1"/>
  <c r="W791" i="10" s="1"/>
  <c r="P791" i="10" l="1"/>
  <c r="O791" i="10"/>
  <c r="M792" i="10" l="1"/>
  <c r="S791" i="10"/>
  <c r="N792" i="10"/>
  <c r="T791" i="10"/>
  <c r="L792" i="10" l="1"/>
  <c r="W792" i="10" s="1"/>
  <c r="P792" i="10" l="1"/>
  <c r="O792" i="10"/>
  <c r="M793" i="10" l="1"/>
  <c r="S792" i="10"/>
  <c r="N793" i="10"/>
  <c r="T792" i="10"/>
  <c r="L793" i="10" l="1"/>
  <c r="W793" i="10" s="1"/>
  <c r="O793" i="10" l="1"/>
  <c r="P793" i="10"/>
  <c r="N794" i="10" l="1"/>
  <c r="T793" i="10"/>
  <c r="M794" i="10"/>
  <c r="S793" i="10"/>
  <c r="L794" i="10" l="1"/>
  <c r="W794" i="10" s="1"/>
  <c r="O794" i="10" l="1"/>
  <c r="P794" i="10"/>
  <c r="N795" i="10" s="1"/>
  <c r="S794" i="10"/>
  <c r="M795" i="10"/>
  <c r="T794" i="10" l="1"/>
  <c r="L795" i="10"/>
  <c r="W795" i="10" s="1"/>
  <c r="P795" i="10" l="1"/>
  <c r="O795" i="10"/>
  <c r="M796" i="10" l="1"/>
  <c r="S795" i="10"/>
  <c r="N796" i="10"/>
  <c r="T795" i="10"/>
  <c r="L796" i="10" l="1"/>
  <c r="W796" i="10" s="1"/>
  <c r="P796" i="10" l="1"/>
  <c r="O796" i="10"/>
  <c r="M797" i="10" l="1"/>
  <c r="S796" i="10"/>
  <c r="N797" i="10"/>
  <c r="T796" i="10"/>
  <c r="L797" i="10" l="1"/>
  <c r="W797" i="10" s="1"/>
  <c r="P797" i="10" l="1"/>
  <c r="O797" i="10"/>
  <c r="M798" i="10" l="1"/>
  <c r="S797" i="10"/>
  <c r="N798" i="10"/>
  <c r="T797" i="10"/>
  <c r="L798" i="10" l="1"/>
  <c r="W798" i="10" s="1"/>
  <c r="P798" i="10" l="1"/>
  <c r="O798" i="10"/>
  <c r="S798" i="10" l="1"/>
  <c r="M799" i="10"/>
  <c r="N799" i="10"/>
  <c r="T798" i="10"/>
  <c r="L799" i="10" l="1"/>
  <c r="W799" i="10" s="1"/>
  <c r="P799" i="10" l="1"/>
  <c r="O799" i="10"/>
  <c r="S799" i="10" l="1"/>
  <c r="M800" i="10"/>
  <c r="N800" i="10"/>
  <c r="T799" i="10"/>
  <c r="L800" i="10" l="1"/>
  <c r="W800" i="10" s="1"/>
  <c r="P800" i="10"/>
  <c r="O800" i="10"/>
  <c r="M801" i="10" l="1"/>
  <c r="S800" i="10"/>
  <c r="N801" i="10"/>
  <c r="T800" i="10"/>
  <c r="L801" i="10" l="1"/>
  <c r="W801" i="10" s="1"/>
  <c r="P801" i="10" l="1"/>
  <c r="O801" i="10"/>
  <c r="M802" i="10" l="1"/>
  <c r="S801" i="10"/>
  <c r="N802" i="10"/>
  <c r="T801" i="10"/>
  <c r="L802" i="10" l="1"/>
  <c r="W802" i="10" s="1"/>
  <c r="O802" i="10" l="1"/>
  <c r="P802" i="10"/>
  <c r="N803" i="10" l="1"/>
  <c r="T802" i="10"/>
  <c r="M803" i="10"/>
  <c r="S802" i="10"/>
  <c r="L803" i="10" l="1"/>
  <c r="W803" i="10" s="1"/>
  <c r="O803" i="10" l="1"/>
  <c r="S803" i="10" s="1"/>
  <c r="P803" i="10"/>
  <c r="N804" i="10" s="1"/>
  <c r="M804" i="10" l="1"/>
  <c r="L804" i="10" s="1"/>
  <c r="W804" i="10" s="1"/>
  <c r="T803" i="10"/>
  <c r="P804" i="10" l="1"/>
  <c r="O804" i="10"/>
  <c r="M805" i="10" l="1"/>
  <c r="S804" i="10"/>
  <c r="N805" i="10"/>
  <c r="T804" i="10"/>
  <c r="L805" i="10" l="1"/>
  <c r="W805" i="10" s="1"/>
  <c r="P805" i="10" l="1"/>
  <c r="O805" i="10"/>
  <c r="M806" i="10" l="1"/>
  <c r="S805" i="10"/>
  <c r="N806" i="10"/>
  <c r="T805" i="10"/>
  <c r="L806" i="10" l="1"/>
  <c r="W806" i="10" s="1"/>
  <c r="P806" i="10" l="1"/>
  <c r="O806" i="10"/>
  <c r="S806" i="10" l="1"/>
  <c r="M807" i="10"/>
  <c r="N807" i="10"/>
  <c r="T806" i="10"/>
  <c r="L807" i="10" l="1"/>
  <c r="W807" i="10" s="1"/>
  <c r="P807" i="10" l="1"/>
  <c r="O807" i="10"/>
  <c r="S807" i="10" l="1"/>
  <c r="M808" i="10"/>
  <c r="N808" i="10"/>
  <c r="T807" i="10"/>
  <c r="L808" i="10" l="1"/>
  <c r="W808" i="10" s="1"/>
  <c r="P808" i="10" l="1"/>
  <c r="O808" i="10"/>
  <c r="M809" i="10" l="1"/>
  <c r="S808" i="10"/>
  <c r="N809" i="10"/>
  <c r="T808" i="10"/>
  <c r="L809" i="10" l="1"/>
  <c r="W809" i="10" s="1"/>
  <c r="O809" i="10" l="1"/>
  <c r="P809" i="10"/>
  <c r="N810" i="10" l="1"/>
  <c r="T809" i="10"/>
  <c r="S809" i="10"/>
  <c r="M810" i="10"/>
  <c r="L810" i="10" l="1"/>
  <c r="W810" i="10" s="1"/>
  <c r="P810" i="10"/>
  <c r="O810" i="10"/>
  <c r="S810" i="10" l="1"/>
  <c r="M811" i="10"/>
  <c r="N811" i="10"/>
  <c r="T810" i="10"/>
  <c r="L811" i="10" l="1"/>
  <c r="W811" i="10" s="1"/>
  <c r="P811" i="10"/>
  <c r="O811" i="10"/>
  <c r="S811" i="10" l="1"/>
  <c r="M812" i="10"/>
  <c r="N812" i="10"/>
  <c r="T811" i="10"/>
  <c r="L812" i="10" l="1"/>
  <c r="W812" i="10" s="1"/>
  <c r="O812" i="10" l="1"/>
  <c r="P812" i="10"/>
  <c r="N813" i="10" l="1"/>
  <c r="T812" i="10"/>
  <c r="S812" i="10"/>
  <c r="M813" i="10"/>
  <c r="L813" i="10" l="1"/>
  <c r="W813" i="10" s="1"/>
  <c r="P813" i="10"/>
  <c r="O813" i="10"/>
  <c r="M814" i="10" l="1"/>
  <c r="S813" i="10"/>
  <c r="N814" i="10"/>
  <c r="T813" i="10"/>
  <c r="L814" i="10" l="1"/>
  <c r="W814" i="10" s="1"/>
  <c r="P814" i="10" l="1"/>
  <c r="O814" i="10"/>
  <c r="M815" i="10" l="1"/>
  <c r="S814" i="10"/>
  <c r="N815" i="10"/>
  <c r="T814" i="10"/>
  <c r="L815" i="10" l="1"/>
  <c r="W815" i="10" s="1"/>
  <c r="O815" i="10" l="1"/>
  <c r="P815" i="10"/>
  <c r="N816" i="10" l="1"/>
  <c r="T815" i="10"/>
  <c r="M816" i="10"/>
  <c r="S815" i="10"/>
  <c r="L816" i="10" l="1"/>
  <c r="O816" i="10"/>
  <c r="P816" i="10" l="1"/>
  <c r="T816" i="10" s="1"/>
  <c r="W816" i="10"/>
  <c r="S816" i="10"/>
  <c r="M817" i="10"/>
  <c r="N817" i="10" l="1"/>
  <c r="L817" i="10" s="1"/>
  <c r="W817" i="10" s="1"/>
  <c r="P817" i="10" l="1"/>
  <c r="O817" i="10"/>
  <c r="M818" i="10" l="1"/>
  <c r="S817" i="10"/>
  <c r="N818" i="10"/>
  <c r="T817" i="10"/>
  <c r="L818" i="10" l="1"/>
  <c r="W818" i="10" s="1"/>
  <c r="P818" i="10" l="1"/>
  <c r="O818" i="10"/>
  <c r="S818" i="10" l="1"/>
  <c r="M819" i="10"/>
  <c r="N819" i="10"/>
  <c r="T818" i="10"/>
  <c r="L819" i="10" l="1"/>
  <c r="W819" i="10" s="1"/>
  <c r="P819" i="10" l="1"/>
  <c r="O819" i="10"/>
  <c r="M820" i="10" l="1"/>
  <c r="S819" i="10"/>
  <c r="N820" i="10"/>
  <c r="T819" i="10"/>
  <c r="L820" i="10" l="1"/>
  <c r="W820" i="10" s="1"/>
  <c r="P820" i="10" l="1"/>
  <c r="O820" i="10"/>
  <c r="M821" i="10" l="1"/>
  <c r="S820" i="10"/>
  <c r="N821" i="10"/>
  <c r="T820" i="10"/>
  <c r="L821" i="10" l="1"/>
  <c r="W821" i="10" s="1"/>
  <c r="P821" i="10" l="1"/>
  <c r="O821" i="10"/>
  <c r="S821" i="10" l="1"/>
  <c r="M822" i="10"/>
  <c r="N822" i="10"/>
  <c r="T821" i="10"/>
  <c r="L822" i="10" l="1"/>
  <c r="W822" i="10" s="1"/>
  <c r="P822" i="10" l="1"/>
  <c r="O822" i="10"/>
  <c r="S822" i="10" l="1"/>
  <c r="M823" i="10"/>
  <c r="N823" i="10"/>
  <c r="T822" i="10"/>
  <c r="L823" i="10" l="1"/>
  <c r="W823" i="10" s="1"/>
  <c r="O823" i="10" l="1"/>
  <c r="P823" i="10"/>
  <c r="N824" i="10" l="1"/>
  <c r="T823" i="10"/>
  <c r="S823" i="10"/>
  <c r="M824" i="10"/>
  <c r="L824" i="10" l="1"/>
  <c r="W824" i="10" s="1"/>
  <c r="O824" i="10"/>
  <c r="P824" i="10"/>
  <c r="N825" i="10" l="1"/>
  <c r="T824" i="10"/>
  <c r="M825" i="10"/>
  <c r="S824" i="10"/>
  <c r="L825" i="10" l="1"/>
  <c r="W825" i="10" s="1"/>
  <c r="P825" i="10"/>
  <c r="O825" i="10"/>
  <c r="S825" i="10" l="1"/>
  <c r="M826" i="10"/>
  <c r="N826" i="10"/>
  <c r="T825" i="10"/>
  <c r="L826" i="10" l="1"/>
  <c r="W826" i="10" s="1"/>
  <c r="P826" i="10" l="1"/>
  <c r="O826" i="10"/>
  <c r="M827" i="10" l="1"/>
  <c r="S826" i="10"/>
  <c r="N827" i="10"/>
  <c r="T826" i="10"/>
  <c r="L827" i="10" l="1"/>
  <c r="W827" i="10" s="1"/>
  <c r="O827" i="10" l="1"/>
  <c r="P827" i="10"/>
  <c r="N828" i="10" l="1"/>
  <c r="T827" i="10"/>
  <c r="M828" i="10"/>
  <c r="L828" i="10" s="1"/>
  <c r="W828" i="10" s="1"/>
  <c r="S827" i="10"/>
  <c r="P828" i="10" l="1"/>
  <c r="O828" i="10"/>
  <c r="M829" i="10" l="1"/>
  <c r="S828" i="10"/>
  <c r="N829" i="10"/>
  <c r="T828" i="10"/>
  <c r="L829" i="10" l="1"/>
  <c r="W829" i="10" s="1"/>
  <c r="P829" i="10" l="1"/>
  <c r="O829" i="10"/>
  <c r="M830" i="10" l="1"/>
  <c r="S829" i="10"/>
  <c r="N830" i="10"/>
  <c r="T829" i="10"/>
  <c r="L830" i="10" l="1"/>
  <c r="W830" i="10" s="1"/>
  <c r="P830" i="10" l="1"/>
  <c r="O830" i="10"/>
  <c r="M831" i="10" l="1"/>
  <c r="S830" i="10"/>
  <c r="N831" i="10"/>
  <c r="T830" i="10"/>
  <c r="L831" i="10" l="1"/>
  <c r="W831" i="10" s="1"/>
  <c r="P831" i="10" l="1"/>
  <c r="O831" i="10"/>
  <c r="M832" i="10" l="1"/>
  <c r="S831" i="10"/>
  <c r="N832" i="10"/>
  <c r="T831" i="10"/>
  <c r="L832" i="10" l="1"/>
  <c r="W832" i="10" s="1"/>
  <c r="P832" i="10" l="1"/>
  <c r="O832" i="10"/>
  <c r="M833" i="10" l="1"/>
  <c r="S832" i="10"/>
  <c r="N833" i="10"/>
  <c r="T832" i="10"/>
  <c r="L833" i="10" l="1"/>
  <c r="W833" i="10" s="1"/>
  <c r="P833" i="10" l="1"/>
  <c r="O833" i="10"/>
  <c r="M834" i="10" l="1"/>
  <c r="S833" i="10"/>
  <c r="N834" i="10"/>
  <c r="T833" i="10"/>
  <c r="L834" i="10" l="1"/>
  <c r="W834" i="10" s="1"/>
  <c r="P834" i="10" l="1"/>
  <c r="O834" i="10"/>
  <c r="S834" i="10" l="1"/>
  <c r="M835" i="10"/>
  <c r="N835" i="10"/>
  <c r="T834" i="10"/>
  <c r="L835" i="10" l="1"/>
  <c r="W835" i="10" s="1"/>
  <c r="P835" i="10" l="1"/>
  <c r="O835" i="10"/>
  <c r="M836" i="10" l="1"/>
  <c r="S835" i="10"/>
  <c r="N836" i="10"/>
  <c r="T835" i="10"/>
  <c r="L836" i="10" l="1"/>
  <c r="W836" i="10" s="1"/>
  <c r="P836" i="10" l="1"/>
  <c r="O836" i="10"/>
  <c r="M837" i="10" l="1"/>
  <c r="S836" i="10"/>
  <c r="N837" i="10"/>
  <c r="T836" i="10"/>
  <c r="L837" i="10" l="1"/>
  <c r="W837" i="10" s="1"/>
  <c r="P837" i="10" l="1"/>
  <c r="O837" i="10"/>
  <c r="M838" i="10" l="1"/>
  <c r="S837" i="10"/>
  <c r="N838" i="10"/>
  <c r="T837" i="10"/>
  <c r="L838" i="10" l="1"/>
  <c r="W838" i="10" s="1"/>
  <c r="P838" i="10" l="1"/>
  <c r="O838" i="10"/>
  <c r="S838" i="10" l="1"/>
  <c r="M839" i="10"/>
  <c r="N839" i="10"/>
  <c r="T838" i="10"/>
  <c r="L839" i="10" l="1"/>
  <c r="W839" i="10" s="1"/>
  <c r="P839" i="10" l="1"/>
  <c r="O839" i="10"/>
  <c r="M840" i="10" l="1"/>
  <c r="S839" i="10"/>
  <c r="N840" i="10"/>
  <c r="T839" i="10"/>
  <c r="L840" i="10" l="1"/>
  <c r="W840" i="10" s="1"/>
  <c r="P840" i="10" l="1"/>
  <c r="O840" i="10"/>
  <c r="S840" i="10" l="1"/>
  <c r="M841" i="10"/>
  <c r="N841" i="10"/>
  <c r="T840" i="10"/>
  <c r="L841" i="10" l="1"/>
  <c r="P841" i="10" l="1"/>
  <c r="N842" i="10" s="1"/>
  <c r="W841" i="10"/>
  <c r="O841" i="10"/>
  <c r="S841" i="10" s="1"/>
  <c r="T841" i="10" l="1"/>
  <c r="M842" i="10"/>
  <c r="L842" i="10" s="1"/>
  <c r="W842" i="10" s="1"/>
  <c r="P842" i="10" l="1"/>
  <c r="O842" i="10"/>
  <c r="S842" i="10" l="1"/>
  <c r="M843" i="10"/>
  <c r="N843" i="10"/>
  <c r="T842" i="10"/>
  <c r="L843" i="10" l="1"/>
  <c r="W843" i="10" s="1"/>
  <c r="P843" i="10" l="1"/>
  <c r="O843" i="10"/>
  <c r="S843" i="10" l="1"/>
  <c r="M844" i="10"/>
  <c r="N844" i="10"/>
  <c r="T843" i="10"/>
  <c r="L844" i="10" l="1"/>
  <c r="W844" i="10" s="1"/>
  <c r="P844" i="10" l="1"/>
  <c r="O844" i="10"/>
  <c r="M845" i="10" l="1"/>
  <c r="S844" i="10"/>
  <c r="N845" i="10"/>
  <c r="T844" i="10"/>
  <c r="L845" i="10" l="1"/>
  <c r="W845" i="10" s="1"/>
  <c r="P845" i="10" l="1"/>
  <c r="O845" i="10"/>
  <c r="S845" i="10" l="1"/>
  <c r="M846" i="10"/>
  <c r="N846" i="10"/>
  <c r="T845" i="10"/>
  <c r="L846" i="10" l="1"/>
  <c r="W846" i="10" s="1"/>
  <c r="P846" i="10" l="1"/>
  <c r="O846" i="10"/>
  <c r="S846" i="10" l="1"/>
  <c r="M847" i="10"/>
  <c r="T846" i="10"/>
  <c r="N847" i="10"/>
  <c r="L847" i="10" l="1"/>
  <c r="W847" i="10" s="1"/>
  <c r="P847" i="10"/>
  <c r="O847" i="10" l="1"/>
  <c r="N848" i="10"/>
  <c r="T847" i="10"/>
  <c r="M848" i="10"/>
  <c r="S847" i="10"/>
  <c r="L848" i="10" l="1"/>
  <c r="W848" i="10" s="1"/>
  <c r="P848" i="10"/>
  <c r="O848" i="10"/>
  <c r="M849" i="10" l="1"/>
  <c r="S848" i="10"/>
  <c r="N849" i="10"/>
  <c r="T848" i="10"/>
  <c r="L849" i="10" l="1"/>
  <c r="W849" i="10" s="1"/>
  <c r="P849" i="10" l="1"/>
  <c r="O849" i="10"/>
  <c r="S849" i="10" l="1"/>
  <c r="M850" i="10"/>
  <c r="N850" i="10"/>
  <c r="T849" i="10"/>
  <c r="L850" i="10" l="1"/>
  <c r="W850" i="10" s="1"/>
  <c r="O850" i="10" l="1"/>
  <c r="P850" i="10"/>
  <c r="T850" i="10" l="1"/>
  <c r="N851" i="10"/>
  <c r="M851" i="10"/>
  <c r="L851" i="10" s="1"/>
  <c r="W851" i="10" s="1"/>
  <c r="S850" i="10"/>
  <c r="P851" i="10" l="1"/>
  <c r="O851" i="10"/>
  <c r="S851" i="10" l="1"/>
  <c r="M852" i="10"/>
  <c r="N852" i="10"/>
  <c r="T851" i="10"/>
  <c r="L852" i="10" l="1"/>
  <c r="W852" i="10" s="1"/>
  <c r="P852" i="10"/>
  <c r="O852" i="10"/>
  <c r="S852" i="10" l="1"/>
  <c r="M853" i="10"/>
  <c r="N853" i="10"/>
  <c r="T852" i="10"/>
  <c r="L853" i="10" l="1"/>
  <c r="W853" i="10" s="1"/>
  <c r="P853" i="10" l="1"/>
  <c r="O853" i="10"/>
  <c r="M854" i="10" l="1"/>
  <c r="S853" i="10"/>
  <c r="N854" i="10"/>
  <c r="T853" i="10"/>
  <c r="L854" i="10" l="1"/>
  <c r="W854" i="10" s="1"/>
  <c r="O854" i="10" l="1"/>
  <c r="P854" i="10"/>
  <c r="N855" i="10" l="1"/>
  <c r="T854" i="10"/>
  <c r="S854" i="10"/>
  <c r="M855" i="10"/>
  <c r="L855" i="10" l="1"/>
  <c r="W855" i="10" s="1"/>
  <c r="O855" i="10"/>
  <c r="P855" i="10"/>
  <c r="N856" i="10" l="1"/>
  <c r="T855" i="10"/>
  <c r="M856" i="10"/>
  <c r="S855" i="10"/>
  <c r="L856" i="10" l="1"/>
  <c r="W856" i="10" s="1"/>
  <c r="P856" i="10"/>
  <c r="O856" i="10"/>
  <c r="S856" i="10" l="1"/>
  <c r="M857" i="10"/>
  <c r="N857" i="10"/>
  <c r="T856" i="10"/>
  <c r="L857" i="10" l="1"/>
  <c r="W857" i="10" s="1"/>
  <c r="P857" i="10" l="1"/>
  <c r="O857" i="10"/>
  <c r="S857" i="10" l="1"/>
  <c r="M858" i="10"/>
  <c r="N858" i="10"/>
  <c r="T857" i="10"/>
  <c r="L858" i="10" l="1"/>
  <c r="W858" i="10" s="1"/>
  <c r="P858" i="10"/>
  <c r="O858" i="10"/>
  <c r="M859" i="10" l="1"/>
  <c r="S858" i="10"/>
  <c r="N859" i="10"/>
  <c r="T858" i="10"/>
  <c r="L859" i="10" l="1"/>
  <c r="W859" i="10" s="1"/>
  <c r="P859" i="10" l="1"/>
  <c r="O859" i="10"/>
  <c r="M860" i="10" l="1"/>
  <c r="S859" i="10"/>
  <c r="N860" i="10"/>
  <c r="T859" i="10"/>
  <c r="L860" i="10" l="1"/>
  <c r="W860" i="10" s="1"/>
  <c r="P860" i="10" l="1"/>
  <c r="O860" i="10"/>
  <c r="M861" i="10" l="1"/>
  <c r="S860" i="10"/>
  <c r="N861" i="10"/>
  <c r="T860" i="10"/>
  <c r="L861" i="10" l="1"/>
  <c r="W861" i="10" s="1"/>
  <c r="P861" i="10" l="1"/>
  <c r="O861" i="10"/>
  <c r="S861" i="10" l="1"/>
  <c r="M862" i="10"/>
  <c r="N862" i="10"/>
  <c r="T861" i="10"/>
  <c r="L862" i="10" l="1"/>
  <c r="P862" i="10" l="1"/>
  <c r="W862" i="10"/>
  <c r="O862" i="10"/>
  <c r="M863" i="10" s="1"/>
  <c r="N863" i="10"/>
  <c r="T862" i="10"/>
  <c r="S862" i="10" l="1"/>
  <c r="L863" i="10"/>
  <c r="W863" i="10" s="1"/>
  <c r="O863" i="10" l="1"/>
  <c r="P863" i="10"/>
  <c r="N864" i="10" l="1"/>
  <c r="T863" i="10"/>
  <c r="S863" i="10"/>
  <c r="M864" i="10"/>
  <c r="L864" i="10" l="1"/>
  <c r="W864" i="10" s="1"/>
  <c r="P864" i="10"/>
  <c r="O864" i="10"/>
  <c r="S864" i="10" l="1"/>
  <c r="M865" i="10"/>
  <c r="N865" i="10"/>
  <c r="T864" i="10"/>
  <c r="L865" i="10" l="1"/>
  <c r="W865" i="10" s="1"/>
  <c r="P865" i="10"/>
  <c r="O865" i="10"/>
  <c r="S865" i="10" l="1"/>
  <c r="M866" i="10"/>
  <c r="N866" i="10"/>
  <c r="T865" i="10"/>
  <c r="L866" i="10" l="1"/>
  <c r="O866" i="10" l="1"/>
  <c r="M867" i="10" s="1"/>
  <c r="W866" i="10"/>
  <c r="P866" i="10"/>
  <c r="T866" i="10" s="1"/>
  <c r="S866" i="10" l="1"/>
  <c r="N867" i="10"/>
  <c r="L867" i="10" s="1"/>
  <c r="W867" i="10" s="1"/>
  <c r="P867" i="10" l="1"/>
  <c r="O867" i="10"/>
  <c r="M868" i="10" l="1"/>
  <c r="S867" i="10"/>
  <c r="T867" i="10"/>
  <c r="N868" i="10"/>
  <c r="L868" i="10" l="1"/>
  <c r="W868" i="10" s="1"/>
  <c r="P868" i="10" l="1"/>
  <c r="O868" i="10"/>
  <c r="S868" i="10" l="1"/>
  <c r="M869" i="10"/>
  <c r="T868" i="10"/>
  <c r="N869" i="10"/>
  <c r="L869" i="10" l="1"/>
  <c r="W869" i="10" s="1"/>
  <c r="P869" i="10" l="1"/>
  <c r="O869" i="10"/>
  <c r="M870" i="10" l="1"/>
  <c r="S869" i="10"/>
  <c r="T869" i="10"/>
  <c r="N870" i="10"/>
  <c r="L870" i="10" l="1"/>
  <c r="W870" i="10" s="1"/>
  <c r="P870" i="10" l="1"/>
  <c r="O870" i="10"/>
  <c r="M871" i="10" l="1"/>
  <c r="S870" i="10"/>
  <c r="N871" i="10"/>
  <c r="T870" i="10"/>
  <c r="L871" i="10" l="1"/>
  <c r="W871" i="10" s="1"/>
  <c r="P871" i="10" l="1"/>
  <c r="O871" i="10"/>
  <c r="S871" i="10" l="1"/>
  <c r="M872" i="10"/>
  <c r="N872" i="10"/>
  <c r="T871" i="10"/>
  <c r="L872" i="10" l="1"/>
  <c r="P872" i="10" l="1"/>
  <c r="W872" i="10"/>
  <c r="O872" i="10"/>
  <c r="M873" i="10" s="1"/>
  <c r="N873" i="10"/>
  <c r="T872" i="10"/>
  <c r="S872" i="10" l="1"/>
  <c r="L873" i="10"/>
  <c r="W873" i="10" s="1"/>
  <c r="O873" i="10" l="1"/>
  <c r="P873" i="10"/>
  <c r="N874" i="10" l="1"/>
  <c r="T873" i="10"/>
  <c r="S873" i="10"/>
  <c r="M874" i="10"/>
  <c r="L874" i="10" s="1"/>
  <c r="W874" i="10" s="1"/>
  <c r="P874" i="10" l="1"/>
  <c r="O874" i="10"/>
  <c r="S874" i="10" l="1"/>
  <c r="M875" i="10"/>
  <c r="N875" i="10"/>
  <c r="T874" i="10"/>
  <c r="L875" i="10" l="1"/>
  <c r="W875" i="10" s="1"/>
  <c r="O875" i="10" l="1"/>
  <c r="P875" i="10"/>
  <c r="N876" i="10" l="1"/>
  <c r="T875" i="10"/>
  <c r="M876" i="10"/>
  <c r="S875" i="10"/>
  <c r="L876" i="10" l="1"/>
  <c r="W876" i="10" s="1"/>
  <c r="P876" i="10"/>
  <c r="O876" i="10"/>
  <c r="S876" i="10" l="1"/>
  <c r="M877" i="10"/>
  <c r="N877" i="10"/>
  <c r="T876" i="10"/>
  <c r="L877" i="10" l="1"/>
  <c r="W877" i="10" s="1"/>
  <c r="P877" i="10" l="1"/>
  <c r="O877" i="10"/>
  <c r="S877" i="10" l="1"/>
  <c r="M878" i="10"/>
  <c r="N878" i="10"/>
  <c r="T877" i="10"/>
  <c r="L878" i="10" l="1"/>
  <c r="W878" i="10" s="1"/>
  <c r="O878" i="10" l="1"/>
  <c r="P878" i="10"/>
  <c r="T878" i="10" l="1"/>
  <c r="N879" i="10"/>
  <c r="S878" i="10"/>
  <c r="M879" i="10"/>
  <c r="L879" i="10" s="1"/>
  <c r="W879" i="10" s="1"/>
  <c r="P879" i="10" l="1"/>
  <c r="O879" i="10"/>
  <c r="S879" i="10" l="1"/>
  <c r="M880" i="10"/>
  <c r="N880" i="10"/>
  <c r="T879" i="10"/>
  <c r="L880" i="10" l="1"/>
  <c r="W880" i="10" s="1"/>
  <c r="P880" i="10" l="1"/>
  <c r="O880" i="10"/>
  <c r="M881" i="10" l="1"/>
  <c r="S880" i="10"/>
  <c r="N881" i="10"/>
  <c r="T880" i="10"/>
  <c r="L881" i="10" l="1"/>
  <c r="W881" i="10" s="1"/>
  <c r="P881" i="10" l="1"/>
  <c r="O881" i="10"/>
  <c r="S881" i="10" l="1"/>
  <c r="M882" i="10"/>
  <c r="N882" i="10"/>
  <c r="T881" i="10"/>
  <c r="L882" i="10" l="1"/>
  <c r="W882" i="10" s="1"/>
  <c r="O882" i="10" l="1"/>
  <c r="P882" i="10"/>
  <c r="N883" i="10" l="1"/>
  <c r="T882" i="10"/>
  <c r="M883" i="10"/>
  <c r="L883" i="10" s="1"/>
  <c r="W883" i="10" s="1"/>
  <c r="S882" i="10"/>
  <c r="P883" i="10" l="1"/>
  <c r="O883" i="10"/>
  <c r="M884" i="10" l="1"/>
  <c r="S883" i="10"/>
  <c r="N884" i="10"/>
  <c r="T883" i="10"/>
  <c r="L884" i="10" l="1"/>
  <c r="W884" i="10" s="1"/>
  <c r="P884" i="10" l="1"/>
  <c r="O884" i="10"/>
  <c r="M885" i="10" l="1"/>
  <c r="S884" i="10"/>
  <c r="N885" i="10"/>
  <c r="T884" i="10"/>
  <c r="L885" i="10" l="1"/>
  <c r="W885" i="10" s="1"/>
  <c r="P885" i="10" l="1"/>
  <c r="O885" i="10"/>
  <c r="M886" i="10" l="1"/>
  <c r="S885" i="10"/>
  <c r="N886" i="10"/>
  <c r="T885" i="10"/>
  <c r="L886" i="10" l="1"/>
  <c r="W886" i="10" s="1"/>
  <c r="P886" i="10" l="1"/>
  <c r="O886" i="10"/>
  <c r="S886" i="10" l="1"/>
  <c r="M887" i="10"/>
  <c r="N887" i="10"/>
  <c r="T886" i="10"/>
  <c r="L887" i="10" l="1"/>
  <c r="W887" i="10" s="1"/>
  <c r="P887" i="10" l="1"/>
  <c r="O887" i="10"/>
  <c r="M888" i="10" l="1"/>
  <c r="S887" i="10"/>
  <c r="N888" i="10"/>
  <c r="T887" i="10"/>
  <c r="L888" i="10" l="1"/>
  <c r="W888" i="10" s="1"/>
  <c r="O888" i="10" l="1"/>
  <c r="P888" i="10"/>
  <c r="T888" i="10" l="1"/>
  <c r="N889" i="10"/>
  <c r="M889" i="10"/>
  <c r="S888" i="10"/>
  <c r="L889" i="10" l="1"/>
  <c r="W889" i="10" s="1"/>
  <c r="P889" i="10"/>
  <c r="O889" i="10"/>
  <c r="M890" i="10" l="1"/>
  <c r="S889" i="10"/>
  <c r="N890" i="10"/>
  <c r="T889" i="10"/>
  <c r="L890" i="10" l="1"/>
  <c r="W890" i="10" s="1"/>
  <c r="P890" i="10" l="1"/>
  <c r="O890" i="10"/>
  <c r="M891" i="10" l="1"/>
  <c r="S890" i="10"/>
  <c r="N891" i="10"/>
  <c r="T890" i="10"/>
  <c r="L891" i="10" l="1"/>
  <c r="W891" i="10" s="1"/>
  <c r="P891" i="10" l="1"/>
  <c r="O891" i="10"/>
  <c r="S891" i="10" l="1"/>
  <c r="M892" i="10"/>
  <c r="N892" i="10"/>
  <c r="T891" i="10"/>
  <c r="L892" i="10" l="1"/>
  <c r="W892" i="10" s="1"/>
  <c r="P892" i="10" l="1"/>
  <c r="O892" i="10"/>
  <c r="M893" i="10" l="1"/>
  <c r="S892" i="10"/>
  <c r="N893" i="10"/>
  <c r="T892" i="10"/>
  <c r="L893" i="10" l="1"/>
  <c r="W893" i="10" s="1"/>
  <c r="O893" i="10" l="1"/>
  <c r="P893" i="10"/>
  <c r="N894" i="10" l="1"/>
  <c r="T893" i="10"/>
  <c r="M894" i="10"/>
  <c r="S893" i="10"/>
  <c r="L894" i="10" l="1"/>
  <c r="W894" i="10" s="1"/>
  <c r="O894" i="10"/>
  <c r="P894" i="10"/>
  <c r="N895" i="10" l="1"/>
  <c r="T894" i="10"/>
  <c r="M895" i="10"/>
  <c r="S894" i="10"/>
  <c r="L895" i="10" l="1"/>
  <c r="W895" i="10" s="1"/>
  <c r="P895" i="10"/>
  <c r="O895" i="10"/>
  <c r="S895" i="10" l="1"/>
  <c r="M896" i="10"/>
  <c r="N896" i="10"/>
  <c r="T895" i="10"/>
  <c r="L896" i="10" l="1"/>
  <c r="W896" i="10" s="1"/>
  <c r="P896" i="10" l="1"/>
  <c r="O896" i="10"/>
  <c r="M897" i="10" l="1"/>
  <c r="S896" i="10"/>
  <c r="N897" i="10"/>
  <c r="T896" i="10"/>
  <c r="L897" i="10" l="1"/>
  <c r="W897" i="10" s="1"/>
  <c r="P897" i="10" l="1"/>
  <c r="O897" i="10"/>
  <c r="M898" i="10" l="1"/>
  <c r="S897" i="10"/>
  <c r="N898" i="10"/>
  <c r="T897" i="10"/>
  <c r="L898" i="10" l="1"/>
  <c r="W898" i="10" s="1"/>
  <c r="P898" i="10" l="1"/>
  <c r="O898" i="10"/>
  <c r="S898" i="10" l="1"/>
  <c r="M899" i="10"/>
  <c r="N899" i="10"/>
  <c r="T898" i="10"/>
  <c r="L899" i="10" l="1"/>
  <c r="W899" i="10" s="1"/>
  <c r="P899" i="10" l="1"/>
  <c r="O899" i="10"/>
  <c r="S899" i="10" l="1"/>
  <c r="M900" i="10"/>
  <c r="T899" i="10"/>
  <c r="N900" i="10"/>
  <c r="L900" i="10" l="1"/>
  <c r="W900" i="10" s="1"/>
  <c r="P900" i="10" l="1"/>
  <c r="O900" i="10"/>
  <c r="M901" i="10" l="1"/>
  <c r="S900" i="10"/>
  <c r="N901" i="10"/>
  <c r="T900" i="10"/>
  <c r="L901" i="10" l="1"/>
  <c r="W901" i="10" s="1"/>
  <c r="O901" i="10" l="1"/>
  <c r="P901" i="10"/>
  <c r="N902" i="10" l="1"/>
  <c r="T901" i="10"/>
  <c r="S901" i="10"/>
  <c r="M902" i="10"/>
  <c r="L902" i="10" l="1"/>
  <c r="W902" i="10" s="1"/>
  <c r="P902" i="10"/>
  <c r="O902" i="10"/>
  <c r="M903" i="10" l="1"/>
  <c r="S902" i="10"/>
  <c r="N903" i="10"/>
  <c r="T902" i="10"/>
  <c r="L903" i="10" l="1"/>
  <c r="W903" i="10" s="1"/>
  <c r="P903" i="10" l="1"/>
  <c r="O903" i="10"/>
  <c r="S903" i="10" l="1"/>
  <c r="M904" i="10"/>
  <c r="N904" i="10"/>
  <c r="T903" i="10"/>
  <c r="L904" i="10" l="1"/>
  <c r="W904" i="10" s="1"/>
  <c r="P904" i="10" l="1"/>
  <c r="O904" i="10"/>
  <c r="M905" i="10" l="1"/>
  <c r="S904" i="10"/>
  <c r="N905" i="10"/>
  <c r="T904" i="10"/>
  <c r="L905" i="10" l="1"/>
  <c r="W905" i="10" s="1"/>
  <c r="P905" i="10" l="1"/>
  <c r="O905" i="10"/>
  <c r="S905" i="10" l="1"/>
  <c r="M906" i="10"/>
  <c r="N906" i="10"/>
  <c r="T905" i="10"/>
  <c r="L906" i="10" l="1"/>
  <c r="W906" i="10" s="1"/>
  <c r="P906" i="10" l="1"/>
  <c r="O906" i="10"/>
  <c r="M907" i="10" l="1"/>
  <c r="S906" i="10"/>
  <c r="N907" i="10"/>
  <c r="T906" i="10"/>
  <c r="L907" i="10" l="1"/>
  <c r="W907" i="10" s="1"/>
  <c r="P907" i="10" l="1"/>
  <c r="O907" i="10"/>
  <c r="S907" i="10" l="1"/>
  <c r="M908" i="10"/>
  <c r="N908" i="10"/>
  <c r="T907" i="10"/>
  <c r="L908" i="10" l="1"/>
  <c r="W908" i="10" s="1"/>
  <c r="P908" i="10" l="1"/>
  <c r="O908" i="10"/>
  <c r="S908" i="10" l="1"/>
  <c r="M909" i="10"/>
  <c r="N909" i="10"/>
  <c r="T908" i="10"/>
  <c r="L909" i="10" l="1"/>
  <c r="W909" i="10" s="1"/>
  <c r="O909" i="10" l="1"/>
  <c r="P909" i="10"/>
  <c r="N910" i="10" l="1"/>
  <c r="T909" i="10"/>
  <c r="M910" i="10"/>
  <c r="S909" i="10"/>
  <c r="L910" i="10" l="1"/>
  <c r="W910" i="10" s="1"/>
  <c r="P910" i="10"/>
  <c r="O910" i="10"/>
  <c r="S910" i="10" l="1"/>
  <c r="M911" i="10"/>
  <c r="N911" i="10"/>
  <c r="T910" i="10"/>
  <c r="L911" i="10" l="1"/>
  <c r="W911" i="10" s="1"/>
  <c r="P911" i="10" l="1"/>
  <c r="O911" i="10"/>
  <c r="M912" i="10" l="1"/>
  <c r="S911" i="10"/>
  <c r="N912" i="10"/>
  <c r="T911" i="10"/>
  <c r="L912" i="10" l="1"/>
  <c r="W912" i="10" s="1"/>
  <c r="P912" i="10" l="1"/>
  <c r="O912" i="10"/>
  <c r="S912" i="10" l="1"/>
  <c r="M913" i="10"/>
  <c r="N913" i="10"/>
  <c r="T912" i="10"/>
  <c r="L913" i="10" l="1"/>
  <c r="W913" i="10" s="1"/>
  <c r="P913" i="10" l="1"/>
  <c r="O913" i="10"/>
  <c r="S913" i="10" l="1"/>
  <c r="M914" i="10"/>
  <c r="N914" i="10"/>
  <c r="T913" i="10"/>
  <c r="L914" i="10" l="1"/>
  <c r="W914" i="10" s="1"/>
  <c r="P914" i="10" l="1"/>
  <c r="O914" i="10"/>
  <c r="S914" i="10" l="1"/>
  <c r="M915" i="10"/>
  <c r="N915" i="10"/>
  <c r="T914" i="10"/>
  <c r="L915" i="10" l="1"/>
  <c r="W915" i="10" s="1"/>
  <c r="P915" i="10" l="1"/>
  <c r="O915" i="10"/>
  <c r="M916" i="10" l="1"/>
  <c r="S915" i="10"/>
  <c r="N916" i="10"/>
  <c r="T915" i="10"/>
  <c r="L916" i="10" l="1"/>
  <c r="W916" i="10" s="1"/>
  <c r="P916" i="10" l="1"/>
  <c r="O916" i="10"/>
  <c r="M917" i="10" l="1"/>
  <c r="S916" i="10"/>
  <c r="N917" i="10"/>
  <c r="T916" i="10"/>
  <c r="L917" i="10" l="1"/>
  <c r="W917" i="10" s="1"/>
  <c r="P917" i="10" l="1"/>
  <c r="O917" i="10"/>
  <c r="M918" i="10" l="1"/>
  <c r="S917" i="10"/>
  <c r="N918" i="10"/>
  <c r="T917" i="10"/>
  <c r="L918" i="10" l="1"/>
  <c r="W918" i="10" s="1"/>
  <c r="O918" i="10" l="1"/>
  <c r="P918" i="10"/>
  <c r="N919" i="10" l="1"/>
  <c r="T918" i="10"/>
  <c r="M919" i="10"/>
  <c r="S918" i="10"/>
  <c r="L919" i="10" l="1"/>
  <c r="W919" i="10" s="1"/>
  <c r="O919" i="10" l="1"/>
  <c r="M920" i="10" s="1"/>
  <c r="P919" i="10"/>
  <c r="N920" i="10" s="1"/>
  <c r="T919" i="10"/>
  <c r="S919" i="10" l="1"/>
  <c r="L920" i="10"/>
  <c r="W920" i="10" s="1"/>
  <c r="P920" i="10" l="1"/>
  <c r="O920" i="10"/>
  <c r="M921" i="10" l="1"/>
  <c r="S920" i="10"/>
  <c r="T920" i="10"/>
  <c r="N921" i="10"/>
  <c r="L921" i="10" l="1"/>
  <c r="W921" i="10" s="1"/>
  <c r="P921" i="10" l="1"/>
  <c r="O921" i="10"/>
  <c r="M922" i="10" l="1"/>
  <c r="S921" i="10"/>
  <c r="N922" i="10"/>
  <c r="T921" i="10"/>
  <c r="L922" i="10" l="1"/>
  <c r="W922" i="10" s="1"/>
  <c r="P922" i="10" l="1"/>
  <c r="O922" i="10"/>
  <c r="M923" i="10" l="1"/>
  <c r="S922" i="10"/>
  <c r="N923" i="10"/>
  <c r="T922" i="10"/>
  <c r="L923" i="10" l="1"/>
  <c r="W923" i="10" s="1"/>
  <c r="P923" i="10" l="1"/>
  <c r="O923" i="10"/>
  <c r="M924" i="10" l="1"/>
  <c r="S923" i="10"/>
  <c r="N924" i="10"/>
  <c r="T923" i="10"/>
  <c r="L924" i="10" l="1"/>
  <c r="W924" i="10" s="1"/>
  <c r="P924" i="10" l="1"/>
  <c r="O924" i="10"/>
  <c r="M925" i="10" l="1"/>
  <c r="S924" i="10"/>
  <c r="T924" i="10"/>
  <c r="N925" i="10"/>
  <c r="L925" i="10" l="1"/>
  <c r="W925" i="10" s="1"/>
  <c r="O925" i="10" l="1"/>
  <c r="P925" i="10"/>
  <c r="N926" i="10" l="1"/>
  <c r="T925" i="10"/>
  <c r="M926" i="10"/>
  <c r="S925" i="10"/>
  <c r="L926" i="10" l="1"/>
  <c r="W926" i="10" s="1"/>
  <c r="P926" i="10"/>
  <c r="O926" i="10"/>
  <c r="S926" i="10" l="1"/>
  <c r="M927" i="10"/>
  <c r="N927" i="10"/>
  <c r="T926" i="10"/>
  <c r="L927" i="10" l="1"/>
  <c r="W927" i="10" s="1"/>
  <c r="P927" i="10" l="1"/>
  <c r="O927" i="10"/>
  <c r="M928" i="10" l="1"/>
  <c r="S927" i="10"/>
  <c r="N928" i="10"/>
  <c r="T927" i="10"/>
  <c r="L928" i="10" l="1"/>
  <c r="W928" i="10" s="1"/>
  <c r="O928" i="10" l="1"/>
  <c r="P928" i="10"/>
  <c r="N929" i="10" l="1"/>
  <c r="T928" i="10"/>
  <c r="S928" i="10"/>
  <c r="M929" i="10"/>
  <c r="L929" i="10" l="1"/>
  <c r="W929" i="10" s="1"/>
  <c r="O929" i="10" l="1"/>
  <c r="P929" i="10"/>
  <c r="N930" i="10" s="1"/>
  <c r="M930" i="10"/>
  <c r="S929" i="10"/>
  <c r="T929" i="10" l="1"/>
  <c r="L930" i="10"/>
  <c r="W930" i="10" s="1"/>
  <c r="P930" i="10" l="1"/>
  <c r="O930" i="10"/>
  <c r="S930" i="10" l="1"/>
  <c r="M931" i="10"/>
  <c r="N931" i="10"/>
  <c r="T930" i="10"/>
  <c r="L931" i="10" l="1"/>
  <c r="W931" i="10" s="1"/>
  <c r="P931" i="10" l="1"/>
  <c r="O931" i="10"/>
  <c r="M932" i="10" l="1"/>
  <c r="S931" i="10"/>
  <c r="T931" i="10"/>
  <c r="N932" i="10"/>
  <c r="L932" i="10" l="1"/>
  <c r="W932" i="10" s="1"/>
  <c r="P932" i="10" l="1"/>
  <c r="O932" i="10"/>
  <c r="M933" i="10" l="1"/>
  <c r="S932" i="10"/>
  <c r="N933" i="10"/>
  <c r="T932" i="10"/>
  <c r="L933" i="10" l="1"/>
  <c r="W933" i="10" s="1"/>
  <c r="P933" i="10" l="1"/>
  <c r="O933" i="10"/>
  <c r="M934" i="10" l="1"/>
  <c r="S933" i="10"/>
  <c r="N934" i="10"/>
  <c r="T933" i="10"/>
  <c r="L934" i="10" l="1"/>
  <c r="W934" i="10" s="1"/>
  <c r="P934" i="10" l="1"/>
  <c r="O934" i="10"/>
  <c r="M935" i="10" l="1"/>
  <c r="S934" i="10"/>
  <c r="N935" i="10"/>
  <c r="T934" i="10"/>
  <c r="L935" i="10" l="1"/>
  <c r="W935" i="10" s="1"/>
  <c r="P935" i="10" l="1"/>
  <c r="O935" i="10"/>
  <c r="S935" i="10" l="1"/>
  <c r="M936" i="10"/>
  <c r="N936" i="10"/>
  <c r="T935" i="10"/>
  <c r="L936" i="10" l="1"/>
  <c r="W936" i="10" s="1"/>
  <c r="O936" i="10" l="1"/>
  <c r="P936" i="10"/>
  <c r="N937" i="10" l="1"/>
  <c r="T936" i="10"/>
  <c r="M937" i="10"/>
  <c r="S936" i="10"/>
  <c r="L937" i="10" l="1"/>
  <c r="W937" i="10" s="1"/>
  <c r="P937" i="10"/>
  <c r="O937" i="10"/>
  <c r="M938" i="10" l="1"/>
  <c r="S937" i="10"/>
  <c r="N938" i="10"/>
  <c r="T937" i="10"/>
  <c r="L938" i="10" l="1"/>
  <c r="W938" i="10" s="1"/>
  <c r="P938" i="10" l="1"/>
  <c r="O938" i="10"/>
  <c r="M939" i="10" l="1"/>
  <c r="S938" i="10"/>
  <c r="N939" i="10"/>
  <c r="T938" i="10"/>
  <c r="L939" i="10" l="1"/>
  <c r="W939" i="10" s="1"/>
  <c r="O939" i="10" l="1"/>
  <c r="P939" i="10"/>
  <c r="N940" i="10" l="1"/>
  <c r="T939" i="10"/>
  <c r="M940" i="10"/>
  <c r="L940" i="10" s="1"/>
  <c r="W940" i="10" s="1"/>
  <c r="S939" i="10"/>
  <c r="P940" i="10" l="1"/>
  <c r="O940" i="10"/>
  <c r="M941" i="10" l="1"/>
  <c r="S940" i="10"/>
  <c r="N941" i="10"/>
  <c r="T940" i="10"/>
  <c r="L941" i="10" l="1"/>
  <c r="W941" i="10" s="1"/>
  <c r="P941" i="10" l="1"/>
  <c r="O941" i="10"/>
  <c r="M942" i="10" l="1"/>
  <c r="S941" i="10"/>
  <c r="N942" i="10"/>
  <c r="T941" i="10"/>
  <c r="L942" i="10" l="1"/>
  <c r="W942" i="10" s="1"/>
  <c r="P942" i="10" l="1"/>
  <c r="O942" i="10"/>
  <c r="S942" i="10" l="1"/>
  <c r="M943" i="10"/>
  <c r="N943" i="10"/>
  <c r="T942" i="10"/>
  <c r="L943" i="10" l="1"/>
  <c r="W943" i="10" s="1"/>
  <c r="P943" i="10" l="1"/>
  <c r="O943" i="10"/>
  <c r="M944" i="10" l="1"/>
  <c r="S943" i="10"/>
  <c r="N944" i="10"/>
  <c r="T943" i="10"/>
  <c r="L944" i="10" l="1"/>
  <c r="W944" i="10" s="1"/>
  <c r="P944" i="10" l="1"/>
  <c r="O944" i="10"/>
  <c r="S944" i="10" l="1"/>
  <c r="M945" i="10"/>
  <c r="N945" i="10"/>
  <c r="T944" i="10"/>
  <c r="L945" i="10" l="1"/>
  <c r="W945" i="10" s="1"/>
  <c r="O945" i="10" l="1"/>
  <c r="P945" i="10"/>
  <c r="T945" i="10" l="1"/>
  <c r="N946" i="10"/>
  <c r="S945" i="10"/>
  <c r="M946" i="10"/>
  <c r="L946" i="10" s="1"/>
  <c r="W946" i="10" s="1"/>
  <c r="P946" i="10" l="1"/>
  <c r="O946" i="10"/>
  <c r="S946" i="10" l="1"/>
  <c r="M947" i="10"/>
  <c r="N947" i="10"/>
  <c r="T946" i="10"/>
  <c r="L947" i="10" l="1"/>
  <c r="W947" i="10" s="1"/>
  <c r="P947" i="10" l="1"/>
  <c r="O947" i="10"/>
  <c r="S947" i="10" l="1"/>
  <c r="M948" i="10"/>
  <c r="N948" i="10"/>
  <c r="T947" i="10"/>
  <c r="L948" i="10" l="1"/>
  <c r="W948" i="10" s="1"/>
  <c r="P948" i="10" l="1"/>
  <c r="O948" i="10"/>
  <c r="S948" i="10" l="1"/>
  <c r="M949" i="10"/>
  <c r="N949" i="10"/>
  <c r="T948" i="10"/>
  <c r="L949" i="10" l="1"/>
  <c r="P949" i="10" s="1"/>
  <c r="O949" i="10" l="1"/>
  <c r="S949" i="10" s="1"/>
  <c r="W949" i="10"/>
  <c r="N950" i="10"/>
  <c r="T949" i="10"/>
  <c r="M950" i="10" l="1"/>
  <c r="L950" i="10" s="1"/>
  <c r="O950" i="10" l="1"/>
  <c r="M951" i="10" s="1"/>
  <c r="W950" i="10"/>
  <c r="P950" i="10"/>
  <c r="N951" i="10" s="1"/>
  <c r="S950" i="10" l="1"/>
  <c r="T950" i="10"/>
  <c r="L951" i="10"/>
  <c r="W951" i="10" s="1"/>
  <c r="P951" i="10" l="1"/>
  <c r="O951" i="10"/>
  <c r="M952" i="10" l="1"/>
  <c r="S951" i="10"/>
  <c r="N952" i="10"/>
  <c r="T951" i="10"/>
  <c r="L952" i="10" l="1"/>
  <c r="W952" i="10" s="1"/>
  <c r="P952" i="10" l="1"/>
  <c r="O952" i="10"/>
  <c r="S952" i="10" l="1"/>
  <c r="M953" i="10"/>
  <c r="N953" i="10"/>
  <c r="T952" i="10"/>
  <c r="L953" i="10" l="1"/>
  <c r="W953" i="10" s="1"/>
  <c r="P953" i="10" l="1"/>
  <c r="O953" i="10"/>
  <c r="M954" i="10" l="1"/>
  <c r="S953" i="10"/>
  <c r="N954" i="10"/>
  <c r="T953" i="10"/>
  <c r="L954" i="10" l="1"/>
  <c r="W954" i="10" s="1"/>
  <c r="P954" i="10" l="1"/>
  <c r="O954" i="10"/>
  <c r="M955" i="10" l="1"/>
  <c r="S954" i="10"/>
  <c r="N955" i="10"/>
  <c r="T954" i="10"/>
  <c r="L955" i="10" l="1"/>
  <c r="W955" i="10" s="1"/>
  <c r="O955" i="10" l="1"/>
  <c r="P955" i="10"/>
  <c r="N956" i="10" l="1"/>
  <c r="T955" i="10"/>
  <c r="S955" i="10"/>
  <c r="M956" i="10"/>
  <c r="L956" i="10" l="1"/>
  <c r="W956" i="10" s="1"/>
  <c r="P956" i="10"/>
  <c r="O956" i="10"/>
  <c r="M957" i="10" l="1"/>
  <c r="S956" i="10"/>
  <c r="T956" i="10"/>
  <c r="N957" i="10"/>
  <c r="L957" i="10" l="1"/>
  <c r="W957" i="10" s="1"/>
  <c r="P957" i="10" l="1"/>
  <c r="O957" i="10"/>
  <c r="M958" i="10" l="1"/>
  <c r="S957" i="10"/>
  <c r="T957" i="10"/>
  <c r="N958" i="10"/>
  <c r="L958" i="10" l="1"/>
  <c r="W958" i="10" s="1"/>
  <c r="P958" i="10" l="1"/>
  <c r="O958" i="10"/>
  <c r="M959" i="10" l="1"/>
  <c r="S958" i="10"/>
  <c r="N959" i="10"/>
  <c r="T958" i="10"/>
  <c r="L959" i="10" l="1"/>
  <c r="W959" i="10" s="1"/>
  <c r="P959" i="10" l="1"/>
  <c r="O959" i="10"/>
  <c r="S959" i="10" l="1"/>
  <c r="M960" i="10"/>
  <c r="N960" i="10"/>
  <c r="T959" i="10"/>
  <c r="L960" i="10" l="1"/>
  <c r="P960" i="10" s="1"/>
  <c r="O960" i="10" l="1"/>
  <c r="S960" i="10" s="1"/>
  <c r="W960" i="10"/>
  <c r="N961" i="10"/>
  <c r="T960" i="10"/>
  <c r="M961" i="10" l="1"/>
  <c r="L961" i="10" s="1"/>
  <c r="W961" i="10" s="1"/>
  <c r="P961" i="10"/>
  <c r="O961" i="10"/>
  <c r="M962" i="10" l="1"/>
  <c r="S961" i="10"/>
  <c r="N962" i="10"/>
  <c r="T961" i="10"/>
  <c r="L962" i="10" l="1"/>
  <c r="W962" i="10" s="1"/>
  <c r="P962" i="10" l="1"/>
  <c r="O962" i="10"/>
  <c r="S962" i="10" l="1"/>
  <c r="M963" i="10"/>
  <c r="N963" i="10"/>
  <c r="T962" i="10"/>
  <c r="L963" i="10" l="1"/>
  <c r="W963" i="10" s="1"/>
  <c r="P963" i="10" l="1"/>
  <c r="O963" i="10"/>
  <c r="S963" i="10" l="1"/>
  <c r="M964" i="10"/>
  <c r="N964" i="10"/>
  <c r="T963" i="10"/>
  <c r="L964" i="10" l="1"/>
  <c r="W964" i="10" s="1"/>
  <c r="P964" i="10" l="1"/>
  <c r="O964" i="10"/>
  <c r="M965" i="10" l="1"/>
  <c r="S964" i="10"/>
  <c r="N965" i="10"/>
  <c r="T964" i="10"/>
  <c r="L965" i="10" l="1"/>
  <c r="W965" i="10" s="1"/>
  <c r="P965" i="10" l="1"/>
  <c r="O965" i="10"/>
  <c r="M966" i="10" l="1"/>
  <c r="S965" i="10"/>
  <c r="N966" i="10"/>
  <c r="T965" i="10"/>
  <c r="L966" i="10" l="1"/>
  <c r="W966" i="10" s="1"/>
  <c r="P966" i="10" l="1"/>
  <c r="O966" i="10"/>
  <c r="M967" i="10" l="1"/>
  <c r="S966" i="10"/>
  <c r="N967" i="10"/>
  <c r="T966" i="10"/>
  <c r="L967" i="10" l="1"/>
  <c r="W967" i="10" s="1"/>
  <c r="O967" i="10" l="1"/>
  <c r="P967" i="10"/>
  <c r="N968" i="10" l="1"/>
  <c r="T967" i="10"/>
  <c r="S967" i="10"/>
  <c r="M968" i="10"/>
  <c r="L968" i="10" l="1"/>
  <c r="W968" i="10" s="1"/>
  <c r="P968" i="10"/>
  <c r="O968" i="10"/>
  <c r="M969" i="10" l="1"/>
  <c r="S968" i="10"/>
  <c r="N969" i="10"/>
  <c r="T968" i="10"/>
  <c r="L969" i="10" l="1"/>
  <c r="W969" i="10" s="1"/>
  <c r="P969" i="10" l="1"/>
  <c r="O969" i="10"/>
  <c r="S969" i="10" l="1"/>
  <c r="M970" i="10"/>
  <c r="N970" i="10"/>
  <c r="T969" i="10"/>
  <c r="L970" i="10" l="1"/>
  <c r="W970" i="10" s="1"/>
  <c r="P970" i="10" l="1"/>
  <c r="O970" i="10"/>
  <c r="S970" i="10" l="1"/>
  <c r="M971" i="10"/>
  <c r="N971" i="10"/>
  <c r="T970" i="10"/>
  <c r="L971" i="10" l="1"/>
  <c r="W971" i="10" s="1"/>
  <c r="P971" i="10" l="1"/>
  <c r="O971" i="10"/>
  <c r="M972" i="10" l="1"/>
  <c r="S971" i="10"/>
  <c r="N972" i="10"/>
  <c r="T971" i="10"/>
  <c r="L972" i="10" l="1"/>
  <c r="W972" i="10" s="1"/>
  <c r="P972" i="10" l="1"/>
  <c r="O972" i="10"/>
  <c r="M973" i="10" l="1"/>
  <c r="S972" i="10"/>
  <c r="N973" i="10"/>
  <c r="T972" i="10"/>
  <c r="L973" i="10" l="1"/>
  <c r="W973" i="10" s="1"/>
  <c r="P973" i="10" l="1"/>
  <c r="O973" i="10"/>
  <c r="S973" i="10" l="1"/>
  <c r="M974" i="10"/>
  <c r="N974" i="10"/>
  <c r="T973" i="10"/>
  <c r="L974" i="10" l="1"/>
  <c r="W974" i="10" s="1"/>
  <c r="O974" i="10" l="1"/>
  <c r="P974" i="10"/>
  <c r="N975" i="10" l="1"/>
  <c r="T974" i="10"/>
  <c r="S974" i="10"/>
  <c r="M975" i="10"/>
  <c r="L975" i="10" l="1"/>
  <c r="W975" i="10" s="1"/>
  <c r="P975" i="10"/>
  <c r="O975" i="10"/>
  <c r="M976" i="10" l="1"/>
  <c r="S975" i="10"/>
  <c r="N976" i="10"/>
  <c r="T975" i="10"/>
  <c r="L976" i="10" l="1"/>
  <c r="W976" i="10" s="1"/>
  <c r="P976" i="10" l="1"/>
  <c r="O976" i="10"/>
  <c r="S976" i="10" l="1"/>
  <c r="M977" i="10"/>
  <c r="N977" i="10"/>
  <c r="T976" i="10"/>
  <c r="L977" i="10" l="1"/>
  <c r="W977" i="10" s="1"/>
  <c r="P977" i="10"/>
  <c r="O977" i="10"/>
  <c r="S977" i="10" l="1"/>
  <c r="M978" i="10"/>
  <c r="N978" i="10"/>
  <c r="T977" i="10"/>
  <c r="L978" i="10" l="1"/>
  <c r="W978" i="10" s="1"/>
  <c r="P978" i="10" l="1"/>
  <c r="O978" i="10"/>
  <c r="M979" i="10" l="1"/>
  <c r="S978" i="10"/>
  <c r="N979" i="10"/>
  <c r="T978" i="10"/>
  <c r="L979" i="10" l="1"/>
  <c r="W979" i="10" s="1"/>
  <c r="P979" i="10" l="1"/>
  <c r="O979" i="10"/>
  <c r="M980" i="10" l="1"/>
  <c r="S979" i="10"/>
  <c r="N980" i="10"/>
  <c r="T979" i="10"/>
  <c r="L980" i="10" l="1"/>
  <c r="W980" i="10" s="1"/>
  <c r="P980" i="10" l="1"/>
  <c r="O980" i="10"/>
  <c r="M981" i="10" l="1"/>
  <c r="S980" i="10"/>
  <c r="N981" i="10"/>
  <c r="T980" i="10"/>
  <c r="L981" i="10" l="1"/>
  <c r="W981" i="10" s="1"/>
  <c r="O981" i="10" l="1"/>
  <c r="P981" i="10"/>
  <c r="N982" i="10" l="1"/>
  <c r="T981" i="10"/>
  <c r="M982" i="10"/>
  <c r="S981" i="10"/>
  <c r="L982" i="10" l="1"/>
  <c r="W982" i="10" s="1"/>
  <c r="P982" i="10"/>
  <c r="O982" i="10"/>
  <c r="S982" i="10" l="1"/>
  <c r="M983" i="10"/>
  <c r="N983" i="10"/>
  <c r="T982" i="10"/>
  <c r="L983" i="10" l="1"/>
  <c r="W983" i="10" s="1"/>
  <c r="P983" i="10" l="1"/>
  <c r="O983" i="10"/>
  <c r="M984" i="10" l="1"/>
  <c r="S983" i="10"/>
  <c r="N984" i="10"/>
  <c r="T983" i="10"/>
  <c r="L984" i="10" l="1"/>
  <c r="W984" i="10" s="1"/>
  <c r="P984" i="10" l="1"/>
  <c r="O984" i="10"/>
  <c r="M985" i="10" l="1"/>
  <c r="S984" i="10"/>
  <c r="N985" i="10"/>
  <c r="T984" i="10"/>
  <c r="L985" i="10" l="1"/>
  <c r="W985" i="10" s="1"/>
  <c r="P985" i="10" l="1"/>
  <c r="O985" i="10"/>
  <c r="M986" i="10" l="1"/>
  <c r="S985" i="10"/>
  <c r="N986" i="10"/>
  <c r="T985" i="10"/>
  <c r="L986" i="10" l="1"/>
  <c r="W986" i="10" s="1"/>
  <c r="P986" i="10" l="1"/>
  <c r="O986" i="10"/>
  <c r="S986" i="10" l="1"/>
  <c r="M987" i="10"/>
  <c r="N987" i="10"/>
  <c r="T986" i="10"/>
  <c r="L987" i="10" l="1"/>
  <c r="W987" i="10" s="1"/>
  <c r="P987" i="10" l="1"/>
  <c r="O987" i="10"/>
  <c r="M988" i="10" l="1"/>
  <c r="S987" i="10"/>
  <c r="N988" i="10"/>
  <c r="T987" i="10"/>
  <c r="L988" i="10" l="1"/>
  <c r="W988" i="10" s="1"/>
  <c r="P988" i="10" l="1"/>
  <c r="O988" i="10"/>
  <c r="M989" i="10" l="1"/>
  <c r="S988" i="10"/>
  <c r="N989" i="10"/>
  <c r="T988" i="10"/>
  <c r="L989" i="10" l="1"/>
  <c r="W989" i="10" s="1"/>
  <c r="P989" i="10" l="1"/>
  <c r="O989" i="10"/>
  <c r="S989" i="10" l="1"/>
  <c r="M990" i="10"/>
  <c r="N990" i="10"/>
  <c r="T989" i="10"/>
  <c r="L990" i="10" l="1"/>
  <c r="W990" i="10" s="1"/>
  <c r="P990" i="10" l="1"/>
  <c r="O990" i="10"/>
  <c r="S990" i="10" l="1"/>
  <c r="M991" i="10"/>
  <c r="N991" i="10"/>
  <c r="T990" i="10"/>
  <c r="L991" i="10" l="1"/>
  <c r="W991" i="10" s="1"/>
  <c r="P991" i="10" l="1"/>
  <c r="O991" i="10"/>
  <c r="M992" i="10" l="1"/>
  <c r="S991" i="10"/>
  <c r="T991" i="10"/>
  <c r="N992" i="10"/>
  <c r="L992" i="10" l="1"/>
  <c r="W992" i="10" s="1"/>
  <c r="P992" i="10" l="1"/>
  <c r="O992" i="10"/>
  <c r="S992" i="10" l="1"/>
  <c r="M993" i="10"/>
  <c r="N993" i="10"/>
  <c r="T992" i="10"/>
  <c r="L993" i="10" l="1"/>
  <c r="W993" i="10" s="1"/>
  <c r="P993" i="10" l="1"/>
  <c r="O993" i="10"/>
  <c r="M994" i="10" l="1"/>
  <c r="S993" i="10"/>
  <c r="N994" i="10"/>
  <c r="T993" i="10"/>
  <c r="L994" i="10" l="1"/>
  <c r="W994" i="10" s="1"/>
  <c r="P994" i="10" l="1"/>
  <c r="O994" i="10"/>
  <c r="M995" i="10" l="1"/>
  <c r="S994" i="10"/>
  <c r="N995" i="10"/>
  <c r="T994" i="10"/>
  <c r="L995" i="10" l="1"/>
  <c r="W995" i="10" s="1"/>
  <c r="P995" i="10" l="1"/>
  <c r="O995" i="10"/>
  <c r="M996" i="10" l="1"/>
  <c r="S995" i="10"/>
  <c r="N996" i="10"/>
  <c r="T995" i="10"/>
  <c r="L996" i="10" l="1"/>
  <c r="W996" i="10" s="1"/>
  <c r="P996" i="10" l="1"/>
  <c r="O996" i="10"/>
  <c r="S996" i="10" l="1"/>
  <c r="M997" i="10"/>
  <c r="T996" i="10"/>
  <c r="N997" i="10"/>
  <c r="L997" i="10" l="1"/>
  <c r="W997" i="10" s="1"/>
  <c r="P997" i="10" l="1"/>
  <c r="O997" i="10"/>
  <c r="M998" i="10" l="1"/>
  <c r="S997" i="10"/>
  <c r="N998" i="10"/>
  <c r="T997" i="10"/>
  <c r="L998" i="10" l="1"/>
  <c r="W998" i="10" s="1"/>
  <c r="P998" i="10" l="1"/>
  <c r="O998" i="10"/>
  <c r="M999" i="10" l="1"/>
  <c r="S998" i="10"/>
  <c r="N999" i="10"/>
  <c r="T998" i="10"/>
  <c r="L999" i="10" l="1"/>
  <c r="W999" i="10" s="1"/>
  <c r="P999" i="10" l="1"/>
  <c r="O999" i="10"/>
  <c r="M1000" i="10" l="1"/>
  <c r="S999" i="10"/>
  <c r="N1000" i="10"/>
  <c r="T999" i="10"/>
  <c r="L1000" i="10" l="1"/>
  <c r="W1000" i="10" s="1"/>
  <c r="P1000" i="10" l="1"/>
  <c r="O1000" i="10"/>
  <c r="M1001" i="10" l="1"/>
  <c r="S1000" i="10"/>
  <c r="N1001" i="10"/>
  <c r="T1000" i="10"/>
  <c r="L1001" i="10" l="1"/>
  <c r="W1001" i="10" s="1"/>
  <c r="O1001" i="10" l="1"/>
  <c r="P1001" i="10"/>
  <c r="N1002" i="10" l="1"/>
  <c r="T1001" i="10"/>
  <c r="S1001" i="10"/>
  <c r="M1002" i="10"/>
  <c r="L1002" i="10" l="1"/>
  <c r="W1002" i="10" s="1"/>
  <c r="P1002" i="10"/>
  <c r="O1002" i="10"/>
  <c r="S1002" i="10" l="1"/>
  <c r="M1003" i="10"/>
  <c r="N1003" i="10"/>
  <c r="T1002" i="10"/>
  <c r="L1003" i="10" l="1"/>
  <c r="W1003" i="10" s="1"/>
  <c r="P1003" i="10" l="1"/>
  <c r="O1003" i="10"/>
  <c r="S1003" i="10" l="1"/>
  <c r="M1004" i="10"/>
  <c r="N1004" i="10"/>
  <c r="T1003" i="10"/>
  <c r="L1004" i="10" l="1"/>
  <c r="W1004" i="10" s="1"/>
  <c r="P1004" i="10" l="1"/>
  <c r="O1004" i="10"/>
  <c r="S1004" i="10" l="1"/>
  <c r="M1005" i="10"/>
  <c r="N1005" i="10"/>
  <c r="T1004" i="10"/>
  <c r="L1005" i="10" l="1"/>
  <c r="W1005" i="10" s="1"/>
  <c r="P1005" i="10" l="1"/>
  <c r="O1005" i="10"/>
  <c r="S1005" i="10" l="1"/>
  <c r="M1006" i="10"/>
  <c r="N1006" i="10"/>
  <c r="T1005" i="10"/>
  <c r="L1006" i="10" l="1"/>
  <c r="W1006" i="10" s="1"/>
  <c r="P1006" i="10" l="1"/>
  <c r="O1006" i="10"/>
  <c r="S1006" i="10" l="1"/>
  <c r="M1007" i="10"/>
  <c r="N1007" i="10"/>
  <c r="T1006" i="10"/>
  <c r="L1007" i="10" l="1"/>
  <c r="W1007" i="10" s="1"/>
  <c r="P1007" i="10" l="1"/>
  <c r="O1007" i="10"/>
  <c r="M1008" i="10" l="1"/>
  <c r="S1007" i="10"/>
  <c r="N1008" i="10"/>
  <c r="T1007" i="10"/>
  <c r="L1008" i="10" l="1"/>
  <c r="W1008" i="10" s="1"/>
  <c r="P1008" i="10" l="1"/>
  <c r="O1008" i="10"/>
  <c r="M1009" i="10" l="1"/>
  <c r="S1008" i="10"/>
  <c r="N1009" i="10"/>
  <c r="T1008" i="10"/>
  <c r="L1009" i="10" l="1"/>
  <c r="W1009" i="10" s="1"/>
  <c r="P1009" i="10" l="1"/>
  <c r="O1009" i="10"/>
  <c r="M1010" i="10" l="1"/>
  <c r="S1009" i="10"/>
  <c r="N1010" i="10"/>
  <c r="T1009" i="10"/>
  <c r="L1010" i="10" l="1"/>
  <c r="W1010" i="10" s="1"/>
  <c r="P1010" i="10" l="1"/>
  <c r="O1010" i="10"/>
  <c r="M1011" i="10" l="1"/>
  <c r="S1010" i="10"/>
  <c r="N1011" i="10"/>
  <c r="T1010" i="10"/>
  <c r="L1011" i="10" l="1"/>
  <c r="W1011" i="10" s="1"/>
  <c r="P1011" i="10" l="1"/>
  <c r="O1011" i="10"/>
  <c r="S1011" i="10" l="1"/>
  <c r="M1012" i="10"/>
  <c r="N1012" i="10"/>
  <c r="T1011" i="10"/>
  <c r="L1012" i="10" l="1"/>
  <c r="W1012" i="10" s="1"/>
  <c r="P1012" i="10" l="1"/>
  <c r="O1012" i="10"/>
  <c r="M1013" i="10" l="1"/>
  <c r="S1012" i="10"/>
  <c r="N1013" i="10"/>
  <c r="T1012" i="10"/>
  <c r="L1013" i="10" l="1"/>
  <c r="W1013" i="10" s="1"/>
  <c r="P1013" i="10" l="1"/>
  <c r="O1013" i="10"/>
  <c r="M1014" i="10" l="1"/>
  <c r="S1013" i="10"/>
  <c r="N1014" i="10"/>
  <c r="T1013" i="10"/>
  <c r="L1014" i="10" l="1"/>
  <c r="W1014" i="10" s="1"/>
  <c r="P1014" i="10" l="1"/>
  <c r="O1014" i="10"/>
  <c r="M1015" i="10" l="1"/>
  <c r="S1014" i="10"/>
  <c r="N1015" i="10"/>
  <c r="T1014" i="10"/>
  <c r="L1015" i="10" l="1"/>
  <c r="W1015" i="10" s="1"/>
  <c r="P1015" i="10" l="1"/>
  <c r="O1015" i="10"/>
  <c r="M1016" i="10" l="1"/>
  <c r="S1015" i="10"/>
  <c r="N1016" i="10"/>
  <c r="T1015" i="10"/>
  <c r="L1016" i="10" l="1"/>
  <c r="W1016" i="10" s="1"/>
  <c r="P1016" i="10" l="1"/>
  <c r="O1016" i="10"/>
  <c r="S1016" i="10" l="1"/>
  <c r="M1017" i="10"/>
  <c r="N1017" i="10"/>
  <c r="T1016" i="10"/>
  <c r="L1017" i="10" l="1"/>
  <c r="W1017" i="10" s="1"/>
  <c r="O1017" i="10" l="1"/>
  <c r="P1017" i="10"/>
  <c r="N1018" i="10" l="1"/>
  <c r="T1017" i="10"/>
  <c r="S1017" i="10"/>
  <c r="M1018" i="10"/>
  <c r="L1018" i="10" s="1"/>
  <c r="W1018" i="10" s="1"/>
  <c r="P1018" i="10" l="1"/>
  <c r="O1018" i="10"/>
  <c r="M1019" i="10" l="1"/>
  <c r="S1018" i="10"/>
  <c r="N1019" i="10"/>
  <c r="T1018" i="10"/>
  <c r="L1019" i="10" l="1"/>
  <c r="W1019" i="10" s="1"/>
  <c r="P1019" i="10" l="1"/>
  <c r="O1019" i="10"/>
  <c r="S1019" i="10" l="1"/>
  <c r="M1020" i="10"/>
  <c r="N1020" i="10"/>
  <c r="T1019" i="10"/>
  <c r="L1020" i="10" l="1"/>
  <c r="W1020" i="10" s="1"/>
  <c r="P1020" i="10" l="1"/>
  <c r="O1020" i="10"/>
  <c r="M1021" i="10" l="1"/>
  <c r="S1020" i="10"/>
  <c r="N1021" i="10"/>
  <c r="T1020" i="10"/>
  <c r="L1021" i="10" l="1"/>
  <c r="W1021" i="10" s="1"/>
  <c r="P1021" i="10" l="1"/>
  <c r="O1021" i="10"/>
  <c r="M1022" i="10" l="1"/>
  <c r="S1021" i="10"/>
  <c r="N1022" i="10"/>
  <c r="T1021" i="10"/>
  <c r="L1022" i="10" l="1"/>
  <c r="W1022" i="10" s="1"/>
  <c r="O1022" i="10" l="1"/>
  <c r="P1022" i="10"/>
  <c r="N1023" i="10" l="1"/>
  <c r="T1022" i="10"/>
  <c r="M1023" i="10"/>
  <c r="S1022" i="10"/>
  <c r="L1023" i="10" l="1"/>
  <c r="W1023" i="10" s="1"/>
  <c r="P1023" i="10"/>
  <c r="O1023" i="10"/>
  <c r="S1023" i="10" l="1"/>
  <c r="M1024" i="10"/>
  <c r="T1023" i="10"/>
  <c r="N1024" i="10"/>
  <c r="L1024" i="10" l="1"/>
  <c r="W1024" i="10" s="1"/>
  <c r="O1024" i="10" l="1"/>
  <c r="P1024" i="10"/>
  <c r="N1025" i="10" l="1"/>
  <c r="T1024" i="10"/>
  <c r="S1024" i="10"/>
  <c r="M1025" i="10"/>
  <c r="L1025" i="10" s="1"/>
  <c r="W1025" i="10" s="1"/>
  <c r="P1025" i="10" l="1"/>
  <c r="O1025" i="10"/>
  <c r="S1025" i="10" l="1"/>
  <c r="M1026" i="10"/>
  <c r="N1026" i="10"/>
  <c r="T1025" i="10"/>
  <c r="L1026" i="10" l="1"/>
  <c r="W1026" i="10" s="1"/>
  <c r="P1026" i="10" l="1"/>
  <c r="O1026" i="10"/>
  <c r="S1026" i="10" l="1"/>
  <c r="M1027" i="10"/>
  <c r="T1026" i="10"/>
  <c r="N1027" i="10"/>
  <c r="L1027" i="10" l="1"/>
  <c r="W1027" i="10" s="1"/>
  <c r="P1027" i="10" l="1"/>
  <c r="O1027" i="10"/>
  <c r="S1027" i="10" l="1"/>
  <c r="M1028" i="10"/>
  <c r="N1028" i="10"/>
  <c r="T1027" i="10"/>
  <c r="L1028" i="10" l="1"/>
  <c r="W1028" i="10" s="1"/>
  <c r="P1028" i="10" l="1"/>
  <c r="O1028" i="10"/>
  <c r="S1028" i="10" l="1"/>
  <c r="M1029" i="10"/>
  <c r="N1029" i="10"/>
  <c r="T1028" i="10"/>
  <c r="L1029" i="10" l="1"/>
  <c r="W1029" i="10" s="1"/>
  <c r="P1029" i="10" l="1"/>
  <c r="O1029" i="10"/>
  <c r="S1029" i="10" l="1"/>
  <c r="M1030" i="10"/>
  <c r="N1030" i="10"/>
  <c r="T1029" i="10"/>
  <c r="L1030" i="10" l="1"/>
  <c r="W1030" i="10" s="1"/>
  <c r="P1030" i="10" l="1"/>
  <c r="O1030" i="10"/>
  <c r="S1030" i="10" l="1"/>
  <c r="M1031" i="10"/>
  <c r="N1031" i="10"/>
  <c r="T1030" i="10"/>
  <c r="L1031" i="10" l="1"/>
  <c r="W1031" i="10" s="1"/>
  <c r="P1031" i="10" l="1"/>
  <c r="O1031" i="10"/>
  <c r="S1031" i="10" l="1"/>
  <c r="M1032" i="10"/>
  <c r="N1032" i="10"/>
  <c r="T1031" i="10"/>
  <c r="L1032" i="10" l="1"/>
  <c r="W1032" i="10" s="1"/>
  <c r="P1032" i="10" l="1"/>
  <c r="O1032" i="10"/>
  <c r="M1033" i="10" l="1"/>
  <c r="S1032" i="10"/>
  <c r="N1033" i="10"/>
  <c r="T1032" i="10"/>
  <c r="L1033" i="10" l="1"/>
  <c r="W1033" i="10" s="1"/>
  <c r="O1033" i="10" l="1"/>
  <c r="P1033" i="10"/>
  <c r="N1034" i="10" l="1"/>
  <c r="T1033" i="10"/>
  <c r="M1034" i="10"/>
  <c r="S1033" i="10"/>
  <c r="L1034" i="10" l="1"/>
  <c r="W1034" i="10" s="1"/>
  <c r="O1034" i="10"/>
  <c r="P1034" i="10" l="1"/>
  <c r="N1035" i="10" s="1"/>
  <c r="S1034" i="10"/>
  <c r="M1035" i="10"/>
  <c r="T1034" i="10" l="1"/>
  <c r="L1035" i="10"/>
  <c r="W1035" i="10" s="1"/>
  <c r="O1035" i="10" l="1"/>
  <c r="P1035" i="10"/>
  <c r="N1036" i="10" l="1"/>
  <c r="T1035" i="10"/>
  <c r="M1036" i="10"/>
  <c r="L1036" i="10" s="1"/>
  <c r="W1036" i="10" s="1"/>
  <c r="S1035" i="10"/>
  <c r="P1036" i="10" l="1"/>
  <c r="O1036" i="10"/>
  <c r="M1037" i="10" l="1"/>
  <c r="S1036" i="10"/>
  <c r="N1037" i="10"/>
  <c r="T1036" i="10"/>
  <c r="L1037" i="10" l="1"/>
  <c r="W1037" i="10" s="1"/>
  <c r="P1037" i="10" l="1"/>
  <c r="O1037" i="10"/>
  <c r="M1038" i="10" l="1"/>
  <c r="S1037" i="10"/>
  <c r="N1038" i="10"/>
  <c r="T1037" i="10"/>
  <c r="L1038" i="10" l="1"/>
  <c r="W1038" i="10" s="1"/>
  <c r="P1038" i="10" l="1"/>
  <c r="O1038" i="10"/>
  <c r="M1039" i="10" l="1"/>
  <c r="S1038" i="10"/>
  <c r="T1038" i="10"/>
  <c r="N1039" i="10"/>
  <c r="L1039" i="10" l="1"/>
  <c r="W1039" i="10" s="1"/>
  <c r="P1039" i="10" l="1"/>
  <c r="O1039" i="10"/>
  <c r="M1040" i="10" l="1"/>
  <c r="S1039" i="10"/>
  <c r="T1039" i="10"/>
  <c r="N1040" i="10"/>
  <c r="L1040" i="10" l="1"/>
  <c r="W1040" i="10" s="1"/>
  <c r="P1040" i="10" l="1"/>
  <c r="O1040" i="10"/>
  <c r="S1040" i="10" l="1"/>
  <c r="M1041" i="10"/>
  <c r="N1041" i="10"/>
  <c r="T1040" i="10"/>
  <c r="L1041" i="10" l="1"/>
  <c r="W1041" i="10" s="1"/>
  <c r="P1041" i="10" l="1"/>
  <c r="O1041" i="10"/>
  <c r="M1042" i="10" l="1"/>
  <c r="S1041" i="10"/>
  <c r="T1041" i="10"/>
  <c r="N1042" i="10"/>
  <c r="L1042" i="10" l="1"/>
  <c r="W1042" i="10" s="1"/>
  <c r="P1042" i="10" l="1"/>
  <c r="O1042" i="10"/>
  <c r="S1042" i="10" l="1"/>
  <c r="M1043" i="10"/>
  <c r="N1043" i="10"/>
  <c r="T1042" i="10"/>
  <c r="L1043" i="10" l="1"/>
  <c r="W1043" i="10" s="1"/>
  <c r="P1043" i="10" l="1"/>
  <c r="O1043" i="10"/>
  <c r="S1043" i="10" l="1"/>
  <c r="M1044" i="10"/>
  <c r="N1044" i="10"/>
  <c r="T1043" i="10"/>
  <c r="L1044" i="10" l="1"/>
  <c r="W1044" i="10" s="1"/>
  <c r="P1044" i="10" l="1"/>
  <c r="O1044" i="10"/>
  <c r="M1045" i="10" l="1"/>
  <c r="S1044" i="10"/>
  <c r="N1045" i="10"/>
  <c r="T1044" i="10"/>
  <c r="L1045" i="10" l="1"/>
  <c r="W1045" i="10" s="1"/>
  <c r="P1045" i="10" l="1"/>
  <c r="O1045" i="10"/>
  <c r="M1046" i="10" l="1"/>
  <c r="S1045" i="10"/>
  <c r="N1046" i="10"/>
  <c r="T1045" i="10"/>
  <c r="L1046" i="10" l="1"/>
  <c r="W1046" i="10" s="1"/>
  <c r="P1046" i="10" l="1"/>
  <c r="O1046" i="10"/>
  <c r="S1046" i="10" l="1"/>
  <c r="M1047" i="10"/>
  <c r="T1046" i="10"/>
  <c r="N1047" i="10"/>
  <c r="L1047" i="10" l="1"/>
  <c r="W1047" i="10" s="1"/>
  <c r="P1047" i="10" l="1"/>
  <c r="O1047" i="10"/>
  <c r="S1047" i="10" l="1"/>
  <c r="M1048" i="10"/>
  <c r="N1048" i="10"/>
  <c r="T1047" i="10"/>
  <c r="L1048" i="10" l="1"/>
  <c r="W1048" i="10" s="1"/>
  <c r="P1048" i="10" l="1"/>
  <c r="O1048" i="10"/>
  <c r="M1049" i="10" l="1"/>
  <c r="S1048" i="10"/>
  <c r="N1049" i="10"/>
  <c r="T1048" i="10"/>
  <c r="L1049" i="10" l="1"/>
  <c r="W1049" i="10" s="1"/>
  <c r="P1049" i="10" l="1"/>
  <c r="O1049" i="10"/>
  <c r="S1049" i="10" l="1"/>
  <c r="M1050" i="10"/>
  <c r="N1050" i="10"/>
  <c r="T1049" i="10"/>
  <c r="L1050" i="10" l="1"/>
  <c r="W1050" i="10" s="1"/>
  <c r="P1050" i="10" l="1"/>
  <c r="O1050" i="10"/>
  <c r="M1051" i="10" l="1"/>
  <c r="S1050" i="10"/>
  <c r="N1051" i="10"/>
  <c r="T1050" i="10"/>
  <c r="L1051" i="10" l="1"/>
  <c r="W1051" i="10" s="1"/>
  <c r="P1051" i="10" l="1"/>
  <c r="O1051" i="10"/>
  <c r="S1051" i="10" l="1"/>
  <c r="M1052" i="10"/>
  <c r="N1052" i="10"/>
  <c r="T1051" i="10"/>
  <c r="L1052" i="10" l="1"/>
  <c r="W1052" i="10" s="1"/>
  <c r="P1052" i="10" l="1"/>
  <c r="O1052" i="10"/>
  <c r="S1052" i="10" l="1"/>
  <c r="M1053" i="10"/>
  <c r="N1053" i="10"/>
  <c r="T1052" i="10"/>
  <c r="L1053" i="10" l="1"/>
  <c r="W1053" i="10" s="1"/>
  <c r="O1053" i="10" l="1"/>
  <c r="P1053" i="10"/>
  <c r="N1054" i="10" l="1"/>
  <c r="T1053" i="10"/>
  <c r="M1054" i="10"/>
  <c r="S1053" i="10"/>
  <c r="L1054" i="10" l="1"/>
  <c r="W1054" i="10" s="1"/>
  <c r="P1054" i="10"/>
  <c r="O1054" i="10"/>
  <c r="S1054" i="10" l="1"/>
  <c r="M1055" i="10"/>
  <c r="N1055" i="10"/>
  <c r="T1054" i="10"/>
  <c r="L1055" i="10" l="1"/>
  <c r="W1055" i="10" s="1"/>
  <c r="P1055" i="10" l="1"/>
  <c r="O1055" i="10"/>
  <c r="M1056" i="10" l="1"/>
  <c r="S1055" i="10"/>
  <c r="N1056" i="10"/>
  <c r="T1055" i="10"/>
  <c r="L1056" i="10" l="1"/>
  <c r="W1056" i="10" s="1"/>
  <c r="P1056" i="10" l="1"/>
  <c r="O1056" i="10"/>
  <c r="M1057" i="10" l="1"/>
  <c r="S1056" i="10"/>
  <c r="N1057" i="10"/>
  <c r="T1056" i="10"/>
  <c r="L1057" i="10" l="1"/>
  <c r="W1057" i="10" s="1"/>
  <c r="O1057" i="10" l="1"/>
  <c r="P1057" i="10"/>
  <c r="N1058" i="10" l="1"/>
  <c r="T1057" i="10"/>
  <c r="S1057" i="10"/>
  <c r="M1058" i="10"/>
  <c r="L1058" i="10" l="1"/>
  <c r="W1058" i="10" s="1"/>
  <c r="P1058" i="10"/>
  <c r="O1058" i="10"/>
  <c r="M1059" i="10" l="1"/>
  <c r="S1058" i="10"/>
  <c r="N1059" i="10"/>
  <c r="T1058" i="10"/>
  <c r="L1059" i="10" l="1"/>
  <c r="W1059" i="10" s="1"/>
  <c r="P1059" i="10" l="1"/>
  <c r="O1059" i="10"/>
  <c r="S1059" i="10" l="1"/>
  <c r="M1060" i="10"/>
  <c r="N1060" i="10"/>
  <c r="T1059" i="10"/>
  <c r="L1060" i="10" l="1"/>
  <c r="W1060" i="10" s="1"/>
  <c r="P1060" i="10" l="1"/>
  <c r="O1060" i="10"/>
  <c r="M1061" i="10" l="1"/>
  <c r="S1060" i="10"/>
  <c r="T1060" i="10"/>
  <c r="N1061" i="10"/>
  <c r="L1061" i="10" l="1"/>
  <c r="W1061" i="10" s="1"/>
  <c r="P1061" i="10" l="1"/>
  <c r="O1061" i="10"/>
  <c r="M1062" i="10" l="1"/>
  <c r="S1061" i="10"/>
  <c r="N1062" i="10"/>
  <c r="T1061" i="10"/>
  <c r="L1062" i="10" l="1"/>
  <c r="W1062" i="10" s="1"/>
  <c r="P1062" i="10" l="1"/>
  <c r="O1062" i="10"/>
  <c r="M1063" i="10" l="1"/>
  <c r="S1062" i="10"/>
  <c r="N1063" i="10"/>
  <c r="T1062" i="10"/>
  <c r="L1063" i="10" l="1"/>
  <c r="W1063" i="10" s="1"/>
  <c r="P1063" i="10" l="1"/>
  <c r="O1063" i="10"/>
  <c r="S1063" i="10" l="1"/>
  <c r="M1064" i="10"/>
  <c r="T1063" i="10"/>
  <c r="N1064" i="10"/>
  <c r="L1064" i="10" l="1"/>
  <c r="W1064" i="10" s="1"/>
  <c r="P1064" i="10" l="1"/>
  <c r="O1064" i="10"/>
  <c r="M1065" i="10" l="1"/>
  <c r="S1064" i="10"/>
  <c r="N1065" i="10"/>
  <c r="T1064" i="10"/>
  <c r="L1065" i="10" l="1"/>
  <c r="W1065" i="10" s="1"/>
  <c r="P1065" i="10" l="1"/>
  <c r="O1065" i="10"/>
  <c r="M1066" i="10" l="1"/>
  <c r="S1065" i="10"/>
  <c r="T1065" i="10"/>
  <c r="N1066" i="10"/>
  <c r="L1066" i="10" l="1"/>
  <c r="W1066" i="10" s="1"/>
  <c r="P1066" i="10"/>
  <c r="O1066" i="10"/>
  <c r="S1066" i="10" l="1"/>
  <c r="M1067" i="10"/>
  <c r="N1067" i="10"/>
  <c r="T1066" i="10"/>
  <c r="L1067" i="10" l="1"/>
  <c r="W1067" i="10" s="1"/>
  <c r="P1067" i="10" l="1"/>
  <c r="O1067" i="10"/>
  <c r="S1067" i="10" l="1"/>
  <c r="M1068" i="10"/>
  <c r="T1067" i="10"/>
  <c r="N1068" i="10"/>
  <c r="L1068" i="10" l="1"/>
  <c r="W1068" i="10" s="1"/>
  <c r="P1068" i="10" l="1"/>
  <c r="O1068" i="10"/>
  <c r="S1068" i="10" l="1"/>
  <c r="M1069" i="10"/>
  <c r="N1069" i="10"/>
  <c r="T1068" i="10"/>
  <c r="L1069" i="10" l="1"/>
  <c r="W1069" i="10" s="1"/>
  <c r="P1069" i="10" l="1"/>
  <c r="O1069" i="10"/>
  <c r="S1069" i="10" l="1"/>
  <c r="M1070" i="10"/>
  <c r="N1070" i="10"/>
  <c r="T1069" i="10"/>
  <c r="L1070" i="10" l="1"/>
  <c r="W1070" i="10" s="1"/>
  <c r="P1070" i="10" l="1"/>
  <c r="O1070" i="10"/>
  <c r="M1071" i="10" l="1"/>
  <c r="S1070" i="10"/>
  <c r="N1071" i="10"/>
  <c r="T1070" i="10"/>
  <c r="L1071" i="10" l="1"/>
  <c r="W1071" i="10" s="1"/>
  <c r="O1071" i="10" l="1"/>
  <c r="P1071" i="10"/>
  <c r="N1072" i="10" l="1"/>
  <c r="T1071" i="10"/>
  <c r="M1072" i="10"/>
  <c r="S1071" i="10"/>
  <c r="L1072" i="10" l="1"/>
  <c r="W1072" i="10" s="1"/>
  <c r="P1072" i="10"/>
  <c r="O1072" i="10"/>
  <c r="S1072" i="10" l="1"/>
  <c r="M1073" i="10"/>
  <c r="N1073" i="10"/>
  <c r="T1072" i="10"/>
  <c r="L1073" i="10" l="1"/>
  <c r="W1073" i="10" s="1"/>
  <c r="P1073" i="10" l="1"/>
  <c r="O1073" i="10"/>
  <c r="M1074" i="10" l="1"/>
  <c r="S1073" i="10"/>
  <c r="N1074" i="10"/>
  <c r="T1073" i="10"/>
  <c r="L1074" i="10" l="1"/>
  <c r="W1074" i="10" s="1"/>
  <c r="P1074" i="10" l="1"/>
  <c r="O1074" i="10"/>
  <c r="M1075" i="10" l="1"/>
  <c r="S1074" i="10"/>
  <c r="N1075" i="10"/>
  <c r="T1074" i="10"/>
  <c r="L1075" i="10" l="1"/>
  <c r="W1075" i="10" s="1"/>
  <c r="P1075" i="10" l="1"/>
  <c r="O1075" i="10"/>
  <c r="S1075" i="10" l="1"/>
  <c r="M1076" i="10"/>
  <c r="N1076" i="10"/>
  <c r="T1075" i="10"/>
  <c r="L1076" i="10" l="1"/>
  <c r="W1076" i="10" s="1"/>
  <c r="P1076" i="10" l="1"/>
  <c r="O1076" i="10"/>
  <c r="M1077" i="10" l="1"/>
  <c r="S1076" i="10"/>
  <c r="N1077" i="10"/>
  <c r="T1076" i="10"/>
  <c r="L1077" i="10" l="1"/>
  <c r="W1077" i="10" s="1"/>
  <c r="O1077" i="10" l="1"/>
  <c r="P1077" i="10"/>
  <c r="N1078" i="10" l="1"/>
  <c r="T1077" i="10"/>
  <c r="M1078" i="10"/>
  <c r="S1077" i="10"/>
  <c r="L1078" i="10" l="1"/>
  <c r="W1078" i="10" s="1"/>
  <c r="P1078" i="10"/>
  <c r="O1078" i="10"/>
  <c r="M1079" i="10" l="1"/>
  <c r="S1078" i="10"/>
  <c r="N1079" i="10"/>
  <c r="T1078" i="10"/>
  <c r="L1079" i="10" l="1"/>
  <c r="W1079" i="10" s="1"/>
  <c r="P1079" i="10" l="1"/>
  <c r="O1079" i="10"/>
  <c r="M1080" i="10" l="1"/>
  <c r="S1079" i="10"/>
  <c r="N1080" i="10"/>
  <c r="T1079" i="10"/>
  <c r="L1080" i="10" l="1"/>
  <c r="W1080" i="10" s="1"/>
  <c r="P1080" i="10" l="1"/>
  <c r="O1080" i="10"/>
  <c r="S1080" i="10" l="1"/>
  <c r="M1081" i="10"/>
  <c r="T1080" i="10"/>
  <c r="N1081" i="10"/>
  <c r="L1081" i="10" l="1"/>
  <c r="W1081" i="10" s="1"/>
  <c r="P1081" i="10" l="1"/>
  <c r="O1081" i="10"/>
  <c r="M1082" i="10" l="1"/>
  <c r="S1081" i="10"/>
  <c r="N1082" i="10"/>
  <c r="T1081" i="10"/>
  <c r="L1082" i="10" l="1"/>
  <c r="W1082" i="10" s="1"/>
  <c r="P1082" i="10" l="1"/>
  <c r="O1082" i="10"/>
  <c r="M1083" i="10" l="1"/>
  <c r="S1082" i="10"/>
  <c r="N1083" i="10"/>
  <c r="T1082" i="10"/>
  <c r="L1083" i="10" l="1"/>
  <c r="W1083" i="10" s="1"/>
  <c r="P1083" i="10" l="1"/>
  <c r="O1083" i="10"/>
  <c r="S1083" i="10" l="1"/>
  <c r="M1084" i="10"/>
  <c r="N1084" i="10"/>
  <c r="T1083" i="10"/>
  <c r="L1084" i="10" l="1"/>
  <c r="W1084" i="10" s="1"/>
  <c r="O1084" i="10" l="1"/>
  <c r="P1084" i="10"/>
  <c r="N1085" i="10" l="1"/>
  <c r="T1084" i="10"/>
  <c r="M1085" i="10"/>
  <c r="S1084" i="10"/>
  <c r="L1085" i="10" l="1"/>
  <c r="W1085" i="10" s="1"/>
  <c r="O1085" i="10"/>
  <c r="P1085" i="10"/>
  <c r="N1086" i="10" l="1"/>
  <c r="T1085" i="10"/>
  <c r="S1085" i="10"/>
  <c r="M1086" i="10"/>
  <c r="L1086" i="10" l="1"/>
  <c r="W1086" i="10" s="1"/>
  <c r="O1086" i="10"/>
  <c r="P1086" i="10"/>
  <c r="N1087" i="10" l="1"/>
  <c r="T1086" i="10"/>
  <c r="S1086" i="10"/>
  <c r="M1087" i="10"/>
  <c r="L1087" i="10" s="1"/>
  <c r="W1087" i="10" s="1"/>
  <c r="P1087" i="10" l="1"/>
  <c r="O1087" i="10"/>
  <c r="M1088" i="10" l="1"/>
  <c r="S1087" i="10"/>
  <c r="T1087" i="10"/>
  <c r="N1088" i="10"/>
  <c r="L1088" i="10" l="1"/>
  <c r="W1088" i="10" s="1"/>
  <c r="O1088" i="10" l="1"/>
  <c r="P1088" i="10"/>
  <c r="T1088" i="10" l="1"/>
  <c r="N1089" i="10"/>
  <c r="S1088" i="10"/>
  <c r="M1089" i="10"/>
  <c r="L1089" i="10" s="1"/>
  <c r="W1089" i="10" s="1"/>
  <c r="P1089" i="10" l="1"/>
  <c r="O1089" i="10"/>
  <c r="M1090" i="10" l="1"/>
  <c r="S1089" i="10"/>
  <c r="N1090" i="10"/>
  <c r="T1089" i="10"/>
  <c r="L1090" i="10" l="1"/>
  <c r="W1090" i="10" s="1"/>
  <c r="P1090" i="10" l="1"/>
  <c r="O1090" i="10"/>
  <c r="S1090" i="10" l="1"/>
  <c r="M1091" i="10"/>
  <c r="N1091" i="10"/>
  <c r="T1090" i="10"/>
  <c r="L1091" i="10" l="1"/>
  <c r="W1091" i="10" s="1"/>
  <c r="P1091" i="10" l="1"/>
  <c r="O1091" i="10"/>
  <c r="M1092" i="10" l="1"/>
  <c r="S1091" i="10"/>
  <c r="N1092" i="10"/>
  <c r="T1091" i="10"/>
  <c r="L1092" i="10" l="1"/>
  <c r="W1092" i="10" s="1"/>
  <c r="O1092" i="10" l="1"/>
  <c r="P1092" i="10"/>
  <c r="N1093" i="10" l="1"/>
  <c r="T1092" i="10"/>
  <c r="S1092" i="10"/>
  <c r="M1093" i="10"/>
  <c r="L1093" i="10" l="1"/>
  <c r="W1093" i="10" s="1"/>
  <c r="P1093" i="10"/>
  <c r="O1093" i="10"/>
  <c r="M1094" i="10" l="1"/>
  <c r="S1093" i="10"/>
  <c r="N1094" i="10"/>
  <c r="T1093" i="10"/>
  <c r="L1094" i="10" l="1"/>
  <c r="W1094" i="10" s="1"/>
  <c r="P1094" i="10" l="1"/>
  <c r="O1094" i="10"/>
  <c r="S1094" i="10" l="1"/>
  <c r="M1095" i="10"/>
  <c r="N1095" i="10"/>
  <c r="T1094" i="10"/>
  <c r="L1095" i="10" l="1"/>
  <c r="W1095" i="10" s="1"/>
  <c r="O1095" i="10" l="1"/>
  <c r="P1095" i="10"/>
  <c r="N1096" i="10" l="1"/>
  <c r="T1095" i="10"/>
  <c r="M1096" i="10"/>
  <c r="S1095" i="10"/>
  <c r="L1096" i="10" l="1"/>
  <c r="W1096" i="10" s="1"/>
  <c r="P1096" i="10"/>
  <c r="O1096" i="10"/>
  <c r="S1096" i="10" l="1"/>
  <c r="M1097" i="10"/>
  <c r="N1097" i="10"/>
  <c r="T1096" i="10"/>
  <c r="L1097" i="10" l="1"/>
  <c r="W1097" i="10" s="1"/>
  <c r="O1097" i="10" l="1"/>
  <c r="P1097" i="10"/>
  <c r="T1097" i="10" l="1"/>
  <c r="N1098" i="10"/>
  <c r="M1098" i="10"/>
  <c r="L1098" i="10" s="1"/>
  <c r="W1098" i="10" s="1"/>
  <c r="S1097" i="10"/>
  <c r="O1098" i="10" l="1"/>
  <c r="P1098" i="10"/>
  <c r="N1099" i="10" l="1"/>
  <c r="T1098" i="10"/>
  <c r="S1098" i="10"/>
  <c r="M1099" i="10"/>
  <c r="L1099" i="10" l="1"/>
  <c r="W1099" i="10" s="1"/>
  <c r="O1099" i="10"/>
  <c r="P1099" i="10"/>
  <c r="N1100" i="10" l="1"/>
  <c r="T1099" i="10"/>
  <c r="S1099" i="10"/>
  <c r="M1100" i="10"/>
  <c r="L1100" i="10" l="1"/>
  <c r="W1100" i="10" s="1"/>
  <c r="P1100" i="10"/>
  <c r="O1100" i="10"/>
  <c r="S1100" i="10" l="1"/>
  <c r="M1101" i="10"/>
  <c r="N1101" i="10"/>
  <c r="T1100" i="10"/>
  <c r="L1101" i="10" l="1"/>
  <c r="W1101" i="10" s="1"/>
  <c r="P1101" i="10" l="1"/>
  <c r="O1101" i="10"/>
  <c r="S1101" i="10" l="1"/>
  <c r="M1102" i="10"/>
  <c r="N1102" i="10"/>
  <c r="T1101" i="10"/>
  <c r="L1102" i="10" l="1"/>
  <c r="W1102" i="10" s="1"/>
  <c r="P1102" i="10" l="1"/>
  <c r="O1102" i="10"/>
  <c r="S1102" i="10" l="1"/>
  <c r="M1103" i="10"/>
  <c r="N1103" i="10"/>
  <c r="T1102" i="10"/>
  <c r="L1103" i="10" l="1"/>
  <c r="W1103" i="10" s="1"/>
  <c r="P1103" i="10" l="1"/>
  <c r="O1103" i="10"/>
  <c r="S1103" i="10" l="1"/>
  <c r="M1104" i="10"/>
  <c r="N1104" i="10"/>
  <c r="T1103" i="10"/>
  <c r="L1104" i="10" l="1"/>
  <c r="W1104" i="10" s="1"/>
  <c r="P1104" i="10" l="1"/>
  <c r="O1104" i="10"/>
  <c r="S1104" i="10" l="1"/>
  <c r="M1105" i="10"/>
  <c r="N1105" i="10"/>
  <c r="T1104" i="10"/>
  <c r="L1105" i="10" l="1"/>
  <c r="W1105" i="10" s="1"/>
  <c r="P1105" i="10" l="1"/>
  <c r="O1105" i="10"/>
  <c r="S1105" i="10" l="1"/>
  <c r="M1106" i="10"/>
  <c r="N1106" i="10"/>
  <c r="T1105" i="10"/>
  <c r="L1106" i="10" l="1"/>
  <c r="W1106" i="10" s="1"/>
  <c r="P1106" i="10" l="1"/>
  <c r="O1106" i="10"/>
  <c r="S1106" i="10" l="1"/>
  <c r="M1107" i="10"/>
  <c r="N1107" i="10"/>
  <c r="T1106" i="10"/>
  <c r="L1107" i="10" l="1"/>
  <c r="W1107" i="10" s="1"/>
  <c r="O1107" i="10" l="1"/>
  <c r="P1107" i="10"/>
  <c r="N1108" i="10" l="1"/>
  <c r="T1107" i="10"/>
  <c r="M1108" i="10"/>
  <c r="L1108" i="10" s="1"/>
  <c r="W1108" i="10" s="1"/>
  <c r="S1107" i="10"/>
  <c r="P1108" i="10" l="1"/>
  <c r="O1108" i="10"/>
  <c r="M1109" i="10" l="1"/>
  <c r="S1108" i="10"/>
  <c r="N1109" i="10"/>
  <c r="T1108" i="10"/>
  <c r="L1109" i="10" l="1"/>
  <c r="W1109" i="10" s="1"/>
  <c r="P1109" i="10" l="1"/>
  <c r="O1109" i="10"/>
  <c r="M1110" i="10" l="1"/>
  <c r="S1109" i="10"/>
  <c r="N1110" i="10"/>
  <c r="T1109" i="10"/>
  <c r="L1110" i="10" l="1"/>
  <c r="W1110" i="10" s="1"/>
  <c r="P1110" i="10" l="1"/>
  <c r="O1110" i="10"/>
  <c r="S1110" i="10" l="1"/>
  <c r="M1111" i="10"/>
  <c r="N1111" i="10"/>
  <c r="T1110" i="10"/>
  <c r="L1111" i="10" l="1"/>
  <c r="W1111" i="10" s="1"/>
  <c r="P1111" i="10" l="1"/>
  <c r="O1111" i="10"/>
  <c r="S1111" i="10" l="1"/>
  <c r="M1112" i="10"/>
  <c r="N1112" i="10"/>
  <c r="T1111" i="10"/>
  <c r="L1112" i="10" l="1"/>
  <c r="W1112" i="10" s="1"/>
  <c r="P1112" i="10" l="1"/>
  <c r="O1112" i="10"/>
  <c r="M1113" i="10" l="1"/>
  <c r="S1112" i="10"/>
  <c r="N1113" i="10"/>
  <c r="T1112" i="10"/>
  <c r="L1113" i="10" l="1"/>
  <c r="W1113" i="10" s="1"/>
  <c r="P1113" i="10" l="1"/>
  <c r="O1113" i="10"/>
  <c r="M1114" i="10" l="1"/>
  <c r="S1113" i="10"/>
  <c r="N1114" i="10"/>
  <c r="T1113" i="10"/>
  <c r="L1114" i="10" l="1"/>
  <c r="W1114" i="10" s="1"/>
  <c r="P1114" i="10" l="1"/>
  <c r="O1114" i="10"/>
  <c r="M1115" i="10" l="1"/>
  <c r="S1114" i="10"/>
  <c r="N1115" i="10"/>
  <c r="T1114" i="10"/>
  <c r="L1115" i="10" l="1"/>
  <c r="W1115" i="10" s="1"/>
  <c r="P1115" i="10" l="1"/>
  <c r="O1115" i="10"/>
  <c r="S1115" i="10" l="1"/>
  <c r="M1116" i="10"/>
  <c r="T1115" i="10"/>
  <c r="N1116" i="10"/>
  <c r="L1116" i="10" l="1"/>
  <c r="W1116" i="10" s="1"/>
  <c r="P1116" i="10" l="1"/>
  <c r="O1116" i="10"/>
  <c r="M1117" i="10" l="1"/>
  <c r="S1116" i="10"/>
  <c r="N1117" i="10"/>
  <c r="T1116" i="10"/>
  <c r="L1117" i="10" l="1"/>
  <c r="W1117" i="10" s="1"/>
  <c r="P1117" i="10" l="1"/>
  <c r="O1117" i="10"/>
  <c r="M1118" i="10" l="1"/>
  <c r="S1117" i="10"/>
  <c r="N1118" i="10"/>
  <c r="T1117" i="10"/>
  <c r="L1118" i="10" l="1"/>
  <c r="W1118" i="10" s="1"/>
  <c r="P1118" i="10" l="1"/>
  <c r="O1118" i="10"/>
  <c r="S1118" i="10" l="1"/>
  <c r="M1119" i="10"/>
  <c r="N1119" i="10"/>
  <c r="T1118" i="10"/>
  <c r="L1119" i="10" l="1"/>
  <c r="W1119" i="10" s="1"/>
  <c r="P1119" i="10"/>
  <c r="O1119" i="10"/>
  <c r="M1120" i="10" l="1"/>
  <c r="S1119" i="10"/>
  <c r="N1120" i="10"/>
  <c r="T1119" i="10"/>
  <c r="L1120" i="10" l="1"/>
  <c r="W1120" i="10" s="1"/>
  <c r="P1120" i="10" l="1"/>
  <c r="O1120" i="10"/>
  <c r="S1120" i="10" l="1"/>
  <c r="M1121" i="10"/>
  <c r="N1121" i="10"/>
  <c r="T1120" i="10"/>
  <c r="L1121" i="10" l="1"/>
  <c r="W1121" i="10" s="1"/>
  <c r="P1121" i="10" l="1"/>
  <c r="O1121" i="10"/>
  <c r="S1121" i="10" l="1"/>
  <c r="M1122" i="10"/>
  <c r="N1122" i="10"/>
  <c r="T1121" i="10"/>
  <c r="L1122" i="10" l="1"/>
  <c r="W1122" i="10" s="1"/>
  <c r="P1122" i="10" l="1"/>
  <c r="O1122" i="10"/>
  <c r="S1122" i="10" l="1"/>
  <c r="M1123" i="10"/>
  <c r="N1123" i="10"/>
  <c r="T1122" i="10"/>
  <c r="L1123" i="10" l="1"/>
  <c r="W1123" i="10" s="1"/>
  <c r="P1123" i="10" l="1"/>
  <c r="O1123" i="10"/>
  <c r="M1124" i="10" l="1"/>
  <c r="S1123" i="10"/>
  <c r="N1124" i="10"/>
  <c r="T1123" i="10"/>
  <c r="L1124" i="10" l="1"/>
  <c r="W1124" i="10" s="1"/>
  <c r="O1124" i="10" l="1"/>
  <c r="P1124" i="10"/>
  <c r="N1125" i="10" l="1"/>
  <c r="T1124" i="10"/>
  <c r="S1124" i="10"/>
  <c r="M1125" i="10"/>
  <c r="L1125" i="10" l="1"/>
  <c r="W1125" i="10" s="1"/>
  <c r="P1125" i="10"/>
  <c r="O1125" i="10"/>
  <c r="M1126" i="10" l="1"/>
  <c r="S1125" i="10"/>
  <c r="N1126" i="10"/>
  <c r="T1125" i="10"/>
  <c r="L1126" i="10" l="1"/>
  <c r="W1126" i="10" s="1"/>
  <c r="P1126" i="10" l="1"/>
  <c r="O1126" i="10"/>
  <c r="M1127" i="10" l="1"/>
  <c r="S1126" i="10"/>
  <c r="N1127" i="10"/>
  <c r="T1126" i="10"/>
  <c r="L1127" i="10" l="1"/>
  <c r="W1127" i="10" s="1"/>
  <c r="P1127" i="10"/>
  <c r="O1127" i="10"/>
  <c r="S1127" i="10" l="1"/>
  <c r="M1128" i="10"/>
  <c r="N1128" i="10"/>
  <c r="T1127" i="10"/>
  <c r="L1128" i="10" l="1"/>
  <c r="W1128" i="10" s="1"/>
  <c r="O1128" i="10" l="1"/>
  <c r="P1128" i="10"/>
  <c r="N1129" i="10" l="1"/>
  <c r="T1128" i="10"/>
  <c r="S1128" i="10"/>
  <c r="M1129" i="10"/>
  <c r="L1129" i="10" l="1"/>
  <c r="W1129" i="10" s="1"/>
  <c r="P1129" i="10"/>
  <c r="O1129" i="10"/>
  <c r="S1129" i="10" l="1"/>
  <c r="M1130" i="10"/>
  <c r="N1130" i="10"/>
  <c r="T1129" i="10"/>
  <c r="L1130" i="10" l="1"/>
  <c r="W1130" i="10" s="1"/>
  <c r="P1130" i="10" l="1"/>
  <c r="O1130" i="10"/>
  <c r="S1130" i="10" l="1"/>
  <c r="M1131" i="10"/>
  <c r="N1131" i="10"/>
  <c r="T1130" i="10"/>
  <c r="L1131" i="10" l="1"/>
  <c r="W1131" i="10" s="1"/>
  <c r="P1131" i="10" l="1"/>
  <c r="O1131" i="10"/>
  <c r="S1131" i="10" l="1"/>
  <c r="M1132" i="10"/>
  <c r="N1132" i="10"/>
  <c r="T1131" i="10"/>
  <c r="L1132" i="10" l="1"/>
  <c r="W1132" i="10" s="1"/>
  <c r="O1132" i="10" l="1"/>
  <c r="P1132" i="10"/>
  <c r="N1133" i="10" l="1"/>
  <c r="T1132" i="10"/>
  <c r="S1132" i="10"/>
  <c r="M1133" i="10"/>
  <c r="L1133" i="10" s="1"/>
  <c r="W1133" i="10" s="1"/>
  <c r="O1133" i="10" l="1"/>
  <c r="P1133" i="10"/>
  <c r="N1134" i="10" l="1"/>
  <c r="T1133" i="10"/>
  <c r="M1134" i="10"/>
  <c r="S1133" i="10"/>
  <c r="L1134" i="10" l="1"/>
  <c r="W1134" i="10" s="1"/>
  <c r="P1134" i="10"/>
  <c r="O1134" i="10"/>
  <c r="S1134" i="10" l="1"/>
  <c r="M1135" i="10"/>
  <c r="N1135" i="10"/>
  <c r="T1134" i="10"/>
  <c r="L1135" i="10" l="1"/>
  <c r="W1135" i="10" s="1"/>
  <c r="P1135" i="10" l="1"/>
  <c r="O1135" i="10"/>
  <c r="S1135" i="10" l="1"/>
  <c r="M1136" i="10"/>
  <c r="N1136" i="10"/>
  <c r="T1135" i="10"/>
  <c r="L1136" i="10" l="1"/>
  <c r="W1136" i="10" s="1"/>
  <c r="P1136" i="10" l="1"/>
  <c r="O1136" i="10"/>
  <c r="M1137" i="10" l="1"/>
  <c r="S1136" i="10"/>
  <c r="T1136" i="10"/>
  <c r="N1137" i="10"/>
  <c r="L1137" i="10" l="1"/>
  <c r="W1137" i="10" s="1"/>
  <c r="P1137" i="10" l="1"/>
  <c r="O1137" i="10"/>
  <c r="S1137" i="10" l="1"/>
  <c r="M1138" i="10"/>
  <c r="N1138" i="10"/>
  <c r="T1137" i="10"/>
  <c r="L1138" i="10" l="1"/>
  <c r="W1138" i="10" s="1"/>
  <c r="O1138" i="10" l="1"/>
  <c r="P1138" i="10"/>
  <c r="N1139" i="10" l="1"/>
  <c r="T1138" i="10"/>
  <c r="S1138" i="10"/>
  <c r="M1139" i="10"/>
  <c r="L1139" i="10" l="1"/>
  <c r="W1139" i="10" s="1"/>
  <c r="P1139" i="10"/>
  <c r="O1139" i="10"/>
  <c r="M1140" i="10" l="1"/>
  <c r="S1139" i="10"/>
  <c r="N1140" i="10"/>
  <c r="T1139" i="10"/>
  <c r="L1140" i="10" l="1"/>
  <c r="W1140" i="10" s="1"/>
  <c r="P1140" i="10" l="1"/>
  <c r="O1140" i="10"/>
  <c r="S1140" i="10" l="1"/>
  <c r="M1141" i="10"/>
  <c r="T1140" i="10"/>
  <c r="N1141" i="10"/>
  <c r="L1141" i="10" l="1"/>
  <c r="W1141" i="10" s="1"/>
  <c r="P1141" i="10" l="1"/>
  <c r="O1141" i="10"/>
  <c r="M1142" i="10" l="1"/>
  <c r="S1141" i="10"/>
  <c r="N1142" i="10"/>
  <c r="T1141" i="10"/>
  <c r="L1142" i="10" l="1"/>
  <c r="W1142" i="10" s="1"/>
  <c r="P1142" i="10" l="1"/>
  <c r="O1142" i="10"/>
  <c r="S1142" i="10" l="1"/>
  <c r="M1143" i="10"/>
  <c r="N1143" i="10"/>
  <c r="T1142" i="10"/>
  <c r="L1143" i="10" l="1"/>
  <c r="W1143" i="10" s="1"/>
  <c r="P1143" i="10" l="1"/>
  <c r="O1143" i="10"/>
  <c r="S1143" i="10" l="1"/>
  <c r="M1144" i="10"/>
  <c r="N1144" i="10"/>
  <c r="T1143" i="10"/>
  <c r="L1144" i="10" l="1"/>
  <c r="W1144" i="10" s="1"/>
  <c r="P1144" i="10" l="1"/>
  <c r="O1144" i="10"/>
  <c r="S1144" i="10" l="1"/>
  <c r="M1145" i="10"/>
  <c r="N1145" i="10"/>
  <c r="T1144" i="10"/>
  <c r="L1145" i="10" l="1"/>
  <c r="W1145" i="10" s="1"/>
  <c r="P1145" i="10" l="1"/>
  <c r="O1145" i="10"/>
  <c r="S1145" i="10" l="1"/>
  <c r="M1146" i="10"/>
  <c r="N1146" i="10"/>
  <c r="T1145" i="10"/>
  <c r="L1146" i="10" l="1"/>
  <c r="W1146" i="10" s="1"/>
  <c r="P1146" i="10" l="1"/>
  <c r="O1146" i="10"/>
  <c r="M1147" i="10" l="1"/>
  <c r="S1146" i="10"/>
  <c r="N1147" i="10"/>
  <c r="T1146" i="10"/>
  <c r="L1147" i="10" l="1"/>
  <c r="W1147" i="10" s="1"/>
  <c r="P1147" i="10" l="1"/>
  <c r="O1147" i="10"/>
  <c r="M1148" i="10" l="1"/>
  <c r="S1147" i="10"/>
  <c r="N1148" i="10"/>
  <c r="T1147" i="10"/>
  <c r="L1148" i="10" l="1"/>
  <c r="W1148" i="10" s="1"/>
  <c r="P1148" i="10" l="1"/>
  <c r="O1148" i="10"/>
  <c r="M1149" i="10" l="1"/>
  <c r="S1148" i="10"/>
  <c r="N1149" i="10"/>
  <c r="T1148" i="10"/>
  <c r="L1149" i="10" l="1"/>
  <c r="W1149" i="10" s="1"/>
  <c r="P1149" i="10" l="1"/>
  <c r="O1149" i="10"/>
  <c r="M1150" i="10" l="1"/>
  <c r="S1149" i="10"/>
  <c r="T1149" i="10"/>
  <c r="N1150" i="10"/>
  <c r="L1150" i="10" l="1"/>
  <c r="W1150" i="10" s="1"/>
  <c r="O1150" i="10" l="1"/>
  <c r="P1150" i="10"/>
  <c r="N1151" i="10" l="1"/>
  <c r="T1150" i="10"/>
  <c r="M1151" i="10"/>
  <c r="L1151" i="10" s="1"/>
  <c r="W1151" i="10" s="1"/>
  <c r="S1150" i="10"/>
  <c r="P1151" i="10" l="1"/>
  <c r="O1151" i="10"/>
  <c r="S1151" i="10" l="1"/>
  <c r="M1152" i="10"/>
  <c r="N1152" i="10"/>
  <c r="T1151" i="10"/>
  <c r="L1152" i="10" l="1"/>
  <c r="W1152" i="10" s="1"/>
  <c r="O1152" i="10" l="1"/>
  <c r="P1152" i="10"/>
  <c r="T1152" i="10" l="1"/>
  <c r="N1153" i="10"/>
  <c r="S1152" i="10"/>
  <c r="M1153" i="10"/>
  <c r="L1153" i="10" s="1"/>
  <c r="W1153" i="10" s="1"/>
  <c r="O1153" i="10" l="1"/>
  <c r="P1153" i="10"/>
  <c r="N1154" i="10" l="1"/>
  <c r="T1153" i="10"/>
  <c r="S1153" i="10"/>
  <c r="M1154" i="10"/>
  <c r="L1154" i="10" s="1"/>
  <c r="W1154" i="10" s="1"/>
  <c r="P1154" i="10" l="1"/>
  <c r="O1154" i="10"/>
  <c r="S1154" i="10" l="1"/>
  <c r="M1155" i="10"/>
  <c r="N1155" i="10"/>
  <c r="T1154" i="10"/>
  <c r="L1155" i="10" l="1"/>
  <c r="W1155" i="10" s="1"/>
  <c r="P1155" i="10" l="1"/>
  <c r="O1155" i="10"/>
  <c r="M1156" i="10" l="1"/>
  <c r="S1155" i="10"/>
  <c r="N1156" i="10"/>
  <c r="T1155" i="10"/>
  <c r="L1156" i="10" l="1"/>
  <c r="W1156" i="10" s="1"/>
  <c r="O1156" i="10" l="1"/>
  <c r="P1156" i="10"/>
  <c r="N1157" i="10" l="1"/>
  <c r="T1156" i="10"/>
  <c r="S1156" i="10"/>
  <c r="M1157" i="10"/>
  <c r="L1157" i="10" l="1"/>
  <c r="W1157" i="10" s="1"/>
  <c r="P1157" i="10"/>
  <c r="O1157" i="10"/>
  <c r="S1157" i="10" l="1"/>
  <c r="M1158" i="10"/>
  <c r="N1158" i="10"/>
  <c r="T1157" i="10"/>
  <c r="L1158" i="10" l="1"/>
  <c r="W1158" i="10" s="1"/>
  <c r="P1158" i="10" l="1"/>
  <c r="O1158" i="10"/>
  <c r="M1159" i="10" l="1"/>
  <c r="S1158" i="10"/>
  <c r="N1159" i="10"/>
  <c r="T1158" i="10"/>
  <c r="L1159" i="10" l="1"/>
  <c r="W1159" i="10" s="1"/>
  <c r="O1159" i="10" l="1"/>
  <c r="P1159" i="10"/>
  <c r="N1160" i="10" l="1"/>
  <c r="T1159" i="10"/>
  <c r="M1160" i="10"/>
  <c r="S1159" i="10"/>
  <c r="L1160" i="10" l="1"/>
  <c r="W1160" i="10" s="1"/>
  <c r="P1160" i="10"/>
  <c r="O1160" i="10"/>
  <c r="M1161" i="10" l="1"/>
  <c r="S1160" i="10"/>
  <c r="N1161" i="10"/>
  <c r="T1160" i="10"/>
  <c r="L1161" i="10" l="1"/>
  <c r="W1161" i="10" s="1"/>
  <c r="P1161" i="10" l="1"/>
  <c r="O1161" i="10"/>
  <c r="M1162" i="10" l="1"/>
  <c r="S1161" i="10"/>
  <c r="N1162" i="10"/>
  <c r="T1161" i="10"/>
  <c r="L1162" i="10" l="1"/>
  <c r="W1162" i="10" s="1"/>
  <c r="P1162" i="10" l="1"/>
  <c r="O1162" i="10"/>
  <c r="M1163" i="10" l="1"/>
  <c r="S1162" i="10"/>
  <c r="N1163" i="10"/>
  <c r="T1162" i="10"/>
  <c r="L1163" i="10" l="1"/>
  <c r="W1163" i="10" s="1"/>
  <c r="P1163" i="10" l="1"/>
  <c r="O1163" i="10"/>
  <c r="S1163" i="10" l="1"/>
  <c r="M1164" i="10"/>
  <c r="N1164" i="10"/>
  <c r="T1163" i="10"/>
  <c r="L1164" i="10" l="1"/>
  <c r="W1164" i="10" s="1"/>
  <c r="P1164" i="10" l="1"/>
  <c r="O1164" i="10"/>
  <c r="S1164" i="10" l="1"/>
  <c r="M1165" i="10"/>
  <c r="T1164" i="10"/>
  <c r="N1165" i="10"/>
  <c r="L1165" i="10" l="1"/>
  <c r="W1165" i="10" s="1"/>
  <c r="P1165" i="10" l="1"/>
  <c r="O1165" i="10"/>
  <c r="M1166" i="10" l="1"/>
  <c r="S1165" i="10"/>
  <c r="N1166" i="10"/>
  <c r="T1165" i="10"/>
  <c r="L1166" i="10" l="1"/>
  <c r="W1166" i="10" s="1"/>
  <c r="P1166" i="10" l="1"/>
  <c r="O1166" i="10"/>
  <c r="M1167" i="10" l="1"/>
  <c r="S1166" i="10"/>
  <c r="N1167" i="10"/>
  <c r="T1166" i="10"/>
  <c r="L1167" i="10" l="1"/>
  <c r="W1167" i="10" s="1"/>
  <c r="O1167" i="10" l="1"/>
  <c r="P1167" i="10"/>
  <c r="N1168" i="10" l="1"/>
  <c r="T1167" i="10"/>
  <c r="S1167" i="10"/>
  <c r="M1168" i="10"/>
  <c r="L1168" i="10" s="1"/>
  <c r="W1168" i="10" s="1"/>
  <c r="P1168" i="10" l="1"/>
  <c r="O1168" i="10"/>
  <c r="M1169" i="10" l="1"/>
  <c r="S1168" i="10"/>
  <c r="N1169" i="10"/>
  <c r="T1168" i="10"/>
  <c r="L1169" i="10" l="1"/>
  <c r="W1169" i="10" s="1"/>
  <c r="P1169" i="10" l="1"/>
  <c r="O1169" i="10"/>
  <c r="M1170" i="10" l="1"/>
  <c r="S1169" i="10"/>
  <c r="N1170" i="10"/>
  <c r="T1169" i="10"/>
  <c r="L1170" i="10" l="1"/>
  <c r="W1170" i="10" s="1"/>
  <c r="O1170" i="10" l="1"/>
  <c r="P1170" i="10"/>
  <c r="N1171" i="10" l="1"/>
  <c r="T1170" i="10"/>
  <c r="M1171" i="10"/>
  <c r="S1170" i="10"/>
  <c r="L1171" i="10" l="1"/>
  <c r="W1171" i="10" s="1"/>
  <c r="P1171" i="10"/>
  <c r="O1171" i="10"/>
  <c r="M1172" i="10" l="1"/>
  <c r="S1171" i="10"/>
  <c r="N1172" i="10"/>
  <c r="T1171" i="10"/>
  <c r="L1172" i="10" l="1"/>
  <c r="W1172" i="10" s="1"/>
  <c r="P1172" i="10" l="1"/>
  <c r="O1172" i="10"/>
  <c r="M1173" i="10" l="1"/>
  <c r="S1172" i="10"/>
  <c r="N1173" i="10"/>
  <c r="T1172" i="10"/>
  <c r="L1173" i="10" l="1"/>
  <c r="W1173" i="10" s="1"/>
  <c r="O1173" i="10" l="1"/>
  <c r="P1173" i="10"/>
  <c r="N1174" i="10" l="1"/>
  <c r="T1173" i="10"/>
  <c r="S1173" i="10"/>
  <c r="M1174" i="10"/>
  <c r="L1174" i="10" l="1"/>
  <c r="W1174" i="10" s="1"/>
  <c r="P1174" i="10"/>
  <c r="O1174" i="10"/>
  <c r="M1175" i="10" l="1"/>
  <c r="S1174" i="10"/>
  <c r="N1175" i="10"/>
  <c r="T1174" i="10"/>
  <c r="L1175" i="10" l="1"/>
  <c r="W1175" i="10" s="1"/>
  <c r="P1175" i="10" l="1"/>
  <c r="O1175" i="10"/>
  <c r="S1175" i="10" l="1"/>
  <c r="M1176" i="10"/>
  <c r="N1176" i="10"/>
  <c r="T1175" i="10"/>
  <c r="L1176" i="10" l="1"/>
  <c r="W1176" i="10" s="1"/>
  <c r="P1176" i="10" l="1"/>
  <c r="O1176" i="10"/>
  <c r="M1177" i="10" l="1"/>
  <c r="S1176" i="10"/>
  <c r="N1177" i="10"/>
  <c r="T1176" i="10"/>
  <c r="L1177" i="10" l="1"/>
  <c r="W1177" i="10" s="1"/>
  <c r="P1177" i="10" l="1"/>
  <c r="O1177" i="10"/>
  <c r="M1178" i="10" l="1"/>
  <c r="S1177" i="10"/>
  <c r="N1178" i="10"/>
  <c r="T1177" i="10"/>
  <c r="L1178" i="10" l="1"/>
  <c r="W1178" i="10" s="1"/>
  <c r="P1178" i="10" l="1"/>
  <c r="O1178" i="10"/>
  <c r="S1178" i="10" l="1"/>
  <c r="M1179" i="10"/>
  <c r="N1179" i="10"/>
  <c r="T1178" i="10"/>
  <c r="L1179" i="10" l="1"/>
  <c r="W1179" i="10" s="1"/>
  <c r="P1179" i="10" l="1"/>
  <c r="O1179" i="10"/>
  <c r="S1179" i="10" l="1"/>
  <c r="M1180" i="10"/>
  <c r="N1180" i="10"/>
  <c r="T1179" i="10"/>
  <c r="L1180" i="10" l="1"/>
  <c r="W1180" i="10" s="1"/>
  <c r="O1180" i="10" l="1"/>
  <c r="P1180" i="10"/>
  <c r="N1181" i="10" l="1"/>
  <c r="T1180" i="10"/>
  <c r="M1181" i="10"/>
  <c r="S1180" i="10"/>
  <c r="L1181" i="10" l="1"/>
  <c r="W1181" i="10" s="1"/>
  <c r="P1181" i="10"/>
  <c r="O1181" i="10"/>
  <c r="S1181" i="10" l="1"/>
  <c r="M1182" i="10"/>
  <c r="N1182" i="10"/>
  <c r="T1181" i="10"/>
  <c r="L1182" i="10" l="1"/>
  <c r="W1182" i="10" s="1"/>
  <c r="P1182" i="10" l="1"/>
  <c r="O1182" i="10"/>
  <c r="S1182" i="10" l="1"/>
  <c r="M1183" i="10"/>
  <c r="N1183" i="10"/>
  <c r="T1182" i="10"/>
  <c r="L1183" i="10" l="1"/>
  <c r="W1183" i="10" s="1"/>
  <c r="P1183" i="10" l="1"/>
  <c r="O1183" i="10"/>
  <c r="S1183" i="10" l="1"/>
  <c r="M1184" i="10"/>
  <c r="N1184" i="10"/>
  <c r="T1183" i="10"/>
  <c r="L1184" i="10" l="1"/>
  <c r="W1184" i="10" s="1"/>
  <c r="P1184" i="10" l="1"/>
  <c r="O1184" i="10"/>
  <c r="S1184" i="10" l="1"/>
  <c r="M1185" i="10"/>
  <c r="N1185" i="10"/>
  <c r="T1184" i="10"/>
  <c r="L1185" i="10" l="1"/>
  <c r="W1185" i="10" s="1"/>
  <c r="P1185" i="10" l="1"/>
  <c r="O1185" i="10"/>
  <c r="S1185" i="10" l="1"/>
  <c r="M1186" i="10"/>
  <c r="T1185" i="10"/>
  <c r="N1186" i="10"/>
  <c r="L1186" i="10" l="1"/>
  <c r="W1186" i="10" s="1"/>
  <c r="P1186" i="10" l="1"/>
  <c r="O1186" i="10"/>
  <c r="M1187" i="10" l="1"/>
  <c r="S1186" i="10"/>
  <c r="N1187" i="10"/>
  <c r="T1186" i="10"/>
  <c r="L1187" i="10" l="1"/>
  <c r="W1187" i="10" s="1"/>
  <c r="O1187" i="10" l="1"/>
  <c r="P1187" i="10"/>
  <c r="N1188" i="10" l="1"/>
  <c r="T1187" i="10"/>
  <c r="S1187" i="10"/>
  <c r="M1188" i="10"/>
  <c r="L1188" i="10" l="1"/>
  <c r="W1188" i="10" s="1"/>
  <c r="O1188" i="10"/>
  <c r="P1188" i="10"/>
  <c r="N1189" i="10" l="1"/>
  <c r="T1188" i="10"/>
  <c r="M1189" i="10"/>
  <c r="L1189" i="10" s="1"/>
  <c r="W1189" i="10" s="1"/>
  <c r="S1188" i="10"/>
  <c r="P1189" i="10" l="1"/>
  <c r="O1189" i="10"/>
  <c r="M1190" i="10" l="1"/>
  <c r="S1189" i="10"/>
  <c r="N1190" i="10"/>
  <c r="T1189" i="10"/>
  <c r="L1190" i="10" l="1"/>
  <c r="W1190" i="10" s="1"/>
  <c r="P1190" i="10" l="1"/>
  <c r="O1190" i="10"/>
  <c r="S1190" i="10" l="1"/>
  <c r="M1191" i="10"/>
  <c r="N1191" i="10"/>
  <c r="T1190" i="10"/>
  <c r="L1191" i="10" l="1"/>
  <c r="W1191" i="10" s="1"/>
  <c r="P1191" i="10" l="1"/>
  <c r="O1191" i="10"/>
  <c r="S1191" i="10" l="1"/>
  <c r="M1192" i="10"/>
  <c r="T1191" i="10"/>
  <c r="N1192" i="10"/>
  <c r="L1192" i="10" l="1"/>
  <c r="W1192" i="10" s="1"/>
  <c r="O1192" i="10" l="1"/>
  <c r="P1192" i="10"/>
  <c r="N1193" i="10" l="1"/>
  <c r="T1192" i="10"/>
  <c r="M1193" i="10"/>
  <c r="S1192" i="10"/>
  <c r="L1193" i="10" l="1"/>
  <c r="W1193" i="10" s="1"/>
  <c r="P1193" i="10"/>
  <c r="O1193" i="10"/>
  <c r="M1194" i="10" l="1"/>
  <c r="S1193" i="10"/>
  <c r="N1194" i="10"/>
  <c r="T1193" i="10"/>
  <c r="L1194" i="10" l="1"/>
  <c r="W1194" i="10" s="1"/>
  <c r="P1194" i="10" l="1"/>
  <c r="O1194" i="10"/>
  <c r="M1195" i="10" l="1"/>
  <c r="S1194" i="10"/>
  <c r="N1195" i="10"/>
  <c r="T1194" i="10"/>
  <c r="L1195" i="10" l="1"/>
  <c r="W1195" i="10" s="1"/>
  <c r="O1195" i="10" l="1"/>
  <c r="P1195" i="10"/>
  <c r="N1196" i="10" l="1"/>
  <c r="T1195" i="10"/>
  <c r="M1196" i="10"/>
  <c r="S1195" i="10"/>
  <c r="L1196" i="10" l="1"/>
  <c r="W1196" i="10" s="1"/>
  <c r="P1196" i="10"/>
  <c r="O1196" i="10"/>
  <c r="M1197" i="10" l="1"/>
  <c r="S1196" i="10"/>
  <c r="N1197" i="10"/>
  <c r="T1196" i="10"/>
  <c r="L1197" i="10" l="1"/>
  <c r="W1197" i="10" s="1"/>
  <c r="P1197" i="10" l="1"/>
  <c r="O1197" i="10"/>
  <c r="M1198" i="10" l="1"/>
  <c r="S1197" i="10"/>
  <c r="N1198" i="10"/>
  <c r="T1197" i="10"/>
  <c r="L1198" i="10" l="1"/>
  <c r="W1198" i="10" s="1"/>
  <c r="P1198" i="10" l="1"/>
  <c r="O1198" i="10"/>
  <c r="S1198" i="10" l="1"/>
  <c r="M1199" i="10"/>
  <c r="N1199" i="10"/>
  <c r="T1198" i="10"/>
  <c r="L1199" i="10" l="1"/>
  <c r="W1199" i="10" s="1"/>
  <c r="P1199" i="10" l="1"/>
  <c r="O1199" i="10"/>
  <c r="M1200" i="10" l="1"/>
  <c r="S1199" i="10"/>
  <c r="N1200" i="10"/>
  <c r="T1199" i="10"/>
  <c r="L1200" i="10" l="1"/>
  <c r="W1200" i="10" s="1"/>
  <c r="P1200" i="10" l="1"/>
  <c r="O1200" i="10"/>
  <c r="M1201" i="10" l="1"/>
  <c r="S1200" i="10"/>
  <c r="N1201" i="10"/>
  <c r="T1200" i="10"/>
  <c r="L1201" i="10" l="1"/>
  <c r="W1201" i="10" s="1"/>
  <c r="P1201" i="10" l="1"/>
  <c r="O1201" i="10"/>
  <c r="M1202" i="10" l="1"/>
  <c r="S1201" i="10"/>
  <c r="N1202" i="10"/>
  <c r="T1201" i="10"/>
  <c r="L1202" i="10" l="1"/>
  <c r="W1202" i="10" s="1"/>
  <c r="P1202" i="10" l="1"/>
  <c r="O1202" i="10"/>
  <c r="M1203" i="10" l="1"/>
  <c r="S1202" i="10"/>
  <c r="N1203" i="10"/>
  <c r="T1202" i="10"/>
  <c r="L1203" i="10" l="1"/>
  <c r="W1203" i="10" s="1"/>
  <c r="P1203" i="10" l="1"/>
  <c r="O1203" i="10"/>
  <c r="S1203" i="10" l="1"/>
  <c r="M1204" i="10"/>
  <c r="N1204" i="10"/>
  <c r="T1203" i="10"/>
  <c r="L1204" i="10" l="1"/>
  <c r="O1204" i="10"/>
  <c r="P1204" i="10" l="1"/>
  <c r="T1204" i="10" s="1"/>
  <c r="W1204" i="10"/>
  <c r="S1204" i="10"/>
  <c r="M1205" i="10"/>
  <c r="N1205" i="10"/>
  <c r="L1205" i="10" l="1"/>
  <c r="W1205" i="10" s="1"/>
  <c r="P1205" i="10" l="1"/>
  <c r="O1205" i="10"/>
  <c r="M1206" i="10" l="1"/>
  <c r="S1205" i="10"/>
  <c r="N1206" i="10"/>
  <c r="T1205" i="10"/>
  <c r="L1206" i="10" l="1"/>
  <c r="W1206" i="10" s="1"/>
  <c r="P1206" i="10" l="1"/>
  <c r="O1206" i="10"/>
  <c r="M1207" i="10" l="1"/>
  <c r="S1206" i="10"/>
  <c r="N1207" i="10"/>
  <c r="T1206" i="10"/>
  <c r="L1207" i="10" l="1"/>
  <c r="W1207" i="10" s="1"/>
  <c r="P1207" i="10" l="1"/>
  <c r="O1207" i="10"/>
  <c r="M1208" i="10" l="1"/>
  <c r="S1207" i="10"/>
  <c r="N1208" i="10"/>
  <c r="T1207" i="10"/>
  <c r="L1208" i="10" l="1"/>
  <c r="W1208" i="10" s="1"/>
  <c r="P1208" i="10" l="1"/>
  <c r="O1208" i="10"/>
  <c r="S1208" i="10" l="1"/>
  <c r="M1209" i="10"/>
  <c r="N1209" i="10"/>
  <c r="T1208" i="10"/>
  <c r="L1209" i="10" l="1"/>
  <c r="W1209" i="10" s="1"/>
  <c r="P1209" i="10" l="1"/>
  <c r="O1209" i="10"/>
  <c r="M1210" i="10" l="1"/>
  <c r="S1209" i="10"/>
  <c r="N1210" i="10"/>
  <c r="T1209" i="10"/>
  <c r="L1210" i="10" l="1"/>
  <c r="W1210" i="10" s="1"/>
  <c r="P1210" i="10" l="1"/>
  <c r="O1210" i="10"/>
  <c r="S1210" i="10" l="1"/>
  <c r="M1211" i="10"/>
  <c r="N1211" i="10"/>
  <c r="T1210" i="10"/>
  <c r="L1211" i="10" l="1"/>
  <c r="W1211" i="10" s="1"/>
  <c r="P1211" i="10"/>
  <c r="O1211" i="10"/>
  <c r="S1211" i="10" l="1"/>
  <c r="M1212" i="10"/>
  <c r="N1212" i="10"/>
  <c r="T1211" i="10"/>
  <c r="L1212" i="10" l="1"/>
  <c r="O1212" i="10"/>
  <c r="P1212" i="10" l="1"/>
  <c r="N1213" i="10" s="1"/>
  <c r="W1212" i="10"/>
  <c r="M1213" i="10"/>
  <c r="S1212" i="10"/>
  <c r="T1212" i="10"/>
  <c r="L1213" i="10" l="1"/>
  <c r="W1213" i="10" s="1"/>
  <c r="P1213" i="10" l="1"/>
  <c r="O1213" i="10"/>
  <c r="S1213" i="10" l="1"/>
  <c r="M1214" i="10"/>
  <c r="T1213" i="10"/>
  <c r="N1214" i="10"/>
  <c r="L1214" i="10" l="1"/>
  <c r="W1214" i="10" s="1"/>
  <c r="O1214" i="10" l="1"/>
  <c r="P1214" i="10"/>
  <c r="N1215" i="10" l="1"/>
  <c r="T1214" i="10"/>
  <c r="S1214" i="10"/>
  <c r="M1215" i="10"/>
  <c r="L1215" i="10" s="1"/>
  <c r="W1215" i="10" s="1"/>
  <c r="P1215" i="10" l="1"/>
  <c r="O1215" i="10"/>
  <c r="M1216" i="10" l="1"/>
  <c r="S1215" i="10"/>
  <c r="N1216" i="10"/>
  <c r="T1215" i="10"/>
  <c r="L1216" i="10" l="1"/>
  <c r="W1216" i="10" s="1"/>
  <c r="P1216" i="10" l="1"/>
  <c r="O1216" i="10"/>
  <c r="S1216" i="10" l="1"/>
  <c r="M1217" i="10"/>
  <c r="N1217" i="10"/>
  <c r="T1216" i="10"/>
  <c r="L1217" i="10" l="1"/>
  <c r="W1217" i="10" s="1"/>
  <c r="P1217" i="10" l="1"/>
  <c r="O1217" i="10"/>
  <c r="M1218" i="10" l="1"/>
  <c r="S1217" i="10"/>
  <c r="N1218" i="10"/>
  <c r="T1217" i="10"/>
  <c r="L1218" i="10" l="1"/>
  <c r="W1218" i="10" s="1"/>
  <c r="P1218" i="10" l="1"/>
  <c r="O1218" i="10"/>
  <c r="M1219" i="10" l="1"/>
  <c r="S1218" i="10"/>
  <c r="N1219" i="10"/>
  <c r="T1218" i="10"/>
  <c r="L1219" i="10" l="1"/>
  <c r="W1219" i="10" s="1"/>
  <c r="P1219" i="10" l="1"/>
  <c r="O1219" i="10"/>
  <c r="M1220" i="10" l="1"/>
  <c r="S1219" i="10"/>
  <c r="N1220" i="10"/>
  <c r="T1219" i="10"/>
  <c r="L1220" i="10" l="1"/>
  <c r="W1220" i="10" s="1"/>
  <c r="P1220" i="10" l="1"/>
  <c r="O1220" i="10"/>
  <c r="M1221" i="10" l="1"/>
  <c r="S1220" i="10"/>
  <c r="N1221" i="10"/>
  <c r="T1220" i="10"/>
  <c r="L1221" i="10" l="1"/>
  <c r="W1221" i="10" s="1"/>
  <c r="P1221" i="10" l="1"/>
  <c r="O1221" i="10"/>
  <c r="S1221" i="10" l="1"/>
  <c r="M1222" i="10"/>
  <c r="N1222" i="10"/>
  <c r="T1221" i="10"/>
  <c r="L1222" i="10" l="1"/>
  <c r="W1222" i="10" s="1"/>
  <c r="O1222" i="10" l="1"/>
  <c r="P1222" i="10"/>
  <c r="N1223" i="10" l="1"/>
  <c r="T1222" i="10"/>
  <c r="M1223" i="10"/>
  <c r="S1222" i="10"/>
  <c r="L1223" i="10" l="1"/>
  <c r="W1223" i="10" s="1"/>
  <c r="O1223" i="10"/>
  <c r="P1223" i="10" l="1"/>
  <c r="M1224" i="10"/>
  <c r="S1223" i="10"/>
  <c r="N1224" i="10"/>
  <c r="T1223" i="10"/>
  <c r="L1224" i="10" l="1"/>
  <c r="W1224" i="10" s="1"/>
  <c r="P1224" i="10" l="1"/>
  <c r="O1224" i="10"/>
  <c r="M1225" i="10" l="1"/>
  <c r="S1224" i="10"/>
  <c r="N1225" i="10"/>
  <c r="T1224" i="10"/>
  <c r="L1225" i="10" l="1"/>
  <c r="W1225" i="10" s="1"/>
  <c r="P1225" i="10" l="1"/>
  <c r="O1225" i="10"/>
  <c r="S1225" i="10" l="1"/>
  <c r="M1226" i="10"/>
  <c r="T1225" i="10"/>
  <c r="N1226" i="10"/>
  <c r="L1226" i="10" l="1"/>
  <c r="W1226" i="10" s="1"/>
  <c r="P1226" i="10" l="1"/>
  <c r="O1226" i="10"/>
  <c r="S1226" i="10" l="1"/>
  <c r="M1227" i="10"/>
  <c r="N1227" i="10"/>
  <c r="T1226" i="10"/>
  <c r="L1227" i="10" l="1"/>
  <c r="W1227" i="10" s="1"/>
  <c r="P1227" i="10" l="1"/>
  <c r="O1227" i="10"/>
  <c r="M1228" i="10" l="1"/>
  <c r="S1227" i="10"/>
  <c r="N1228" i="10"/>
  <c r="T1227" i="10"/>
  <c r="L1228" i="10" l="1"/>
  <c r="O1228" i="10"/>
  <c r="P1228" i="10" l="1"/>
  <c r="T1228" i="10" s="1"/>
  <c r="W1228" i="10"/>
  <c r="M1229" i="10"/>
  <c r="S1228" i="10"/>
  <c r="N1229" i="10" l="1"/>
  <c r="L1229" i="10" s="1"/>
  <c r="W1229" i="10" s="1"/>
  <c r="P1229" i="10" l="1"/>
  <c r="O1229" i="10"/>
  <c r="M1230" i="10" l="1"/>
  <c r="S1229" i="10"/>
  <c r="N1230" i="10"/>
  <c r="T1229" i="10"/>
  <c r="L1230" i="10" l="1"/>
  <c r="W1230" i="10" s="1"/>
  <c r="O1230" i="10" l="1"/>
  <c r="P1230" i="10"/>
  <c r="N1231" i="10" l="1"/>
  <c r="T1230" i="10"/>
  <c r="M1231" i="10"/>
  <c r="S1230" i="10"/>
  <c r="L1231" i="10" l="1"/>
  <c r="W1231" i="10" s="1"/>
  <c r="P1231" i="10"/>
  <c r="O1231" i="10"/>
  <c r="S1231" i="10" l="1"/>
  <c r="M1232" i="10"/>
  <c r="N1232" i="10"/>
  <c r="T1231" i="10"/>
  <c r="L1232" i="10" l="1"/>
  <c r="W1232" i="10" s="1"/>
  <c r="P1232" i="10" l="1"/>
  <c r="O1232" i="10"/>
  <c r="S1232" i="10" l="1"/>
  <c r="M1233" i="10"/>
  <c r="N1233" i="10"/>
  <c r="T1232" i="10"/>
  <c r="L1233" i="10" l="1"/>
  <c r="W1233" i="10" s="1"/>
  <c r="P1233" i="10"/>
  <c r="O1233" i="10"/>
  <c r="M1234" i="10" l="1"/>
  <c r="S1233" i="10"/>
  <c r="N1234" i="10"/>
  <c r="T1233" i="10"/>
  <c r="L1234" i="10" l="1"/>
  <c r="W1234" i="10" s="1"/>
  <c r="P1234" i="10" l="1"/>
  <c r="O1234" i="10"/>
  <c r="S1234" i="10" l="1"/>
  <c r="M1235" i="10"/>
  <c r="T1234" i="10"/>
  <c r="N1235" i="10"/>
  <c r="L1235" i="10" l="1"/>
  <c r="W1235" i="10" s="1"/>
  <c r="P1235" i="10" l="1"/>
  <c r="O1235" i="10"/>
  <c r="M1236" i="10" l="1"/>
  <c r="S1235" i="10"/>
  <c r="N1236" i="10"/>
  <c r="T1235" i="10"/>
  <c r="L1236" i="10" l="1"/>
  <c r="W1236" i="10" s="1"/>
  <c r="P1236" i="10" l="1"/>
  <c r="O1236" i="10"/>
  <c r="M1237" i="10" l="1"/>
  <c r="S1236" i="10"/>
  <c r="N1237" i="10"/>
  <c r="T1236" i="10"/>
  <c r="L1237" i="10" l="1"/>
  <c r="W1237" i="10" s="1"/>
  <c r="P1237" i="10" l="1"/>
  <c r="O1237" i="10"/>
  <c r="M1238" i="10" l="1"/>
  <c r="S1237" i="10"/>
  <c r="N1238" i="10"/>
  <c r="T1237" i="10"/>
  <c r="L1238" i="10" l="1"/>
  <c r="W1238" i="10" s="1"/>
  <c r="O1238" i="10" l="1"/>
  <c r="P1238" i="10"/>
  <c r="T1238" i="10" l="1"/>
  <c r="N1239" i="10"/>
  <c r="M1239" i="10"/>
  <c r="L1239" i="10" s="1"/>
  <c r="W1239" i="10" s="1"/>
  <c r="S1238" i="10"/>
  <c r="O1239" i="10" l="1"/>
  <c r="P1239" i="10"/>
  <c r="N1240" i="10" l="1"/>
  <c r="T1239" i="10"/>
  <c r="S1239" i="10"/>
  <c r="M1240" i="10"/>
  <c r="L1240" i="10" l="1"/>
  <c r="W1240" i="10" s="1"/>
  <c r="O1240" i="10"/>
  <c r="P1240" i="10"/>
  <c r="N1241" i="10" l="1"/>
  <c r="T1240" i="10"/>
  <c r="S1240" i="10"/>
  <c r="M1241" i="10"/>
  <c r="L1241" i="10" l="1"/>
  <c r="W1241" i="10" s="1"/>
  <c r="P1241" i="10"/>
  <c r="O1241" i="10"/>
  <c r="M1242" i="10" l="1"/>
  <c r="S1241" i="10"/>
  <c r="N1242" i="10"/>
  <c r="T1241" i="10"/>
  <c r="L1242" i="10" l="1"/>
  <c r="W1242" i="10" s="1"/>
  <c r="P1242" i="10" l="1"/>
  <c r="O1242" i="10"/>
  <c r="M1243" i="10" l="1"/>
  <c r="S1242" i="10"/>
  <c r="N1243" i="10"/>
  <c r="T1242" i="10"/>
  <c r="L1243" i="10" l="1"/>
  <c r="W1243" i="10" s="1"/>
  <c r="P1243" i="10" l="1"/>
  <c r="O1243" i="10"/>
  <c r="S1243" i="10" l="1"/>
  <c r="M1244" i="10"/>
  <c r="N1244" i="10"/>
  <c r="T1243" i="10"/>
  <c r="L1244" i="10" l="1"/>
  <c r="W1244" i="10" s="1"/>
  <c r="P1244" i="10" l="1"/>
  <c r="O1244" i="10"/>
  <c r="M1245" i="10" l="1"/>
  <c r="S1244" i="10"/>
  <c r="N1245" i="10"/>
  <c r="T1244" i="10"/>
  <c r="L1245" i="10" l="1"/>
  <c r="W1245" i="10" s="1"/>
  <c r="P1245" i="10" l="1"/>
  <c r="O1245" i="10"/>
  <c r="M1246" i="10" l="1"/>
  <c r="S1245" i="10"/>
  <c r="T1245" i="10"/>
  <c r="N1246" i="10"/>
  <c r="L1246" i="10" l="1"/>
  <c r="W1246" i="10" s="1"/>
  <c r="P1246" i="10" l="1"/>
  <c r="O1246" i="10"/>
  <c r="M1247" i="10" l="1"/>
  <c r="S1246" i="10"/>
  <c r="N1247" i="10"/>
  <c r="T1246" i="10"/>
  <c r="L1247" i="10" l="1"/>
  <c r="W1247" i="10" s="1"/>
  <c r="P1247" i="10" l="1"/>
  <c r="O1247" i="10"/>
  <c r="S1247" i="10" l="1"/>
  <c r="M1248" i="10"/>
  <c r="N1248" i="10"/>
  <c r="T1247" i="10"/>
  <c r="L1248" i="10" l="1"/>
  <c r="W1248" i="10" s="1"/>
  <c r="P1248" i="10" l="1"/>
  <c r="O1248" i="10"/>
  <c r="S1248" i="10" l="1"/>
  <c r="M1249" i="10"/>
  <c r="N1249" i="10"/>
  <c r="T1248" i="10"/>
  <c r="L1249" i="10" l="1"/>
  <c r="W1249" i="10" s="1"/>
  <c r="P1249" i="10" l="1"/>
  <c r="O1249" i="10"/>
  <c r="M1250" i="10" l="1"/>
  <c r="S1249" i="10"/>
  <c r="N1250" i="10"/>
  <c r="T1249" i="10"/>
  <c r="L1250" i="10" l="1"/>
  <c r="W1250" i="10" s="1"/>
  <c r="P1250" i="10" l="1"/>
  <c r="O1250" i="10"/>
  <c r="M1251" i="10" l="1"/>
  <c r="S1250" i="10"/>
  <c r="N1251" i="10"/>
  <c r="T1250" i="10"/>
  <c r="L1251" i="10" l="1"/>
  <c r="W1251" i="10" s="1"/>
  <c r="O1251" i="10" l="1"/>
  <c r="P1251" i="10"/>
  <c r="N1252" i="10" l="1"/>
  <c r="T1251" i="10"/>
  <c r="S1251" i="10"/>
  <c r="M1252" i="10"/>
  <c r="L1252" i="10" s="1"/>
  <c r="W1252" i="10" s="1"/>
  <c r="P1252" i="10" l="1"/>
  <c r="O1252" i="10"/>
  <c r="S1252" i="10" l="1"/>
  <c r="M1253" i="10"/>
  <c r="T1252" i="10"/>
  <c r="N1253" i="10"/>
  <c r="L1253" i="10" l="1"/>
  <c r="W1253" i="10" s="1"/>
  <c r="P1253" i="10" l="1"/>
  <c r="O1253" i="10"/>
  <c r="S1253" i="10" l="1"/>
  <c r="M1254" i="10"/>
  <c r="N1254" i="10"/>
  <c r="T1253" i="10"/>
  <c r="L1254" i="10" l="1"/>
  <c r="W1254" i="10" s="1"/>
  <c r="P1254" i="10" l="1"/>
  <c r="O1254" i="10"/>
  <c r="S1254" i="10" l="1"/>
  <c r="M1255" i="10"/>
  <c r="N1255" i="10"/>
  <c r="T1254" i="10"/>
  <c r="L1255" i="10" l="1"/>
  <c r="W1255" i="10" s="1"/>
  <c r="P1255" i="10" l="1"/>
  <c r="O1255" i="10"/>
  <c r="M1256" i="10" l="1"/>
  <c r="S1255" i="10"/>
  <c r="N1256" i="10"/>
  <c r="T1255" i="10"/>
  <c r="L1256" i="10" l="1"/>
  <c r="W1256" i="10" s="1"/>
  <c r="P1256" i="10" l="1"/>
  <c r="O1256" i="10"/>
  <c r="S1256" i="10" l="1"/>
  <c r="M1257" i="10"/>
  <c r="N1257" i="10"/>
  <c r="T1256" i="10"/>
  <c r="L1257" i="10" l="1"/>
  <c r="W1257" i="10" s="1"/>
  <c r="P1257" i="10" l="1"/>
  <c r="O1257" i="10"/>
  <c r="S1257" i="10" l="1"/>
  <c r="M1258" i="10"/>
  <c r="N1258" i="10"/>
  <c r="T1257" i="10"/>
  <c r="L1258" i="10" l="1"/>
  <c r="W1258" i="10" s="1"/>
  <c r="P1258" i="10" l="1"/>
  <c r="O1258" i="10"/>
  <c r="M1259" i="10" l="1"/>
  <c r="S1258" i="10"/>
  <c r="N1259" i="10"/>
  <c r="T1258" i="10"/>
  <c r="L1259" i="10" l="1"/>
  <c r="W1259" i="10" s="1"/>
  <c r="O1259" i="10" l="1"/>
  <c r="P1259" i="10"/>
  <c r="N1260" i="10" l="1"/>
  <c r="T1259" i="10"/>
  <c r="M1260" i="10"/>
  <c r="S1259" i="10"/>
  <c r="L1260" i="10" l="1"/>
  <c r="W1260" i="10" s="1"/>
  <c r="P1260" i="10"/>
  <c r="O1260" i="10"/>
  <c r="M1261" i="10" l="1"/>
  <c r="S1260" i="10"/>
  <c r="N1261" i="10"/>
  <c r="T1260" i="10"/>
  <c r="L1261" i="10" l="1"/>
  <c r="W1261" i="10" s="1"/>
  <c r="P1261" i="10" l="1"/>
  <c r="O1261" i="10"/>
  <c r="M1262" i="10" l="1"/>
  <c r="S1261" i="10"/>
  <c r="N1262" i="10"/>
  <c r="T1261" i="10"/>
  <c r="L1262" i="10" l="1"/>
  <c r="W1262" i="10" s="1"/>
  <c r="P1262" i="10" l="1"/>
  <c r="O1262" i="10"/>
  <c r="M1263" i="10" l="1"/>
  <c r="S1262" i="10"/>
  <c r="N1263" i="10"/>
  <c r="T1262" i="10"/>
  <c r="L1263" i="10" l="1"/>
  <c r="W1263" i="10" s="1"/>
  <c r="P1263" i="10" l="1"/>
  <c r="O1263" i="10"/>
  <c r="M1264" i="10" l="1"/>
  <c r="S1263" i="10"/>
  <c r="N1264" i="10"/>
  <c r="T1263" i="10"/>
  <c r="L1264" i="10" l="1"/>
  <c r="W1264" i="10" s="1"/>
  <c r="P1264" i="10" l="1"/>
  <c r="O1264" i="10"/>
  <c r="S1264" i="10" l="1"/>
  <c r="M1265" i="10"/>
  <c r="T1264" i="10"/>
  <c r="N1265" i="10"/>
  <c r="L1265" i="10" l="1"/>
  <c r="W1265" i="10" s="1"/>
  <c r="P1265" i="10" l="1"/>
  <c r="O1265" i="10"/>
  <c r="M1266" i="10" l="1"/>
  <c r="S1265" i="10"/>
  <c r="N1266" i="10"/>
  <c r="T1265" i="10"/>
  <c r="L1266" i="10" l="1"/>
  <c r="W1266" i="10" s="1"/>
  <c r="O1266" i="10" l="1"/>
  <c r="P1266" i="10"/>
  <c r="N1267" i="10" l="1"/>
  <c r="T1266" i="10"/>
  <c r="M1267" i="10"/>
  <c r="S1266" i="10"/>
  <c r="L1267" i="10" l="1"/>
  <c r="W1267" i="10" s="1"/>
  <c r="P1267" i="10"/>
  <c r="O1267" i="10"/>
  <c r="S1267" i="10" l="1"/>
  <c r="M1268" i="10"/>
  <c r="N1268" i="10"/>
  <c r="T1267" i="10"/>
  <c r="L1268" i="10" l="1"/>
  <c r="W1268" i="10" s="1"/>
  <c r="P1268" i="10" l="1"/>
  <c r="O1268" i="10"/>
  <c r="M1269" i="10" l="1"/>
  <c r="S1268" i="10"/>
  <c r="N1269" i="10"/>
  <c r="T1268" i="10"/>
  <c r="L1269" i="10" l="1"/>
  <c r="W1269" i="10" s="1"/>
  <c r="P1269" i="10" l="1"/>
  <c r="O1269" i="10"/>
  <c r="M1270" i="10" l="1"/>
  <c r="S1269" i="10"/>
  <c r="N1270" i="10"/>
  <c r="T1269" i="10"/>
  <c r="L1270" i="10" l="1"/>
  <c r="W1270" i="10" s="1"/>
  <c r="P1270" i="10" l="1"/>
  <c r="O1270" i="10"/>
  <c r="M1271" i="10" l="1"/>
  <c r="S1270" i="10"/>
  <c r="N1271" i="10"/>
  <c r="T1270" i="10"/>
  <c r="L1271" i="10" l="1"/>
  <c r="W1271" i="10" s="1"/>
  <c r="P1271" i="10" l="1"/>
  <c r="O1271" i="10"/>
  <c r="M1272" i="10" l="1"/>
  <c r="S1271" i="10"/>
  <c r="T1271" i="10"/>
  <c r="N1272" i="10"/>
  <c r="L1272" i="10" l="1"/>
  <c r="W1272" i="10" s="1"/>
  <c r="O1272" i="10" l="1"/>
  <c r="P1272" i="10"/>
  <c r="N1273" i="10" l="1"/>
  <c r="T1272" i="10"/>
  <c r="M1273" i="10"/>
  <c r="L1273" i="10" s="1"/>
  <c r="W1273" i="10" s="1"/>
  <c r="S1272" i="10"/>
  <c r="P1273" i="10" l="1"/>
  <c r="O1273" i="10"/>
  <c r="S1273" i="10" l="1"/>
  <c r="M1274" i="10"/>
  <c r="N1274" i="10"/>
  <c r="T1273" i="10"/>
  <c r="L1274" i="10" l="1"/>
  <c r="W1274" i="10" s="1"/>
  <c r="P1274" i="10" l="1"/>
  <c r="O1274" i="10"/>
  <c r="S1274" i="10" l="1"/>
  <c r="M1275" i="10"/>
  <c r="N1275" i="10"/>
  <c r="T1274" i="10"/>
  <c r="L1275" i="10" l="1"/>
  <c r="P1275" i="10" l="1"/>
  <c r="N1276" i="10" s="1"/>
  <c r="W1275" i="10"/>
  <c r="O1275" i="10"/>
  <c r="S1275" i="10" s="1"/>
  <c r="T1275" i="10"/>
  <c r="M1276" i="10" l="1"/>
  <c r="L1276" i="10" s="1"/>
  <c r="W1276" i="10" s="1"/>
  <c r="P1276" i="10" l="1"/>
  <c r="O1276" i="10"/>
  <c r="S1276" i="10" l="1"/>
  <c r="M1277" i="10"/>
  <c r="N1277" i="10"/>
  <c r="T1276" i="10"/>
  <c r="L1277" i="10" l="1"/>
  <c r="W1277" i="10" s="1"/>
  <c r="P1277" i="10" l="1"/>
  <c r="O1277" i="10"/>
  <c r="M1278" i="10" l="1"/>
  <c r="S1277" i="10"/>
  <c r="N1278" i="10"/>
  <c r="T1277" i="10"/>
  <c r="L1278" i="10" l="1"/>
  <c r="W1278" i="10" s="1"/>
  <c r="P1278" i="10" l="1"/>
  <c r="O1278" i="10"/>
  <c r="M1279" i="10" l="1"/>
  <c r="S1278" i="10"/>
  <c r="N1279" i="10"/>
  <c r="T1278" i="10"/>
  <c r="L1279" i="10" l="1"/>
  <c r="W1279" i="10" s="1"/>
  <c r="P1279" i="10" l="1"/>
  <c r="O1279" i="10"/>
  <c r="S1279" i="10" l="1"/>
  <c r="M1280" i="10"/>
  <c r="N1280" i="10"/>
  <c r="T1279" i="10"/>
  <c r="L1280" i="10" l="1"/>
  <c r="W1280" i="10" s="1"/>
  <c r="P1280" i="10" l="1"/>
  <c r="O1280" i="10"/>
  <c r="M1281" i="10" l="1"/>
  <c r="S1280" i="10"/>
  <c r="N1281" i="10"/>
  <c r="T1280" i="10"/>
  <c r="L1281" i="10" l="1"/>
  <c r="W1281" i="10" s="1"/>
  <c r="P1281" i="10" l="1"/>
  <c r="O1281" i="10"/>
  <c r="M1282" i="10" l="1"/>
  <c r="S1281" i="10"/>
  <c r="T1281" i="10"/>
  <c r="N1282" i="10"/>
  <c r="L1282" i="10" l="1"/>
  <c r="W1282" i="10" s="1"/>
  <c r="O1282" i="10" l="1"/>
  <c r="P1282" i="10"/>
  <c r="N1283" i="10" l="1"/>
  <c r="T1282" i="10"/>
  <c r="M1283" i="10"/>
  <c r="L1283" i="10" s="1"/>
  <c r="W1283" i="10" s="1"/>
  <c r="S1282" i="10"/>
  <c r="P1283" i="10" l="1"/>
  <c r="O1283" i="10"/>
  <c r="M1284" i="10" l="1"/>
  <c r="S1283" i="10"/>
  <c r="N1284" i="10"/>
  <c r="T1283" i="10"/>
  <c r="L1284" i="10" l="1"/>
  <c r="W1284" i="10" s="1"/>
  <c r="P1284" i="10" l="1"/>
  <c r="O1284" i="10"/>
  <c r="S1284" i="10" l="1"/>
  <c r="M1285" i="10"/>
  <c r="N1285" i="10"/>
  <c r="T1284" i="10"/>
  <c r="L1285" i="10" l="1"/>
  <c r="W1285" i="10" s="1"/>
  <c r="O1285" i="10" l="1"/>
  <c r="P1285" i="10"/>
  <c r="N1286" i="10" l="1"/>
  <c r="T1285" i="10"/>
  <c r="S1285" i="10"/>
  <c r="M1286" i="10"/>
  <c r="L1286" i="10" s="1"/>
  <c r="W1286" i="10" s="1"/>
  <c r="P1286" i="10" l="1"/>
  <c r="O1286" i="10"/>
  <c r="M1287" i="10" l="1"/>
  <c r="S1286" i="10"/>
  <c r="N1287" i="10"/>
  <c r="T1286" i="10"/>
  <c r="L1287" i="10" l="1"/>
  <c r="W1287" i="10" s="1"/>
  <c r="P1287" i="10" l="1"/>
  <c r="O1287" i="10"/>
  <c r="S1287" i="10" l="1"/>
  <c r="M1288" i="10"/>
  <c r="N1288" i="10"/>
  <c r="T1287" i="10"/>
  <c r="L1288" i="10" l="1"/>
  <c r="W1288" i="10" s="1"/>
  <c r="P1288" i="10" l="1"/>
  <c r="O1288" i="10"/>
  <c r="M1289" i="10" l="1"/>
  <c r="S1288" i="10"/>
  <c r="N1289" i="10"/>
  <c r="T1288" i="10"/>
  <c r="L1289" i="10" l="1"/>
  <c r="W1289" i="10" s="1"/>
  <c r="P1289" i="10" l="1"/>
  <c r="O1289" i="10"/>
  <c r="S1289" i="10" l="1"/>
  <c r="M1290" i="10"/>
  <c r="N1290" i="10"/>
  <c r="T1289" i="10"/>
  <c r="L1290" i="10" l="1"/>
  <c r="W1290" i="10" s="1"/>
  <c r="P1290" i="10" l="1"/>
  <c r="O1290" i="10"/>
  <c r="M1291" i="10" l="1"/>
  <c r="S1290" i="10"/>
  <c r="T1290" i="10"/>
  <c r="N1291" i="10"/>
  <c r="L1291" i="10" l="1"/>
  <c r="W1291" i="10" s="1"/>
  <c r="P1291" i="10" l="1"/>
  <c r="O1291" i="10"/>
  <c r="M1292" i="10" l="1"/>
  <c r="S1291" i="10"/>
  <c r="N1292" i="10"/>
  <c r="T1291" i="10"/>
  <c r="L1292" i="10" l="1"/>
  <c r="W1292" i="10" s="1"/>
  <c r="P1292" i="10" l="1"/>
  <c r="O1292" i="10"/>
  <c r="M1293" i="10" l="1"/>
  <c r="S1292" i="10"/>
  <c r="T1292" i="10"/>
  <c r="N1293" i="10"/>
  <c r="L1293" i="10" l="1"/>
  <c r="W1293" i="10" s="1"/>
  <c r="P1293" i="10" l="1"/>
  <c r="O1293" i="10"/>
  <c r="M1294" i="10" l="1"/>
  <c r="S1293" i="10"/>
  <c r="N1294" i="10"/>
  <c r="T1293" i="10"/>
  <c r="L1294" i="10" l="1"/>
  <c r="W1294" i="10" s="1"/>
  <c r="P1294" i="10" l="1"/>
  <c r="O1294" i="10"/>
  <c r="S1294" i="10" l="1"/>
  <c r="M1295" i="10"/>
  <c r="N1295" i="10"/>
  <c r="T1294" i="10"/>
  <c r="L1295" i="10" l="1"/>
  <c r="W1295" i="10" s="1"/>
  <c r="P1295" i="10" l="1"/>
  <c r="O1295" i="10"/>
  <c r="S1295" i="10" l="1"/>
  <c r="M1296" i="10"/>
  <c r="N1296" i="10"/>
  <c r="T1295" i="10"/>
  <c r="L1296" i="10" l="1"/>
  <c r="P1296" i="10" l="1"/>
  <c r="W1296" i="10"/>
  <c r="O1296" i="10"/>
  <c r="S1296" i="10" s="1"/>
  <c r="N1297" i="10"/>
  <c r="T1296" i="10"/>
  <c r="M1297" i="10" l="1"/>
  <c r="L1297" i="10" s="1"/>
  <c r="W1297" i="10" s="1"/>
  <c r="P1297" i="10" l="1"/>
  <c r="O1297" i="10"/>
  <c r="S1297" i="10" l="1"/>
  <c r="M1298" i="10"/>
  <c r="N1298" i="10"/>
  <c r="T1297" i="10"/>
  <c r="L1298" i="10" l="1"/>
  <c r="W1298" i="10" s="1"/>
  <c r="P1298" i="10" l="1"/>
  <c r="O1298" i="10"/>
  <c r="S1298" i="10" l="1"/>
  <c r="M1299" i="10"/>
  <c r="N1299" i="10"/>
  <c r="T1298" i="10"/>
  <c r="L1299" i="10" l="1"/>
  <c r="W1299" i="10" s="1"/>
  <c r="P1299" i="10" l="1"/>
  <c r="O1299" i="10"/>
  <c r="S1299" i="10" l="1"/>
  <c r="M1300" i="10"/>
  <c r="N1300" i="10"/>
  <c r="T1299" i="10"/>
  <c r="L1300" i="10" l="1"/>
  <c r="W1300" i="10" s="1"/>
  <c r="P1300" i="10" l="1"/>
  <c r="O1300" i="10"/>
  <c r="S1300" i="10" l="1"/>
  <c r="M1301" i="10"/>
  <c r="T1300" i="10"/>
  <c r="N1301" i="10"/>
  <c r="L1301" i="10" l="1"/>
  <c r="W1301" i="10" s="1"/>
  <c r="P1301" i="10" l="1"/>
  <c r="O1301" i="10"/>
  <c r="M1302" i="10" l="1"/>
  <c r="S1301" i="10"/>
  <c r="T1301" i="10"/>
  <c r="N1302" i="10"/>
  <c r="L1302" i="10" l="1"/>
  <c r="W1302" i="10" s="1"/>
  <c r="P1302" i="10" l="1"/>
  <c r="O1302" i="10"/>
  <c r="M1303" i="10" l="1"/>
  <c r="S1302" i="10"/>
  <c r="N1303" i="10"/>
  <c r="T1302" i="10"/>
  <c r="L1303" i="10" l="1"/>
  <c r="W1303" i="10" s="1"/>
  <c r="P1303" i="10" l="1"/>
  <c r="O1303" i="10"/>
  <c r="S1303" i="10" l="1"/>
  <c r="M1304" i="10"/>
  <c r="T1303" i="10"/>
  <c r="N1304" i="10"/>
  <c r="L1304" i="10" l="1"/>
  <c r="W1304" i="10" s="1"/>
  <c r="O1304" i="10" l="1"/>
  <c r="P1304" i="10"/>
  <c r="N1305" i="10" l="1"/>
  <c r="T1304" i="10"/>
  <c r="M1305" i="10"/>
  <c r="S1304" i="10"/>
  <c r="L1305" i="10" l="1"/>
  <c r="W1305" i="10" s="1"/>
  <c r="O1305" i="10"/>
  <c r="P1305" i="10"/>
  <c r="N1306" i="10" l="1"/>
  <c r="T1305" i="10"/>
  <c r="M1306" i="10"/>
  <c r="S1305" i="10"/>
  <c r="L1306" i="10" l="1"/>
  <c r="W1306" i="10" s="1"/>
  <c r="P1306" i="10"/>
  <c r="O1306" i="10"/>
  <c r="S1306" i="10" l="1"/>
  <c r="M1307" i="10"/>
  <c r="N1307" i="10"/>
  <c r="T1306" i="10"/>
  <c r="L1307" i="10" l="1"/>
  <c r="W1307" i="10" s="1"/>
  <c r="P1307" i="10" l="1"/>
  <c r="O1307" i="10"/>
  <c r="M1308" i="10" l="1"/>
  <c r="S1307" i="10"/>
  <c r="N1308" i="10"/>
  <c r="T1307" i="10"/>
  <c r="L1308" i="10" l="1"/>
  <c r="W1308" i="10" s="1"/>
  <c r="P1308" i="10" l="1"/>
  <c r="O1308" i="10"/>
  <c r="S1308" i="10" l="1"/>
  <c r="M1309" i="10"/>
  <c r="N1309" i="10"/>
  <c r="T1308" i="10"/>
  <c r="L1309" i="10" l="1"/>
  <c r="W1309" i="10" s="1"/>
  <c r="O1309" i="10" l="1"/>
  <c r="P1309" i="10"/>
  <c r="N1310" i="10" l="1"/>
  <c r="T1309" i="10"/>
  <c r="M1310" i="10"/>
  <c r="S1309" i="10"/>
  <c r="L1310" i="10" l="1"/>
  <c r="W1310" i="10" s="1"/>
  <c r="P1310" i="10"/>
  <c r="O1310" i="10"/>
  <c r="M1311" i="10" l="1"/>
  <c r="S1310" i="10"/>
  <c r="N1311" i="10"/>
  <c r="T1310" i="10"/>
  <c r="L1311" i="10" l="1"/>
  <c r="W1311" i="10" s="1"/>
  <c r="P1311" i="10" l="1"/>
  <c r="O1311" i="10"/>
  <c r="S1311" i="10" l="1"/>
  <c r="M1312" i="10"/>
  <c r="N1312" i="10"/>
  <c r="T1311" i="10"/>
  <c r="L1312" i="10" l="1"/>
  <c r="W1312" i="10" s="1"/>
  <c r="O1312" i="10" l="1"/>
  <c r="P1312" i="10"/>
  <c r="N1313" i="10" l="1"/>
  <c r="T1312" i="10"/>
  <c r="S1312" i="10"/>
  <c r="M1313" i="10"/>
  <c r="L1313" i="10" l="1"/>
  <c r="W1313" i="10" s="1"/>
  <c r="P1313" i="10"/>
  <c r="O1313" i="10"/>
  <c r="S1313" i="10" l="1"/>
  <c r="M1314" i="10"/>
  <c r="N1314" i="10"/>
  <c r="T1313" i="10"/>
  <c r="L1314" i="10" l="1"/>
  <c r="W1314" i="10" s="1"/>
  <c r="P1314" i="10" l="1"/>
  <c r="O1314" i="10"/>
  <c r="M1315" i="10" l="1"/>
  <c r="S1314" i="10"/>
  <c r="N1315" i="10"/>
  <c r="T1314" i="10"/>
  <c r="L1315" i="10" l="1"/>
  <c r="W1315" i="10" s="1"/>
  <c r="P1315" i="10" l="1"/>
  <c r="O1315" i="10"/>
  <c r="S1315" i="10" l="1"/>
  <c r="M1316" i="10"/>
  <c r="N1316" i="10"/>
  <c r="T1315" i="10"/>
  <c r="L1316" i="10" l="1"/>
  <c r="W1316" i="10" s="1"/>
  <c r="P1316" i="10" l="1"/>
  <c r="O1316" i="10"/>
  <c r="S1316" i="10" l="1"/>
  <c r="M1317" i="10"/>
  <c r="N1317" i="10"/>
  <c r="T1316" i="10"/>
  <c r="L1317" i="10" l="1"/>
  <c r="W1317" i="10" s="1"/>
  <c r="P1317" i="10" l="1"/>
  <c r="O1317" i="10"/>
  <c r="M1318" i="10" l="1"/>
  <c r="S1317" i="10"/>
  <c r="N1318" i="10"/>
  <c r="T1317" i="10"/>
  <c r="L1318" i="10" l="1"/>
  <c r="W1318" i="10" s="1"/>
  <c r="P1318" i="10" l="1"/>
  <c r="O1318" i="10"/>
  <c r="M1319" i="10" l="1"/>
  <c r="S1318" i="10"/>
  <c r="N1319" i="10"/>
  <c r="T1318" i="10"/>
  <c r="L1319" i="10" l="1"/>
  <c r="W1319" i="10" s="1"/>
  <c r="P1319" i="10" l="1"/>
  <c r="O1319" i="10"/>
  <c r="S1319" i="10" l="1"/>
  <c r="M1320" i="10"/>
  <c r="N1320" i="10"/>
  <c r="T1319" i="10"/>
  <c r="L1320" i="10" l="1"/>
  <c r="W1320" i="10" s="1"/>
  <c r="P1320" i="10" l="1"/>
  <c r="O1320" i="10"/>
  <c r="M1321" i="10" l="1"/>
  <c r="S1320" i="10"/>
  <c r="N1321" i="10"/>
  <c r="T1320" i="10"/>
  <c r="L1321" i="10" l="1"/>
  <c r="W1321" i="10" s="1"/>
  <c r="P1321" i="10" l="1"/>
  <c r="O1321" i="10"/>
  <c r="M1322" i="10" l="1"/>
  <c r="S1321" i="10"/>
  <c r="N1322" i="10"/>
  <c r="T1321" i="10"/>
  <c r="L1322" i="10" l="1"/>
  <c r="W1322" i="10" s="1"/>
  <c r="P1322" i="10" l="1"/>
  <c r="O1322" i="10"/>
  <c r="S1322" i="10" l="1"/>
  <c r="M1323" i="10"/>
  <c r="N1323" i="10"/>
  <c r="T1322" i="10"/>
  <c r="L1323" i="10" l="1"/>
  <c r="W1323" i="10" s="1"/>
  <c r="P1323" i="10" l="1"/>
  <c r="O1323" i="10"/>
  <c r="M1324" i="10" l="1"/>
  <c r="S1323" i="10"/>
  <c r="N1324" i="10"/>
  <c r="T1323" i="10"/>
  <c r="L1324" i="10" l="1"/>
  <c r="W1324" i="10" s="1"/>
  <c r="O1324" i="10" l="1"/>
  <c r="P1324" i="10"/>
  <c r="T1324" i="10" l="1"/>
  <c r="N1325" i="10"/>
  <c r="M1325" i="10"/>
  <c r="S1324" i="10"/>
  <c r="L1325" i="10" l="1"/>
  <c r="W1325" i="10" s="1"/>
  <c r="O1325" i="10"/>
  <c r="P1325" i="10"/>
  <c r="N1326" i="10" l="1"/>
  <c r="T1325" i="10"/>
  <c r="S1325" i="10"/>
  <c r="M1326" i="10"/>
  <c r="L1326" i="10" s="1"/>
  <c r="W1326" i="10" s="1"/>
  <c r="P1326" i="10" l="1"/>
  <c r="O1326" i="10"/>
  <c r="S1326" i="10" l="1"/>
  <c r="M1327" i="10"/>
  <c r="T1326" i="10"/>
  <c r="N1327" i="10"/>
  <c r="L1327" i="10" l="1"/>
  <c r="W1327" i="10" s="1"/>
  <c r="P1327" i="10" l="1"/>
  <c r="O1327" i="10"/>
  <c r="M1328" i="10" l="1"/>
  <c r="S1327" i="10"/>
  <c r="N1328" i="10"/>
  <c r="T1327" i="10"/>
  <c r="L1328" i="10" l="1"/>
  <c r="W1328" i="10" s="1"/>
  <c r="P1328" i="10" l="1"/>
  <c r="O1328" i="10"/>
  <c r="S1328" i="10" l="1"/>
  <c r="M1329" i="10"/>
  <c r="N1329" i="10"/>
  <c r="T1328" i="10"/>
  <c r="L1329" i="10" l="1"/>
  <c r="W1329" i="10" s="1"/>
  <c r="O1329" i="10" l="1"/>
  <c r="P1329" i="10"/>
  <c r="N1330" i="10" l="1"/>
  <c r="T1329" i="10"/>
  <c r="M1330" i="10"/>
  <c r="S1329" i="10"/>
  <c r="L1330" i="10" l="1"/>
  <c r="W1330" i="10" s="1"/>
  <c r="O1330" i="10"/>
  <c r="P1330" i="10" l="1"/>
  <c r="S1330" i="10"/>
  <c r="M1331" i="10"/>
  <c r="N1331" i="10"/>
  <c r="T1330" i="10"/>
  <c r="L1331" i="10" l="1"/>
  <c r="W1331" i="10" s="1"/>
  <c r="P1331" i="10" l="1"/>
  <c r="O1331" i="10"/>
  <c r="M1332" i="10" l="1"/>
  <c r="S1331" i="10"/>
  <c r="N1332" i="10"/>
  <c r="T1331" i="10"/>
  <c r="L1332" i="10" l="1"/>
  <c r="W1332" i="10" s="1"/>
  <c r="P1332" i="10" l="1"/>
  <c r="O1332" i="10"/>
  <c r="S1332" i="10" l="1"/>
  <c r="M1333" i="10"/>
  <c r="N1333" i="10"/>
  <c r="T1332" i="10"/>
  <c r="L1333" i="10" l="1"/>
  <c r="W1333" i="10" s="1"/>
  <c r="P1333" i="10" l="1"/>
  <c r="O1333" i="10"/>
  <c r="M1334" i="10" l="1"/>
  <c r="S1333" i="10"/>
  <c r="N1334" i="10"/>
  <c r="T1333" i="10"/>
  <c r="L1334" i="10" l="1"/>
  <c r="W1334" i="10" s="1"/>
  <c r="P1334" i="10" l="1"/>
  <c r="O1334" i="10"/>
  <c r="S1334" i="10" l="1"/>
  <c r="M1335" i="10"/>
  <c r="N1335" i="10"/>
  <c r="T1334" i="10"/>
  <c r="L1335" i="10" l="1"/>
  <c r="W1335" i="10" s="1"/>
  <c r="P1335" i="10" l="1"/>
  <c r="O1335" i="10"/>
  <c r="S1335" i="10" l="1"/>
  <c r="M1336" i="10"/>
  <c r="N1336" i="10"/>
  <c r="T1335" i="10"/>
  <c r="L1336" i="10" l="1"/>
  <c r="W1336" i="10" s="1"/>
  <c r="P1336" i="10" l="1"/>
  <c r="O1336" i="10"/>
  <c r="S1336" i="10" l="1"/>
  <c r="M1337" i="10"/>
  <c r="N1337" i="10"/>
  <c r="T1336" i="10"/>
  <c r="L1337" i="10" l="1"/>
  <c r="W1337" i="10" s="1"/>
  <c r="P1337" i="10" l="1"/>
  <c r="O1337" i="10"/>
  <c r="S1337" i="10" l="1"/>
  <c r="M1338" i="10"/>
  <c r="N1338" i="10"/>
  <c r="T1337" i="10"/>
  <c r="L1338" i="10" l="1"/>
  <c r="W1338" i="10" s="1"/>
  <c r="O1338" i="10" l="1"/>
  <c r="P1338" i="10"/>
  <c r="N1339" i="10" l="1"/>
  <c r="T1338" i="10"/>
  <c r="M1339" i="10"/>
  <c r="S1338" i="10"/>
  <c r="L1339" i="10" l="1"/>
  <c r="W1339" i="10" s="1"/>
  <c r="P1339" i="10"/>
  <c r="O1339" i="10"/>
  <c r="S1339" i="10" l="1"/>
  <c r="M1340" i="10"/>
  <c r="N1340" i="10"/>
  <c r="T1339" i="10"/>
  <c r="L1340" i="10" l="1"/>
  <c r="W1340" i="10" s="1"/>
  <c r="P1340" i="10" l="1"/>
  <c r="O1340" i="10"/>
  <c r="M1341" i="10" l="1"/>
  <c r="S1340" i="10"/>
  <c r="N1341" i="10"/>
  <c r="T1340" i="10"/>
  <c r="L1341" i="10" l="1"/>
  <c r="W1341" i="10" s="1"/>
  <c r="P1341" i="10" l="1"/>
  <c r="O1341" i="10"/>
  <c r="M1342" i="10" l="1"/>
  <c r="S1341" i="10"/>
  <c r="T1341" i="10"/>
  <c r="N1342" i="10"/>
  <c r="L1342" i="10" l="1"/>
  <c r="W1342" i="10" s="1"/>
  <c r="P1342" i="10" l="1"/>
  <c r="O1342" i="10"/>
  <c r="S1342" i="10" l="1"/>
  <c r="M1343" i="10"/>
  <c r="N1343" i="10"/>
  <c r="T1342" i="10"/>
  <c r="L1343" i="10" l="1"/>
  <c r="W1343" i="10" s="1"/>
  <c r="P1343" i="10" l="1"/>
  <c r="O1343" i="10"/>
  <c r="S1343" i="10" l="1"/>
  <c r="M1344" i="10"/>
  <c r="N1344" i="10"/>
  <c r="T1343" i="10"/>
  <c r="L1344" i="10" l="1"/>
  <c r="W1344" i="10" s="1"/>
  <c r="O1344" i="10" l="1"/>
  <c r="P1344" i="10"/>
  <c r="N1345" i="10" l="1"/>
  <c r="T1344" i="10"/>
  <c r="S1344" i="10"/>
  <c r="M1345" i="10"/>
  <c r="L1345" i="10" l="1"/>
  <c r="W1345" i="10" s="1"/>
  <c r="P1345" i="10"/>
  <c r="O1345" i="10"/>
  <c r="M1346" i="10" l="1"/>
  <c r="S1345" i="10"/>
  <c r="N1346" i="10"/>
  <c r="T1345" i="10"/>
  <c r="L1346" i="10" l="1"/>
  <c r="W1346" i="10" s="1"/>
  <c r="P1346" i="10" l="1"/>
  <c r="O1346" i="10"/>
  <c r="M1347" i="10" l="1"/>
  <c r="S1346" i="10"/>
  <c r="N1347" i="10"/>
  <c r="T1346" i="10"/>
  <c r="L1347" i="10" l="1"/>
  <c r="W1347" i="10" s="1"/>
  <c r="P1347" i="10" l="1"/>
  <c r="O1347" i="10"/>
  <c r="S1347" i="10" l="1"/>
  <c r="M1348" i="10"/>
  <c r="T1347" i="10"/>
  <c r="N1348" i="10"/>
  <c r="L1348" i="10" l="1"/>
  <c r="W1348" i="10" s="1"/>
  <c r="P1348" i="10" l="1"/>
  <c r="O1348" i="10"/>
  <c r="S1348" i="10" l="1"/>
  <c r="M1349" i="10"/>
  <c r="N1349" i="10"/>
  <c r="T1348" i="10"/>
  <c r="L1349" i="10" l="1"/>
  <c r="W1349" i="10" s="1"/>
  <c r="P1349" i="10" l="1"/>
  <c r="O1349" i="10"/>
  <c r="S1349" i="10" l="1"/>
  <c r="M1350" i="10"/>
  <c r="N1350" i="10"/>
  <c r="T1349" i="10"/>
  <c r="L1350" i="10" l="1"/>
  <c r="W1350" i="10" s="1"/>
  <c r="P1350" i="10" l="1"/>
  <c r="O1350" i="10"/>
  <c r="S1350" i="10" l="1"/>
  <c r="M1351" i="10"/>
  <c r="N1351" i="10"/>
  <c r="T1350" i="10"/>
  <c r="L1351" i="10" l="1"/>
  <c r="W1351" i="10" s="1"/>
  <c r="O1351" i="10" l="1"/>
  <c r="P1351" i="10"/>
  <c r="N1352" i="10" l="1"/>
  <c r="T1351" i="10"/>
  <c r="M1352" i="10"/>
  <c r="L1352" i="10" s="1"/>
  <c r="W1352" i="10" s="1"/>
  <c r="S1351" i="10"/>
  <c r="P1352" i="10" l="1"/>
  <c r="O1352" i="10"/>
  <c r="M1353" i="10" l="1"/>
  <c r="S1352" i="10"/>
  <c r="N1353" i="10"/>
  <c r="T1352" i="10"/>
  <c r="L1353" i="10" l="1"/>
  <c r="W1353" i="10" s="1"/>
  <c r="P1353" i="10" l="1"/>
  <c r="O1353" i="10"/>
  <c r="M1354" i="10" l="1"/>
  <c r="S1353" i="10"/>
  <c r="N1354" i="10"/>
  <c r="T1353" i="10"/>
  <c r="L1354" i="10" l="1"/>
  <c r="W1354" i="10" s="1"/>
  <c r="O1354" i="10" l="1"/>
  <c r="P1354" i="10"/>
  <c r="N1355" i="10" l="1"/>
  <c r="T1354" i="10"/>
  <c r="M1355" i="10"/>
  <c r="L1355" i="10" s="1"/>
  <c r="W1355" i="10" s="1"/>
  <c r="S1354" i="10"/>
  <c r="P1355" i="10" l="1"/>
  <c r="O1355" i="10"/>
  <c r="S1355" i="10" l="1"/>
  <c r="M1356" i="10"/>
  <c r="N1356" i="10"/>
  <c r="T1355" i="10"/>
  <c r="L1356" i="10" l="1"/>
  <c r="W1356" i="10" s="1"/>
  <c r="P1356" i="10" l="1"/>
  <c r="O1356" i="10"/>
  <c r="S1356" i="10" l="1"/>
  <c r="M1357" i="10"/>
  <c r="N1357" i="10"/>
  <c r="T1356" i="10"/>
  <c r="L1357" i="10" l="1"/>
  <c r="W1357" i="10" s="1"/>
  <c r="P1357" i="10" l="1"/>
  <c r="O1357" i="10"/>
  <c r="M1358" i="10" l="1"/>
  <c r="S1357" i="10"/>
  <c r="N1358" i="10"/>
  <c r="T1357" i="10"/>
  <c r="L1358" i="10" l="1"/>
  <c r="W1358" i="10" s="1"/>
  <c r="P1358" i="10" l="1"/>
  <c r="O1358" i="10"/>
  <c r="M1359" i="10" l="1"/>
  <c r="S1358" i="10"/>
  <c r="N1359" i="10"/>
  <c r="T1358" i="10"/>
  <c r="L1359" i="10" l="1"/>
  <c r="W1359" i="10" s="1"/>
  <c r="O1359" i="10" l="1"/>
  <c r="P1359" i="10"/>
  <c r="T1359" i="10" l="1"/>
  <c r="N1360" i="10"/>
  <c r="M1360" i="10"/>
  <c r="L1360" i="10" s="1"/>
  <c r="W1360" i="10" s="1"/>
  <c r="S1359" i="10"/>
  <c r="O1360" i="10" l="1"/>
  <c r="P1360" i="10"/>
  <c r="N1361" i="10" l="1"/>
  <c r="T1360" i="10"/>
  <c r="S1360" i="10"/>
  <c r="M1361" i="10"/>
  <c r="L1361" i="10" l="1"/>
  <c r="W1361" i="10" s="1"/>
  <c r="P1361" i="10"/>
  <c r="O1361" i="10"/>
  <c r="S1361" i="10" l="1"/>
  <c r="M1362" i="10"/>
  <c r="N1362" i="10"/>
  <c r="T1361" i="10"/>
  <c r="L1362" i="10" l="1"/>
  <c r="W1362" i="10" s="1"/>
  <c r="P1362" i="10" l="1"/>
  <c r="O1362" i="10"/>
  <c r="S1362" i="10" l="1"/>
  <c r="M1363" i="10"/>
  <c r="N1363" i="10"/>
  <c r="T1362" i="10"/>
  <c r="L1363" i="10" l="1"/>
  <c r="W1363" i="10" s="1"/>
  <c r="P1363" i="10" l="1"/>
  <c r="O1363" i="10"/>
  <c r="S1363" i="10" l="1"/>
  <c r="M1364" i="10"/>
  <c r="N1364" i="10"/>
  <c r="T1363" i="10"/>
  <c r="L1364" i="10" l="1"/>
  <c r="W1364" i="10" s="1"/>
  <c r="P1364" i="10" l="1"/>
  <c r="O1364" i="10"/>
  <c r="S1364" i="10" l="1"/>
  <c r="M1365" i="10"/>
  <c r="N1365" i="10"/>
  <c r="T1364" i="10"/>
  <c r="L1365" i="10" l="1"/>
  <c r="W1365" i="10" s="1"/>
  <c r="P1365" i="10" l="1"/>
  <c r="O1365" i="10"/>
  <c r="M1366" i="10" l="1"/>
  <c r="S1365" i="10"/>
  <c r="N1366" i="10"/>
  <c r="T1365" i="10"/>
  <c r="L1366" i="10" l="1"/>
  <c r="W1366" i="10" s="1"/>
  <c r="P1366" i="10" l="1"/>
  <c r="O1366" i="10"/>
  <c r="S1366" i="10" l="1"/>
  <c r="M1367" i="10"/>
  <c r="N1367" i="10"/>
  <c r="T1366" i="10"/>
  <c r="L1367" i="10" l="1"/>
  <c r="W1367" i="10" s="1"/>
  <c r="P1367" i="10" l="1"/>
  <c r="O1367" i="10"/>
  <c r="S1367" i="10" l="1"/>
  <c r="M1368" i="10"/>
  <c r="N1368" i="10"/>
  <c r="T1367" i="10"/>
  <c r="L1368" i="10" l="1"/>
  <c r="W1368" i="10" s="1"/>
  <c r="P1368" i="10" l="1"/>
  <c r="O1368" i="10"/>
  <c r="S1368" i="10" l="1"/>
  <c r="M1369" i="10"/>
  <c r="N1369" i="10"/>
  <c r="T1368" i="10"/>
  <c r="L1369" i="10" l="1"/>
  <c r="W1369" i="10" s="1"/>
  <c r="P1369" i="10" l="1"/>
  <c r="O1369" i="10"/>
  <c r="M1370" i="10" l="1"/>
  <c r="S1369" i="10"/>
  <c r="N1370" i="10"/>
  <c r="T1369" i="10"/>
  <c r="L1370" i="10" l="1"/>
  <c r="W1370" i="10" s="1"/>
  <c r="P1370" i="10" l="1"/>
  <c r="O1370" i="10"/>
  <c r="S1370" i="10" l="1"/>
  <c r="M1371" i="10"/>
  <c r="N1371" i="10"/>
  <c r="T1370" i="10"/>
  <c r="L1371" i="10" l="1"/>
  <c r="W1371" i="10" s="1"/>
  <c r="P1371" i="10" l="1"/>
  <c r="O1371" i="10"/>
  <c r="S1371" i="10" l="1"/>
  <c r="M1372" i="10"/>
  <c r="N1372" i="10"/>
  <c r="T1371" i="10"/>
  <c r="L1372" i="10" l="1"/>
  <c r="W1372" i="10" s="1"/>
  <c r="P1372" i="10" l="1"/>
  <c r="O1372" i="10"/>
  <c r="M1373" i="10" l="1"/>
  <c r="S1372" i="10"/>
  <c r="N1373" i="10"/>
  <c r="T1372" i="10"/>
  <c r="L1373" i="10" l="1"/>
  <c r="W1373" i="10" s="1"/>
  <c r="P1373" i="10"/>
  <c r="O1373" i="10"/>
  <c r="M1374" i="10" l="1"/>
  <c r="S1373" i="10"/>
  <c r="T1373" i="10"/>
  <c r="N1374" i="10"/>
  <c r="L1374" i="10" l="1"/>
  <c r="W1374" i="10" s="1"/>
  <c r="O1374" i="10" l="1"/>
  <c r="P1374" i="10"/>
  <c r="N1375" i="10" l="1"/>
  <c r="T1374" i="10"/>
  <c r="M1375" i="10"/>
  <c r="L1375" i="10" s="1"/>
  <c r="W1375" i="10" s="1"/>
  <c r="S1374" i="10"/>
  <c r="O1375" i="10" l="1"/>
  <c r="P1375" i="10"/>
  <c r="N1376" i="10" l="1"/>
  <c r="T1375" i="10"/>
  <c r="M1376" i="10"/>
  <c r="S1375" i="10"/>
  <c r="L1376" i="10" l="1"/>
  <c r="W1376" i="10" s="1"/>
  <c r="P1376" i="10"/>
  <c r="O1376" i="10"/>
  <c r="M1377" i="10" l="1"/>
  <c r="S1376" i="10"/>
  <c r="N1377" i="10"/>
  <c r="T1376" i="10"/>
  <c r="L1377" i="10" l="1"/>
  <c r="W1377" i="10" s="1"/>
  <c r="P1377" i="10" l="1"/>
  <c r="O1377" i="10"/>
  <c r="M1378" i="10" l="1"/>
  <c r="S1377" i="10"/>
  <c r="N1378" i="10"/>
  <c r="T1377" i="10"/>
  <c r="L1378" i="10" l="1"/>
  <c r="W1378" i="10" s="1"/>
  <c r="O1378" i="10" l="1"/>
  <c r="P1378" i="10"/>
  <c r="N1379" i="10" l="1"/>
  <c r="T1378" i="10"/>
  <c r="M1379" i="10"/>
  <c r="S1378" i="10"/>
  <c r="L1379" i="10" l="1"/>
  <c r="W1379" i="10" s="1"/>
  <c r="P1379" i="10"/>
  <c r="O1379" i="10"/>
  <c r="M1380" i="10" l="1"/>
  <c r="S1379" i="10"/>
  <c r="N1380" i="10"/>
  <c r="T1379" i="10"/>
  <c r="L1380" i="10" l="1"/>
  <c r="W1380" i="10" s="1"/>
  <c r="P1380" i="10" l="1"/>
  <c r="O1380" i="10"/>
  <c r="M1381" i="10" l="1"/>
  <c r="S1380" i="10"/>
  <c r="N1381" i="10"/>
  <c r="T1380" i="10"/>
  <c r="L1381" i="10" l="1"/>
  <c r="W1381" i="10" s="1"/>
  <c r="P1381" i="10" l="1"/>
  <c r="O1381" i="10"/>
  <c r="S1381" i="10" l="1"/>
  <c r="M1382" i="10"/>
  <c r="N1382" i="10"/>
  <c r="T1381" i="10"/>
  <c r="L1382" i="10" l="1"/>
  <c r="W1382" i="10" s="1"/>
  <c r="P1382" i="10" l="1"/>
  <c r="O1382" i="10"/>
  <c r="S1382" i="10" l="1"/>
  <c r="M1383" i="10"/>
  <c r="N1383" i="10"/>
  <c r="T1382" i="10"/>
  <c r="L1383" i="10" l="1"/>
  <c r="W1383" i="10" s="1"/>
  <c r="P1383" i="10" l="1"/>
  <c r="O1383" i="10"/>
  <c r="M1384" i="10" l="1"/>
  <c r="S1383" i="10"/>
  <c r="N1384" i="10"/>
  <c r="T1383" i="10"/>
  <c r="L1384" i="10" l="1"/>
  <c r="W1384" i="10" s="1"/>
  <c r="P1384" i="10" l="1"/>
  <c r="O1384" i="10"/>
  <c r="M1385" i="10" l="1"/>
  <c r="S1384" i="10"/>
  <c r="N1385" i="10"/>
  <c r="T1384" i="10"/>
  <c r="L1385" i="10" l="1"/>
  <c r="W1385" i="10" s="1"/>
  <c r="P1385" i="10" l="1"/>
  <c r="O1385" i="10"/>
  <c r="S1385" i="10" l="1"/>
  <c r="M1386" i="10"/>
  <c r="N1386" i="10"/>
  <c r="T1385" i="10"/>
  <c r="L1386" i="10" l="1"/>
  <c r="W1386" i="10" s="1"/>
  <c r="O1386" i="10" l="1"/>
  <c r="P1386" i="10"/>
  <c r="N1387" i="10" l="1"/>
  <c r="T1386" i="10"/>
  <c r="M1387" i="10"/>
  <c r="S1386" i="10"/>
  <c r="L1387" i="10" l="1"/>
  <c r="W1387" i="10" s="1"/>
  <c r="O1387" i="10"/>
  <c r="P1387" i="10"/>
  <c r="T1387" i="10" l="1"/>
  <c r="N1388" i="10"/>
  <c r="M1388" i="10"/>
  <c r="L1388" i="10" s="1"/>
  <c r="W1388" i="10" s="1"/>
  <c r="S1387" i="10"/>
  <c r="P1388" i="10" l="1"/>
  <c r="O1388" i="10"/>
  <c r="S1388" i="10" l="1"/>
  <c r="M1389" i="10"/>
  <c r="T1388" i="10"/>
  <c r="N1389" i="10"/>
  <c r="L1389" i="10" l="1"/>
  <c r="W1389" i="10" s="1"/>
  <c r="P1389" i="10" l="1"/>
  <c r="O1389" i="10"/>
  <c r="S1389" i="10" l="1"/>
  <c r="M1390" i="10"/>
  <c r="T1389" i="10"/>
  <c r="N1390" i="10"/>
  <c r="L1390" i="10" l="1"/>
  <c r="W1390" i="10" s="1"/>
  <c r="P1390" i="10" l="1"/>
  <c r="O1390" i="10"/>
  <c r="S1390" i="10" l="1"/>
  <c r="M1391" i="10"/>
  <c r="T1390" i="10"/>
  <c r="N1391" i="10"/>
  <c r="L1391" i="10" l="1"/>
  <c r="W1391" i="10" s="1"/>
  <c r="O1391" i="10" l="1"/>
  <c r="P1391" i="10"/>
  <c r="N1392" i="10" l="1"/>
  <c r="T1391" i="10"/>
  <c r="S1391" i="10"/>
  <c r="M1392" i="10"/>
  <c r="L1392" i="10" s="1"/>
  <c r="W1392" i="10" s="1"/>
  <c r="O1392" i="10" l="1"/>
  <c r="P1392" i="10"/>
  <c r="T1392" i="10" l="1"/>
  <c r="N1393" i="10"/>
  <c r="M1393" i="10"/>
  <c r="S1392" i="10"/>
  <c r="L1393" i="10" l="1"/>
  <c r="W1393" i="10" s="1"/>
  <c r="O1393" i="10"/>
  <c r="P1393" i="10"/>
  <c r="T1393" i="10" l="1"/>
  <c r="N1394" i="10"/>
  <c r="M1394" i="10"/>
  <c r="S1393" i="10"/>
  <c r="L1394" i="10" l="1"/>
  <c r="W1394" i="10" s="1"/>
  <c r="P1394" i="10"/>
  <c r="O1394" i="10"/>
  <c r="S1394" i="10" l="1"/>
  <c r="M1395" i="10"/>
  <c r="N1395" i="10"/>
  <c r="T1394" i="10"/>
  <c r="L1395" i="10" l="1"/>
  <c r="W1395" i="10" s="1"/>
  <c r="P1395" i="10" l="1"/>
  <c r="O1395" i="10"/>
  <c r="S1395" i="10" l="1"/>
  <c r="M1396" i="10"/>
  <c r="N1396" i="10"/>
  <c r="T1395" i="10"/>
  <c r="L1396" i="10" l="1"/>
  <c r="W1396" i="10" s="1"/>
  <c r="O1396" i="10" l="1"/>
  <c r="P1396" i="10"/>
  <c r="N1397" i="10" l="1"/>
  <c r="T1396" i="10"/>
  <c r="S1396" i="10"/>
  <c r="M1397" i="10"/>
  <c r="L1397" i="10" l="1"/>
  <c r="O1397" i="10"/>
  <c r="P1397" i="10" l="1"/>
  <c r="W1397" i="10"/>
  <c r="M1398" i="10"/>
  <c r="S1397" i="10"/>
  <c r="N1398" i="10"/>
  <c r="T1397" i="10"/>
  <c r="L1398" i="10" l="1"/>
  <c r="W1398" i="10" s="1"/>
  <c r="P1398" i="10" l="1"/>
  <c r="O1398" i="10"/>
  <c r="M1399" i="10" l="1"/>
  <c r="S1398" i="10"/>
  <c r="N1399" i="10"/>
  <c r="T1398" i="10"/>
  <c r="L1399" i="10" l="1"/>
  <c r="W1399" i="10" s="1"/>
  <c r="P1399" i="10" l="1"/>
  <c r="O1399" i="10"/>
  <c r="M1400" i="10" l="1"/>
  <c r="S1399" i="10"/>
  <c r="N1400" i="10"/>
  <c r="T1399" i="10"/>
  <c r="L1400" i="10" l="1"/>
  <c r="W1400" i="10" s="1"/>
  <c r="P1400" i="10" l="1"/>
  <c r="O1400" i="10"/>
  <c r="M1401" i="10" l="1"/>
  <c r="S1400" i="10"/>
  <c r="N1401" i="10"/>
  <c r="T1400" i="10"/>
  <c r="L1401" i="10" l="1"/>
  <c r="W1401" i="10" s="1"/>
  <c r="P1401" i="10" l="1"/>
  <c r="O1401" i="10"/>
  <c r="S1401" i="10" l="1"/>
  <c r="M1402" i="10"/>
  <c r="N1402" i="10"/>
  <c r="T1401" i="10"/>
  <c r="L1402" i="10" l="1"/>
  <c r="W1402" i="10" s="1"/>
  <c r="P1402" i="10" l="1"/>
  <c r="O1402" i="10"/>
  <c r="S1402" i="10" l="1"/>
  <c r="M1403" i="10"/>
  <c r="N1403" i="10"/>
  <c r="T1402" i="10"/>
  <c r="L1403" i="10" l="1"/>
  <c r="W1403" i="10" s="1"/>
  <c r="P1403" i="10" l="1"/>
  <c r="O1403" i="10"/>
  <c r="S1403" i="10" l="1"/>
  <c r="M1404" i="10"/>
  <c r="N1404" i="10"/>
  <c r="T1403" i="10"/>
  <c r="L1404" i="10" l="1"/>
  <c r="W1404" i="10" s="1"/>
  <c r="P1404" i="10" l="1"/>
  <c r="O1404" i="10"/>
  <c r="S1404" i="10" l="1"/>
  <c r="M1405" i="10"/>
  <c r="N1405" i="10"/>
  <c r="T1404" i="10"/>
  <c r="L1405" i="10" l="1"/>
  <c r="W1405" i="10" s="1"/>
  <c r="P1405" i="10" l="1"/>
  <c r="O1405" i="10"/>
  <c r="M1406" i="10" l="1"/>
  <c r="S1405" i="10"/>
  <c r="N1406" i="10"/>
  <c r="T1405" i="10"/>
  <c r="L1406" i="10" l="1"/>
  <c r="W1406" i="10" s="1"/>
  <c r="P1406" i="10" l="1"/>
  <c r="O1406" i="10"/>
  <c r="M1407" i="10" l="1"/>
  <c r="S1406" i="10"/>
  <c r="N1407" i="10"/>
  <c r="T1406" i="10"/>
  <c r="L1407" i="10" l="1"/>
  <c r="W1407" i="10" s="1"/>
  <c r="P1407" i="10" l="1"/>
  <c r="O1407" i="10"/>
  <c r="M1408" i="10" l="1"/>
  <c r="S1407" i="10"/>
  <c r="N1408" i="10"/>
  <c r="T1407" i="10"/>
  <c r="L1408" i="10" l="1"/>
  <c r="W1408" i="10" s="1"/>
  <c r="P1408" i="10" l="1"/>
  <c r="O1408" i="10"/>
  <c r="S1408" i="10" l="1"/>
  <c r="M1409" i="10"/>
  <c r="N1409" i="10"/>
  <c r="T1408" i="10"/>
  <c r="L1409" i="10" l="1"/>
  <c r="W1409" i="10" s="1"/>
  <c r="P1409" i="10" l="1"/>
  <c r="O1409" i="10"/>
  <c r="S1409" i="10" l="1"/>
  <c r="M1410" i="10"/>
  <c r="N1410" i="10"/>
  <c r="T1409" i="10"/>
  <c r="L1410" i="10" l="1"/>
  <c r="W1410" i="10" s="1"/>
  <c r="O1410" i="10" l="1"/>
  <c r="P1410" i="10"/>
  <c r="N1411" i="10" l="1"/>
  <c r="T1410" i="10"/>
  <c r="S1410" i="10"/>
  <c r="M1411" i="10"/>
  <c r="L1411" i="10" s="1"/>
  <c r="W1411" i="10" s="1"/>
  <c r="P1411" i="10" l="1"/>
  <c r="O1411" i="10"/>
  <c r="M1412" i="10" l="1"/>
  <c r="S1411" i="10"/>
  <c r="N1412" i="10"/>
  <c r="T1411" i="10"/>
  <c r="L1412" i="10" l="1"/>
  <c r="W1412" i="10" s="1"/>
  <c r="P1412" i="10" l="1"/>
  <c r="O1412" i="10"/>
  <c r="M1413" i="10" l="1"/>
  <c r="S1412" i="10"/>
  <c r="N1413" i="10"/>
  <c r="T1412" i="10"/>
  <c r="L1413" i="10" l="1"/>
  <c r="W1413" i="10" s="1"/>
  <c r="P1413" i="10" l="1"/>
  <c r="O1413" i="10"/>
  <c r="S1413" i="10" l="1"/>
  <c r="M1414" i="10"/>
  <c r="N1414" i="10"/>
  <c r="T1413" i="10"/>
  <c r="L1414" i="10" l="1"/>
  <c r="W1414" i="10" s="1"/>
  <c r="P1414" i="10" l="1"/>
  <c r="O1414" i="10"/>
  <c r="M1415" i="10" l="1"/>
  <c r="S1414" i="10"/>
  <c r="T1414" i="10"/>
  <c r="N1415" i="10"/>
  <c r="L1415" i="10" l="1"/>
  <c r="W1415" i="10" s="1"/>
  <c r="O1415" i="10" l="1"/>
  <c r="P1415" i="10"/>
  <c r="N1416" i="10" l="1"/>
  <c r="T1415" i="10"/>
  <c r="S1415" i="10"/>
  <c r="M1416" i="10"/>
  <c r="L1416" i="10" s="1"/>
  <c r="W1416" i="10" s="1"/>
  <c r="P1416" i="10" l="1"/>
  <c r="O1416" i="10"/>
  <c r="M1417" i="10" l="1"/>
  <c r="S1416" i="10"/>
  <c r="N1417" i="10"/>
  <c r="T1416" i="10"/>
  <c r="L1417" i="10" l="1"/>
  <c r="W1417" i="10" s="1"/>
  <c r="P1417" i="10" l="1"/>
  <c r="O1417" i="10"/>
  <c r="S1417" i="10" l="1"/>
  <c r="M1418" i="10"/>
  <c r="N1418" i="10"/>
  <c r="T1417" i="10"/>
  <c r="L1418" i="10" l="1"/>
  <c r="W1418" i="10" s="1"/>
  <c r="P1418" i="10" l="1"/>
  <c r="O1418" i="10"/>
  <c r="M1419" i="10" l="1"/>
  <c r="S1418" i="10"/>
  <c r="T1418" i="10"/>
  <c r="N1419" i="10"/>
  <c r="L1419" i="10" l="1"/>
  <c r="W1419" i="10" s="1"/>
  <c r="P1419" i="10" l="1"/>
  <c r="O1419" i="10"/>
  <c r="M1420" i="10" l="1"/>
  <c r="S1419" i="10"/>
  <c r="N1420" i="10"/>
  <c r="T1419" i="10"/>
  <c r="L1420" i="10" l="1"/>
  <c r="W1420" i="10" s="1"/>
  <c r="O1420" i="10" l="1"/>
  <c r="P1420" i="10"/>
  <c r="N1421" i="10" l="1"/>
  <c r="T1420" i="10"/>
  <c r="M1421" i="10"/>
  <c r="S1420" i="10"/>
  <c r="L1421" i="10" l="1"/>
  <c r="W1421" i="10" s="1"/>
  <c r="P1421" i="10"/>
  <c r="O1421" i="10"/>
  <c r="S1421" i="10" l="1"/>
  <c r="M1422" i="10"/>
  <c r="N1422" i="10"/>
  <c r="T1421" i="10"/>
  <c r="L1422" i="10" l="1"/>
  <c r="W1422" i="10" s="1"/>
  <c r="P1422" i="10" l="1"/>
  <c r="O1422" i="10"/>
  <c r="M1423" i="10" l="1"/>
  <c r="S1422" i="10"/>
  <c r="T1422" i="10"/>
  <c r="N1423" i="10"/>
  <c r="L1423" i="10" l="1"/>
  <c r="W1423" i="10" s="1"/>
  <c r="O1423" i="10" l="1"/>
  <c r="P1423" i="10"/>
  <c r="N1424" i="10" l="1"/>
  <c r="T1423" i="10"/>
  <c r="S1423" i="10"/>
  <c r="M1424" i="10"/>
  <c r="L1424" i="10" s="1"/>
  <c r="W1424" i="10" s="1"/>
  <c r="P1424" i="10" l="1"/>
  <c r="O1424" i="10"/>
  <c r="S1424" i="10" l="1"/>
  <c r="M1425" i="10"/>
  <c r="T1424" i="10"/>
  <c r="N1425" i="10"/>
  <c r="L1425" i="10" l="1"/>
  <c r="W1425" i="10" s="1"/>
  <c r="O1425" i="10" l="1"/>
  <c r="P1425" i="10"/>
  <c r="T1425" i="10" l="1"/>
  <c r="N1426" i="10"/>
  <c r="M1426" i="10"/>
  <c r="S1425" i="10"/>
  <c r="L1426" i="10" l="1"/>
  <c r="W1426" i="10" s="1"/>
  <c r="P1426" i="10" l="1"/>
  <c r="O1426" i="10"/>
  <c r="S1426" i="10" l="1"/>
  <c r="M1427" i="10"/>
  <c r="N1427" i="10"/>
  <c r="T1426" i="10"/>
  <c r="L1427" i="10" l="1"/>
  <c r="W1427" i="10" s="1"/>
  <c r="P1427" i="10" l="1"/>
  <c r="O1427" i="10"/>
  <c r="S1427" i="10" l="1"/>
  <c r="M1428" i="10"/>
  <c r="N1428" i="10"/>
  <c r="T1427" i="10"/>
  <c r="L1428" i="10" l="1"/>
  <c r="W1428" i="10" s="1"/>
  <c r="P1428" i="10" l="1"/>
  <c r="O1428" i="10"/>
  <c r="M1429" i="10" l="1"/>
  <c r="S1428" i="10"/>
  <c r="N1429" i="10"/>
  <c r="T1428" i="10"/>
  <c r="L1429" i="10" l="1"/>
  <c r="W1429" i="10" s="1"/>
  <c r="P1429" i="10" l="1"/>
  <c r="O1429" i="10"/>
  <c r="M1430" i="10" l="1"/>
  <c r="S1429" i="10"/>
  <c r="N1430" i="10"/>
  <c r="T1429" i="10"/>
  <c r="L1430" i="10" l="1"/>
  <c r="W1430" i="10" s="1"/>
  <c r="P1430" i="10" l="1"/>
  <c r="O1430" i="10"/>
  <c r="S1430" i="10" l="1"/>
  <c r="M1431" i="10"/>
  <c r="T1430" i="10"/>
  <c r="N1431" i="10"/>
  <c r="L1431" i="10" l="1"/>
  <c r="W1431" i="10" s="1"/>
  <c r="P1431" i="10" l="1"/>
  <c r="O1431" i="10"/>
  <c r="S1431" i="10" l="1"/>
  <c r="M1432" i="10"/>
  <c r="N1432" i="10"/>
  <c r="T1431" i="10"/>
  <c r="L1432" i="10" l="1"/>
  <c r="W1432" i="10" s="1"/>
  <c r="O1432" i="10" l="1"/>
  <c r="P1432" i="10"/>
  <c r="N1433" i="10" l="1"/>
  <c r="T1432" i="10"/>
  <c r="S1432" i="10"/>
  <c r="M1433" i="10"/>
  <c r="L1433" i="10" s="1"/>
  <c r="W1433" i="10" s="1"/>
  <c r="P1433" i="10" l="1"/>
  <c r="O1433" i="10"/>
  <c r="M1434" i="10" l="1"/>
  <c r="S1433" i="10"/>
  <c r="T1433" i="10"/>
  <c r="N1434" i="10"/>
  <c r="L1434" i="10" l="1"/>
  <c r="W1434" i="10" s="1"/>
  <c r="P1434" i="10" l="1"/>
  <c r="O1434" i="10"/>
  <c r="S1434" i="10" l="1"/>
  <c r="M1435" i="10"/>
  <c r="N1435" i="10"/>
  <c r="T1434" i="10"/>
  <c r="L1435" i="10" l="1"/>
  <c r="W1435" i="10" s="1"/>
  <c r="P1435" i="10" l="1"/>
  <c r="O1435" i="10"/>
  <c r="M1436" i="10" l="1"/>
  <c r="S1435" i="10"/>
  <c r="N1436" i="10"/>
  <c r="T1435" i="10"/>
  <c r="L1436" i="10" l="1"/>
  <c r="W1436" i="10" s="1"/>
  <c r="P1436" i="10" l="1"/>
  <c r="O1436" i="10"/>
  <c r="M1437" i="10" l="1"/>
  <c r="S1436" i="10"/>
  <c r="N1437" i="10"/>
  <c r="T1436" i="10"/>
  <c r="L1437" i="10" l="1"/>
  <c r="W1437" i="10" s="1"/>
  <c r="P1437" i="10" l="1"/>
  <c r="O1437" i="10"/>
  <c r="M1438" i="10" l="1"/>
  <c r="S1437" i="10"/>
  <c r="N1438" i="10"/>
  <c r="T1437" i="10"/>
  <c r="L1438" i="10" l="1"/>
  <c r="W1438" i="10" s="1"/>
  <c r="P1438" i="10" l="1"/>
  <c r="O1438" i="10"/>
  <c r="S1438" i="10" l="1"/>
  <c r="M1439" i="10"/>
  <c r="N1439" i="10"/>
  <c r="T1438" i="10"/>
  <c r="L1439" i="10" l="1"/>
  <c r="W1439" i="10" s="1"/>
  <c r="P1439" i="10" l="1"/>
  <c r="O1439" i="10"/>
  <c r="S1439" i="10" l="1"/>
  <c r="M1440" i="10"/>
  <c r="N1440" i="10"/>
  <c r="T1439" i="10"/>
  <c r="L1440" i="10" l="1"/>
  <c r="W1440" i="10" s="1"/>
  <c r="P1440" i="10" l="1"/>
  <c r="O1440" i="10"/>
  <c r="M1441" i="10" l="1"/>
  <c r="S1440" i="10"/>
  <c r="N1441" i="10"/>
  <c r="T1440" i="10"/>
  <c r="L1441" i="10" l="1"/>
  <c r="W1441" i="10" s="1"/>
  <c r="P1441" i="10" l="1"/>
  <c r="O1441" i="10"/>
  <c r="M1442" i="10" l="1"/>
  <c r="S1441" i="10"/>
  <c r="N1442" i="10"/>
  <c r="T1441" i="10"/>
  <c r="L1442" i="10" l="1"/>
  <c r="W1442" i="10" s="1"/>
  <c r="O1442" i="10" l="1"/>
  <c r="P1442" i="10"/>
  <c r="N1443" i="10" l="1"/>
  <c r="T1442" i="10"/>
  <c r="S1442" i="10"/>
  <c r="M1443" i="10"/>
  <c r="L1443" i="10" s="1"/>
  <c r="W1443" i="10" s="1"/>
  <c r="O1443" i="10" l="1"/>
  <c r="P1443" i="10"/>
  <c r="N1444" i="10" l="1"/>
  <c r="T1443" i="10"/>
  <c r="M1444" i="10"/>
  <c r="S1443" i="10"/>
  <c r="L1444" i="10" l="1"/>
  <c r="W1444" i="10" s="1"/>
  <c r="P1444" i="10"/>
  <c r="O1444" i="10"/>
  <c r="M1445" i="10" l="1"/>
  <c r="S1444" i="10"/>
  <c r="N1445" i="10"/>
  <c r="T1444" i="10"/>
  <c r="L1445" i="10" l="1"/>
  <c r="W1445" i="10" s="1"/>
  <c r="P1445" i="10" l="1"/>
  <c r="O1445" i="10"/>
  <c r="M1446" i="10" l="1"/>
  <c r="S1445" i="10"/>
  <c r="N1446" i="10"/>
  <c r="T1445" i="10"/>
  <c r="L1446" i="10" l="1"/>
  <c r="W1446" i="10" s="1"/>
  <c r="P1446" i="10" l="1"/>
  <c r="O1446" i="10"/>
  <c r="S1446" i="10" l="1"/>
  <c r="M1447" i="10"/>
  <c r="N1447" i="10"/>
  <c r="T1446" i="10"/>
  <c r="L1447" i="10" l="1"/>
  <c r="W1447" i="10" s="1"/>
  <c r="P1447" i="10" l="1"/>
  <c r="O1447" i="10"/>
  <c r="S1447" i="10" l="1"/>
  <c r="M1448" i="10"/>
  <c r="N1448" i="10"/>
  <c r="T1447" i="10"/>
  <c r="L1448" i="10" l="1"/>
  <c r="W1448" i="10" s="1"/>
  <c r="P1448" i="10" l="1"/>
  <c r="O1448" i="10"/>
  <c r="S1448" i="10" l="1"/>
  <c r="M1449" i="10"/>
  <c r="N1449" i="10"/>
  <c r="T1448" i="10"/>
  <c r="L1449" i="10" l="1"/>
  <c r="W1449" i="10" s="1"/>
  <c r="P1449" i="10" l="1"/>
  <c r="O1449" i="10"/>
  <c r="M1450" i="10" l="1"/>
  <c r="S1449" i="10"/>
  <c r="N1450" i="10"/>
  <c r="T1449" i="10"/>
  <c r="L1450" i="10" l="1"/>
  <c r="W1450" i="10" s="1"/>
  <c r="P1450" i="10" l="1"/>
  <c r="O1450" i="10"/>
  <c r="S1450" i="10" l="1"/>
  <c r="M1451" i="10"/>
  <c r="N1451" i="10"/>
  <c r="T1450" i="10"/>
  <c r="L1451" i="10" l="1"/>
  <c r="W1451" i="10" s="1"/>
  <c r="O1451" i="10" l="1"/>
  <c r="P1451" i="10"/>
  <c r="N1452" i="10" l="1"/>
  <c r="T1451" i="10"/>
  <c r="S1451" i="10"/>
  <c r="M1452" i="10"/>
  <c r="L1452" i="10" s="1"/>
  <c r="W1452" i="10" s="1"/>
  <c r="P1452" i="10" l="1"/>
  <c r="O1452" i="10"/>
  <c r="S1452" i="10" l="1"/>
  <c r="M1453" i="10"/>
  <c r="N1453" i="10"/>
  <c r="T1452" i="10"/>
  <c r="L1453" i="10" l="1"/>
  <c r="W1453" i="10" s="1"/>
  <c r="P1453" i="10" l="1"/>
  <c r="O1453" i="10"/>
  <c r="S1453" i="10" l="1"/>
  <c r="M1454" i="10"/>
  <c r="N1454" i="10"/>
  <c r="T1453" i="10"/>
  <c r="L1454" i="10" l="1"/>
  <c r="W1454" i="10" s="1"/>
  <c r="P1454" i="10" l="1"/>
  <c r="O1454" i="10"/>
  <c r="S1454" i="10" l="1"/>
  <c r="M1455" i="10"/>
  <c r="N1455" i="10"/>
  <c r="T1454" i="10"/>
  <c r="L1455" i="10" l="1"/>
  <c r="W1455" i="10" s="1"/>
  <c r="P1455" i="10" l="1"/>
  <c r="O1455" i="10"/>
  <c r="M1456" i="10" l="1"/>
  <c r="S1455" i="10"/>
  <c r="N1456" i="10"/>
  <c r="T1455" i="10"/>
  <c r="L1456" i="10" l="1"/>
  <c r="W1456" i="10" s="1"/>
  <c r="P1456" i="10" l="1"/>
  <c r="O1456" i="10"/>
  <c r="M1457" i="10" l="1"/>
  <c r="S1456" i="10"/>
  <c r="N1457" i="10"/>
  <c r="T1456" i="10"/>
  <c r="L1457" i="10" l="1"/>
  <c r="W1457" i="10" s="1"/>
  <c r="P1457" i="10" l="1"/>
  <c r="O1457" i="10"/>
  <c r="S1457" i="10" l="1"/>
  <c r="M1458" i="10"/>
  <c r="N1458" i="10"/>
  <c r="T1457" i="10"/>
  <c r="L1458" i="10" l="1"/>
  <c r="W1458" i="10" s="1"/>
  <c r="P1458" i="10" l="1"/>
  <c r="O1458" i="10"/>
  <c r="M1459" i="10" l="1"/>
  <c r="S1458" i="10"/>
  <c r="N1459" i="10"/>
  <c r="T1458" i="10"/>
  <c r="L1459" i="10" l="1"/>
  <c r="W1459" i="10" s="1"/>
  <c r="P1459" i="10" l="1"/>
  <c r="O1459" i="10"/>
  <c r="M1460" i="10" l="1"/>
  <c r="S1459" i="10"/>
  <c r="N1460" i="10"/>
  <c r="T1459" i="10"/>
  <c r="L1460" i="10" l="1"/>
  <c r="W1460" i="10" s="1"/>
  <c r="P1460" i="10" l="1"/>
  <c r="O1460" i="10"/>
  <c r="M1461" i="10" l="1"/>
  <c r="S1460" i="10"/>
  <c r="N1461" i="10"/>
  <c r="T1460" i="10"/>
  <c r="L1461" i="10" l="1"/>
  <c r="W1461" i="10" s="1"/>
  <c r="P1461" i="10" l="1"/>
  <c r="O1461" i="10"/>
  <c r="S1461" i="10" l="1"/>
  <c r="M1462" i="10"/>
  <c r="N1462" i="10"/>
  <c r="T1461" i="10"/>
  <c r="L1462" i="10" l="1"/>
  <c r="W1462" i="10" s="1"/>
  <c r="P1462" i="10" l="1"/>
  <c r="O1462" i="10"/>
  <c r="M1463" i="10" l="1"/>
  <c r="S1462" i="10"/>
  <c r="N1463" i="10"/>
  <c r="T1462" i="10"/>
  <c r="L1463" i="10" l="1"/>
  <c r="W1463" i="10" s="1"/>
  <c r="P1463" i="10" l="1"/>
  <c r="O1463" i="10"/>
  <c r="M1464" i="10" l="1"/>
  <c r="S1463" i="10"/>
  <c r="N1464" i="10"/>
  <c r="T1463" i="10"/>
  <c r="L1464" i="10" l="1"/>
  <c r="W1464" i="10" s="1"/>
  <c r="P1464" i="10" l="1"/>
  <c r="O1464" i="10"/>
  <c r="S1464" i="10" l="1"/>
  <c r="M1465" i="10"/>
  <c r="N1465" i="10"/>
  <c r="T1464" i="10"/>
  <c r="L1465" i="10" l="1"/>
  <c r="W1465" i="10" s="1"/>
  <c r="P1465" i="10" l="1"/>
  <c r="O1465" i="10"/>
  <c r="S1465" i="10" l="1"/>
  <c r="M1466" i="10"/>
  <c r="N1466" i="10"/>
  <c r="T1465" i="10"/>
  <c r="L1466" i="10" l="1"/>
  <c r="W1466" i="10" s="1"/>
  <c r="P1466" i="10" l="1"/>
  <c r="O1466" i="10"/>
  <c r="S1466" i="10" l="1"/>
  <c r="M1467" i="10"/>
  <c r="N1467" i="10"/>
  <c r="T1466" i="10"/>
  <c r="L1467" i="10" l="1"/>
  <c r="W1467" i="10" s="1"/>
  <c r="O1467" i="10" l="1"/>
  <c r="P1467" i="10"/>
  <c r="N1468" i="10" l="1"/>
  <c r="T1467" i="10"/>
  <c r="S1467" i="10"/>
  <c r="M1468" i="10"/>
  <c r="L1468" i="10" l="1"/>
  <c r="W1468" i="10" s="1"/>
  <c r="P1468" i="10"/>
  <c r="O1468" i="10"/>
  <c r="M1469" i="10" l="1"/>
  <c r="S1468" i="10"/>
  <c r="N1469" i="10"/>
  <c r="T1468" i="10"/>
  <c r="L1469" i="10" l="1"/>
  <c r="W1469" i="10" s="1"/>
  <c r="P1469" i="10" l="1"/>
  <c r="O1469" i="10"/>
  <c r="S1469" i="10" l="1"/>
  <c r="M1470" i="10"/>
  <c r="N1470" i="10"/>
  <c r="T1469" i="10"/>
  <c r="L1470" i="10" l="1"/>
  <c r="W1470" i="10" s="1"/>
  <c r="O1470" i="10" l="1"/>
  <c r="P1470" i="10"/>
  <c r="N1471" i="10" l="1"/>
  <c r="T1470" i="10"/>
  <c r="M1471" i="10"/>
  <c r="S1470" i="10"/>
  <c r="L1471" i="10" l="1"/>
  <c r="W1471" i="10" s="1"/>
  <c r="O1471" i="10" l="1"/>
  <c r="M1472" i="10" s="1"/>
  <c r="P1471" i="10"/>
  <c r="N1472" i="10" s="1"/>
  <c r="T1471" i="10" l="1"/>
  <c r="S1471" i="10"/>
  <c r="L1472" i="10"/>
  <c r="W1472" i="10" s="1"/>
  <c r="O1472" i="10" l="1"/>
  <c r="P1472" i="10"/>
  <c r="N1473" i="10" l="1"/>
  <c r="T1472" i="10"/>
  <c r="S1472" i="10"/>
  <c r="M1473" i="10"/>
  <c r="L1473" i="10" l="1"/>
  <c r="W1473" i="10" s="1"/>
  <c r="P1473" i="10"/>
  <c r="O1473" i="10"/>
  <c r="S1473" i="10" l="1"/>
  <c r="M1474" i="10"/>
  <c r="N1474" i="10"/>
  <c r="T1473" i="10"/>
  <c r="L1474" i="10" l="1"/>
  <c r="W1474" i="10" s="1"/>
  <c r="P1474" i="10" l="1"/>
  <c r="O1474" i="10"/>
  <c r="S1474" i="10" l="1"/>
  <c r="M1475" i="10"/>
  <c r="N1475" i="10"/>
  <c r="T1474" i="10"/>
  <c r="L1475" i="10" l="1"/>
  <c r="W1475" i="10" s="1"/>
  <c r="P1475" i="10" l="1"/>
  <c r="O1475" i="10"/>
  <c r="S1475" i="10" l="1"/>
  <c r="M1476" i="10"/>
  <c r="N1476" i="10"/>
  <c r="T1475" i="10"/>
  <c r="L1476" i="10" l="1"/>
  <c r="W1476" i="10" s="1"/>
  <c r="P1476" i="10" l="1"/>
  <c r="O1476" i="10"/>
  <c r="M1477" i="10" l="1"/>
  <c r="S1476" i="10"/>
  <c r="T1476" i="10"/>
  <c r="N1477" i="10"/>
  <c r="L1477" i="10" l="1"/>
  <c r="W1477" i="10" s="1"/>
  <c r="P1477" i="10" l="1"/>
  <c r="O1477" i="10"/>
  <c r="S1477" i="10" l="1"/>
  <c r="M1478" i="10"/>
  <c r="N1478" i="10"/>
  <c r="T1477" i="10"/>
  <c r="L1478" i="10" l="1"/>
  <c r="W1478" i="10" s="1"/>
  <c r="P1478" i="10" l="1"/>
  <c r="O1478" i="10"/>
  <c r="S1478" i="10" l="1"/>
  <c r="M1479" i="10"/>
  <c r="N1479" i="10"/>
  <c r="T1478" i="10"/>
  <c r="L1479" i="10" l="1"/>
  <c r="W1479" i="10" s="1"/>
  <c r="P1479" i="10" l="1"/>
  <c r="O1479" i="10"/>
  <c r="M1480" i="10" l="1"/>
  <c r="S1479" i="10"/>
  <c r="N1480" i="10"/>
  <c r="T1479" i="10"/>
  <c r="L1480" i="10" l="1"/>
  <c r="W1480" i="10" s="1"/>
  <c r="P1480" i="10" l="1"/>
  <c r="O1480" i="10"/>
  <c r="M1481" i="10" l="1"/>
  <c r="S1480" i="10"/>
  <c r="N1481" i="10"/>
  <c r="T1480" i="10"/>
  <c r="L1481" i="10" l="1"/>
  <c r="W1481" i="10" s="1"/>
  <c r="P1481" i="10" l="1"/>
  <c r="O1481" i="10"/>
  <c r="M1482" i="10" l="1"/>
  <c r="S1481" i="10"/>
  <c r="N1482" i="10"/>
  <c r="T1481" i="10"/>
  <c r="L1482" i="10" l="1"/>
  <c r="W1482" i="10" s="1"/>
  <c r="P1482" i="10" l="1"/>
  <c r="O1482" i="10"/>
  <c r="M1483" i="10" l="1"/>
  <c r="S1482" i="10"/>
  <c r="N1483" i="10"/>
  <c r="T1482" i="10"/>
  <c r="L1483" i="10" l="1"/>
  <c r="W1483" i="10" s="1"/>
  <c r="P1483" i="10" l="1"/>
  <c r="O1483" i="10"/>
  <c r="M1484" i="10" l="1"/>
  <c r="S1483" i="10"/>
  <c r="N1484" i="10"/>
  <c r="T1483" i="10"/>
  <c r="L1484" i="10" l="1"/>
  <c r="W1484" i="10" s="1"/>
  <c r="O1484" i="10" l="1"/>
  <c r="P1484" i="10"/>
  <c r="N1485" i="10" l="1"/>
  <c r="T1484" i="10"/>
  <c r="M1485" i="10"/>
  <c r="S1484" i="10"/>
  <c r="L1485" i="10" l="1"/>
  <c r="W1485" i="10" s="1"/>
  <c r="P1485" i="10"/>
  <c r="O1485" i="10"/>
  <c r="S1485" i="10" l="1"/>
  <c r="M1486" i="10"/>
  <c r="N1486" i="10"/>
  <c r="T1485" i="10"/>
  <c r="L1486" i="10" l="1"/>
  <c r="W1486" i="10" s="1"/>
  <c r="P1486" i="10" l="1"/>
  <c r="O1486" i="10"/>
  <c r="S1486" i="10" l="1"/>
  <c r="M1487" i="10"/>
  <c r="N1487" i="10"/>
  <c r="T1486" i="10"/>
  <c r="L1487" i="10" l="1"/>
  <c r="W1487" i="10" s="1"/>
  <c r="P1487" i="10"/>
  <c r="O1487" i="10"/>
  <c r="S1487" i="10" l="1"/>
  <c r="M1488" i="10"/>
  <c r="N1488" i="10"/>
  <c r="T1487" i="10"/>
  <c r="L1488" i="10" l="1"/>
  <c r="W1488" i="10" s="1"/>
  <c r="P1488" i="10" l="1"/>
  <c r="O1488" i="10"/>
  <c r="M1489" i="10" l="1"/>
  <c r="S1488" i="10"/>
  <c r="N1489" i="10"/>
  <c r="T1488" i="10"/>
  <c r="L1489" i="10" l="1"/>
  <c r="W1489" i="10" s="1"/>
  <c r="P1489" i="10" l="1"/>
  <c r="O1489" i="10"/>
  <c r="M1490" i="10" l="1"/>
  <c r="S1489" i="10"/>
  <c r="N1490" i="10"/>
  <c r="T1489" i="10"/>
  <c r="L1490" i="10" l="1"/>
  <c r="W1490" i="10" s="1"/>
  <c r="P1490" i="10" l="1"/>
  <c r="O1490" i="10"/>
  <c r="M1491" i="10" l="1"/>
  <c r="S1490" i="10"/>
  <c r="N1491" i="10"/>
  <c r="T1490" i="10"/>
  <c r="L1491" i="10" l="1"/>
  <c r="W1491" i="10" s="1"/>
  <c r="P1491" i="10" l="1"/>
  <c r="O1491" i="10"/>
  <c r="M1492" i="10" l="1"/>
  <c r="S1491" i="10"/>
  <c r="N1492" i="10"/>
  <c r="T1491" i="10"/>
  <c r="L1492" i="10" l="1"/>
  <c r="W1492" i="10" s="1"/>
  <c r="P1492" i="10" l="1"/>
  <c r="O1492" i="10"/>
  <c r="M1493" i="10" l="1"/>
  <c r="S1492" i="10"/>
  <c r="N1493" i="10"/>
  <c r="T1492" i="10"/>
  <c r="L1493" i="10" l="1"/>
  <c r="W1493" i="10" s="1"/>
  <c r="P1493" i="10" l="1"/>
  <c r="O1493" i="10"/>
  <c r="M1494" i="10" l="1"/>
  <c r="S1493" i="10"/>
  <c r="N1494" i="10"/>
  <c r="T1493" i="10"/>
  <c r="L1494" i="10" l="1"/>
  <c r="W1494" i="10" s="1"/>
  <c r="P1494" i="10" l="1"/>
  <c r="O1494" i="10"/>
  <c r="M1495" i="10" l="1"/>
  <c r="S1494" i="10"/>
  <c r="N1495" i="10"/>
  <c r="T1494" i="10"/>
  <c r="L1495" i="10" l="1"/>
  <c r="W1495" i="10" s="1"/>
  <c r="P1495" i="10" l="1"/>
  <c r="O1495" i="10"/>
  <c r="M1496" i="10" l="1"/>
  <c r="S1495" i="10"/>
  <c r="N1496" i="10"/>
  <c r="T1495" i="10"/>
  <c r="L1496" i="10" l="1"/>
  <c r="W1496" i="10" s="1"/>
  <c r="P1496" i="10" l="1"/>
  <c r="O1496" i="10"/>
  <c r="S1496" i="10" l="1"/>
  <c r="M1497" i="10"/>
  <c r="N1497" i="10"/>
  <c r="T1496" i="10"/>
  <c r="L1497" i="10" l="1"/>
  <c r="W1497" i="10" s="1"/>
  <c r="O1497" i="10" l="1"/>
  <c r="P1497" i="10"/>
  <c r="N1498" i="10" l="1"/>
  <c r="T1497" i="10"/>
  <c r="M1498" i="10"/>
  <c r="S1497" i="10"/>
  <c r="L1498" i="10" l="1"/>
  <c r="W1498" i="10" s="1"/>
  <c r="P1498" i="10"/>
  <c r="O1498" i="10"/>
  <c r="M1499" i="10" l="1"/>
  <c r="S1498" i="10"/>
  <c r="N1499" i="10"/>
  <c r="T1498" i="10"/>
  <c r="L1499" i="10" l="1"/>
  <c r="W1499" i="10" s="1"/>
  <c r="P1499" i="10" l="1"/>
  <c r="O1499" i="10"/>
  <c r="S1499" i="10" l="1"/>
  <c r="M1500" i="10"/>
  <c r="N1500" i="10"/>
  <c r="T1499" i="10"/>
  <c r="L1500" i="10" l="1"/>
  <c r="W1500" i="10" s="1"/>
  <c r="O1500" i="10" l="1"/>
  <c r="P1500" i="10"/>
  <c r="N1501" i="10" l="1"/>
  <c r="T1500" i="10"/>
  <c r="M1501" i="10"/>
  <c r="L1501" i="10" s="1"/>
  <c r="W1501" i="10" s="1"/>
  <c r="S1500" i="10"/>
  <c r="P1501" i="10" l="1"/>
  <c r="O1501" i="10"/>
  <c r="M1502" i="10" l="1"/>
  <c r="S1501" i="10"/>
  <c r="N1502" i="10"/>
  <c r="T1501" i="10"/>
  <c r="L1502" i="10" l="1"/>
  <c r="W1502" i="10" s="1"/>
  <c r="P1502" i="10" l="1"/>
  <c r="O1502" i="10"/>
  <c r="M1503" i="10" l="1"/>
  <c r="S1502" i="10"/>
  <c r="N1503" i="10"/>
  <c r="T1502" i="10"/>
  <c r="L1503" i="10" l="1"/>
  <c r="W1503" i="10" s="1"/>
  <c r="P1503" i="10" l="1"/>
  <c r="O1503" i="10"/>
  <c r="M1504" i="10" l="1"/>
  <c r="S1503" i="10"/>
  <c r="N1504" i="10"/>
  <c r="T1503" i="10"/>
  <c r="L1504" i="10" l="1"/>
  <c r="W1504" i="10" s="1"/>
  <c r="P1504" i="10" l="1"/>
  <c r="O1504" i="10"/>
  <c r="S1504" i="10" l="1"/>
  <c r="M1505" i="10"/>
  <c r="N1505" i="10"/>
  <c r="T1504" i="10"/>
  <c r="L1505" i="10" l="1"/>
  <c r="W1505" i="10" s="1"/>
  <c r="O1505" i="10" l="1"/>
  <c r="P1505" i="10"/>
  <c r="N1506" i="10" l="1"/>
  <c r="T1505" i="10"/>
  <c r="S1505" i="10"/>
  <c r="M1506" i="10"/>
  <c r="L1506" i="10" l="1"/>
  <c r="W1506" i="10" s="1"/>
  <c r="P1506" i="10"/>
  <c r="O1506" i="10"/>
  <c r="S1506" i="10" l="1"/>
  <c r="M1507" i="10"/>
  <c r="N1507" i="10"/>
  <c r="T1506" i="10"/>
  <c r="L1507" i="10" l="1"/>
  <c r="W1507" i="10" s="1"/>
  <c r="P1507" i="10" l="1"/>
  <c r="O1507" i="10"/>
  <c r="S1507" i="10" l="1"/>
  <c r="M1508" i="10"/>
  <c r="N1508" i="10"/>
  <c r="T1507" i="10"/>
  <c r="L1508" i="10" l="1"/>
  <c r="W1508" i="10" s="1"/>
  <c r="P1508" i="10" l="1"/>
  <c r="O1508" i="10"/>
  <c r="M1509" i="10" l="1"/>
  <c r="S1508" i="10"/>
  <c r="T1508" i="10"/>
  <c r="N1509" i="10"/>
  <c r="L1509" i="10" l="1"/>
  <c r="W1509" i="10" s="1"/>
  <c r="O1509" i="10" l="1"/>
  <c r="P1509" i="10"/>
  <c r="N1510" i="10" l="1"/>
  <c r="T1509" i="10"/>
  <c r="S1509" i="10"/>
  <c r="M1510" i="10"/>
  <c r="L1510" i="10" l="1"/>
  <c r="W1510" i="10" s="1"/>
  <c r="P1510" i="10"/>
  <c r="O1510" i="10"/>
  <c r="S1510" i="10" l="1"/>
  <c r="M1511" i="10"/>
  <c r="N1511" i="10"/>
  <c r="T1510" i="10"/>
  <c r="L1511" i="10" l="1"/>
  <c r="W1511" i="10" s="1"/>
  <c r="P1511" i="10" l="1"/>
  <c r="O1511" i="10"/>
  <c r="M1512" i="10" l="1"/>
  <c r="S1511" i="10"/>
  <c r="N1512" i="10"/>
  <c r="T1511" i="10"/>
  <c r="L1512" i="10" l="1"/>
  <c r="W1512" i="10" s="1"/>
  <c r="P1512" i="10" l="1"/>
  <c r="O1512" i="10"/>
  <c r="M1513" i="10" l="1"/>
  <c r="S1512" i="10"/>
  <c r="N1513" i="10"/>
  <c r="T1512" i="10"/>
  <c r="L1513" i="10" l="1"/>
  <c r="W1513" i="10" s="1"/>
  <c r="P1513" i="10" l="1"/>
  <c r="O1513" i="10"/>
  <c r="M1514" i="10" l="1"/>
  <c r="S1513" i="10"/>
  <c r="N1514" i="10"/>
  <c r="T1513" i="10"/>
  <c r="L1514" i="10" l="1"/>
  <c r="W1514" i="10" s="1"/>
  <c r="P1514" i="10" l="1"/>
  <c r="O1514" i="10"/>
  <c r="M1515" i="10" l="1"/>
  <c r="S1514" i="10"/>
  <c r="N1515" i="10"/>
  <c r="T1514" i="10"/>
  <c r="L1515" i="10" l="1"/>
  <c r="W1515" i="10" s="1"/>
  <c r="O1515" i="10" l="1"/>
  <c r="P1515" i="10"/>
  <c r="N1516" i="10" l="1"/>
  <c r="T1515" i="10"/>
  <c r="S1515" i="10"/>
  <c r="M1516" i="10"/>
  <c r="L1516" i="10" l="1"/>
  <c r="W1516" i="10" s="1"/>
  <c r="P1516" i="10"/>
  <c r="O1516" i="10"/>
  <c r="S1516" i="10" l="1"/>
  <c r="M1517" i="10"/>
  <c r="N1517" i="10"/>
  <c r="T1516" i="10"/>
  <c r="L1517" i="10" l="1"/>
  <c r="W1517" i="10" s="1"/>
  <c r="P1517" i="10" l="1"/>
  <c r="O1517" i="10"/>
  <c r="M1518" i="10" l="1"/>
  <c r="S1517" i="10"/>
  <c r="N1518" i="10"/>
  <c r="T1517" i="10"/>
  <c r="L1518" i="10" l="1"/>
  <c r="W1518" i="10" s="1"/>
  <c r="P1518" i="10" l="1"/>
  <c r="O1518" i="10"/>
  <c r="M1519" i="10" l="1"/>
  <c r="S1518" i="10"/>
  <c r="N1519" i="10"/>
  <c r="T1518" i="10"/>
  <c r="L1519" i="10" l="1"/>
  <c r="W1519" i="10" s="1"/>
  <c r="P1519" i="10" l="1"/>
  <c r="O1519" i="10"/>
  <c r="S1519" i="10" l="1"/>
  <c r="M1520" i="10"/>
  <c r="N1520" i="10"/>
  <c r="T1519" i="10"/>
  <c r="L1520" i="10" l="1"/>
  <c r="W1520" i="10" s="1"/>
  <c r="P1520" i="10" l="1"/>
  <c r="O1520" i="10"/>
  <c r="S1520" i="10" l="1"/>
  <c r="M1521" i="10"/>
  <c r="T1520" i="10"/>
  <c r="N1521" i="10"/>
  <c r="L1521" i="10" l="1"/>
  <c r="W1521" i="10" s="1"/>
  <c r="P1521" i="10" l="1"/>
  <c r="O1521" i="10"/>
  <c r="S1521" i="10" l="1"/>
  <c r="M1522" i="10"/>
  <c r="N1522" i="10"/>
  <c r="T1521" i="10"/>
  <c r="L1522" i="10" l="1"/>
  <c r="W1522" i="10" s="1"/>
  <c r="P1522" i="10"/>
  <c r="O1522" i="10"/>
  <c r="M1523" i="10" l="1"/>
  <c r="S1522" i="10"/>
  <c r="N1523" i="10"/>
  <c r="T1522" i="10"/>
  <c r="L1523" i="10" l="1"/>
  <c r="W1523" i="10" s="1"/>
  <c r="P1523" i="10" l="1"/>
  <c r="O1523" i="10"/>
  <c r="M1524" i="10" l="1"/>
  <c r="S1523" i="10"/>
  <c r="N1524" i="10"/>
  <c r="T1523" i="10"/>
  <c r="L1524" i="10" l="1"/>
  <c r="W1524" i="10" s="1"/>
  <c r="P1524" i="10" l="1"/>
  <c r="O1524" i="10"/>
  <c r="M1525" i="10" l="1"/>
  <c r="S1524" i="10"/>
  <c r="N1525" i="10"/>
  <c r="T1524" i="10"/>
  <c r="L1525" i="10" l="1"/>
  <c r="W1525" i="10" s="1"/>
  <c r="P1525" i="10" l="1"/>
  <c r="O1525" i="10"/>
  <c r="S1525" i="10" l="1"/>
  <c r="M1526" i="10"/>
  <c r="N1526" i="10"/>
  <c r="T1525" i="10"/>
  <c r="L1526" i="10" l="1"/>
  <c r="W1526" i="10" s="1"/>
  <c r="P1526" i="10" l="1"/>
  <c r="O1526" i="10"/>
  <c r="M1527" i="10" l="1"/>
  <c r="S1526" i="10"/>
  <c r="N1527" i="10"/>
  <c r="T1526" i="10"/>
  <c r="L1527" i="10" l="1"/>
  <c r="W1527" i="10" s="1"/>
  <c r="P1527" i="10" l="1"/>
  <c r="O1527" i="10"/>
  <c r="M1528" i="10" l="1"/>
  <c r="S1527" i="10"/>
  <c r="N1528" i="10"/>
  <c r="T1527" i="10"/>
  <c r="L1528" i="10" l="1"/>
  <c r="W1528" i="10" s="1"/>
  <c r="P1528" i="10" l="1"/>
  <c r="O1528" i="10"/>
  <c r="S1528" i="10" l="1"/>
  <c r="M1529" i="10"/>
  <c r="N1529" i="10"/>
  <c r="T1528" i="10"/>
  <c r="L1529" i="10" l="1"/>
  <c r="W1529" i="10" s="1"/>
  <c r="O1529" i="10" l="1"/>
  <c r="P1529" i="10"/>
  <c r="N1530" i="10" l="1"/>
  <c r="T1529" i="10"/>
  <c r="S1529" i="10"/>
  <c r="M1530" i="10"/>
  <c r="L1530" i="10" s="1"/>
  <c r="W1530" i="10" s="1"/>
  <c r="P1530" i="10" l="1"/>
  <c r="O1530" i="10"/>
  <c r="S1530" i="10" l="1"/>
  <c r="M1531" i="10"/>
  <c r="N1531" i="10"/>
  <c r="T1530" i="10"/>
  <c r="L1531" i="10" l="1"/>
  <c r="W1531" i="10" s="1"/>
  <c r="P1531" i="10" l="1"/>
  <c r="O1531" i="10"/>
  <c r="M1532" i="10" l="1"/>
  <c r="S1531" i="10"/>
  <c r="N1532" i="10"/>
  <c r="T1531" i="10"/>
  <c r="L1532" i="10" l="1"/>
  <c r="W1532" i="10" s="1"/>
  <c r="P1532" i="10" l="1"/>
  <c r="O1532" i="10"/>
  <c r="M1533" i="10" l="1"/>
  <c r="S1532" i="10"/>
  <c r="N1533" i="10"/>
  <c r="T1532" i="10"/>
  <c r="L1533" i="10" l="1"/>
  <c r="W1533" i="10" s="1"/>
  <c r="P1533" i="10" l="1"/>
  <c r="O1533" i="10"/>
  <c r="M1534" i="10" l="1"/>
  <c r="S1533" i="10"/>
  <c r="N1534" i="10"/>
  <c r="T1533" i="10"/>
  <c r="L1534" i="10" l="1"/>
  <c r="W1534" i="10" s="1"/>
  <c r="P1534" i="10" l="1"/>
  <c r="O1534" i="10"/>
  <c r="S1534" i="10" l="1"/>
  <c r="M1535" i="10"/>
  <c r="N1535" i="10"/>
  <c r="T1534" i="10"/>
  <c r="L1535" i="10" l="1"/>
  <c r="W1535" i="10" s="1"/>
  <c r="P1535" i="10" l="1"/>
  <c r="O1535" i="10"/>
  <c r="S1535" i="10" l="1"/>
  <c r="M1536" i="10"/>
  <c r="N1536" i="10"/>
  <c r="T1535" i="10"/>
  <c r="L1536" i="10" l="1"/>
  <c r="W1536" i="10" s="1"/>
  <c r="P1536" i="10" l="1"/>
  <c r="O1536" i="10"/>
  <c r="S1536" i="10" l="1"/>
  <c r="M1537" i="10"/>
  <c r="N1537" i="10"/>
  <c r="T1536" i="10"/>
  <c r="L1537" i="10" l="1"/>
  <c r="W1537" i="10" s="1"/>
  <c r="P1537" i="10" l="1"/>
  <c r="O1537" i="10"/>
  <c r="S1537" i="10" l="1"/>
  <c r="M1538" i="10"/>
  <c r="N1538" i="10"/>
  <c r="T1537" i="10"/>
  <c r="L1538" i="10" l="1"/>
  <c r="W1538" i="10" s="1"/>
  <c r="P1538" i="10" l="1"/>
  <c r="O1538" i="10"/>
  <c r="M1539" i="10" l="1"/>
  <c r="S1538" i="10"/>
  <c r="N1539" i="10"/>
  <c r="T1538" i="10"/>
  <c r="L1539" i="10" l="1"/>
  <c r="W1539" i="10" s="1"/>
  <c r="O1539" i="10" l="1"/>
  <c r="P1539" i="10"/>
  <c r="N1540" i="10" l="1"/>
  <c r="T1539" i="10"/>
  <c r="M1540" i="10"/>
  <c r="S1539" i="10"/>
  <c r="L1540" i="10" l="1"/>
  <c r="W1540" i="10" s="1"/>
  <c r="P1540" i="10"/>
  <c r="O1540" i="10"/>
  <c r="M1541" i="10" l="1"/>
  <c r="S1540" i="10"/>
  <c r="N1541" i="10"/>
  <c r="T1540" i="10"/>
  <c r="L1541" i="10" l="1"/>
  <c r="W1541" i="10" s="1"/>
  <c r="P1541" i="10" l="1"/>
  <c r="O1541" i="10"/>
  <c r="M1542" i="10" l="1"/>
  <c r="S1541" i="10"/>
  <c r="N1542" i="10"/>
  <c r="T1541" i="10"/>
  <c r="L1542" i="10" l="1"/>
  <c r="W1542" i="10" s="1"/>
  <c r="P1542" i="10" l="1"/>
  <c r="O1542" i="10"/>
  <c r="S1542" i="10" l="1"/>
  <c r="M1543" i="10"/>
  <c r="N1543" i="10"/>
  <c r="T1542" i="10"/>
  <c r="L1543" i="10" l="1"/>
  <c r="W1543" i="10" s="1"/>
  <c r="P1543" i="10" l="1"/>
  <c r="O1543" i="10"/>
  <c r="M1544" i="10" l="1"/>
  <c r="S1543" i="10"/>
  <c r="N1544" i="10"/>
  <c r="T1543" i="10"/>
  <c r="L1544" i="10" l="1"/>
  <c r="W1544" i="10" s="1"/>
  <c r="P1544" i="10" l="1"/>
  <c r="O1544" i="10"/>
  <c r="M1545" i="10" l="1"/>
  <c r="S1544" i="10"/>
  <c r="N1545" i="10"/>
  <c r="T1544" i="10"/>
  <c r="L1545" i="10" l="1"/>
  <c r="W1545" i="10" s="1"/>
  <c r="P1545" i="10" l="1"/>
  <c r="O1545" i="10"/>
  <c r="M1546" i="10" l="1"/>
  <c r="S1545" i="10"/>
  <c r="N1546" i="10"/>
  <c r="T1545" i="10"/>
  <c r="L1546" i="10" l="1"/>
  <c r="W1546" i="10" s="1"/>
  <c r="O1546" i="10" l="1"/>
  <c r="P1546" i="10"/>
  <c r="N1547" i="10" l="1"/>
  <c r="T1546" i="10"/>
  <c r="M1547" i="10"/>
  <c r="S1546" i="10"/>
  <c r="L1547" i="10" l="1"/>
  <c r="W1547" i="10" s="1"/>
  <c r="O1547" i="10"/>
  <c r="P1547" i="10"/>
  <c r="N1548" i="10" l="1"/>
  <c r="T1547" i="10"/>
  <c r="M1548" i="10"/>
  <c r="S1547" i="10"/>
  <c r="L1548" i="10" l="1"/>
  <c r="P1548" i="10" l="1"/>
  <c r="N1549" i="10" s="1"/>
  <c r="W1548" i="10"/>
  <c r="O1548" i="10"/>
  <c r="S1548" i="10" s="1"/>
  <c r="T1548" i="10" l="1"/>
  <c r="M1549" i="10"/>
  <c r="L1549" i="10" s="1"/>
  <c r="W1549" i="10" s="1"/>
  <c r="P1549" i="10" l="1"/>
  <c r="O1549" i="10"/>
  <c r="M1550" i="10" l="1"/>
  <c r="S1549" i="10"/>
  <c r="N1550" i="10"/>
  <c r="T1549" i="10"/>
  <c r="L1550" i="10" l="1"/>
  <c r="W1550" i="10" s="1"/>
  <c r="P1550" i="10" l="1"/>
  <c r="O1550" i="10"/>
  <c r="S1550" i="10" l="1"/>
  <c r="M1551" i="10"/>
  <c r="N1551" i="10"/>
  <c r="T1550" i="10"/>
  <c r="L1551" i="10" l="1"/>
  <c r="W1551" i="10" s="1"/>
  <c r="P1551" i="10" l="1"/>
  <c r="O1551" i="10"/>
  <c r="M1552" i="10" l="1"/>
  <c r="S1551" i="10"/>
  <c r="N1552" i="10"/>
  <c r="T1551" i="10"/>
  <c r="L1552" i="10" l="1"/>
  <c r="W1552" i="10" s="1"/>
  <c r="P1552" i="10" l="1"/>
  <c r="O1552" i="10"/>
  <c r="M1553" i="10" l="1"/>
  <c r="S1552" i="10"/>
  <c r="N1553" i="10"/>
  <c r="T1552" i="10"/>
  <c r="L1553" i="10" l="1"/>
  <c r="W1553" i="10" s="1"/>
  <c r="P1553" i="10" l="1"/>
  <c r="O1553" i="10"/>
  <c r="S1553" i="10" l="1"/>
  <c r="M1554" i="10"/>
  <c r="N1554" i="10"/>
  <c r="T1553" i="10"/>
  <c r="L1554" i="10" l="1"/>
  <c r="W1554" i="10" s="1"/>
  <c r="P1554" i="10" l="1"/>
  <c r="O1554" i="10"/>
  <c r="M1555" i="10" l="1"/>
  <c r="S1554" i="10"/>
  <c r="N1555" i="10"/>
  <c r="T1554" i="10"/>
  <c r="L1555" i="10" l="1"/>
  <c r="W1555" i="10" s="1"/>
  <c r="P1555" i="10" l="1"/>
  <c r="O1555" i="10"/>
  <c r="M1556" i="10" l="1"/>
  <c r="S1555" i="10"/>
  <c r="N1556" i="10"/>
  <c r="T1555" i="10"/>
  <c r="L1556" i="10" l="1"/>
  <c r="W1556" i="10" s="1"/>
  <c r="P1556" i="10" l="1"/>
  <c r="O1556" i="10"/>
  <c r="M1557" i="10" l="1"/>
  <c r="S1556" i="10"/>
  <c r="T1556" i="10"/>
  <c r="N1557" i="10"/>
  <c r="L1557" i="10" l="1"/>
  <c r="W1557" i="10" s="1"/>
  <c r="O1557" i="10" l="1"/>
  <c r="P1557" i="10"/>
  <c r="N1558" i="10" l="1"/>
  <c r="T1557" i="10"/>
  <c r="M1558" i="10"/>
  <c r="L1558" i="10" s="1"/>
  <c r="W1558" i="10" s="1"/>
  <c r="S1557" i="10"/>
  <c r="P1558" i="10" l="1"/>
  <c r="O1558" i="10"/>
  <c r="M1559" i="10" l="1"/>
  <c r="S1558" i="10"/>
  <c r="N1559" i="10"/>
  <c r="T1558" i="10"/>
  <c r="L1559" i="10" l="1"/>
  <c r="W1559" i="10" s="1"/>
  <c r="P1559" i="10" l="1"/>
  <c r="O1559" i="10"/>
  <c r="S1559" i="10" l="1"/>
  <c r="M1560" i="10"/>
  <c r="N1560" i="10"/>
  <c r="T1559" i="10"/>
  <c r="L1560" i="10" l="1"/>
  <c r="W1560" i="10" s="1"/>
  <c r="P1560" i="10" l="1"/>
  <c r="O1560" i="10"/>
  <c r="M1561" i="10" l="1"/>
  <c r="S1560" i="10"/>
  <c r="N1561" i="10"/>
  <c r="T1560" i="10"/>
  <c r="L1561" i="10" l="1"/>
  <c r="W1561" i="10" s="1"/>
  <c r="P1561" i="10" l="1"/>
  <c r="O1561" i="10"/>
  <c r="M1562" i="10" l="1"/>
  <c r="S1561" i="10"/>
  <c r="N1562" i="10"/>
  <c r="T1561" i="10"/>
  <c r="L1562" i="10" l="1"/>
  <c r="W1562" i="10" s="1"/>
  <c r="O1562" i="10" l="1"/>
  <c r="P1562" i="10"/>
  <c r="N1563" i="10" l="1"/>
  <c r="T1562" i="10"/>
  <c r="M1563" i="10"/>
  <c r="S1562" i="10"/>
  <c r="L1563" i="10" l="1"/>
  <c r="W1563" i="10" s="1"/>
  <c r="P1563" i="10"/>
  <c r="O1563" i="10"/>
  <c r="M1564" i="10" l="1"/>
  <c r="S1563" i="10"/>
  <c r="N1564" i="10"/>
  <c r="T1563" i="10"/>
  <c r="L1564" i="10" l="1"/>
  <c r="W1564" i="10" s="1"/>
  <c r="P1564" i="10" l="1"/>
  <c r="O1564" i="10"/>
  <c r="S1564" i="10" l="1"/>
  <c r="M1565" i="10"/>
  <c r="N1565" i="10"/>
  <c r="T1564" i="10"/>
  <c r="L1565" i="10" l="1"/>
  <c r="W1565" i="10" s="1"/>
  <c r="O1565" i="10" l="1"/>
  <c r="P1565" i="10"/>
  <c r="N1566" i="10" l="1"/>
  <c r="T1565" i="10"/>
  <c r="S1565" i="10"/>
  <c r="M1566" i="10"/>
  <c r="L1566" i="10" l="1"/>
  <c r="W1566" i="10" s="1"/>
  <c r="P1566" i="10"/>
  <c r="O1566" i="10"/>
  <c r="M1567" i="10" l="1"/>
  <c r="S1566" i="10"/>
  <c r="N1567" i="10"/>
  <c r="T1566" i="10"/>
  <c r="L1567" i="10" l="1"/>
  <c r="W1567" i="10" s="1"/>
  <c r="P1567" i="10" l="1"/>
  <c r="O1567" i="10"/>
  <c r="M1568" i="10" l="1"/>
  <c r="S1567" i="10"/>
  <c r="N1568" i="10"/>
  <c r="T1567" i="10"/>
  <c r="L1568" i="10" l="1"/>
  <c r="W1568" i="10" s="1"/>
  <c r="P1568" i="10" l="1"/>
  <c r="O1568" i="10"/>
  <c r="S1568" i="10" l="1"/>
  <c r="M1569" i="10"/>
  <c r="N1569" i="10"/>
  <c r="T1568" i="10"/>
  <c r="L1569" i="10" l="1"/>
  <c r="W1569" i="10" s="1"/>
  <c r="P1569" i="10" l="1"/>
  <c r="O1569" i="10"/>
  <c r="S1569" i="10" l="1"/>
  <c r="M1570" i="10"/>
  <c r="N1570" i="10"/>
  <c r="T1569" i="10"/>
  <c r="L1570" i="10" l="1"/>
  <c r="W1570" i="10" s="1"/>
  <c r="O1570" i="10" l="1"/>
  <c r="P1570" i="10"/>
  <c r="N1571" i="10" l="1"/>
  <c r="T1570" i="10"/>
  <c r="S1570" i="10"/>
  <c r="M1571" i="10"/>
  <c r="L1571" i="10" s="1"/>
  <c r="W1571" i="10" s="1"/>
  <c r="P1571" i="10" l="1"/>
  <c r="O1571" i="10"/>
  <c r="S1571" i="10" l="1"/>
  <c r="M1572" i="10"/>
  <c r="N1572" i="10"/>
  <c r="T1571" i="10"/>
  <c r="L1572" i="10" l="1"/>
  <c r="O1572" i="10"/>
  <c r="P1572" i="10" l="1"/>
  <c r="T1572" i="10" s="1"/>
  <c r="W1572" i="10"/>
  <c r="M1573" i="10"/>
  <c r="S1572" i="10"/>
  <c r="N1573" i="10"/>
  <c r="L1573" i="10" l="1"/>
  <c r="W1573" i="10" s="1"/>
  <c r="P1573" i="10" l="1"/>
  <c r="O1573" i="10"/>
  <c r="S1573" i="10" l="1"/>
  <c r="M1574" i="10"/>
  <c r="N1574" i="10"/>
  <c r="T1573" i="10"/>
  <c r="L1574" i="10" l="1"/>
  <c r="W1574" i="10" s="1"/>
  <c r="O1574" i="10" l="1"/>
  <c r="P1574" i="10"/>
  <c r="T1574" i="10" l="1"/>
  <c r="N1575" i="10"/>
  <c r="S1574" i="10"/>
  <c r="M1575" i="10"/>
  <c r="L1575" i="10" s="1"/>
  <c r="W1575" i="10" s="1"/>
  <c r="P1575" i="10" l="1"/>
  <c r="O1575" i="10"/>
  <c r="M1576" i="10" l="1"/>
  <c r="S1575" i="10"/>
  <c r="N1576" i="10"/>
  <c r="T1575" i="10"/>
  <c r="L1576" i="10" l="1"/>
  <c r="W1576" i="10" s="1"/>
  <c r="P1576" i="10" l="1"/>
  <c r="O1576" i="10"/>
  <c r="S1576" i="10" l="1"/>
  <c r="M1577" i="10"/>
  <c r="N1577" i="10"/>
  <c r="T1576" i="10"/>
  <c r="L1577" i="10" l="1"/>
  <c r="W1577" i="10" s="1"/>
  <c r="P1577" i="10" l="1"/>
  <c r="O1577" i="10"/>
  <c r="S1577" i="10" l="1"/>
  <c r="M1578" i="10"/>
  <c r="N1578" i="10"/>
  <c r="T1577" i="10"/>
  <c r="L1578" i="10" l="1"/>
  <c r="W1578" i="10" s="1"/>
  <c r="O1578" i="10" l="1"/>
  <c r="P1578" i="10"/>
  <c r="T1578" i="10" l="1"/>
  <c r="N1579" i="10"/>
  <c r="S1578" i="10"/>
  <c r="M1579" i="10"/>
  <c r="L1579" i="10" s="1"/>
  <c r="W1579" i="10" s="1"/>
  <c r="P1579" i="10" l="1"/>
  <c r="O1579" i="10"/>
  <c r="M1580" i="10" l="1"/>
  <c r="S1579" i="10"/>
  <c r="N1580" i="10"/>
  <c r="T1579" i="10"/>
  <c r="L1580" i="10" l="1"/>
  <c r="W1580" i="10" s="1"/>
  <c r="P1580" i="10" l="1"/>
  <c r="O1580" i="10"/>
  <c r="S1580" i="10" l="1"/>
  <c r="M1581" i="10"/>
  <c r="N1581" i="10"/>
  <c r="T1580" i="10"/>
  <c r="L1581" i="10" l="1"/>
  <c r="W1581" i="10" s="1"/>
  <c r="P1581" i="10" l="1"/>
  <c r="O1581" i="10"/>
  <c r="S1581" i="10" l="1"/>
  <c r="M1582" i="10"/>
  <c r="N1582" i="10"/>
  <c r="T1581" i="10"/>
  <c r="L1582" i="10" l="1"/>
  <c r="W1582" i="10" s="1"/>
  <c r="O1582" i="10" l="1"/>
  <c r="P1582" i="10"/>
  <c r="N1583" i="10" l="1"/>
  <c r="T1582" i="10"/>
  <c r="S1582" i="10"/>
  <c r="M1583" i="10"/>
  <c r="L1583" i="10" l="1"/>
  <c r="W1583" i="10" s="1"/>
  <c r="O1583" i="10"/>
  <c r="P1583" i="10"/>
  <c r="N1584" i="10" l="1"/>
  <c r="T1583" i="10"/>
  <c r="M1584" i="10"/>
  <c r="S1583" i="10"/>
  <c r="L1584" i="10" l="1"/>
  <c r="W1584" i="10" s="1"/>
  <c r="O1584" i="10"/>
  <c r="P1584" i="10"/>
  <c r="N1585" i="10" l="1"/>
  <c r="T1584" i="10"/>
  <c r="S1584" i="10"/>
  <c r="M1585" i="10"/>
  <c r="L1585" i="10" l="1"/>
  <c r="O1585" i="10"/>
  <c r="P1585" i="10" l="1"/>
  <c r="T1585" i="10" s="1"/>
  <c r="W1585" i="10"/>
  <c r="S1585" i="10"/>
  <c r="M1586" i="10"/>
  <c r="N1586" i="10" l="1"/>
  <c r="L1586" i="10" s="1"/>
  <c r="W1586" i="10" s="1"/>
  <c r="P1586" i="10" l="1"/>
  <c r="O1586" i="10"/>
  <c r="M1587" i="10" l="1"/>
  <c r="S1586" i="10"/>
  <c r="N1587" i="10"/>
  <c r="T1586" i="10"/>
  <c r="L1587" i="10" l="1"/>
  <c r="W1587" i="10" s="1"/>
  <c r="P1587" i="10" l="1"/>
  <c r="O1587" i="10"/>
  <c r="S1587" i="10" l="1"/>
  <c r="M1588" i="10"/>
  <c r="N1588" i="10"/>
  <c r="T1587" i="10"/>
  <c r="L1588" i="10" l="1"/>
  <c r="W1588" i="10" s="1"/>
  <c r="P1588" i="10" l="1"/>
  <c r="O1588" i="10"/>
  <c r="S1588" i="10" l="1"/>
  <c r="M1589" i="10"/>
  <c r="N1589" i="10"/>
  <c r="T1588" i="10"/>
  <c r="L1589" i="10" l="1"/>
  <c r="W1589" i="10" s="1"/>
  <c r="P1589" i="10" l="1"/>
  <c r="O1589" i="10"/>
  <c r="S1589" i="10" l="1"/>
  <c r="M1590" i="10"/>
  <c r="N1590" i="10"/>
  <c r="T1589" i="10"/>
  <c r="L1590" i="10" l="1"/>
  <c r="W1590" i="10" s="1"/>
  <c r="P1590" i="10" l="1"/>
  <c r="O1590" i="10"/>
  <c r="M1591" i="10" l="1"/>
  <c r="S1590" i="10"/>
  <c r="N1591" i="10"/>
  <c r="T1590" i="10"/>
  <c r="L1591" i="10" l="1"/>
  <c r="W1591" i="10" s="1"/>
  <c r="O1591" i="10" l="1"/>
  <c r="P1591" i="10"/>
  <c r="N1592" i="10" l="1"/>
  <c r="T1591" i="10"/>
  <c r="M1592" i="10"/>
  <c r="S1591" i="10"/>
  <c r="L1592" i="10" l="1"/>
  <c r="W1592" i="10" s="1"/>
  <c r="P1592" i="10"/>
  <c r="O1592" i="10"/>
  <c r="M1593" i="10" l="1"/>
  <c r="S1592" i="10"/>
  <c r="N1593" i="10"/>
  <c r="T1592" i="10"/>
  <c r="L1593" i="10" l="1"/>
  <c r="W1593" i="10" s="1"/>
  <c r="P1593" i="10" l="1"/>
  <c r="O1593" i="10"/>
  <c r="S1593" i="10" l="1"/>
  <c r="M1594" i="10"/>
  <c r="N1594" i="10"/>
  <c r="T1593" i="10"/>
  <c r="L1594" i="10" l="1"/>
  <c r="W1594" i="10" s="1"/>
  <c r="O1594" i="10" l="1"/>
  <c r="P1594" i="10"/>
  <c r="N1595" i="10" l="1"/>
  <c r="T1594" i="10"/>
  <c r="S1594" i="10"/>
  <c r="M1595" i="10"/>
  <c r="L1595" i="10" l="1"/>
  <c r="W1595" i="10" s="1"/>
  <c r="P1595" i="10"/>
  <c r="O1595" i="10"/>
  <c r="S1595" i="10" l="1"/>
  <c r="M1596" i="10"/>
  <c r="N1596" i="10"/>
  <c r="T1595" i="10"/>
  <c r="L1596" i="10" l="1"/>
  <c r="W1596" i="10" s="1"/>
  <c r="P1596" i="10" l="1"/>
  <c r="O1596" i="10"/>
  <c r="S1596" i="10" l="1"/>
  <c r="M1597" i="10"/>
  <c r="N1597" i="10"/>
  <c r="T1596" i="10"/>
  <c r="L1597" i="10" l="1"/>
  <c r="W1597" i="10" s="1"/>
  <c r="P1597" i="10" l="1"/>
  <c r="O1597" i="10"/>
  <c r="S1597" i="10" l="1"/>
  <c r="M1598" i="10"/>
  <c r="N1598" i="10"/>
  <c r="T1597" i="10"/>
  <c r="L1598" i="10" l="1"/>
  <c r="W1598" i="10" s="1"/>
  <c r="P1598" i="10" l="1"/>
  <c r="O1598" i="10"/>
  <c r="S1598" i="10" l="1"/>
  <c r="M1599" i="10"/>
  <c r="N1599" i="10"/>
  <c r="T1598" i="10"/>
  <c r="L1599" i="10" l="1"/>
  <c r="W1599" i="10" s="1"/>
  <c r="P1599" i="10" l="1"/>
  <c r="O1599" i="10"/>
  <c r="M1600" i="10" l="1"/>
  <c r="S1599" i="10"/>
  <c r="N1600" i="10"/>
  <c r="T1599" i="10"/>
  <c r="L1600" i="10" l="1"/>
  <c r="W1600" i="10" s="1"/>
  <c r="O1600" i="10" l="1"/>
  <c r="P1600" i="10"/>
  <c r="N1601" i="10" l="1"/>
  <c r="T1600" i="10"/>
  <c r="M1601" i="10"/>
  <c r="S1600" i="10"/>
  <c r="L1601" i="10" l="1"/>
  <c r="W1601" i="10" s="1"/>
  <c r="O1601" i="10"/>
  <c r="P1601" i="10"/>
  <c r="N1602" i="10" l="1"/>
  <c r="T1601" i="10"/>
  <c r="S1601" i="10"/>
  <c r="M1602" i="10"/>
  <c r="L1602" i="10" l="1"/>
  <c r="W1602" i="10" s="1"/>
  <c r="P1602" i="10"/>
  <c r="O1602" i="10"/>
  <c r="S1602" i="10" l="1"/>
  <c r="M1603" i="10"/>
  <c r="N1603" i="10"/>
  <c r="T1602" i="10"/>
  <c r="L1603" i="10" l="1"/>
  <c r="W1603" i="10" s="1"/>
  <c r="P1603" i="10" l="1"/>
  <c r="O1603" i="10"/>
  <c r="M1604" i="10" l="1"/>
  <c r="S1603" i="10"/>
  <c r="N1604" i="10"/>
  <c r="T1603" i="10"/>
  <c r="L1604" i="10" l="1"/>
  <c r="W1604" i="10" s="1"/>
  <c r="O1604" i="10" l="1"/>
  <c r="P1604" i="10"/>
  <c r="N1605" i="10" l="1"/>
  <c r="T1604" i="10"/>
  <c r="M1605" i="10"/>
  <c r="S1604" i="10"/>
  <c r="L1605" i="10" l="1"/>
  <c r="W1605" i="10" s="1"/>
  <c r="P1605" i="10"/>
  <c r="O1605" i="10"/>
  <c r="M1606" i="10" l="1"/>
  <c r="S1605" i="10"/>
  <c r="N1606" i="10"/>
  <c r="T1605" i="10"/>
  <c r="L1606" i="10" l="1"/>
  <c r="W1606" i="10" s="1"/>
  <c r="P1606" i="10" l="1"/>
  <c r="O1606" i="10"/>
  <c r="S1606" i="10" l="1"/>
  <c r="M1607" i="10"/>
  <c r="N1607" i="10"/>
  <c r="T1606" i="10"/>
  <c r="L1607" i="10" l="1"/>
  <c r="W1607" i="10" s="1"/>
  <c r="O1607" i="10" l="1"/>
  <c r="P1607" i="10"/>
  <c r="N1608" i="10" l="1"/>
  <c r="T1607" i="10"/>
  <c r="S1607" i="10"/>
  <c r="M1608" i="10"/>
  <c r="L1608" i="10" l="1"/>
  <c r="W1608" i="10" s="1"/>
  <c r="P1608" i="10"/>
  <c r="O1608" i="10"/>
  <c r="M1609" i="10" l="1"/>
  <c r="S1608" i="10"/>
  <c r="N1609" i="10"/>
  <c r="T1608" i="10"/>
  <c r="L1609" i="10" l="1"/>
  <c r="W1609" i="10" s="1"/>
  <c r="P1609" i="10" l="1"/>
  <c r="O1609" i="10"/>
  <c r="M1610" i="10" l="1"/>
  <c r="S1609" i="10"/>
  <c r="N1610" i="10"/>
  <c r="T1609" i="10"/>
  <c r="L1610" i="10" l="1"/>
  <c r="W1610" i="10" s="1"/>
  <c r="O1610" i="10" l="1"/>
  <c r="P1610" i="10"/>
  <c r="N1611" i="10" l="1"/>
  <c r="T1610" i="10"/>
  <c r="M1611" i="10"/>
  <c r="S1610" i="10"/>
  <c r="L1611" i="10" l="1"/>
  <c r="W1611" i="10" s="1"/>
  <c r="P1611" i="10"/>
  <c r="O1611" i="10"/>
  <c r="M1612" i="10" l="1"/>
  <c r="S1611" i="10"/>
  <c r="N1612" i="10"/>
  <c r="T1611" i="10"/>
  <c r="L1612" i="10" l="1"/>
  <c r="W1612" i="10" s="1"/>
  <c r="P1612" i="10" l="1"/>
  <c r="O1612" i="10"/>
  <c r="S1612" i="10" l="1"/>
  <c r="M1613" i="10"/>
  <c r="N1613" i="10"/>
  <c r="T1612" i="10"/>
  <c r="L1613" i="10" l="1"/>
  <c r="W1613" i="10" s="1"/>
  <c r="P1613" i="10" l="1"/>
  <c r="O1613" i="10"/>
  <c r="M1614" i="10" l="1"/>
  <c r="S1613" i="10"/>
  <c r="N1614" i="10"/>
  <c r="T1613" i="10"/>
  <c r="L1614" i="10" l="1"/>
  <c r="W1614" i="10" s="1"/>
  <c r="O1614" i="10" l="1"/>
  <c r="P1614" i="10"/>
  <c r="N1615" i="10" l="1"/>
  <c r="T1614" i="10"/>
  <c r="S1614" i="10"/>
  <c r="M1615" i="10"/>
  <c r="L1615" i="10" l="1"/>
  <c r="W1615" i="10" s="1"/>
  <c r="O1615" i="10" l="1"/>
  <c r="S1615" i="10" s="1"/>
  <c r="P1615" i="10"/>
  <c r="N1616" i="10" s="1"/>
  <c r="M1616" i="10" l="1"/>
  <c r="L1616" i="10" s="1"/>
  <c r="W1616" i="10" s="1"/>
  <c r="T1615" i="10"/>
  <c r="P1616" i="10" l="1"/>
  <c r="O1616" i="10"/>
  <c r="M1617" i="10" l="1"/>
  <c r="S1616" i="10"/>
  <c r="N1617" i="10"/>
  <c r="T1616" i="10"/>
  <c r="L1617" i="10" l="1"/>
  <c r="W1617" i="10" s="1"/>
  <c r="O1617" i="10" l="1"/>
  <c r="P1617" i="10"/>
  <c r="N1618" i="10" l="1"/>
  <c r="T1617" i="10"/>
  <c r="S1617" i="10"/>
  <c r="M1618" i="10"/>
  <c r="L1618" i="10" l="1"/>
  <c r="W1618" i="10" s="1"/>
  <c r="P1618" i="10"/>
  <c r="O1618" i="10"/>
  <c r="S1618" i="10" l="1"/>
  <c r="M1619" i="10"/>
  <c r="N1619" i="10"/>
  <c r="T1618" i="10"/>
  <c r="L1619" i="10" l="1"/>
  <c r="W1619" i="10" s="1"/>
  <c r="P1619" i="10" l="1"/>
  <c r="O1619" i="10"/>
  <c r="S1619" i="10" l="1"/>
  <c r="M1620" i="10"/>
  <c r="N1620" i="10"/>
  <c r="T1619" i="10"/>
  <c r="L1620" i="10" l="1"/>
  <c r="W1620" i="10" s="1"/>
  <c r="P1620" i="10" l="1"/>
  <c r="O1620" i="10"/>
  <c r="M1621" i="10" l="1"/>
  <c r="S1620" i="10"/>
  <c r="N1621" i="10"/>
  <c r="T1620" i="10"/>
  <c r="L1621" i="10" l="1"/>
  <c r="W1621" i="10" s="1"/>
  <c r="P1621" i="10" l="1"/>
  <c r="O1621" i="10"/>
  <c r="M1622" i="10" l="1"/>
  <c r="S1621" i="10"/>
  <c r="N1622" i="10"/>
  <c r="T1621" i="10"/>
  <c r="L1622" i="10" l="1"/>
  <c r="W1622" i="10" s="1"/>
  <c r="O1622" i="10" l="1"/>
  <c r="P1622" i="10"/>
  <c r="N1623" i="10" l="1"/>
  <c r="T1622" i="10"/>
  <c r="S1622" i="10"/>
  <c r="M1623" i="10"/>
  <c r="L1623" i="10" l="1"/>
  <c r="W1623" i="10" s="1"/>
  <c r="P1623" i="10"/>
  <c r="O1623" i="10"/>
  <c r="S1623" i="10" l="1"/>
  <c r="M1624" i="10"/>
  <c r="N1624" i="10"/>
  <c r="T1623" i="10"/>
  <c r="L1624" i="10" l="1"/>
  <c r="W1624" i="10" s="1"/>
  <c r="P1624" i="10" l="1"/>
  <c r="O1624" i="10"/>
  <c r="M1625" i="10" l="1"/>
  <c r="S1624" i="10"/>
  <c r="N1625" i="10"/>
  <c r="T1624" i="10"/>
  <c r="L1625" i="10" l="1"/>
  <c r="W1625" i="10" s="1"/>
  <c r="P1625" i="10" l="1"/>
  <c r="O1625" i="10"/>
  <c r="M1626" i="10" l="1"/>
  <c r="S1625" i="10"/>
  <c r="N1626" i="10"/>
  <c r="T1625" i="10"/>
  <c r="L1626" i="10" l="1"/>
  <c r="W1626" i="10" s="1"/>
  <c r="P1626" i="10" l="1"/>
  <c r="O1626" i="10"/>
  <c r="S1626" i="10" l="1"/>
  <c r="M1627" i="10"/>
  <c r="N1627" i="10"/>
  <c r="T1626" i="10"/>
  <c r="L1627" i="10" l="1"/>
  <c r="W1627" i="10" s="1"/>
  <c r="P1627" i="10" l="1"/>
  <c r="O1627" i="10"/>
  <c r="M1628" i="10" l="1"/>
  <c r="S1627" i="10"/>
  <c r="N1628" i="10"/>
  <c r="T1627" i="10"/>
  <c r="L1628" i="10" l="1"/>
  <c r="W1628" i="10" s="1"/>
  <c r="O1628" i="10" l="1"/>
  <c r="P1628" i="10"/>
  <c r="N1629" i="10" l="1"/>
  <c r="T1628" i="10"/>
  <c r="M1629" i="10"/>
  <c r="L1629" i="10" s="1"/>
  <c r="W1629" i="10" s="1"/>
  <c r="S1628" i="10"/>
  <c r="P1629" i="10" l="1"/>
  <c r="O1629" i="10"/>
  <c r="M1630" i="10" l="1"/>
  <c r="S1629" i="10"/>
  <c r="N1630" i="10"/>
  <c r="T1629" i="10"/>
  <c r="L1630" i="10" l="1"/>
  <c r="W1630" i="10" s="1"/>
  <c r="P1630" i="10" l="1"/>
  <c r="O1630" i="10"/>
  <c r="S1630" i="10" l="1"/>
  <c r="M1631" i="10"/>
  <c r="N1631" i="10"/>
  <c r="T1630" i="10"/>
  <c r="L1631" i="10" l="1"/>
  <c r="W1631" i="10" s="1"/>
  <c r="P1631" i="10" l="1"/>
  <c r="O1631" i="10"/>
  <c r="M1632" i="10" l="1"/>
  <c r="S1631" i="10"/>
  <c r="N1632" i="10"/>
  <c r="T1631" i="10"/>
  <c r="L1632" i="10" l="1"/>
  <c r="W1632" i="10" s="1"/>
  <c r="P1632" i="10" l="1"/>
  <c r="O1632" i="10"/>
  <c r="S1632" i="10" l="1"/>
  <c r="M1633" i="10"/>
  <c r="N1633" i="10"/>
  <c r="T1632" i="10"/>
  <c r="L1633" i="10" l="1"/>
  <c r="W1633" i="10" s="1"/>
  <c r="O1633" i="10"/>
  <c r="P1633" i="10" l="1"/>
  <c r="T1633" i="10" s="1"/>
  <c r="M1634" i="10"/>
  <c r="S1633" i="10"/>
  <c r="N1634" i="10" l="1"/>
  <c r="L1634" i="10"/>
  <c r="W1634" i="10" s="1"/>
  <c r="P1634" i="10" l="1"/>
  <c r="O1634" i="10"/>
  <c r="M1635" i="10" l="1"/>
  <c r="S1634" i="10"/>
  <c r="N1635" i="10"/>
  <c r="T1634" i="10"/>
  <c r="L1635" i="10" l="1"/>
  <c r="W1635" i="10" s="1"/>
  <c r="P1635" i="10" l="1"/>
  <c r="O1635" i="10"/>
  <c r="M1636" i="10" l="1"/>
  <c r="S1635" i="10"/>
  <c r="N1636" i="10"/>
  <c r="T1635" i="10"/>
  <c r="L1636" i="10" l="1"/>
  <c r="W1636" i="10" s="1"/>
  <c r="O1636" i="10" l="1"/>
  <c r="P1636" i="10"/>
  <c r="N1637" i="10" l="1"/>
  <c r="T1636" i="10"/>
  <c r="M1637" i="10"/>
  <c r="S1636" i="10"/>
  <c r="L1637" i="10" l="1"/>
  <c r="W1637" i="10" s="1"/>
  <c r="P1637" i="10"/>
  <c r="O1637" i="10"/>
  <c r="S1637" i="10" l="1"/>
  <c r="M1638" i="10"/>
  <c r="N1638" i="10"/>
  <c r="T1637" i="10"/>
  <c r="L1638" i="10" l="1"/>
  <c r="W1638" i="10" s="1"/>
  <c r="P1638" i="10" l="1"/>
  <c r="O1638" i="10"/>
  <c r="S1638" i="10" l="1"/>
  <c r="M1639" i="10"/>
  <c r="N1639" i="10"/>
  <c r="T1638" i="10"/>
  <c r="L1639" i="10" l="1"/>
  <c r="W1639" i="10" s="1"/>
  <c r="P1639" i="10" l="1"/>
  <c r="O1639" i="10"/>
  <c r="M1640" i="10" l="1"/>
  <c r="S1639" i="10"/>
  <c r="N1640" i="10"/>
  <c r="T1639" i="10"/>
  <c r="L1640" i="10" l="1"/>
  <c r="W1640" i="10" s="1"/>
  <c r="P1640" i="10" l="1"/>
  <c r="O1640" i="10"/>
  <c r="S1640" i="10" l="1"/>
  <c r="M1641" i="10"/>
  <c r="N1641" i="10"/>
  <c r="T1640" i="10"/>
  <c r="L1641" i="10" l="1"/>
  <c r="W1641" i="10" s="1"/>
  <c r="P1641" i="10" l="1"/>
  <c r="O1641" i="10"/>
  <c r="M1642" i="10" l="1"/>
  <c r="S1641" i="10"/>
  <c r="N1642" i="10"/>
  <c r="T1641" i="10"/>
  <c r="L1642" i="10" l="1"/>
  <c r="W1642" i="10" s="1"/>
  <c r="P1642" i="10" l="1"/>
  <c r="O1642" i="10"/>
  <c r="S1642" i="10" l="1"/>
  <c r="M1643" i="10"/>
  <c r="T1642" i="10"/>
  <c r="N1643" i="10"/>
  <c r="L1643" i="10" l="1"/>
  <c r="W1643" i="10" s="1"/>
  <c r="O1643" i="10" l="1"/>
  <c r="P1643" i="10"/>
  <c r="N1644" i="10" l="1"/>
  <c r="T1643" i="10"/>
  <c r="S1643" i="10"/>
  <c r="M1644" i="10"/>
  <c r="L1644" i="10" s="1"/>
  <c r="W1644" i="10" s="1"/>
  <c r="P1644" i="10" l="1"/>
  <c r="O1644" i="10"/>
  <c r="S1644" i="10" l="1"/>
  <c r="M1645" i="10"/>
  <c r="N1645" i="10"/>
  <c r="T1644" i="10"/>
  <c r="L1645" i="10" l="1"/>
  <c r="W1645" i="10" s="1"/>
  <c r="P1645" i="10" l="1"/>
  <c r="O1645" i="10"/>
  <c r="M1646" i="10" l="1"/>
  <c r="S1645" i="10"/>
  <c r="N1646" i="10"/>
  <c r="T1645" i="10"/>
  <c r="L1646" i="10" l="1"/>
  <c r="W1646" i="10" s="1"/>
  <c r="P1646" i="10" l="1"/>
  <c r="O1646" i="10"/>
  <c r="M1647" i="10" l="1"/>
  <c r="S1646" i="10"/>
  <c r="N1647" i="10"/>
  <c r="T1646" i="10"/>
  <c r="L1647" i="10" l="1"/>
  <c r="W1647" i="10" s="1"/>
  <c r="P1647" i="10" l="1"/>
  <c r="O1647" i="10"/>
  <c r="M1648" i="10" l="1"/>
  <c r="S1647" i="10"/>
  <c r="N1648" i="10"/>
  <c r="T1647" i="10"/>
  <c r="L1648" i="10" l="1"/>
  <c r="W1648" i="10" s="1"/>
  <c r="P1648" i="10" l="1"/>
  <c r="O1648" i="10"/>
  <c r="M1649" i="10" l="1"/>
  <c r="S1648" i="10"/>
  <c r="N1649" i="10"/>
  <c r="T1648" i="10"/>
  <c r="L1649" i="10" l="1"/>
  <c r="W1649" i="10" s="1"/>
  <c r="P1649" i="10" l="1"/>
  <c r="O1649" i="10"/>
  <c r="M1650" i="10" l="1"/>
  <c r="S1649" i="10"/>
  <c r="N1650" i="10"/>
  <c r="T1649" i="10"/>
  <c r="L1650" i="10" l="1"/>
  <c r="W1650" i="10" s="1"/>
  <c r="P1650" i="10" l="1"/>
  <c r="O1650" i="10"/>
  <c r="M1651" i="10" l="1"/>
  <c r="S1650" i="10"/>
  <c r="N1651" i="10"/>
  <c r="T1650" i="10"/>
  <c r="L1651" i="10" l="1"/>
  <c r="W1651" i="10" s="1"/>
  <c r="P1651" i="10" l="1"/>
  <c r="O1651" i="10"/>
  <c r="M1652" i="10" l="1"/>
  <c r="S1651" i="10"/>
  <c r="N1652" i="10"/>
  <c r="T1651" i="10"/>
  <c r="L1652" i="10" l="1"/>
  <c r="W1652" i="10" s="1"/>
  <c r="P1652" i="10" l="1"/>
  <c r="O1652" i="10"/>
  <c r="S1652" i="10" l="1"/>
  <c r="M1653" i="10"/>
  <c r="N1653" i="10"/>
  <c r="T1652" i="10"/>
  <c r="L1653" i="10" l="1"/>
  <c r="W1653" i="10" s="1"/>
  <c r="O1653" i="10" l="1"/>
  <c r="P1653" i="10"/>
  <c r="N1654" i="10" l="1"/>
  <c r="T1653" i="10"/>
  <c r="M1654" i="10"/>
  <c r="S1653" i="10"/>
  <c r="L1654" i="10" l="1"/>
  <c r="W1654" i="10" s="1"/>
  <c r="P1654" i="10"/>
  <c r="O1654" i="10"/>
  <c r="M1655" i="10" l="1"/>
  <c r="S1654" i="10"/>
  <c r="N1655" i="10"/>
  <c r="T1654" i="10"/>
  <c r="L1655" i="10" l="1"/>
  <c r="W1655" i="10" s="1"/>
  <c r="P1655" i="10" l="1"/>
  <c r="O1655" i="10"/>
  <c r="M1656" i="10" l="1"/>
  <c r="S1655" i="10"/>
  <c r="N1656" i="10"/>
  <c r="T1655" i="10"/>
  <c r="L1656" i="10" l="1"/>
  <c r="W1656" i="10" s="1"/>
  <c r="O1656" i="10" l="1"/>
  <c r="P1656" i="10"/>
  <c r="N1657" i="10" l="1"/>
  <c r="T1656" i="10"/>
  <c r="S1656" i="10"/>
  <c r="M1657" i="10"/>
  <c r="L1657" i="10" l="1"/>
  <c r="W1657" i="10" s="1"/>
  <c r="P1657" i="10"/>
  <c r="O1657" i="10"/>
  <c r="S1657" i="10" l="1"/>
  <c r="M1658" i="10"/>
  <c r="N1658" i="10"/>
  <c r="T1657" i="10"/>
  <c r="L1658" i="10" l="1"/>
  <c r="W1658" i="10" s="1"/>
  <c r="P1658" i="10" l="1"/>
  <c r="O1658" i="10"/>
  <c r="S1658" i="10" l="1"/>
  <c r="M1659" i="10"/>
  <c r="N1659" i="10"/>
  <c r="T1658" i="10"/>
  <c r="L1659" i="10" l="1"/>
  <c r="W1659" i="10" s="1"/>
  <c r="P1659" i="10" l="1"/>
  <c r="O1659" i="10"/>
  <c r="M1660" i="10" l="1"/>
  <c r="S1659" i="10"/>
  <c r="N1660" i="10"/>
  <c r="T1659" i="10"/>
  <c r="L1660" i="10" l="1"/>
  <c r="W1660" i="10" s="1"/>
  <c r="P1660" i="10" l="1"/>
  <c r="O1660" i="10"/>
  <c r="S1660" i="10" l="1"/>
  <c r="M1661" i="10"/>
  <c r="N1661" i="10"/>
  <c r="T1660" i="10"/>
  <c r="L1661" i="10" l="1"/>
  <c r="W1661" i="10" s="1"/>
  <c r="P1661" i="10" l="1"/>
  <c r="O1661" i="10"/>
  <c r="M1662" i="10" l="1"/>
  <c r="S1661" i="10"/>
  <c r="N1662" i="10"/>
  <c r="T1661" i="10"/>
  <c r="L1662" i="10" l="1"/>
  <c r="W1662" i="10" s="1"/>
  <c r="P1662" i="10" l="1"/>
  <c r="O1662" i="10"/>
  <c r="M1663" i="10" l="1"/>
  <c r="S1662" i="10"/>
  <c r="N1663" i="10"/>
  <c r="T1662" i="10"/>
  <c r="L1663" i="10" l="1"/>
  <c r="W1663" i="10" s="1"/>
  <c r="P1663" i="10" l="1"/>
  <c r="O1663" i="10"/>
  <c r="M1664" i="10" l="1"/>
  <c r="S1663" i="10"/>
  <c r="N1664" i="10"/>
  <c r="T1663" i="10"/>
  <c r="L1664" i="10" l="1"/>
  <c r="W1664" i="10" s="1"/>
  <c r="P1664" i="10" l="1"/>
  <c r="O1664" i="10"/>
  <c r="M1665" i="10" l="1"/>
  <c r="S1664" i="10"/>
  <c r="N1665" i="10"/>
  <c r="T1664" i="10"/>
  <c r="L1665" i="10" l="1"/>
  <c r="W1665" i="10" s="1"/>
  <c r="P1665" i="10" l="1"/>
  <c r="O1665" i="10"/>
  <c r="S1665" i="10" l="1"/>
  <c r="M1666" i="10"/>
  <c r="N1666" i="10"/>
  <c r="T1665" i="10"/>
  <c r="L1666" i="10" l="1"/>
  <c r="W1666" i="10" s="1"/>
  <c r="O1666" i="10" l="1"/>
  <c r="P1666" i="10"/>
  <c r="N1667" i="10" l="1"/>
  <c r="T1666" i="10"/>
  <c r="S1666" i="10"/>
  <c r="M1667" i="10"/>
  <c r="L1667" i="10" s="1"/>
  <c r="W1667" i="10" s="1"/>
  <c r="P1667" i="10" l="1"/>
  <c r="O1667" i="10"/>
  <c r="M1668" i="10" l="1"/>
  <c r="S1667" i="10"/>
  <c r="N1668" i="10"/>
  <c r="T1667" i="10"/>
  <c r="L1668" i="10" l="1"/>
  <c r="W1668" i="10" s="1"/>
  <c r="P1668" i="10" l="1"/>
  <c r="O1668" i="10"/>
  <c r="S1668" i="10" l="1"/>
  <c r="M1669" i="10"/>
  <c r="N1669" i="10"/>
  <c r="T1668" i="10"/>
  <c r="L1669" i="10" l="1"/>
  <c r="W1669" i="10" s="1"/>
  <c r="O1669" i="10" l="1"/>
  <c r="P1669" i="10"/>
  <c r="N1670" i="10" l="1"/>
  <c r="T1669" i="10"/>
  <c r="S1669" i="10"/>
  <c r="M1670" i="10"/>
  <c r="L1670" i="10" l="1"/>
  <c r="W1670" i="10" s="1"/>
  <c r="P1670" i="10"/>
  <c r="O1670" i="10"/>
  <c r="S1670" i="10" l="1"/>
  <c r="M1671" i="10"/>
  <c r="N1671" i="10"/>
  <c r="T1670" i="10"/>
  <c r="L1671" i="10" l="1"/>
  <c r="W1671" i="10" s="1"/>
  <c r="P1671" i="10" l="1"/>
  <c r="O1671" i="10"/>
  <c r="M1672" i="10" l="1"/>
  <c r="S1671" i="10"/>
  <c r="N1672" i="10"/>
  <c r="T1671" i="10"/>
  <c r="L1672" i="10" l="1"/>
  <c r="W1672" i="10" s="1"/>
  <c r="O1672" i="10" l="1"/>
  <c r="P1672" i="10"/>
  <c r="N1673" i="10" l="1"/>
  <c r="T1672" i="10"/>
  <c r="M1673" i="10"/>
  <c r="L1673" i="10" s="1"/>
  <c r="W1673" i="10" s="1"/>
  <c r="S1672" i="10"/>
  <c r="P1673" i="10" l="1"/>
  <c r="O1673" i="10"/>
  <c r="S1673" i="10" l="1"/>
  <c r="M1674" i="10"/>
  <c r="N1674" i="10"/>
  <c r="T1673" i="10"/>
  <c r="L1674" i="10" l="1"/>
  <c r="O1674" i="10" s="1"/>
  <c r="P1674" i="10" l="1"/>
  <c r="W1674" i="10"/>
  <c r="M1675" i="10"/>
  <c r="S1674" i="10"/>
  <c r="N1675" i="10"/>
  <c r="T1674" i="10"/>
  <c r="L1675" i="10" l="1"/>
  <c r="W1675" i="10" s="1"/>
  <c r="P1675" i="10" l="1"/>
  <c r="O1675" i="10"/>
  <c r="S1675" i="10" l="1"/>
  <c r="M1676" i="10"/>
  <c r="N1676" i="10"/>
  <c r="T1675" i="10"/>
  <c r="L1676" i="10" l="1"/>
  <c r="W1676" i="10" s="1"/>
  <c r="P1676" i="10" l="1"/>
  <c r="O1676" i="10"/>
  <c r="M1677" i="10" l="1"/>
  <c r="S1676" i="10"/>
  <c r="N1677" i="10"/>
  <c r="T1676" i="10"/>
  <c r="L1677" i="10" l="1"/>
  <c r="W1677" i="10" s="1"/>
  <c r="P1677" i="10" l="1"/>
  <c r="O1677" i="10"/>
  <c r="M1678" i="10" l="1"/>
  <c r="S1677" i="10"/>
  <c r="N1678" i="10"/>
  <c r="T1677" i="10"/>
  <c r="L1678" i="10" l="1"/>
  <c r="W1678" i="10" s="1"/>
  <c r="P1678" i="10" l="1"/>
  <c r="O1678" i="10"/>
  <c r="M1679" i="10" l="1"/>
  <c r="S1678" i="10"/>
  <c r="N1679" i="10"/>
  <c r="T1678" i="10"/>
  <c r="L1679" i="10" l="1"/>
  <c r="W1679" i="10" s="1"/>
  <c r="P1679" i="10" l="1"/>
  <c r="O1679" i="10"/>
  <c r="M1680" i="10" l="1"/>
  <c r="S1679" i="10"/>
  <c r="N1680" i="10"/>
  <c r="T1679" i="10"/>
  <c r="L1680" i="10" l="1"/>
  <c r="W1680" i="10" s="1"/>
  <c r="P1680" i="10" l="1"/>
  <c r="O1680" i="10"/>
  <c r="M1681" i="10" l="1"/>
  <c r="S1680" i="10"/>
  <c r="N1681" i="10"/>
  <c r="T1680" i="10"/>
  <c r="L1681" i="10" l="1"/>
  <c r="W1681" i="10" s="1"/>
  <c r="P1681" i="10" l="1"/>
  <c r="O1681" i="10"/>
  <c r="S1681" i="10" l="1"/>
  <c r="M1682" i="10"/>
  <c r="N1682" i="10"/>
  <c r="T1681" i="10"/>
  <c r="L1682" i="10" l="1"/>
  <c r="W1682" i="10" s="1"/>
  <c r="P1682" i="10" l="1"/>
  <c r="O1682" i="10"/>
  <c r="M1683" i="10" l="1"/>
  <c r="S1682" i="10"/>
  <c r="N1683" i="10"/>
  <c r="T1682" i="10"/>
  <c r="L1683" i="10" l="1"/>
  <c r="W1683" i="10" s="1"/>
  <c r="P1683" i="10" l="1"/>
  <c r="O1683" i="10"/>
  <c r="M1684" i="10" l="1"/>
  <c r="S1683" i="10"/>
  <c r="N1684" i="10"/>
  <c r="T1683" i="10"/>
  <c r="L1684" i="10" l="1"/>
  <c r="W1684" i="10" s="1"/>
  <c r="P1684" i="10" l="1"/>
  <c r="O1684" i="10"/>
  <c r="S1684" i="10" l="1"/>
  <c r="M1685" i="10"/>
  <c r="N1685" i="10"/>
  <c r="T1684" i="10"/>
  <c r="L1685" i="10" l="1"/>
  <c r="W1685" i="10" s="1"/>
  <c r="O1685" i="10" l="1"/>
  <c r="P1685" i="10"/>
  <c r="N1686" i="10" l="1"/>
  <c r="T1685" i="10"/>
  <c r="M1686" i="10"/>
  <c r="S1685" i="10"/>
  <c r="L1686" i="10" l="1"/>
  <c r="W1686" i="10" s="1"/>
  <c r="P1686" i="10"/>
  <c r="O1686" i="10"/>
  <c r="S1686" i="10" l="1"/>
  <c r="M1687" i="10"/>
  <c r="N1687" i="10"/>
  <c r="T1686" i="10"/>
  <c r="L1687" i="10" l="1"/>
  <c r="W1687" i="10" s="1"/>
  <c r="P1687" i="10" l="1"/>
  <c r="O1687" i="10"/>
  <c r="M1688" i="10" l="1"/>
  <c r="S1687" i="10"/>
  <c r="N1688" i="10"/>
  <c r="T1687" i="10"/>
  <c r="L1688" i="10" l="1"/>
  <c r="W1688" i="10" s="1"/>
  <c r="P1688" i="10" l="1"/>
  <c r="O1688" i="10"/>
  <c r="M1689" i="10" l="1"/>
  <c r="S1688" i="10"/>
  <c r="N1689" i="10"/>
  <c r="T1688" i="10"/>
  <c r="L1689" i="10" l="1"/>
  <c r="W1689" i="10" s="1"/>
  <c r="P1689" i="10" l="1"/>
  <c r="O1689" i="10"/>
  <c r="M1690" i="10" l="1"/>
  <c r="S1689" i="10"/>
  <c r="N1690" i="10"/>
  <c r="T1689" i="10"/>
  <c r="L1690" i="10" l="1"/>
  <c r="W1690" i="10" s="1"/>
  <c r="P1690" i="10" l="1"/>
  <c r="O1690" i="10"/>
  <c r="M1691" i="10" l="1"/>
  <c r="S1690" i="10"/>
  <c r="N1691" i="10"/>
  <c r="T1690" i="10"/>
  <c r="L1691" i="10" l="1"/>
  <c r="W1691" i="10" s="1"/>
  <c r="P1691" i="10" l="1"/>
  <c r="O1691" i="10"/>
  <c r="M1692" i="10" l="1"/>
  <c r="S1691" i="10"/>
  <c r="N1692" i="10"/>
  <c r="T1691" i="10"/>
  <c r="L1692" i="10" l="1"/>
  <c r="W1692" i="10" s="1"/>
  <c r="P1692" i="10" l="1"/>
  <c r="O1692" i="10"/>
  <c r="M1693" i="10" l="1"/>
  <c r="S1692" i="10"/>
  <c r="N1693" i="10"/>
  <c r="T1692" i="10"/>
  <c r="L1693" i="10" l="1"/>
  <c r="W1693" i="10" s="1"/>
  <c r="P1693" i="10" l="1"/>
  <c r="O1693" i="10"/>
  <c r="S1693" i="10" l="1"/>
  <c r="M1694" i="10"/>
  <c r="N1694" i="10"/>
  <c r="T1693" i="10"/>
  <c r="L1694" i="10" l="1"/>
  <c r="W1694" i="10" s="1"/>
  <c r="P1694" i="10" l="1"/>
  <c r="O1694" i="10"/>
  <c r="M1695" i="10" l="1"/>
  <c r="S1694" i="10"/>
  <c r="N1695" i="10"/>
  <c r="T1694" i="10"/>
  <c r="L1695" i="10" l="1"/>
  <c r="W1695" i="10" s="1"/>
  <c r="P1695" i="10" l="1"/>
  <c r="O1695" i="10"/>
  <c r="M1696" i="10" l="1"/>
  <c r="S1695" i="10"/>
  <c r="N1696" i="10"/>
  <c r="T1695" i="10"/>
  <c r="L1696" i="10" l="1"/>
  <c r="W1696" i="10" s="1"/>
  <c r="P1696" i="10" l="1"/>
  <c r="O1696" i="10"/>
  <c r="S1696" i="10" l="1"/>
  <c r="M1697" i="10"/>
  <c r="N1697" i="10"/>
  <c r="T1696" i="10"/>
  <c r="L1697" i="10" l="1"/>
  <c r="W1697" i="10" s="1"/>
  <c r="P1697" i="10" l="1"/>
  <c r="O1697" i="10"/>
  <c r="S1697" i="10" l="1"/>
  <c r="M1698" i="10"/>
  <c r="N1698" i="10"/>
  <c r="T1697" i="10"/>
  <c r="L1698" i="10" l="1"/>
  <c r="W1698" i="10" s="1"/>
  <c r="P1698" i="10" l="1"/>
  <c r="O1698" i="10"/>
  <c r="M1699" i="10" l="1"/>
  <c r="S1698" i="10"/>
  <c r="N1699" i="10"/>
  <c r="T1698" i="10"/>
  <c r="L1699" i="10" l="1"/>
  <c r="W1699" i="10" s="1"/>
  <c r="P1699" i="10" l="1"/>
  <c r="O1699" i="10"/>
  <c r="S1699" i="10" l="1"/>
  <c r="M1700" i="10"/>
  <c r="N1700" i="10"/>
  <c r="T1699" i="10"/>
  <c r="L1700" i="10" l="1"/>
  <c r="W1700" i="10" s="1"/>
  <c r="P1700" i="10" l="1"/>
  <c r="O1700" i="10"/>
  <c r="S1700" i="10" l="1"/>
  <c r="M1701" i="10"/>
  <c r="N1701" i="10"/>
  <c r="T1700" i="10"/>
  <c r="L1701" i="10" l="1"/>
  <c r="W1701" i="10" s="1"/>
  <c r="P1701" i="10" l="1"/>
  <c r="O1701" i="10"/>
  <c r="S1701" i="10" l="1"/>
  <c r="M1702" i="10"/>
  <c r="N1702" i="10"/>
  <c r="T1701" i="10"/>
  <c r="L1702" i="10" l="1"/>
  <c r="W1702" i="10" s="1"/>
  <c r="P1702" i="10" l="1"/>
  <c r="O1702" i="10"/>
  <c r="M1703" i="10" l="1"/>
  <c r="S1702" i="10"/>
  <c r="N1703" i="10"/>
  <c r="T1702" i="10"/>
  <c r="L1703" i="10" l="1"/>
  <c r="W1703" i="10" s="1"/>
  <c r="P1703" i="10" l="1"/>
  <c r="O1703" i="10"/>
  <c r="M1704" i="10" l="1"/>
  <c r="S1703" i="10"/>
  <c r="N1704" i="10"/>
  <c r="T1703" i="10"/>
  <c r="L1704" i="10" l="1"/>
  <c r="W1704" i="10" s="1"/>
  <c r="O1704" i="10" l="1"/>
  <c r="P1704" i="10"/>
  <c r="N1705" i="10" l="1"/>
  <c r="T1704" i="10"/>
  <c r="M1705" i="10"/>
  <c r="L1705" i="10" s="1"/>
  <c r="W1705" i="10" s="1"/>
  <c r="S1704" i="10"/>
  <c r="P1705" i="10" l="1"/>
  <c r="O1705" i="10"/>
  <c r="M1706" i="10" l="1"/>
  <c r="S1705" i="10"/>
  <c r="N1706" i="10"/>
  <c r="T1705" i="10"/>
  <c r="L1706" i="10" l="1"/>
  <c r="W1706" i="10" s="1"/>
  <c r="P1706" i="10" l="1"/>
  <c r="O1706" i="10"/>
  <c r="M1707" i="10" l="1"/>
  <c r="S1706" i="10"/>
  <c r="N1707" i="10"/>
  <c r="T1706" i="10"/>
  <c r="L1707" i="10" l="1"/>
  <c r="W1707" i="10" s="1"/>
  <c r="P1707" i="10" l="1"/>
  <c r="O1707" i="10"/>
  <c r="S1707" i="10" l="1"/>
  <c r="M1708" i="10"/>
  <c r="N1708" i="10"/>
  <c r="T1707" i="10"/>
  <c r="L1708" i="10" l="1"/>
  <c r="W1708" i="10" s="1"/>
  <c r="P1708" i="10" l="1"/>
  <c r="O1708" i="10"/>
  <c r="M1709" i="10" l="1"/>
  <c r="S1708" i="10"/>
  <c r="T1708" i="10"/>
  <c r="N1709" i="10"/>
  <c r="L1709" i="10" l="1"/>
  <c r="W1709" i="10" s="1"/>
  <c r="P1709" i="10" l="1"/>
  <c r="O1709" i="10"/>
  <c r="S1709" i="10" l="1"/>
  <c r="M1710" i="10"/>
  <c r="N1710" i="10"/>
  <c r="T1709" i="10"/>
  <c r="L1710" i="10" l="1"/>
  <c r="W1710" i="10" s="1"/>
  <c r="P1710" i="10" l="1"/>
  <c r="O1710" i="10"/>
  <c r="M1711" i="10" l="1"/>
  <c r="S1710" i="10"/>
  <c r="N1711" i="10"/>
  <c r="T1710" i="10"/>
  <c r="L1711" i="10" l="1"/>
  <c r="W1711" i="10" s="1"/>
  <c r="P1711" i="10" l="1"/>
  <c r="O1711" i="10"/>
  <c r="M1712" i="10" l="1"/>
  <c r="S1711" i="10"/>
  <c r="N1712" i="10"/>
  <c r="T1711" i="10"/>
  <c r="L1712" i="10" l="1"/>
  <c r="W1712" i="10" s="1"/>
  <c r="P1712" i="10" l="1"/>
  <c r="O1712" i="10"/>
  <c r="M1713" i="10" l="1"/>
  <c r="S1712" i="10"/>
  <c r="N1713" i="10"/>
  <c r="T1712" i="10"/>
  <c r="L1713" i="10" l="1"/>
  <c r="W1713" i="10" s="1"/>
  <c r="P1713" i="10" l="1"/>
  <c r="O1713" i="10"/>
  <c r="M1714" i="10" l="1"/>
  <c r="S1713" i="10"/>
  <c r="N1714" i="10"/>
  <c r="T1713" i="10"/>
  <c r="L1714" i="10" l="1"/>
  <c r="W1714" i="10" s="1"/>
  <c r="P1714" i="10" l="1"/>
  <c r="O1714" i="10"/>
  <c r="S1714" i="10" l="1"/>
  <c r="M1715" i="10"/>
  <c r="N1715" i="10"/>
  <c r="T1714" i="10"/>
  <c r="L1715" i="10" l="1"/>
  <c r="W1715" i="10" s="1"/>
  <c r="P1715" i="10"/>
  <c r="O1715" i="10" l="1"/>
  <c r="S1715" i="10" s="1"/>
  <c r="N1716" i="10"/>
  <c r="T1715" i="10"/>
  <c r="M1716" i="10"/>
  <c r="L1716" i="10" s="1"/>
  <c r="W1716" i="10" s="1"/>
  <c r="P1716" i="10" l="1"/>
  <c r="O1716" i="10"/>
  <c r="S1716" i="10" l="1"/>
  <c r="M1717" i="10"/>
  <c r="N1717" i="10"/>
  <c r="T1716" i="10"/>
  <c r="L1717" i="10" l="1"/>
  <c r="W1717" i="10" s="1"/>
  <c r="P1717" i="10" l="1"/>
  <c r="O1717" i="10"/>
  <c r="S1717" i="10" l="1"/>
  <c r="M1718" i="10"/>
  <c r="N1718" i="10"/>
  <c r="T1717" i="10"/>
  <c r="L1718" i="10" l="1"/>
  <c r="W1718" i="10" s="1"/>
  <c r="P1718" i="10" l="1"/>
  <c r="O1718" i="10"/>
  <c r="M1719" i="10" l="1"/>
  <c r="S1718" i="10"/>
  <c r="N1719" i="10"/>
  <c r="T1718" i="10"/>
  <c r="L1719" i="10" l="1"/>
  <c r="W1719" i="10" s="1"/>
  <c r="P1719" i="10" l="1"/>
  <c r="O1719" i="10"/>
  <c r="M1720" i="10" l="1"/>
  <c r="S1719" i="10"/>
  <c r="N1720" i="10"/>
  <c r="T1719" i="10"/>
  <c r="L1720" i="10" l="1"/>
  <c r="W1720" i="10" s="1"/>
  <c r="P1720" i="10" l="1"/>
  <c r="O1720" i="10"/>
  <c r="S1720" i="10" l="1"/>
  <c r="M1721" i="10"/>
  <c r="N1721" i="10"/>
  <c r="T1720" i="10"/>
  <c r="L1721" i="10" l="1"/>
  <c r="W1721" i="10" s="1"/>
  <c r="P1721" i="10" l="1"/>
  <c r="O1721" i="10"/>
  <c r="S1721" i="10" l="1"/>
  <c r="M1722" i="10"/>
  <c r="N1722" i="10"/>
  <c r="T1721" i="10"/>
  <c r="L1722" i="10" l="1"/>
  <c r="W1722" i="10" s="1"/>
  <c r="P1722" i="10" l="1"/>
  <c r="O1722" i="10"/>
  <c r="M1723" i="10" l="1"/>
  <c r="S1722" i="10"/>
  <c r="N1723" i="10"/>
  <c r="T1722" i="10"/>
  <c r="L1723" i="10" l="1"/>
  <c r="W1723" i="10" s="1"/>
  <c r="P1723" i="10" l="1"/>
  <c r="O1723" i="10"/>
  <c r="M1724" i="10" l="1"/>
  <c r="S1723" i="10"/>
  <c r="N1724" i="10"/>
  <c r="T1723" i="10"/>
  <c r="L1724" i="10" l="1"/>
  <c r="W1724" i="10" s="1"/>
  <c r="P1724" i="10" l="1"/>
  <c r="O1724" i="10"/>
  <c r="S1724" i="10" l="1"/>
  <c r="M1725" i="10"/>
  <c r="N1725" i="10"/>
  <c r="T1724" i="10"/>
  <c r="L1725" i="10" l="1"/>
  <c r="W1725" i="10" s="1"/>
  <c r="P1725" i="10" l="1"/>
  <c r="O1725" i="10"/>
  <c r="S1725" i="10" l="1"/>
  <c r="M1726" i="10"/>
  <c r="N1726" i="10"/>
  <c r="T1725" i="10"/>
  <c r="L1726" i="10" l="1"/>
  <c r="W1726" i="10" s="1"/>
  <c r="P1726" i="10" l="1"/>
  <c r="O1726" i="10"/>
  <c r="S1726" i="10" l="1"/>
  <c r="M1727" i="10"/>
  <c r="N1727" i="10"/>
  <c r="T1726" i="10"/>
  <c r="L1727" i="10" l="1"/>
  <c r="W1727" i="10" s="1"/>
  <c r="P1727" i="10" l="1"/>
  <c r="O1727" i="10"/>
  <c r="M1728" i="10" l="1"/>
  <c r="S1727" i="10"/>
  <c r="N1728" i="10"/>
  <c r="T1727" i="10"/>
  <c r="L1728" i="10" l="1"/>
  <c r="W1728" i="10" s="1"/>
  <c r="P1728" i="10" l="1"/>
  <c r="O1728" i="10"/>
  <c r="S1728" i="10" l="1"/>
  <c r="M1729" i="10"/>
  <c r="N1729" i="10"/>
  <c r="T1728" i="10"/>
  <c r="L1729" i="10" l="1"/>
  <c r="W1729" i="10" s="1"/>
  <c r="O1729" i="10" l="1"/>
  <c r="P1729" i="10"/>
  <c r="N1730" i="10" l="1"/>
  <c r="T1729" i="10"/>
  <c r="S1729" i="10"/>
  <c r="M1730" i="10"/>
  <c r="L1730" i="10" l="1"/>
  <c r="W1730" i="10" s="1"/>
  <c r="P1730" i="10"/>
  <c r="O1730" i="10"/>
  <c r="S1730" i="10" l="1"/>
  <c r="M1731" i="10"/>
  <c r="N1731" i="10"/>
  <c r="T1730" i="10"/>
  <c r="L1731" i="10" l="1"/>
  <c r="W1731" i="10" s="1"/>
  <c r="P1731" i="10" l="1"/>
  <c r="O1731" i="10"/>
  <c r="M1732" i="10" l="1"/>
  <c r="S1731" i="10"/>
  <c r="N1732" i="10"/>
  <c r="T1731" i="10"/>
  <c r="L1732" i="10" l="1"/>
  <c r="W1732" i="10" s="1"/>
  <c r="O1732" i="10" l="1"/>
  <c r="P1732" i="10"/>
  <c r="N1733" i="10" l="1"/>
  <c r="T1732" i="10"/>
  <c r="M1733" i="10"/>
  <c r="S1732" i="10"/>
  <c r="L1733" i="10" l="1"/>
  <c r="W1733" i="10" s="1"/>
  <c r="P1733" i="10"/>
  <c r="O1733" i="10"/>
  <c r="S1733" i="10" l="1"/>
  <c r="M1734" i="10"/>
  <c r="N1734" i="10"/>
  <c r="T1733" i="10"/>
  <c r="L1734" i="10" l="1"/>
  <c r="W1734" i="10" s="1"/>
  <c r="P1734" i="10"/>
  <c r="O1734" i="10"/>
  <c r="S1734" i="10" l="1"/>
  <c r="M1735" i="10"/>
  <c r="N1735" i="10"/>
  <c r="T1734" i="10"/>
  <c r="L1735" i="10" l="1"/>
  <c r="W1735" i="10" s="1"/>
  <c r="P1735" i="10" l="1"/>
  <c r="O1735" i="10"/>
  <c r="M1736" i="10" l="1"/>
  <c r="S1735" i="10"/>
  <c r="N1736" i="10"/>
  <c r="T1735" i="10"/>
  <c r="L1736" i="10" l="1"/>
  <c r="W1736" i="10" s="1"/>
  <c r="P1736" i="10" l="1"/>
  <c r="O1736" i="10"/>
  <c r="M1737" i="10" l="1"/>
  <c r="S1736" i="10"/>
  <c r="T1736" i="10"/>
  <c r="N1737" i="10"/>
  <c r="L1737" i="10" l="1"/>
  <c r="W1737" i="10" s="1"/>
  <c r="P1737" i="10" l="1"/>
  <c r="O1737" i="10"/>
  <c r="M1738" i="10" l="1"/>
  <c r="S1737" i="10"/>
  <c r="N1738" i="10"/>
  <c r="T1737" i="10"/>
  <c r="L1738" i="10" l="1"/>
  <c r="W1738" i="10" s="1"/>
  <c r="P1738" i="10" l="1"/>
  <c r="O1738" i="10"/>
  <c r="M1739" i="10" l="1"/>
  <c r="S1738" i="10"/>
  <c r="N1739" i="10"/>
  <c r="T1738" i="10"/>
  <c r="L1739" i="10" l="1"/>
  <c r="W1739" i="10" s="1"/>
  <c r="P1739" i="10" l="1"/>
  <c r="O1739" i="10"/>
  <c r="S1739" i="10" l="1"/>
  <c r="M1740" i="10"/>
  <c r="N1740" i="10"/>
  <c r="T1739" i="10"/>
  <c r="L1740" i="10" l="1"/>
  <c r="W1740" i="10" s="1"/>
  <c r="P1740" i="10" l="1"/>
  <c r="O1740" i="10"/>
  <c r="S1740" i="10" l="1"/>
  <c r="M1741" i="10"/>
  <c r="N1741" i="10"/>
  <c r="T1740" i="10"/>
  <c r="L1741" i="10" l="1"/>
  <c r="W1741" i="10" s="1"/>
  <c r="P1741" i="10" l="1"/>
  <c r="O1741" i="10"/>
  <c r="S1741" i="10" l="1"/>
  <c r="M1742" i="10"/>
  <c r="N1742" i="10"/>
  <c r="T1741" i="10"/>
  <c r="L1742" i="10" l="1"/>
  <c r="W1742" i="10" s="1"/>
  <c r="P1742" i="10" l="1"/>
  <c r="O1742" i="10"/>
  <c r="S1742" i="10" l="1"/>
  <c r="M1743" i="10"/>
  <c r="N1743" i="10"/>
  <c r="T1742" i="10"/>
  <c r="L1743" i="10" l="1"/>
  <c r="W1743" i="10" s="1"/>
  <c r="P1743" i="10" l="1"/>
  <c r="O1743" i="10"/>
  <c r="M1744" i="10" l="1"/>
  <c r="S1743" i="10"/>
  <c r="N1744" i="10"/>
  <c r="T1743" i="10"/>
  <c r="L1744" i="10" l="1"/>
  <c r="W1744" i="10" s="1"/>
  <c r="P1744" i="10" l="1"/>
  <c r="O1744" i="10"/>
  <c r="S1744" i="10" l="1"/>
  <c r="M1745" i="10"/>
  <c r="N1745" i="10"/>
  <c r="T1744" i="10"/>
  <c r="L1745" i="10" l="1"/>
  <c r="W1745" i="10" s="1"/>
  <c r="P1745" i="10" l="1"/>
  <c r="O1745" i="10"/>
  <c r="M1746" i="10" l="1"/>
  <c r="S1745" i="10"/>
  <c r="N1746" i="10"/>
  <c r="T1745" i="10"/>
  <c r="L1746" i="10" l="1"/>
  <c r="W1746" i="10" s="1"/>
  <c r="P1746" i="10" l="1"/>
  <c r="O1746" i="10"/>
  <c r="M1747" i="10" l="1"/>
  <c r="S1746" i="10"/>
  <c r="N1747" i="10"/>
  <c r="T1746" i="10"/>
  <c r="L1747" i="10" l="1"/>
  <c r="W1747" i="10" s="1"/>
  <c r="P1747" i="10" l="1"/>
  <c r="O1747" i="10"/>
  <c r="S1747" i="10" l="1"/>
  <c r="M1748" i="10"/>
  <c r="N1748" i="10"/>
  <c r="T1747" i="10"/>
  <c r="L1748" i="10" l="1"/>
  <c r="W1748" i="10" s="1"/>
  <c r="O1748" i="10" l="1"/>
  <c r="P1748" i="10"/>
  <c r="N1749" i="10" l="1"/>
  <c r="T1748" i="10"/>
  <c r="S1748" i="10"/>
  <c r="M1749" i="10"/>
  <c r="L1749" i="10" l="1"/>
  <c r="W1749" i="10" s="1"/>
  <c r="O1749" i="10"/>
  <c r="P1749" i="10"/>
  <c r="N1750" i="10" l="1"/>
  <c r="T1749" i="10"/>
  <c r="S1749" i="10"/>
  <c r="M1750" i="10"/>
  <c r="L1750" i="10" l="1"/>
  <c r="W1750" i="10" s="1"/>
  <c r="O1750" i="10"/>
  <c r="P1750" i="10"/>
  <c r="N1751" i="10" l="1"/>
  <c r="T1750" i="10"/>
  <c r="S1750" i="10"/>
  <c r="M1751" i="10"/>
  <c r="L1751" i="10" s="1"/>
  <c r="W1751" i="10" s="1"/>
  <c r="P1751" i="10" l="1"/>
  <c r="O1751" i="10"/>
  <c r="S1751" i="10" l="1"/>
  <c r="M1752" i="10"/>
  <c r="N1752" i="10"/>
  <c r="T1751" i="10"/>
  <c r="L1752" i="10" l="1"/>
  <c r="W1752" i="10" s="1"/>
  <c r="P1752" i="10" l="1"/>
  <c r="O1752" i="10"/>
  <c r="M1753" i="10" l="1"/>
  <c r="S1752" i="10"/>
  <c r="N1753" i="10"/>
  <c r="T1752" i="10"/>
  <c r="L1753" i="10" l="1"/>
  <c r="W1753" i="10" s="1"/>
  <c r="O1753" i="10" l="1"/>
  <c r="P1753" i="10"/>
  <c r="N1754" i="10" l="1"/>
  <c r="T1753" i="10"/>
  <c r="M1754" i="10"/>
  <c r="S1753" i="10"/>
  <c r="L1754" i="10" l="1"/>
  <c r="W1754" i="10" s="1"/>
  <c r="P1754" i="10"/>
  <c r="O1754" i="10"/>
  <c r="M1755" i="10" l="1"/>
  <c r="S1754" i="10"/>
  <c r="N1755" i="10"/>
  <c r="T1754" i="10"/>
  <c r="L1755" i="10" l="1"/>
  <c r="W1755" i="10" s="1"/>
  <c r="P1755" i="10" l="1"/>
  <c r="O1755" i="10"/>
  <c r="M1756" i="10" l="1"/>
  <c r="S1755" i="10"/>
  <c r="N1756" i="10"/>
  <c r="T1755" i="10"/>
  <c r="L1756" i="10" l="1"/>
  <c r="W1756" i="10" s="1"/>
  <c r="P1756" i="10" l="1"/>
  <c r="O1756" i="10"/>
  <c r="M1757" i="10" l="1"/>
  <c r="S1756" i="10"/>
  <c r="N1757" i="10"/>
  <c r="T1756" i="10"/>
  <c r="L1757" i="10" l="1"/>
  <c r="W1757" i="10" s="1"/>
  <c r="P1757" i="10" l="1"/>
  <c r="O1757" i="10"/>
  <c r="S1757" i="10" l="1"/>
  <c r="M1758" i="10"/>
  <c r="N1758" i="10"/>
  <c r="T1757" i="10"/>
  <c r="L1758" i="10" l="1"/>
  <c r="W1758" i="10" s="1"/>
  <c r="P1758" i="10" l="1"/>
  <c r="O1758" i="10"/>
  <c r="M1759" i="10" l="1"/>
  <c r="S1758" i="10"/>
  <c r="N1759" i="10"/>
  <c r="T1758" i="10"/>
  <c r="L1759" i="10" l="1"/>
  <c r="W1759" i="10" s="1"/>
  <c r="P1759" i="10" l="1"/>
  <c r="O1759" i="10"/>
  <c r="M1760" i="10" l="1"/>
  <c r="S1759" i="10"/>
  <c r="N1760" i="10"/>
  <c r="T1759" i="10"/>
  <c r="L1760" i="10" l="1"/>
  <c r="W1760" i="10" s="1"/>
  <c r="P1760" i="10" l="1"/>
  <c r="O1760" i="10"/>
  <c r="M1761" i="10" l="1"/>
  <c r="S1760" i="10"/>
  <c r="N1761" i="10"/>
  <c r="T1760" i="10"/>
  <c r="L1761" i="10" l="1"/>
  <c r="W1761" i="10" s="1"/>
  <c r="P1761" i="10" l="1"/>
  <c r="O1761" i="10"/>
  <c r="M1762" i="10" l="1"/>
  <c r="S1761" i="10"/>
  <c r="N1762" i="10"/>
  <c r="T1761" i="10"/>
  <c r="L1762" i="10" l="1"/>
  <c r="W1762" i="10" s="1"/>
  <c r="P1762" i="10" l="1"/>
  <c r="O1762" i="10"/>
  <c r="S1762" i="10" l="1"/>
  <c r="M1763" i="10"/>
  <c r="N1763" i="10"/>
  <c r="T1762" i="10"/>
  <c r="L1763" i="10" l="1"/>
  <c r="W1763" i="10" s="1"/>
  <c r="P1763" i="10" l="1"/>
  <c r="O1763" i="10"/>
  <c r="M1764" i="10" l="1"/>
  <c r="S1763" i="10"/>
  <c r="N1764" i="10"/>
  <c r="T1763" i="10"/>
  <c r="L1764" i="10" l="1"/>
  <c r="W1764" i="10" s="1"/>
  <c r="P1764" i="10" l="1"/>
  <c r="O1764" i="10"/>
  <c r="M1765" i="10" l="1"/>
  <c r="S1764" i="10"/>
  <c r="N1765" i="10"/>
  <c r="T1764" i="10"/>
  <c r="L1765" i="10" l="1"/>
  <c r="W1765" i="10" s="1"/>
  <c r="P1765" i="10" l="1"/>
  <c r="O1765" i="10"/>
  <c r="M1766" i="10" l="1"/>
  <c r="S1765" i="10"/>
  <c r="N1766" i="10"/>
  <c r="T1765" i="10"/>
  <c r="L1766" i="10" l="1"/>
  <c r="W1766" i="10" s="1"/>
  <c r="P1766" i="10" l="1"/>
  <c r="O1766" i="10"/>
  <c r="M1767" i="10" l="1"/>
  <c r="S1766" i="10"/>
  <c r="N1767" i="10"/>
  <c r="T1766" i="10"/>
  <c r="L1767" i="10" l="1"/>
  <c r="W1767" i="10" s="1"/>
  <c r="P1767" i="10" l="1"/>
  <c r="O1767" i="10"/>
  <c r="S1767" i="10" l="1"/>
  <c r="M1768" i="10"/>
  <c r="N1768" i="10"/>
  <c r="T1767" i="10"/>
  <c r="L1768" i="10" l="1"/>
  <c r="W1768" i="10" s="1"/>
  <c r="P1768" i="10" l="1"/>
  <c r="O1768" i="10"/>
  <c r="M1769" i="10" l="1"/>
  <c r="S1768" i="10"/>
  <c r="N1769" i="10"/>
  <c r="T1768" i="10"/>
  <c r="L1769" i="10" l="1"/>
  <c r="W1769" i="10" s="1"/>
  <c r="P1769" i="10" l="1"/>
  <c r="O1769" i="10"/>
  <c r="S1769" i="10" l="1"/>
  <c r="M1770" i="10"/>
  <c r="N1770" i="10"/>
  <c r="T1769" i="10"/>
  <c r="L1770" i="10" l="1"/>
  <c r="W1770" i="10" s="1"/>
  <c r="P1770" i="10" l="1"/>
  <c r="O1770" i="10"/>
  <c r="M1771" i="10" l="1"/>
  <c r="S1770" i="10"/>
  <c r="N1771" i="10"/>
  <c r="T1770" i="10"/>
  <c r="L1771" i="10" l="1"/>
  <c r="W1771" i="10" s="1"/>
  <c r="P1771" i="10" l="1"/>
  <c r="O1771" i="10"/>
  <c r="M1772" i="10" l="1"/>
  <c r="S1771" i="10"/>
  <c r="N1772" i="10"/>
  <c r="T1771" i="10"/>
  <c r="L1772" i="10" l="1"/>
  <c r="W1772" i="10" s="1"/>
  <c r="P1772" i="10" l="1"/>
  <c r="O1772" i="10"/>
  <c r="S1772" i="10" l="1"/>
  <c r="M1773" i="10"/>
  <c r="N1773" i="10"/>
  <c r="T1772" i="10"/>
  <c r="L1773" i="10" l="1"/>
  <c r="W1773" i="10" s="1"/>
  <c r="P1773" i="10" l="1"/>
  <c r="O1773" i="10"/>
  <c r="S1773" i="10" l="1"/>
  <c r="M1774" i="10"/>
  <c r="N1774" i="10"/>
  <c r="T1773" i="10"/>
  <c r="L1774" i="10" l="1"/>
  <c r="W1774" i="10" s="1"/>
  <c r="P1774" i="10" l="1"/>
  <c r="O1774" i="10"/>
  <c r="S1774" i="10" l="1"/>
  <c r="M1775" i="10"/>
  <c r="N1775" i="10"/>
  <c r="T1774" i="10"/>
  <c r="L1775" i="10" l="1"/>
  <c r="W1775" i="10" s="1"/>
  <c r="P1775" i="10" l="1"/>
  <c r="O1775" i="10"/>
  <c r="M1776" i="10" l="1"/>
  <c r="S1775" i="10"/>
  <c r="N1776" i="10"/>
  <c r="T1775" i="10"/>
  <c r="L1776" i="10" l="1"/>
  <c r="W1776" i="10" s="1"/>
  <c r="P1776" i="10" l="1"/>
  <c r="O1776" i="10"/>
  <c r="S1776" i="10" l="1"/>
  <c r="M1777" i="10"/>
  <c r="N1777" i="10"/>
  <c r="T1776" i="10"/>
  <c r="L1777" i="10" l="1"/>
  <c r="W1777" i="10" s="1"/>
  <c r="P1777" i="10" l="1"/>
  <c r="O1777" i="10"/>
  <c r="S1777" i="10" l="1"/>
  <c r="M1778" i="10"/>
  <c r="N1778" i="10"/>
  <c r="T1777" i="10"/>
  <c r="L1778" i="10" l="1"/>
  <c r="W1778" i="10" s="1"/>
  <c r="P1778" i="10" l="1"/>
  <c r="O1778" i="10"/>
  <c r="S1778" i="10" l="1"/>
  <c r="M1779" i="10"/>
  <c r="N1779" i="10"/>
  <c r="T1778" i="10"/>
  <c r="L1779" i="10" l="1"/>
  <c r="W1779" i="10" s="1"/>
  <c r="O1779" i="10" l="1"/>
  <c r="P1779" i="10"/>
  <c r="N1780" i="10" l="1"/>
  <c r="T1779" i="10"/>
  <c r="M1780" i="10"/>
  <c r="L1780" i="10" s="1"/>
  <c r="W1780" i="10" s="1"/>
  <c r="S1779" i="10"/>
  <c r="P1780" i="10" l="1"/>
  <c r="O1780" i="10"/>
  <c r="S1780" i="10" l="1"/>
  <c r="M1781" i="10"/>
  <c r="N1781" i="10"/>
  <c r="T1780" i="10"/>
  <c r="L1781" i="10" l="1"/>
  <c r="W1781" i="10" s="1"/>
  <c r="P1781" i="10" l="1"/>
  <c r="O1781" i="10"/>
  <c r="S1781" i="10" l="1"/>
  <c r="M1782" i="10"/>
  <c r="T1781" i="10"/>
  <c r="N1782" i="10"/>
  <c r="L1782" i="10" l="1"/>
  <c r="W1782" i="10" s="1"/>
  <c r="P1782" i="10" l="1"/>
  <c r="O1782" i="10"/>
  <c r="M1783" i="10" l="1"/>
  <c r="S1782" i="10"/>
  <c r="N1783" i="10"/>
  <c r="T1782" i="10"/>
  <c r="L1783" i="10" l="1"/>
  <c r="W1783" i="10" s="1"/>
  <c r="P1783" i="10" l="1"/>
  <c r="O1783" i="10"/>
  <c r="M1784" i="10" l="1"/>
  <c r="S1783" i="10"/>
  <c r="N1784" i="10"/>
  <c r="T1783" i="10"/>
  <c r="L1784" i="10" l="1"/>
  <c r="P1784" i="10" s="1"/>
  <c r="O1784" i="10" l="1"/>
  <c r="S1784" i="10" s="1"/>
  <c r="W1784" i="10"/>
  <c r="M1785" i="10"/>
  <c r="N1785" i="10"/>
  <c r="T1784" i="10"/>
  <c r="L1785" i="10" l="1"/>
  <c r="W1785" i="10" s="1"/>
  <c r="P1785" i="10" l="1"/>
  <c r="O1785" i="10"/>
  <c r="M1786" i="10" l="1"/>
  <c r="S1785" i="10"/>
  <c r="N1786" i="10"/>
  <c r="T1785" i="10"/>
  <c r="L1786" i="10" l="1"/>
  <c r="W1786" i="10" s="1"/>
  <c r="P1786" i="10" l="1"/>
  <c r="O1786" i="10"/>
  <c r="M1787" i="10" l="1"/>
  <c r="S1786" i="10"/>
  <c r="N1787" i="10"/>
  <c r="T1786" i="10"/>
  <c r="L1787" i="10" l="1"/>
  <c r="W1787" i="10" s="1"/>
  <c r="P1787" i="10" l="1"/>
  <c r="O1787" i="10"/>
  <c r="S1787" i="10" l="1"/>
  <c r="M1788" i="10"/>
  <c r="N1788" i="10"/>
  <c r="T1787" i="10"/>
  <c r="L1788" i="10" l="1"/>
  <c r="W1788" i="10" s="1"/>
  <c r="O1788" i="10" l="1"/>
  <c r="P1788" i="10"/>
  <c r="N1789" i="10" l="1"/>
  <c r="T1788" i="10"/>
  <c r="S1788" i="10"/>
  <c r="M1789" i="10"/>
  <c r="L1789" i="10" l="1"/>
  <c r="P1789" i="10" l="1"/>
  <c r="N1790" i="10" s="1"/>
  <c r="W1789" i="10"/>
  <c r="O1789" i="10"/>
  <c r="S1789" i="10" s="1"/>
  <c r="T1789" i="10" l="1"/>
  <c r="M1790" i="10"/>
  <c r="L1790" i="10" s="1"/>
  <c r="W1790" i="10" s="1"/>
  <c r="P1790" i="10" l="1"/>
  <c r="O1790" i="10"/>
  <c r="M1791" i="10" l="1"/>
  <c r="S1790" i="10"/>
  <c r="N1791" i="10"/>
  <c r="T1790" i="10"/>
  <c r="L1791" i="10" l="1"/>
  <c r="W1791" i="10" s="1"/>
  <c r="P1791" i="10" l="1"/>
  <c r="O1791" i="10"/>
  <c r="M1792" i="10" l="1"/>
  <c r="S1791" i="10"/>
  <c r="N1792" i="10"/>
  <c r="T1791" i="10"/>
  <c r="L1792" i="10" l="1"/>
  <c r="W1792" i="10" s="1"/>
  <c r="P1792" i="10" l="1"/>
  <c r="O1792" i="10"/>
  <c r="M1793" i="10" l="1"/>
  <c r="S1792" i="10"/>
  <c r="N1793" i="10"/>
  <c r="T1792" i="10"/>
  <c r="L1793" i="10" l="1"/>
  <c r="W1793" i="10" s="1"/>
  <c r="P1793" i="10" l="1"/>
  <c r="O1793" i="10"/>
  <c r="S1793" i="10" l="1"/>
  <c r="M1794" i="10"/>
  <c r="N1794" i="10"/>
  <c r="T1793" i="10"/>
  <c r="L1794" i="10" l="1"/>
  <c r="W1794" i="10" s="1"/>
  <c r="P1794" i="10" l="1"/>
  <c r="O1794" i="10"/>
  <c r="M1795" i="10" l="1"/>
  <c r="S1794" i="10"/>
  <c r="N1795" i="10"/>
  <c r="T1794" i="10"/>
  <c r="L1795" i="10" l="1"/>
  <c r="W1795" i="10" s="1"/>
  <c r="O1795" i="10" l="1"/>
  <c r="P1795" i="10"/>
  <c r="N1796" i="10" l="1"/>
  <c r="T1795" i="10"/>
  <c r="S1795" i="10"/>
  <c r="M1796" i="10"/>
  <c r="L1796" i="10" s="1"/>
  <c r="W1796" i="10" s="1"/>
  <c r="P1796" i="10" l="1"/>
  <c r="O1796" i="10"/>
  <c r="S1796" i="10" l="1"/>
  <c r="M1797" i="10"/>
  <c r="N1797" i="10"/>
  <c r="T1796" i="10"/>
  <c r="L1797" i="10" l="1"/>
  <c r="W1797" i="10" s="1"/>
  <c r="P1797" i="10" l="1"/>
  <c r="O1797" i="10"/>
  <c r="M1798" i="10" l="1"/>
  <c r="S1797" i="10"/>
  <c r="N1798" i="10"/>
  <c r="T1797" i="10"/>
  <c r="L1798" i="10" l="1"/>
  <c r="W1798" i="10" s="1"/>
  <c r="P1798" i="10" l="1"/>
  <c r="O1798" i="10"/>
  <c r="S1798" i="10" l="1"/>
  <c r="M1799" i="10"/>
  <c r="N1799" i="10"/>
  <c r="T1798" i="10"/>
  <c r="L1799" i="10" l="1"/>
  <c r="W1799" i="10" s="1"/>
  <c r="O1799" i="10" l="1"/>
  <c r="P1799" i="10"/>
  <c r="N1800" i="10" l="1"/>
  <c r="T1799" i="10"/>
  <c r="S1799" i="10"/>
  <c r="M1800" i="10"/>
  <c r="L1800" i="10" l="1"/>
  <c r="W1800" i="10" s="1"/>
  <c r="P1800" i="10"/>
  <c r="O1800" i="10"/>
  <c r="M1801" i="10" l="1"/>
  <c r="S1800" i="10"/>
  <c r="N1801" i="10"/>
  <c r="T1800" i="10"/>
  <c r="L1801" i="10" l="1"/>
  <c r="W1801" i="10" s="1"/>
  <c r="P1801" i="10" l="1"/>
  <c r="O1801" i="10"/>
  <c r="M1802" i="10" l="1"/>
  <c r="S1801" i="10"/>
  <c r="N1802" i="10"/>
  <c r="T1801" i="10"/>
  <c r="L1802" i="10" l="1"/>
  <c r="W1802" i="10" s="1"/>
  <c r="P1802" i="10" l="1"/>
  <c r="O1802" i="10"/>
  <c r="M1803" i="10" l="1"/>
  <c r="S1802" i="10"/>
  <c r="T1802" i="10"/>
  <c r="N1803" i="10"/>
  <c r="L1803" i="10" l="1"/>
  <c r="W1803" i="10" s="1"/>
  <c r="P1803" i="10" l="1"/>
  <c r="O1803" i="10"/>
  <c r="M1804" i="10" l="1"/>
  <c r="S1803" i="10"/>
  <c r="N1804" i="10"/>
  <c r="T1803" i="10"/>
  <c r="L1804" i="10" l="1"/>
  <c r="W1804" i="10" s="1"/>
  <c r="P1804" i="10" l="1"/>
  <c r="O1804" i="10"/>
  <c r="M1805" i="10" l="1"/>
  <c r="S1804" i="10"/>
  <c r="N1805" i="10"/>
  <c r="T1804" i="10"/>
  <c r="L1805" i="10" l="1"/>
  <c r="W1805" i="10" s="1"/>
  <c r="P1805" i="10" l="1"/>
  <c r="O1805" i="10"/>
  <c r="M1806" i="10" l="1"/>
  <c r="S1805" i="10"/>
  <c r="N1806" i="10"/>
  <c r="T1805" i="10"/>
  <c r="L1806" i="10" l="1"/>
  <c r="W1806" i="10" s="1"/>
  <c r="P1806" i="10" l="1"/>
  <c r="O1806" i="10"/>
  <c r="M1807" i="10" l="1"/>
  <c r="S1806" i="10"/>
  <c r="N1807" i="10"/>
  <c r="T1806" i="10"/>
  <c r="L1807" i="10" l="1"/>
  <c r="W1807" i="10" s="1"/>
  <c r="P1807" i="10" l="1"/>
  <c r="O1807" i="10"/>
  <c r="M1808" i="10" l="1"/>
  <c r="S1807" i="10"/>
  <c r="N1808" i="10"/>
  <c r="T1807" i="10"/>
  <c r="L1808" i="10" l="1"/>
  <c r="W1808" i="10" s="1"/>
  <c r="P1808" i="10" l="1"/>
  <c r="O1808" i="10"/>
  <c r="M1809" i="10" l="1"/>
  <c r="S1808" i="10"/>
  <c r="N1809" i="10"/>
  <c r="T1808" i="10"/>
  <c r="L1809" i="10" l="1"/>
  <c r="W1809" i="10" s="1"/>
  <c r="O1809" i="10" l="1"/>
  <c r="P1809" i="10"/>
  <c r="N1810" i="10" l="1"/>
  <c r="T1809" i="10"/>
  <c r="S1809" i="10"/>
  <c r="M1810" i="10"/>
  <c r="L1810" i="10" l="1"/>
  <c r="W1810" i="10" s="1"/>
  <c r="P1810" i="10"/>
  <c r="O1810" i="10"/>
  <c r="M1811" i="10" l="1"/>
  <c r="S1810" i="10"/>
  <c r="N1811" i="10"/>
  <c r="T1810" i="10"/>
  <c r="L1811" i="10" l="1"/>
  <c r="W1811" i="10" s="1"/>
  <c r="P1811" i="10" l="1"/>
  <c r="O1811" i="10"/>
  <c r="S1811" i="10" l="1"/>
  <c r="M1812" i="10"/>
  <c r="N1812" i="10"/>
  <c r="T1811" i="10"/>
  <c r="L1812" i="10" l="1"/>
  <c r="W1812" i="10" s="1"/>
  <c r="O1812" i="10" l="1"/>
  <c r="P1812" i="10"/>
  <c r="N1813" i="10" l="1"/>
  <c r="T1812" i="10"/>
  <c r="S1812" i="10"/>
  <c r="M1813" i="10"/>
  <c r="L1813" i="10" s="1"/>
  <c r="W1813" i="10" s="1"/>
  <c r="P1813" i="10" l="1"/>
  <c r="O1813" i="10"/>
  <c r="M1814" i="10" l="1"/>
  <c r="S1813" i="10"/>
  <c r="N1814" i="10"/>
  <c r="T1813" i="10"/>
  <c r="L1814" i="10" l="1"/>
  <c r="W1814" i="10" s="1"/>
  <c r="P1814" i="10" l="1"/>
  <c r="O1814" i="10"/>
  <c r="M1815" i="10" l="1"/>
  <c r="S1814" i="10"/>
  <c r="N1815" i="10"/>
  <c r="T1814" i="10"/>
  <c r="L1815" i="10" l="1"/>
  <c r="W1815" i="10" s="1"/>
  <c r="P1815" i="10" l="1"/>
  <c r="O1815" i="10"/>
  <c r="M1816" i="10" l="1"/>
  <c r="S1815" i="10"/>
  <c r="N1816" i="10"/>
  <c r="T1815" i="10"/>
  <c r="L1816" i="10" l="1"/>
  <c r="W1816" i="10" s="1"/>
  <c r="P1816" i="10" l="1"/>
  <c r="O1816" i="10"/>
  <c r="M1817" i="10" l="1"/>
  <c r="S1816" i="10"/>
  <c r="N1817" i="10"/>
  <c r="T1816" i="10"/>
  <c r="L1817" i="10" l="1"/>
  <c r="W1817" i="10" s="1"/>
  <c r="P1817" i="10" l="1"/>
  <c r="O1817" i="10"/>
  <c r="S1817" i="10" l="1"/>
  <c r="M1818" i="10"/>
  <c r="N1818" i="10"/>
  <c r="T1817" i="10"/>
  <c r="L1818" i="10" l="1"/>
  <c r="W1818" i="10" s="1"/>
  <c r="P1818" i="10" l="1"/>
  <c r="O1818" i="10"/>
  <c r="M1819" i="10" l="1"/>
  <c r="S1818" i="10"/>
  <c r="N1819" i="10"/>
  <c r="T1818" i="10"/>
  <c r="L1819" i="10" l="1"/>
  <c r="W1819" i="10" s="1"/>
  <c r="P1819" i="10" l="1"/>
  <c r="O1819" i="10"/>
  <c r="S1819" i="10" l="1"/>
  <c r="M1820" i="10"/>
  <c r="N1820" i="10"/>
  <c r="T1819" i="10"/>
  <c r="L1820" i="10" l="1"/>
  <c r="W1820" i="10" s="1"/>
  <c r="P1820" i="10" l="1"/>
  <c r="O1820" i="10"/>
  <c r="S1820" i="10" l="1"/>
  <c r="M1821" i="10"/>
  <c r="N1821" i="10"/>
  <c r="T1820" i="10"/>
  <c r="L1821" i="10" l="1"/>
  <c r="W1821" i="10" s="1"/>
  <c r="P1821" i="10" l="1"/>
  <c r="O1821" i="10"/>
  <c r="S1821" i="10" l="1"/>
  <c r="M1822" i="10"/>
  <c r="T1821" i="10"/>
  <c r="N1822" i="10"/>
  <c r="L1822" i="10" l="1"/>
  <c r="W1822" i="10" s="1"/>
  <c r="P1822" i="10" l="1"/>
  <c r="O1822" i="10"/>
  <c r="S1822" i="10" l="1"/>
  <c r="M1823" i="10"/>
  <c r="N1823" i="10"/>
  <c r="T1822" i="10"/>
  <c r="L1823" i="10" l="1"/>
  <c r="W1823" i="10" s="1"/>
  <c r="O1823" i="10"/>
  <c r="P1823" i="10"/>
  <c r="N1824" i="10" l="1"/>
  <c r="T1823" i="10"/>
  <c r="S1823" i="10"/>
  <c r="M1824" i="10"/>
  <c r="L1824" i="10" l="1"/>
  <c r="W1824" i="10" s="1"/>
  <c r="O1824" i="10"/>
  <c r="P1824" i="10"/>
  <c r="N1825" i="10" l="1"/>
  <c r="T1824" i="10"/>
  <c r="S1824" i="10"/>
  <c r="M1825" i="10"/>
  <c r="L1825" i="10" s="1"/>
  <c r="W1825" i="10" s="1"/>
  <c r="P1825" i="10" l="1"/>
  <c r="O1825" i="10"/>
  <c r="S1825" i="10" l="1"/>
  <c r="M1826" i="10"/>
  <c r="N1826" i="10"/>
  <c r="T1825" i="10"/>
  <c r="L1826" i="10" l="1"/>
  <c r="W1826" i="10" s="1"/>
  <c r="P1826" i="10" l="1"/>
  <c r="O1826" i="10"/>
  <c r="S1826" i="10" l="1"/>
  <c r="M1827" i="10"/>
  <c r="N1827" i="10"/>
  <c r="T1826" i="10"/>
  <c r="L1827" i="10" l="1"/>
  <c r="W1827" i="10" s="1"/>
  <c r="P1827" i="10" l="1"/>
  <c r="O1827" i="10"/>
  <c r="M1828" i="10" l="1"/>
  <c r="S1827" i="10"/>
  <c r="N1828" i="10"/>
  <c r="T1827" i="10"/>
  <c r="L1828" i="10" l="1"/>
  <c r="W1828" i="10" s="1"/>
  <c r="P1828" i="10" l="1"/>
  <c r="O1828" i="10"/>
  <c r="M1829" i="10" l="1"/>
  <c r="S1828" i="10"/>
  <c r="N1829" i="10"/>
  <c r="T1828" i="10"/>
  <c r="L1829" i="10" l="1"/>
  <c r="W1829" i="10" s="1"/>
  <c r="P1829" i="10" l="1"/>
  <c r="O1829" i="10"/>
  <c r="M1830" i="10" l="1"/>
  <c r="S1829" i="10"/>
  <c r="N1830" i="10"/>
  <c r="T1829" i="10"/>
  <c r="L1830" i="10" l="1"/>
  <c r="W1830" i="10" s="1"/>
  <c r="P1830" i="10" l="1"/>
  <c r="O1830" i="10"/>
  <c r="M1831" i="10" l="1"/>
  <c r="S1830" i="10"/>
  <c r="N1831" i="10"/>
  <c r="T1830" i="10"/>
  <c r="L1831" i="10" l="1"/>
  <c r="W1831" i="10" s="1"/>
  <c r="P1831" i="10" l="1"/>
  <c r="O1831" i="10"/>
  <c r="S1831" i="10" l="1"/>
  <c r="M1832" i="10"/>
  <c r="N1832" i="10"/>
  <c r="T1831" i="10"/>
  <c r="L1832" i="10" l="1"/>
  <c r="W1832" i="10" s="1"/>
  <c r="O1832" i="10" l="1"/>
  <c r="P1832" i="10"/>
  <c r="N1833" i="10" l="1"/>
  <c r="T1832" i="10"/>
  <c r="S1832" i="10"/>
  <c r="M1833" i="10"/>
  <c r="L1833" i="10" l="1"/>
  <c r="W1833" i="10" s="1"/>
  <c r="P1833" i="10"/>
  <c r="O1833" i="10"/>
  <c r="S1833" i="10" l="1"/>
  <c r="M1834" i="10"/>
  <c r="T1833" i="10"/>
  <c r="N1834" i="10"/>
  <c r="L1834" i="10" l="1"/>
  <c r="W1834" i="10" s="1"/>
  <c r="O1834" i="10" l="1"/>
  <c r="P1834" i="10"/>
  <c r="N1835" i="10" l="1"/>
  <c r="T1834" i="10"/>
  <c r="S1834" i="10"/>
  <c r="M1835" i="10"/>
  <c r="L1835" i="10" s="1"/>
  <c r="W1835" i="10" s="1"/>
  <c r="P1835" i="10" l="1"/>
  <c r="O1835" i="10"/>
  <c r="S1835" i="10" l="1"/>
  <c r="M1836" i="10"/>
  <c r="N1836" i="10"/>
  <c r="T1835" i="10"/>
  <c r="L1836" i="10" l="1"/>
  <c r="W1836" i="10" s="1"/>
  <c r="P1836" i="10" l="1"/>
  <c r="O1836" i="10"/>
  <c r="M1837" i="10" l="1"/>
  <c r="S1836" i="10"/>
  <c r="N1837" i="10"/>
  <c r="T1836" i="10"/>
  <c r="L1837" i="10" l="1"/>
  <c r="W1837" i="10" s="1"/>
  <c r="O1837" i="10" l="1"/>
  <c r="P1837" i="10"/>
  <c r="N1838" i="10" l="1"/>
  <c r="T1837" i="10"/>
  <c r="M1838" i="10"/>
  <c r="S1837" i="10"/>
  <c r="L1838" i="10" l="1"/>
  <c r="W1838" i="10" s="1"/>
  <c r="P1838" i="10"/>
  <c r="O1838" i="10"/>
  <c r="M1839" i="10" l="1"/>
  <c r="S1838" i="10"/>
  <c r="N1839" i="10"/>
  <c r="T1838" i="10"/>
  <c r="L1839" i="10" l="1"/>
  <c r="W1839" i="10" s="1"/>
  <c r="P1839" i="10" l="1"/>
  <c r="O1839" i="10"/>
  <c r="M1840" i="10" l="1"/>
  <c r="S1839" i="10"/>
  <c r="N1840" i="10"/>
  <c r="T1839" i="10"/>
  <c r="L1840" i="10" l="1"/>
  <c r="W1840" i="10" s="1"/>
  <c r="O1840" i="10" l="1"/>
  <c r="P1840" i="10"/>
  <c r="N1841" i="10" l="1"/>
  <c r="T1840" i="10"/>
  <c r="M1841" i="10"/>
  <c r="L1841" i="10" s="1"/>
  <c r="W1841" i="10" s="1"/>
  <c r="S1840" i="10"/>
  <c r="P1841" i="10" l="1"/>
  <c r="O1841" i="10"/>
  <c r="S1841" i="10" l="1"/>
  <c r="M1842" i="10"/>
  <c r="N1842" i="10"/>
  <c r="T1841" i="10"/>
  <c r="L1842" i="10" l="1"/>
  <c r="W1842" i="10" s="1"/>
  <c r="P1842" i="10" l="1"/>
  <c r="O1842" i="10"/>
  <c r="S1842" i="10" l="1"/>
  <c r="M1843" i="10"/>
  <c r="N1843" i="10"/>
  <c r="T1842" i="10"/>
  <c r="L1843" i="10" l="1"/>
  <c r="W1843" i="10" s="1"/>
  <c r="O1843" i="10" l="1"/>
  <c r="P1843" i="10"/>
  <c r="N1844" i="10" l="1"/>
  <c r="T1843" i="10"/>
  <c r="S1843" i="10"/>
  <c r="M1844" i="10"/>
  <c r="L1844" i="10" l="1"/>
  <c r="W1844" i="10" s="1"/>
  <c r="P1844" i="10"/>
  <c r="O1844" i="10"/>
  <c r="S1844" i="10" l="1"/>
  <c r="M1845" i="10"/>
  <c r="N1845" i="10"/>
  <c r="T1844" i="10"/>
  <c r="L1845" i="10" l="1"/>
  <c r="W1845" i="10" s="1"/>
  <c r="P1845" i="10" l="1"/>
  <c r="O1845" i="10"/>
  <c r="S1845" i="10" l="1"/>
  <c r="M1846" i="10"/>
  <c r="N1846" i="10"/>
  <c r="T1845" i="10"/>
  <c r="L1846" i="10" l="1"/>
  <c r="W1846" i="10" s="1"/>
  <c r="P1846" i="10"/>
  <c r="O1846" i="10"/>
  <c r="S1846" i="10" l="1"/>
  <c r="M1847" i="10"/>
  <c r="N1847" i="10"/>
  <c r="T1846" i="10"/>
  <c r="L1847" i="10" l="1"/>
  <c r="W1847" i="10" s="1"/>
  <c r="O1847" i="10" l="1"/>
  <c r="P1847" i="10"/>
  <c r="N1848" i="10" l="1"/>
  <c r="T1847" i="10"/>
  <c r="S1847" i="10"/>
  <c r="M1848" i="10"/>
  <c r="L1848" i="10" s="1"/>
  <c r="W1848" i="10" s="1"/>
  <c r="P1848" i="10" l="1"/>
  <c r="O1848" i="10"/>
  <c r="M1849" i="10" l="1"/>
  <c r="S1848" i="10"/>
  <c r="N1849" i="10"/>
  <c r="T1848" i="10"/>
  <c r="L1849" i="10" l="1"/>
  <c r="W1849" i="10" s="1"/>
  <c r="P1849" i="10" l="1"/>
  <c r="O1849" i="10"/>
  <c r="S1849" i="10" l="1"/>
  <c r="M1850" i="10"/>
  <c r="N1850" i="10"/>
  <c r="T1849" i="10"/>
  <c r="L1850" i="10" l="1"/>
  <c r="W1850" i="10" s="1"/>
  <c r="P1850" i="10" l="1"/>
  <c r="O1850" i="10"/>
  <c r="S1850" i="10" l="1"/>
  <c r="M1851" i="10"/>
  <c r="N1851" i="10"/>
  <c r="T1850" i="10"/>
  <c r="L1851" i="10" l="1"/>
  <c r="W1851" i="10" s="1"/>
  <c r="P1851" i="10" l="1"/>
  <c r="O1851" i="10"/>
  <c r="M1852" i="10" l="1"/>
  <c r="S1851" i="10"/>
  <c r="T1851" i="10"/>
  <c r="N1852" i="10"/>
  <c r="L1852" i="10" l="1"/>
  <c r="W1852" i="10" s="1"/>
  <c r="P1852" i="10" l="1"/>
  <c r="O1852" i="10"/>
  <c r="S1852" i="10" l="1"/>
  <c r="M1853" i="10"/>
  <c r="N1853" i="10"/>
  <c r="T1852" i="10"/>
  <c r="L1853" i="10" l="1"/>
  <c r="W1853" i="10" s="1"/>
  <c r="O1853" i="10" l="1"/>
  <c r="P1853" i="10"/>
  <c r="N1854" i="10" l="1"/>
  <c r="T1853" i="10"/>
  <c r="M1854" i="10"/>
  <c r="S1853" i="10"/>
  <c r="L1854" i="10" l="1"/>
  <c r="W1854" i="10" s="1"/>
  <c r="P1854" i="10"/>
  <c r="O1854" i="10"/>
  <c r="M1855" i="10" l="1"/>
  <c r="S1854" i="10"/>
  <c r="N1855" i="10"/>
  <c r="T1854" i="10"/>
  <c r="L1855" i="10" l="1"/>
  <c r="W1855" i="10" s="1"/>
  <c r="P1855" i="10" l="1"/>
  <c r="O1855" i="10"/>
  <c r="M1856" i="10" l="1"/>
  <c r="S1855" i="10"/>
  <c r="N1856" i="10"/>
  <c r="T1855" i="10"/>
  <c r="L1856" i="10" l="1"/>
  <c r="W1856" i="10" s="1"/>
  <c r="P1856" i="10" l="1"/>
  <c r="O1856" i="10"/>
  <c r="S1856" i="10" l="1"/>
  <c r="M1857" i="10"/>
  <c r="N1857" i="10"/>
  <c r="T1856" i="10"/>
  <c r="L1857" i="10" l="1"/>
  <c r="W1857" i="10" s="1"/>
  <c r="P1857" i="10" l="1"/>
  <c r="O1857" i="10"/>
  <c r="M1858" i="10" l="1"/>
  <c r="S1857" i="10"/>
  <c r="N1858" i="10"/>
  <c r="T1857" i="10"/>
  <c r="L1858" i="10" l="1"/>
  <c r="W1858" i="10" s="1"/>
  <c r="P1858" i="10" l="1"/>
  <c r="O1858" i="10"/>
  <c r="M1859" i="10" l="1"/>
  <c r="S1858" i="10"/>
  <c r="N1859" i="10"/>
  <c r="T1858" i="10"/>
  <c r="L1859" i="10" l="1"/>
  <c r="W1859" i="10" s="1"/>
  <c r="P1859" i="10" l="1"/>
  <c r="O1859" i="10"/>
  <c r="M1860" i="10" l="1"/>
  <c r="S1859" i="10"/>
  <c r="N1860" i="10"/>
  <c r="T1859" i="10"/>
  <c r="L1860" i="10" l="1"/>
  <c r="W1860" i="10" s="1"/>
  <c r="P1860" i="10" l="1"/>
  <c r="O1860" i="10"/>
  <c r="M1861" i="10" l="1"/>
  <c r="S1860" i="10"/>
  <c r="N1861" i="10"/>
  <c r="T1860" i="10"/>
  <c r="L1861" i="10" l="1"/>
  <c r="W1861" i="10" s="1"/>
  <c r="P1861" i="10" l="1"/>
  <c r="O1861" i="10"/>
  <c r="S1861" i="10" l="1"/>
  <c r="M1862" i="10"/>
  <c r="N1862" i="10"/>
  <c r="T1861" i="10"/>
  <c r="L1862" i="10" l="1"/>
  <c r="W1862" i="10" s="1"/>
  <c r="P1862" i="10" l="1"/>
  <c r="O1862" i="10"/>
  <c r="S1862" i="10" l="1"/>
  <c r="M1863" i="10"/>
  <c r="N1863" i="10"/>
  <c r="T1862" i="10"/>
  <c r="L1863" i="10" l="1"/>
  <c r="W1863" i="10" s="1"/>
  <c r="O1863" i="10" l="1"/>
  <c r="P1863" i="10"/>
  <c r="N1864" i="10" l="1"/>
  <c r="T1863" i="10"/>
  <c r="S1863" i="10"/>
  <c r="M1864" i="10"/>
  <c r="L1864" i="10" s="1"/>
  <c r="W1864" i="10" s="1"/>
  <c r="P1864" i="10" l="1"/>
  <c r="O1864" i="10"/>
  <c r="M1865" i="10" l="1"/>
  <c r="S1864" i="10"/>
  <c r="N1865" i="10"/>
  <c r="T1864" i="10"/>
  <c r="L1865" i="10" l="1"/>
  <c r="W1865" i="10" s="1"/>
  <c r="P1865" i="10" l="1"/>
  <c r="O1865" i="10"/>
  <c r="M1866" i="10" l="1"/>
  <c r="S1865" i="10"/>
  <c r="N1866" i="10"/>
  <c r="T1865" i="10"/>
  <c r="L1866" i="10" l="1"/>
  <c r="W1866" i="10" s="1"/>
  <c r="P1866" i="10" l="1"/>
  <c r="O1866" i="10"/>
  <c r="M1867" i="10" l="1"/>
  <c r="S1866" i="10"/>
  <c r="N1867" i="10"/>
  <c r="T1866" i="10"/>
  <c r="L1867" i="10" l="1"/>
  <c r="W1867" i="10" s="1"/>
  <c r="P1867" i="10" l="1"/>
  <c r="O1867" i="10"/>
  <c r="S1867" i="10" l="1"/>
  <c r="M1868" i="10"/>
  <c r="N1868" i="10"/>
  <c r="T1867" i="10"/>
  <c r="L1868" i="10" l="1"/>
  <c r="W1868" i="10" s="1"/>
  <c r="P1868" i="10"/>
  <c r="O1868" i="10"/>
  <c r="M1869" i="10" l="1"/>
  <c r="S1868" i="10"/>
  <c r="T1868" i="10"/>
  <c r="N1869" i="10"/>
  <c r="L1869" i="10" l="1"/>
  <c r="W1869" i="10" s="1"/>
  <c r="P1869" i="10" l="1"/>
  <c r="O1869" i="10"/>
  <c r="M1870" i="10" l="1"/>
  <c r="S1869" i="10"/>
  <c r="T1869" i="10"/>
  <c r="N1870" i="10"/>
  <c r="L1870" i="10" l="1"/>
  <c r="W1870" i="10" s="1"/>
  <c r="P1870" i="10" l="1"/>
  <c r="O1870" i="10"/>
  <c r="M1871" i="10" l="1"/>
  <c r="S1870" i="10"/>
  <c r="N1871" i="10"/>
  <c r="T1870" i="10"/>
  <c r="L1871" i="10" l="1"/>
  <c r="W1871" i="10" s="1"/>
  <c r="P1871" i="10" l="1"/>
  <c r="O1871" i="10"/>
  <c r="S1871" i="10" l="1"/>
  <c r="M1872" i="10"/>
  <c r="N1872" i="10"/>
  <c r="T1871" i="10"/>
  <c r="L1872" i="10" l="1"/>
  <c r="W1872" i="10" s="1"/>
  <c r="P1872" i="10" l="1"/>
  <c r="O1872" i="10"/>
  <c r="S1872" i="10" l="1"/>
  <c r="M1873" i="10"/>
  <c r="N1873" i="10"/>
  <c r="T1872" i="10"/>
  <c r="L1873" i="10" l="1"/>
  <c r="W1873" i="10" s="1"/>
  <c r="P1873" i="10" l="1"/>
  <c r="O1873" i="10"/>
  <c r="M1874" i="10" l="1"/>
  <c r="S1873" i="10"/>
  <c r="N1874" i="10"/>
  <c r="T1873" i="10"/>
  <c r="L1874" i="10" l="1"/>
  <c r="W1874" i="10" s="1"/>
  <c r="O1874" i="10" l="1"/>
  <c r="P1874" i="10"/>
  <c r="N1875" i="10" l="1"/>
  <c r="T1874" i="10"/>
  <c r="M1875" i="10"/>
  <c r="L1875" i="10" s="1"/>
  <c r="W1875" i="10" s="1"/>
  <c r="S1874" i="10"/>
  <c r="P1875" i="10" l="1"/>
  <c r="O1875" i="10"/>
  <c r="M1876" i="10" l="1"/>
  <c r="S1875" i="10"/>
  <c r="N1876" i="10"/>
  <c r="T1875" i="10"/>
  <c r="L1876" i="10" l="1"/>
  <c r="W1876" i="10" s="1"/>
  <c r="P1876" i="10" l="1"/>
  <c r="O1876" i="10"/>
  <c r="M1877" i="10" l="1"/>
  <c r="S1876" i="10"/>
  <c r="N1877" i="10"/>
  <c r="T1876" i="10"/>
  <c r="L1877" i="10" l="1"/>
  <c r="W1877" i="10" s="1"/>
  <c r="P1877" i="10" l="1"/>
  <c r="O1877" i="10"/>
  <c r="S1877" i="10" l="1"/>
  <c r="M1878" i="10"/>
  <c r="N1878" i="10"/>
  <c r="T1877" i="10"/>
  <c r="L1878" i="10" l="1"/>
  <c r="W1878" i="10" s="1"/>
  <c r="O1878" i="10" l="1"/>
  <c r="P1878" i="10"/>
  <c r="N1879" i="10" l="1"/>
  <c r="T1878" i="10"/>
  <c r="M1879" i="10"/>
  <c r="S1878" i="10"/>
  <c r="L1879" i="10" l="1"/>
  <c r="W1879" i="10" s="1"/>
  <c r="P1879" i="10"/>
  <c r="O1879" i="10"/>
  <c r="M1880" i="10" l="1"/>
  <c r="S1879" i="10"/>
  <c r="N1880" i="10"/>
  <c r="T1879" i="10"/>
  <c r="L1880" i="10" l="1"/>
  <c r="W1880" i="10" s="1"/>
  <c r="P1880" i="10" l="1"/>
  <c r="O1880" i="10"/>
  <c r="M1881" i="10" l="1"/>
  <c r="S1880" i="10"/>
  <c r="N1881" i="10"/>
  <c r="T1880" i="10"/>
  <c r="L1881" i="10" l="1"/>
  <c r="W1881" i="10" s="1"/>
  <c r="P1881" i="10" l="1"/>
  <c r="O1881" i="10"/>
  <c r="S1881" i="10" l="1"/>
  <c r="M1882" i="10"/>
  <c r="N1882" i="10"/>
  <c r="T1881" i="10"/>
  <c r="L1882" i="10" l="1"/>
  <c r="W1882" i="10" s="1"/>
  <c r="P1882" i="10" l="1"/>
  <c r="O1882" i="10"/>
  <c r="S1882" i="10" l="1"/>
  <c r="M1883" i="10"/>
  <c r="N1883" i="10"/>
  <c r="T1882" i="10"/>
  <c r="L1883" i="10" l="1"/>
  <c r="W1883" i="10" s="1"/>
  <c r="P1883" i="10" l="1"/>
  <c r="O1883" i="10"/>
  <c r="S1883" i="10" l="1"/>
  <c r="M1884" i="10"/>
  <c r="N1884" i="10"/>
  <c r="T1883" i="10"/>
  <c r="L1884" i="10" l="1"/>
  <c r="W1884" i="10" s="1"/>
  <c r="P1884" i="10" l="1"/>
  <c r="O1884" i="10"/>
  <c r="S1884" i="10" l="1"/>
  <c r="M1885" i="10"/>
  <c r="N1885" i="10"/>
  <c r="T1884" i="10"/>
  <c r="L1885" i="10" l="1"/>
  <c r="W1885" i="10" s="1"/>
  <c r="P1885" i="10"/>
  <c r="O1885" i="10"/>
  <c r="M1886" i="10" l="1"/>
  <c r="S1885" i="10"/>
  <c r="N1886" i="10"/>
  <c r="T1885" i="10"/>
  <c r="L1886" i="10" l="1"/>
  <c r="W1886" i="10" s="1"/>
  <c r="P1886" i="10" l="1"/>
  <c r="O1886" i="10"/>
  <c r="M1887" i="10" l="1"/>
  <c r="S1886" i="10"/>
  <c r="N1887" i="10"/>
  <c r="T1886" i="10"/>
  <c r="L1887" i="10" l="1"/>
  <c r="W1887" i="10" s="1"/>
  <c r="P1887" i="10" l="1"/>
  <c r="O1887" i="10"/>
  <c r="S1887" i="10" l="1"/>
  <c r="M1888" i="10"/>
  <c r="N1888" i="10"/>
  <c r="T1887" i="10"/>
  <c r="L1888" i="10" l="1"/>
  <c r="W1888" i="10" s="1"/>
  <c r="P1888" i="10" l="1"/>
  <c r="O1888" i="10"/>
  <c r="M1889" i="10" l="1"/>
  <c r="S1888" i="10"/>
  <c r="N1889" i="10"/>
  <c r="T1888" i="10"/>
  <c r="L1889" i="10" l="1"/>
  <c r="W1889" i="10" s="1"/>
  <c r="P1889" i="10" l="1"/>
  <c r="O1889" i="10"/>
  <c r="M1890" i="10" l="1"/>
  <c r="S1889" i="10"/>
  <c r="N1890" i="10"/>
  <c r="T1889" i="10"/>
  <c r="L1890" i="10" l="1"/>
  <c r="W1890" i="10" s="1"/>
  <c r="P1890" i="10" l="1"/>
  <c r="O1890" i="10"/>
  <c r="S1890" i="10" l="1"/>
  <c r="M1891" i="10"/>
  <c r="N1891" i="10"/>
  <c r="T1890" i="10"/>
  <c r="L1891" i="10" l="1"/>
  <c r="W1891" i="10" s="1"/>
  <c r="P1891" i="10" l="1"/>
  <c r="O1891" i="10"/>
  <c r="M1892" i="10" l="1"/>
  <c r="S1891" i="10"/>
  <c r="N1892" i="10"/>
  <c r="T1891" i="10"/>
  <c r="L1892" i="10" l="1"/>
  <c r="W1892" i="10" s="1"/>
  <c r="P1892" i="10" l="1"/>
  <c r="O1892" i="10"/>
  <c r="S1892" i="10" l="1"/>
  <c r="M1893" i="10"/>
  <c r="N1893" i="10"/>
  <c r="T1892" i="10"/>
  <c r="L1893" i="10" l="1"/>
  <c r="W1893" i="10" s="1"/>
  <c r="P1893" i="10" l="1"/>
  <c r="O1893" i="10"/>
  <c r="M1894" i="10" l="1"/>
  <c r="S1893" i="10"/>
  <c r="N1894" i="10"/>
  <c r="T1893" i="10"/>
  <c r="L1894" i="10" l="1"/>
  <c r="W1894" i="10" s="1"/>
  <c r="P1894" i="10" l="1"/>
  <c r="O1894" i="10"/>
  <c r="S1894" i="10" l="1"/>
  <c r="M1895" i="10"/>
  <c r="T1894" i="10"/>
  <c r="N1895" i="10"/>
  <c r="L1895" i="10" l="1"/>
  <c r="W1895" i="10" s="1"/>
  <c r="P1895" i="10" l="1"/>
  <c r="O1895" i="10"/>
  <c r="M1896" i="10" l="1"/>
  <c r="S1895" i="10"/>
  <c r="T1895" i="10"/>
  <c r="N1896" i="10"/>
  <c r="L1896" i="10" l="1"/>
  <c r="W1896" i="10" s="1"/>
  <c r="P1896" i="10" l="1"/>
  <c r="O1896" i="10"/>
  <c r="M1897" i="10" l="1"/>
  <c r="S1896" i="10"/>
  <c r="N1897" i="10"/>
  <c r="T1896" i="10"/>
  <c r="L1897" i="10" l="1"/>
  <c r="W1897" i="10" s="1"/>
  <c r="P1897" i="10" l="1"/>
  <c r="O1897" i="10"/>
  <c r="S1897" i="10" l="1"/>
  <c r="M1898" i="10"/>
  <c r="N1898" i="10"/>
  <c r="T1897" i="10"/>
  <c r="L1898" i="10" l="1"/>
  <c r="W1898" i="10" s="1"/>
  <c r="P1898" i="10" l="1"/>
  <c r="O1898" i="10"/>
  <c r="S1898" i="10" l="1"/>
  <c r="M1899" i="10"/>
  <c r="N1899" i="10"/>
  <c r="T1898" i="10"/>
  <c r="L1899" i="10" l="1"/>
  <c r="W1899" i="10" s="1"/>
  <c r="P1899" i="10" l="1"/>
  <c r="O1899" i="10"/>
  <c r="M1900" i="10" l="1"/>
  <c r="S1899" i="10"/>
  <c r="N1900" i="10"/>
  <c r="T1899" i="10"/>
  <c r="L1900" i="10" l="1"/>
  <c r="W1900" i="10" s="1"/>
  <c r="P1900" i="10" l="1"/>
  <c r="O1900" i="10"/>
  <c r="M1901" i="10" l="1"/>
  <c r="S1900" i="10"/>
  <c r="N1901" i="10"/>
  <c r="T1900" i="10"/>
  <c r="L1901" i="10" l="1"/>
  <c r="W1901" i="10" s="1"/>
  <c r="P1901" i="10" l="1"/>
  <c r="O1901" i="10"/>
  <c r="S1901" i="10" l="1"/>
  <c r="M1902" i="10"/>
  <c r="N1902" i="10"/>
  <c r="T1901" i="10"/>
  <c r="L1902" i="10" l="1"/>
  <c r="W1902" i="10" s="1"/>
  <c r="O1902" i="10" l="1"/>
  <c r="P1902" i="10"/>
  <c r="N1903" i="10" l="1"/>
  <c r="T1902" i="10"/>
  <c r="S1902" i="10"/>
  <c r="M1903" i="10"/>
  <c r="L1903" i="10" l="1"/>
  <c r="P1903" i="10"/>
  <c r="O1903" i="10" l="1"/>
  <c r="M1904" i="10" s="1"/>
  <c r="W1903" i="10"/>
  <c r="N1904" i="10"/>
  <c r="T1903" i="10"/>
  <c r="S1903" i="10" l="1"/>
  <c r="L1904" i="10"/>
  <c r="W1904" i="10" s="1"/>
  <c r="P1904" i="10" l="1"/>
  <c r="O1904" i="10"/>
  <c r="M1905" i="10" l="1"/>
  <c r="S1904" i="10"/>
  <c r="N1905" i="10"/>
  <c r="T1904" i="10"/>
  <c r="L1905" i="10" l="1"/>
  <c r="W1905" i="10" s="1"/>
  <c r="P1905" i="10" l="1"/>
  <c r="O1905" i="10"/>
  <c r="S1905" i="10" l="1"/>
  <c r="M1906" i="10"/>
  <c r="N1906" i="10"/>
  <c r="T1905" i="10"/>
  <c r="L1906" i="10" l="1"/>
  <c r="W1906" i="10" s="1"/>
  <c r="P1906" i="10" l="1"/>
  <c r="O1906" i="10"/>
  <c r="S1906" i="10" l="1"/>
  <c r="M1907" i="10"/>
  <c r="N1907" i="10"/>
  <c r="T1906" i="10"/>
  <c r="L1907" i="10" l="1"/>
  <c r="W1907" i="10" s="1"/>
  <c r="P1907" i="10" l="1"/>
  <c r="O1907" i="10"/>
  <c r="S1907" i="10" l="1"/>
  <c r="M1908" i="10"/>
  <c r="N1908" i="10"/>
  <c r="T1907" i="10"/>
  <c r="L1908" i="10" l="1"/>
  <c r="W1908" i="10" s="1"/>
  <c r="P1908" i="10" l="1"/>
  <c r="O1908" i="10"/>
  <c r="S1908" i="10" l="1"/>
  <c r="M1909" i="10"/>
  <c r="N1909" i="10"/>
  <c r="T1908" i="10"/>
  <c r="L1909" i="10" l="1"/>
  <c r="W1909" i="10" s="1"/>
  <c r="P1909" i="10" l="1"/>
  <c r="O1909" i="10"/>
  <c r="S1909" i="10" l="1"/>
  <c r="M1910" i="10"/>
  <c r="N1910" i="10"/>
  <c r="T1909" i="10"/>
  <c r="L1910" i="10" l="1"/>
  <c r="W1910" i="10" s="1"/>
  <c r="P1910" i="10" l="1"/>
  <c r="O1910" i="10"/>
  <c r="M1911" i="10" l="1"/>
  <c r="S1910" i="10"/>
  <c r="N1911" i="10"/>
  <c r="T1910" i="10"/>
  <c r="L1911" i="10" l="1"/>
  <c r="W1911" i="10" s="1"/>
  <c r="O1911" i="10" l="1"/>
  <c r="P1911" i="10"/>
  <c r="N1912" i="10" l="1"/>
  <c r="T1911" i="10"/>
  <c r="S1911" i="10"/>
  <c r="M1912" i="10"/>
  <c r="L1912" i="10" l="1"/>
  <c r="W1912" i="10" s="1"/>
  <c r="O1912" i="10" l="1"/>
  <c r="P1912" i="10"/>
  <c r="N1913" i="10" s="1"/>
  <c r="M1913" i="10"/>
  <c r="S1912" i="10"/>
  <c r="T1912" i="10" l="1"/>
  <c r="L1913" i="10"/>
  <c r="W1913" i="10" s="1"/>
  <c r="P1913" i="10" l="1"/>
  <c r="O1913" i="10"/>
  <c r="S1913" i="10" l="1"/>
  <c r="M1914" i="10"/>
  <c r="N1914" i="10"/>
  <c r="T1913" i="10"/>
  <c r="L1914" i="10" l="1"/>
  <c r="W1914" i="10" s="1"/>
  <c r="P1914" i="10" l="1"/>
  <c r="O1914" i="10"/>
  <c r="S1914" i="10" l="1"/>
  <c r="M1915" i="10"/>
  <c r="N1915" i="10"/>
  <c r="T1914" i="10"/>
  <c r="L1915" i="10" l="1"/>
  <c r="W1915" i="10" s="1"/>
  <c r="P1915" i="10" l="1"/>
  <c r="O1915" i="10"/>
  <c r="M1916" i="10" l="1"/>
  <c r="S1915" i="10"/>
  <c r="T1915" i="10"/>
  <c r="N1916" i="10"/>
  <c r="L1916" i="10" l="1"/>
  <c r="W1916" i="10" s="1"/>
  <c r="P1916" i="10" l="1"/>
  <c r="O1916" i="10"/>
  <c r="S1916" i="10" l="1"/>
  <c r="M1917" i="10"/>
  <c r="N1917" i="10"/>
  <c r="T1916" i="10"/>
  <c r="L1917" i="10" l="1"/>
  <c r="W1917" i="10" s="1"/>
  <c r="P1917" i="10" l="1"/>
  <c r="O1917" i="10"/>
  <c r="M1918" i="10" l="1"/>
  <c r="S1917" i="10"/>
  <c r="N1918" i="10"/>
  <c r="T1917" i="10"/>
  <c r="L1918" i="10" l="1"/>
  <c r="W1918" i="10" s="1"/>
  <c r="O1918" i="10" l="1"/>
  <c r="P1918" i="10"/>
  <c r="N1919" i="10" l="1"/>
  <c r="T1918" i="10"/>
  <c r="S1918" i="10"/>
  <c r="M1919" i="10"/>
  <c r="L1919" i="10" l="1"/>
  <c r="W1919" i="10" s="1"/>
  <c r="O1919" i="10" l="1"/>
  <c r="S1919" i="10" s="1"/>
  <c r="P1919" i="10"/>
  <c r="N1920" i="10" s="1"/>
  <c r="T1919" i="10"/>
  <c r="M1920" i="10" l="1"/>
  <c r="L1920" i="10"/>
  <c r="W1920" i="10" s="1"/>
  <c r="P1920" i="10" l="1"/>
  <c r="O1920" i="10"/>
  <c r="S1920" i="10" l="1"/>
  <c r="M1921" i="10"/>
  <c r="N1921" i="10"/>
  <c r="T1920" i="10"/>
  <c r="L1921" i="10" l="1"/>
  <c r="W1921" i="10" s="1"/>
  <c r="P1921" i="10" l="1"/>
  <c r="O1921" i="10"/>
  <c r="M1922" i="10" l="1"/>
  <c r="S1921" i="10"/>
  <c r="N1922" i="10"/>
  <c r="T1921" i="10"/>
  <c r="L1922" i="10" l="1"/>
  <c r="W1922" i="10" s="1"/>
  <c r="P1922" i="10"/>
  <c r="O1922" i="10" l="1"/>
  <c r="S1922" i="10" s="1"/>
  <c r="N1923" i="10"/>
  <c r="T1922" i="10"/>
  <c r="M1923" i="10" l="1"/>
  <c r="L1923" i="10" s="1"/>
  <c r="W1923" i="10" l="1"/>
  <c r="P1923" i="10"/>
  <c r="T1923" i="10" s="1"/>
  <c r="O1923" i="10"/>
  <c r="M1924" i="10" s="1"/>
  <c r="N1924" i="10"/>
  <c r="S1923" i="10" l="1"/>
  <c r="L1924" i="10"/>
  <c r="W1924" i="10" s="1"/>
  <c r="P1924" i="10"/>
  <c r="O1924" i="10"/>
  <c r="M1925" i="10" l="1"/>
  <c r="S1924" i="10"/>
  <c r="N1925" i="10"/>
  <c r="T1924" i="10"/>
  <c r="L1925" i="10" l="1"/>
  <c r="W1925" i="10" s="1"/>
  <c r="P1925" i="10" l="1"/>
  <c r="O1925" i="10"/>
  <c r="M1926" i="10" l="1"/>
  <c r="S1925" i="10"/>
  <c r="N1926" i="10"/>
  <c r="T1925" i="10"/>
  <c r="L1926" i="10" l="1"/>
  <c r="W1926" i="10" s="1"/>
  <c r="P1926" i="10" l="1"/>
  <c r="O1926" i="10"/>
  <c r="M1927" i="10" l="1"/>
  <c r="S1926" i="10"/>
  <c r="N1927" i="10"/>
  <c r="T1926" i="10"/>
  <c r="L1927" i="10" l="1"/>
  <c r="W1927" i="10" s="1"/>
  <c r="P1927" i="10" l="1"/>
  <c r="O1927" i="10"/>
  <c r="S1927" i="10" l="1"/>
  <c r="M1928" i="10"/>
  <c r="N1928" i="10"/>
  <c r="T1927" i="10"/>
  <c r="L1928" i="10" l="1"/>
  <c r="W1928" i="10" s="1"/>
  <c r="P1928" i="10" l="1"/>
  <c r="O1928" i="10"/>
  <c r="M1929" i="10" l="1"/>
  <c r="S1928" i="10"/>
  <c r="N1929" i="10"/>
  <c r="T1928" i="10"/>
  <c r="L1929" i="10" l="1"/>
  <c r="W1929" i="10" s="1"/>
  <c r="P1929" i="10" l="1"/>
  <c r="O1929" i="10"/>
  <c r="M1930" i="10" l="1"/>
  <c r="S1929" i="10"/>
  <c r="N1930" i="10"/>
  <c r="T1929" i="10"/>
  <c r="L1930" i="10" l="1"/>
  <c r="W1930" i="10" s="1"/>
  <c r="P1930" i="10" l="1"/>
  <c r="O1930" i="10"/>
  <c r="S1930" i="10" l="1"/>
  <c r="M1931" i="10"/>
  <c r="N1931" i="10"/>
  <c r="T1930" i="10"/>
  <c r="L1931" i="10" l="1"/>
  <c r="W1931" i="10" s="1"/>
  <c r="P1931" i="10" l="1"/>
  <c r="O1931" i="10"/>
  <c r="S1931" i="10" l="1"/>
  <c r="M1932" i="10"/>
  <c r="N1932" i="10"/>
  <c r="T1931" i="10"/>
  <c r="L1932" i="10" l="1"/>
  <c r="W1932" i="10" s="1"/>
  <c r="P1932" i="10" l="1"/>
  <c r="O1932" i="10"/>
  <c r="S1932" i="10" l="1"/>
  <c r="M1933" i="10"/>
  <c r="N1933" i="10"/>
  <c r="T1932" i="10"/>
  <c r="L1933" i="10" l="1"/>
  <c r="W1933" i="10" s="1"/>
  <c r="P1933" i="10" l="1"/>
  <c r="O1933" i="10"/>
  <c r="M1934" i="10" l="1"/>
  <c r="S1933" i="10"/>
  <c r="T1933" i="10"/>
  <c r="N1934" i="10"/>
  <c r="L1934" i="10" l="1"/>
  <c r="W1934" i="10" s="1"/>
  <c r="P1934" i="10" l="1"/>
  <c r="O1934" i="10"/>
  <c r="M1935" i="10" l="1"/>
  <c r="S1934" i="10"/>
  <c r="N1935" i="10"/>
  <c r="T1934" i="10"/>
  <c r="L1935" i="10" l="1"/>
  <c r="W1935" i="10" s="1"/>
  <c r="P1935" i="10" l="1"/>
  <c r="O1935" i="10"/>
  <c r="M1936" i="10" l="1"/>
  <c r="S1935" i="10"/>
  <c r="N1936" i="10"/>
  <c r="T1935" i="10"/>
  <c r="L1936" i="10" l="1"/>
  <c r="W1936" i="10" s="1"/>
  <c r="P1936" i="10" l="1"/>
  <c r="O1936" i="10"/>
  <c r="S1936" i="10" l="1"/>
  <c r="M1937" i="10"/>
  <c r="N1937" i="10"/>
  <c r="T1936" i="10"/>
  <c r="L1937" i="10" l="1"/>
  <c r="W1937" i="10" s="1"/>
  <c r="P1937" i="10" l="1"/>
  <c r="O1937" i="10"/>
  <c r="M1938" i="10" l="1"/>
  <c r="S1937" i="10"/>
  <c r="N1938" i="10"/>
  <c r="T1937" i="10"/>
  <c r="L1938" i="10" l="1"/>
  <c r="W1938" i="10" s="1"/>
  <c r="O1938" i="10" l="1"/>
  <c r="P1938" i="10"/>
  <c r="N1939" i="10" l="1"/>
  <c r="T1938" i="10"/>
  <c r="S1938" i="10"/>
  <c r="M1939" i="10"/>
  <c r="L1939" i="10" l="1"/>
  <c r="W1939" i="10" s="1"/>
  <c r="P1939" i="10"/>
  <c r="O1939" i="10"/>
  <c r="M1940" i="10" l="1"/>
  <c r="S1939" i="10"/>
  <c r="N1940" i="10"/>
  <c r="T1939" i="10"/>
  <c r="L1940" i="10" l="1"/>
  <c r="W1940" i="10" s="1"/>
  <c r="P1940" i="10" l="1"/>
  <c r="O1940" i="10"/>
  <c r="S1940" i="10" l="1"/>
  <c r="M1941" i="10"/>
  <c r="N1941" i="10"/>
  <c r="T1940" i="10"/>
  <c r="L1941" i="10" l="1"/>
  <c r="W1941" i="10" s="1"/>
  <c r="P1941" i="10" l="1"/>
  <c r="O1941" i="10"/>
  <c r="M1942" i="10" l="1"/>
  <c r="S1941" i="10"/>
  <c r="N1942" i="10"/>
  <c r="T1941" i="10"/>
  <c r="L1942" i="10" l="1"/>
  <c r="W1942" i="10" s="1"/>
  <c r="P1942" i="10" l="1"/>
  <c r="O1942" i="10"/>
  <c r="M1943" i="10" l="1"/>
  <c r="S1942" i="10"/>
  <c r="N1943" i="10"/>
  <c r="T1942" i="10"/>
  <c r="L1943" i="10" l="1"/>
  <c r="W1943" i="10" s="1"/>
  <c r="P1943" i="10" l="1"/>
  <c r="O1943" i="10"/>
  <c r="M1944" i="10" l="1"/>
  <c r="S1943" i="10"/>
  <c r="N1944" i="10"/>
  <c r="T1943" i="10"/>
  <c r="L1944" i="10" l="1"/>
  <c r="W1944" i="10" s="1"/>
  <c r="P1944" i="10"/>
  <c r="O1944" i="10"/>
  <c r="M1945" i="10" l="1"/>
  <c r="S1944" i="10"/>
  <c r="N1945" i="10"/>
  <c r="T1944" i="10"/>
  <c r="L1945" i="10" l="1"/>
  <c r="W1945" i="10" s="1"/>
  <c r="P1945" i="10" l="1"/>
  <c r="O1945" i="10"/>
  <c r="M1946" i="10" l="1"/>
  <c r="S1945" i="10"/>
  <c r="N1946" i="10"/>
  <c r="T1945" i="10"/>
  <c r="L1946" i="10" l="1"/>
  <c r="W1946" i="10" s="1"/>
  <c r="O1946" i="10" l="1"/>
  <c r="P1946" i="10"/>
  <c r="N1947" i="10" l="1"/>
  <c r="T1946" i="10"/>
  <c r="M1947" i="10"/>
  <c r="S1946" i="10"/>
  <c r="L1947" i="10" l="1"/>
  <c r="W1947" i="10" s="1"/>
  <c r="P1947" i="10"/>
  <c r="O1947" i="10"/>
  <c r="M1948" i="10" l="1"/>
  <c r="S1947" i="10"/>
  <c r="N1948" i="10"/>
  <c r="T1947" i="10"/>
  <c r="L1948" i="10" l="1"/>
  <c r="W1948" i="10" s="1"/>
  <c r="P1948" i="10" l="1"/>
  <c r="O1948" i="10"/>
  <c r="M1949" i="10" l="1"/>
  <c r="S1948" i="10"/>
  <c r="N1949" i="10"/>
  <c r="T1948" i="10"/>
  <c r="L1949" i="10" l="1"/>
  <c r="W1949" i="10" s="1"/>
  <c r="P1949" i="10" l="1"/>
  <c r="O1949" i="10"/>
  <c r="S1949" i="10" l="1"/>
  <c r="M1950" i="10"/>
  <c r="N1950" i="10"/>
  <c r="T1949" i="10"/>
  <c r="L1950" i="10" l="1"/>
  <c r="W1950" i="10" s="1"/>
  <c r="O1950" i="10" l="1"/>
  <c r="P1950" i="10"/>
  <c r="N1951" i="10" l="1"/>
  <c r="T1950" i="10"/>
  <c r="M1951" i="10"/>
  <c r="S1950" i="10"/>
  <c r="L1951" i="10" l="1"/>
  <c r="P1951" i="10"/>
  <c r="O1951" i="10" l="1"/>
  <c r="M1952" i="10" s="1"/>
  <c r="W1951" i="10"/>
  <c r="N1952" i="10"/>
  <c r="T1951" i="10"/>
  <c r="S1951" i="10" l="1"/>
  <c r="L1952" i="10"/>
  <c r="W1952" i="10" s="1"/>
  <c r="P1952" i="10" l="1"/>
  <c r="O1952" i="10"/>
  <c r="M1953" i="10" l="1"/>
  <c r="S1952" i="10"/>
  <c r="N1953" i="10"/>
  <c r="T1952" i="10"/>
  <c r="L1953" i="10" l="1"/>
  <c r="W1953" i="10" s="1"/>
  <c r="O1953" i="10" l="1"/>
  <c r="P1953" i="10"/>
  <c r="N1954" i="10" l="1"/>
  <c r="T1953" i="10"/>
  <c r="S1953" i="10"/>
  <c r="M1954" i="10"/>
  <c r="L1954" i="10" l="1"/>
  <c r="W1954" i="10" s="1"/>
  <c r="P1954" i="10"/>
  <c r="O1954" i="10"/>
  <c r="S1954" i="10" l="1"/>
  <c r="M1955" i="10"/>
  <c r="N1955" i="10"/>
  <c r="T1954" i="10"/>
  <c r="L1955" i="10" l="1"/>
  <c r="W1955" i="10" s="1"/>
  <c r="O1955" i="10"/>
  <c r="P1955" i="10" l="1"/>
  <c r="N1956" i="10" s="1"/>
  <c r="M1956" i="10"/>
  <c r="S1955" i="10"/>
  <c r="T1955" i="10"/>
  <c r="L1956" i="10" l="1"/>
  <c r="W1956" i="10" s="1"/>
  <c r="P1956" i="10" l="1"/>
  <c r="O1956" i="10"/>
  <c r="M1957" i="10" l="1"/>
  <c r="S1956" i="10"/>
  <c r="T1956" i="10"/>
  <c r="N1957" i="10"/>
  <c r="L1957" i="10" l="1"/>
  <c r="W1957" i="10" s="1"/>
  <c r="P1957" i="10" l="1"/>
  <c r="O1957" i="10"/>
  <c r="S1957" i="10" l="1"/>
  <c r="M1958" i="10"/>
  <c r="N1958" i="10"/>
  <c r="T1957" i="10"/>
  <c r="L1958" i="10" l="1"/>
  <c r="W1958" i="10" s="1"/>
  <c r="P1958" i="10"/>
  <c r="O1958" i="10"/>
  <c r="M1959" i="10" l="1"/>
  <c r="S1958" i="10"/>
  <c r="N1959" i="10"/>
  <c r="T1958" i="10"/>
  <c r="L1959" i="10" l="1"/>
  <c r="W1959" i="10" s="1"/>
  <c r="P1959" i="10" l="1"/>
  <c r="O1959" i="10"/>
  <c r="M1960" i="10" l="1"/>
  <c r="S1959" i="10"/>
  <c r="N1960" i="10"/>
  <c r="T1959" i="10"/>
  <c r="L1960" i="10" l="1"/>
  <c r="W1960" i="10" s="1"/>
  <c r="P1960" i="10" l="1"/>
  <c r="O1960" i="10"/>
  <c r="M1961" i="10" l="1"/>
  <c r="S1960" i="10"/>
  <c r="N1961" i="10"/>
  <c r="T1960" i="10"/>
  <c r="L1961" i="10" l="1"/>
  <c r="W1961" i="10" s="1"/>
  <c r="P1961" i="10" l="1"/>
  <c r="O1961" i="10"/>
  <c r="M1962" i="10" l="1"/>
  <c r="S1961" i="10"/>
  <c r="N1962" i="10"/>
  <c r="T1961" i="10"/>
  <c r="L1962" i="10" l="1"/>
  <c r="W1962" i="10" s="1"/>
  <c r="O1962" i="10" l="1"/>
  <c r="P1962" i="10"/>
  <c r="N1963" i="10" l="1"/>
  <c r="T1962" i="10"/>
  <c r="S1962" i="10"/>
  <c r="M1963" i="10"/>
  <c r="L1963" i="10" s="1"/>
  <c r="W1963" i="10" s="1"/>
  <c r="P1963" i="10" l="1"/>
  <c r="O1963" i="10"/>
  <c r="M1964" i="10" l="1"/>
  <c r="S1963" i="10"/>
  <c r="T1963" i="10"/>
  <c r="N1964" i="10"/>
  <c r="L1964" i="10" l="1"/>
  <c r="W1964" i="10" s="1"/>
  <c r="P1964" i="10" l="1"/>
  <c r="O1964" i="10"/>
  <c r="M1965" i="10" l="1"/>
  <c r="S1964" i="10"/>
  <c r="N1965" i="10"/>
  <c r="T1964" i="10"/>
  <c r="L1965" i="10" l="1"/>
  <c r="W1965" i="10" s="1"/>
  <c r="P1965" i="10" l="1"/>
  <c r="O1965" i="10"/>
  <c r="M1966" i="10" l="1"/>
  <c r="S1965" i="10"/>
  <c r="N1966" i="10"/>
  <c r="T1965" i="10"/>
  <c r="L1966" i="10" l="1"/>
  <c r="W1966" i="10" s="1"/>
  <c r="O1966" i="10" l="1"/>
  <c r="P1966" i="10"/>
  <c r="N1967" i="10" l="1"/>
  <c r="T1966" i="10"/>
  <c r="S1966" i="10"/>
  <c r="M1967" i="10"/>
  <c r="L1967" i="10" s="1"/>
  <c r="W1967" i="10" s="1"/>
  <c r="P1967" i="10" l="1"/>
  <c r="O1967" i="10"/>
  <c r="M1968" i="10" l="1"/>
  <c r="S1967" i="10"/>
  <c r="N1968" i="10"/>
  <c r="T1967" i="10"/>
  <c r="L1968" i="10" l="1"/>
  <c r="P1968" i="10" l="1"/>
  <c r="W1968" i="10"/>
  <c r="O1968" i="10"/>
  <c r="M1969" i="10" s="1"/>
  <c r="N1969" i="10"/>
  <c r="T1968" i="10"/>
  <c r="S1968" i="10" l="1"/>
  <c r="L1969" i="10"/>
  <c r="W1969" i="10" s="1"/>
  <c r="P1969" i="10" l="1"/>
  <c r="O1969" i="10"/>
  <c r="S1969" i="10" l="1"/>
  <c r="M1970" i="10"/>
  <c r="N1970" i="10"/>
  <c r="T1969" i="10"/>
  <c r="L1970" i="10" l="1"/>
  <c r="W1970" i="10" s="1"/>
  <c r="O1970" i="10" l="1"/>
  <c r="P1970" i="10"/>
  <c r="N1971" i="10" l="1"/>
  <c r="T1970" i="10"/>
  <c r="M1971" i="10"/>
  <c r="L1971" i="10" s="1"/>
  <c r="W1971" i="10" s="1"/>
  <c r="S1970" i="10"/>
  <c r="P1971" i="10" l="1"/>
  <c r="O1971" i="10"/>
  <c r="S1971" i="10" l="1"/>
  <c r="M1972" i="10"/>
  <c r="N1972" i="10"/>
  <c r="T1971" i="10"/>
  <c r="L1972" i="10" l="1"/>
  <c r="W1972" i="10" s="1"/>
  <c r="P1972" i="10" l="1"/>
  <c r="O1972" i="10"/>
  <c r="S1972" i="10" l="1"/>
  <c r="M1973" i="10"/>
  <c r="N1973" i="10"/>
  <c r="T1972" i="10"/>
  <c r="L1973" i="10" l="1"/>
  <c r="W1973" i="10" s="1"/>
  <c r="P1973" i="10" l="1"/>
  <c r="O1973" i="10"/>
  <c r="S1973" i="10" l="1"/>
  <c r="M1974" i="10"/>
  <c r="N1974" i="10"/>
  <c r="T1973" i="10"/>
  <c r="L1974" i="10" l="1"/>
  <c r="W1974" i="10" s="1"/>
  <c r="P1974" i="10" l="1"/>
  <c r="O1974" i="10"/>
  <c r="S1974" i="10" l="1"/>
  <c r="M1975" i="10"/>
  <c r="N1975" i="10"/>
  <c r="T1974" i="10"/>
  <c r="L1975" i="10" l="1"/>
  <c r="W1975" i="10" s="1"/>
  <c r="P1975" i="10" l="1"/>
  <c r="O1975" i="10"/>
  <c r="M1976" i="10" l="1"/>
  <c r="S1975" i="10"/>
  <c r="N1976" i="10"/>
  <c r="T1975" i="10"/>
  <c r="L1976" i="10" l="1"/>
  <c r="W1976" i="10" s="1"/>
  <c r="P1976" i="10" l="1"/>
  <c r="O1976" i="10"/>
  <c r="M1977" i="10" l="1"/>
  <c r="S1976" i="10"/>
  <c r="N1977" i="10"/>
  <c r="T1976" i="10"/>
  <c r="L1977" i="10" l="1"/>
  <c r="W1977" i="10" s="1"/>
  <c r="P1977" i="10" l="1"/>
  <c r="O1977" i="10"/>
  <c r="M1978" i="10" l="1"/>
  <c r="S1977" i="10"/>
  <c r="N1978" i="10"/>
  <c r="T1977" i="10"/>
  <c r="L1978" i="10" l="1"/>
  <c r="W1978" i="10" s="1"/>
  <c r="P1978" i="10" l="1"/>
  <c r="O1978" i="10"/>
  <c r="S1978" i="10" l="1"/>
  <c r="M1979" i="10"/>
  <c r="N1979" i="10"/>
  <c r="T1978" i="10"/>
  <c r="L1979" i="10" l="1"/>
  <c r="W1979" i="10" s="1"/>
  <c r="P1979" i="10" l="1"/>
  <c r="O1979" i="10"/>
  <c r="S1979" i="10" l="1"/>
  <c r="M1980" i="10"/>
  <c r="N1980" i="10"/>
  <c r="T1979" i="10"/>
  <c r="L1980" i="10" l="1"/>
  <c r="W1980" i="10" s="1"/>
  <c r="P1980" i="10" l="1"/>
  <c r="O1980" i="10"/>
  <c r="S1980" i="10" l="1"/>
  <c r="M1981" i="10"/>
  <c r="N1981" i="10"/>
  <c r="T1980" i="10"/>
  <c r="L1981" i="10" l="1"/>
  <c r="O1981" i="10" s="1"/>
  <c r="P1981" i="10" l="1"/>
  <c r="W1981" i="10"/>
  <c r="M1982" i="10"/>
  <c r="S1981" i="10"/>
  <c r="N1982" i="10"/>
  <c r="T1981" i="10"/>
  <c r="L1982" i="10" l="1"/>
  <c r="W1982" i="10" s="1"/>
  <c r="P1982" i="10" l="1"/>
  <c r="O1982" i="10"/>
  <c r="S1982" i="10" l="1"/>
  <c r="M1983" i="10"/>
  <c r="N1983" i="10"/>
  <c r="T1982" i="10"/>
  <c r="L1983" i="10" l="1"/>
  <c r="W1983" i="10" s="1"/>
  <c r="P1983" i="10" l="1"/>
  <c r="O1983" i="10"/>
  <c r="M1984" i="10" l="1"/>
  <c r="S1983" i="10"/>
  <c r="N1984" i="10"/>
  <c r="T1983" i="10"/>
  <c r="L1984" i="10" l="1"/>
  <c r="W1984" i="10" s="1"/>
  <c r="P1984" i="10" l="1"/>
  <c r="O1984" i="10"/>
  <c r="S1984" i="10" l="1"/>
  <c r="M1985" i="10"/>
  <c r="N1985" i="10"/>
  <c r="T1984" i="10"/>
  <c r="L1985" i="10" l="1"/>
  <c r="W1985" i="10" s="1"/>
  <c r="P1985" i="10" l="1"/>
  <c r="O1985" i="10"/>
  <c r="M1986" i="10" l="1"/>
  <c r="S1985" i="10"/>
  <c r="N1986" i="10"/>
  <c r="T1985" i="10"/>
  <c r="L1986" i="10" l="1"/>
  <c r="W1986" i="10" s="1"/>
  <c r="P1986" i="10" l="1"/>
  <c r="O1986" i="10"/>
  <c r="S1986" i="10" l="1"/>
  <c r="M1987" i="10"/>
  <c r="N1987" i="10"/>
  <c r="T1986" i="10"/>
  <c r="L1987" i="10" l="1"/>
  <c r="W1987" i="10" s="1"/>
  <c r="P1987" i="10" l="1"/>
  <c r="O1987" i="10"/>
  <c r="S1987" i="10" l="1"/>
  <c r="M1988" i="10"/>
  <c r="N1988" i="10"/>
  <c r="T1987" i="10"/>
  <c r="L1988" i="10" l="1"/>
  <c r="W1988" i="10" s="1"/>
  <c r="P1988" i="10" l="1"/>
  <c r="O1988" i="10"/>
  <c r="M1989" i="10" l="1"/>
  <c r="S1988" i="10"/>
  <c r="N1989" i="10"/>
  <c r="T1988" i="10"/>
  <c r="L1989" i="10" l="1"/>
  <c r="W1989" i="10" s="1"/>
  <c r="P1989" i="10" l="1"/>
  <c r="O1989" i="10"/>
  <c r="M1990" i="10" l="1"/>
  <c r="S1989" i="10"/>
  <c r="N1990" i="10"/>
  <c r="T1989" i="10"/>
  <c r="L1990" i="10" l="1"/>
  <c r="W1990" i="10" s="1"/>
  <c r="P1990" i="10" l="1"/>
  <c r="O1990" i="10"/>
  <c r="M1991" i="10" l="1"/>
  <c r="S1990" i="10"/>
  <c r="N1991" i="10"/>
  <c r="T1990" i="10"/>
  <c r="L1991" i="10" l="1"/>
  <c r="W1991" i="10" s="1"/>
  <c r="P1991" i="10" l="1"/>
  <c r="O1991" i="10"/>
  <c r="M1992" i="10" l="1"/>
  <c r="S1991" i="10"/>
  <c r="N1992" i="10"/>
  <c r="T1991" i="10"/>
  <c r="L1992" i="10" l="1"/>
  <c r="W1992" i="10" s="1"/>
  <c r="P1992" i="10" l="1"/>
  <c r="O1992" i="10"/>
  <c r="S1992" i="10" l="1"/>
  <c r="M1993" i="10"/>
  <c r="N1993" i="10"/>
  <c r="T1992" i="10"/>
  <c r="L1993" i="10" l="1"/>
  <c r="W1993" i="10" s="1"/>
  <c r="P1993" i="10" l="1"/>
  <c r="O1993" i="10"/>
  <c r="S1993" i="10" l="1"/>
  <c r="M1994" i="10"/>
  <c r="N1994" i="10"/>
  <c r="T1993" i="10"/>
  <c r="L1994" i="10" l="1"/>
  <c r="W1994" i="10" s="1"/>
  <c r="P1994" i="10" l="1"/>
  <c r="O1994" i="10"/>
  <c r="M1995" i="10" l="1"/>
  <c r="S1994" i="10"/>
  <c r="N1995" i="10"/>
  <c r="T1994" i="10"/>
  <c r="L1995" i="10" l="1"/>
  <c r="W1995" i="10" s="1"/>
  <c r="P1995" i="10" l="1"/>
  <c r="O1995" i="10"/>
  <c r="M1996" i="10" l="1"/>
  <c r="S1995" i="10"/>
  <c r="N1996" i="10"/>
  <c r="T1995" i="10"/>
  <c r="L1996" i="10" l="1"/>
  <c r="W1996" i="10" s="1"/>
  <c r="P1996" i="10" l="1"/>
  <c r="O1996" i="10"/>
  <c r="S1996" i="10" l="1"/>
  <c r="M1997" i="10"/>
  <c r="N1997" i="10"/>
  <c r="T1996" i="10"/>
  <c r="L1997" i="10" l="1"/>
  <c r="W1997" i="10" s="1"/>
  <c r="P1997" i="10" l="1"/>
  <c r="O1997" i="10"/>
  <c r="M1998" i="10" l="1"/>
  <c r="S1997" i="10"/>
  <c r="N1998" i="10"/>
  <c r="T1997" i="10"/>
  <c r="L1998" i="10" l="1"/>
  <c r="W1998" i="10" s="1"/>
  <c r="P1998" i="10" l="1"/>
  <c r="O1998" i="10"/>
  <c r="S1998" i="10" l="1"/>
  <c r="M1999" i="10"/>
  <c r="N1999" i="10"/>
  <c r="T1998" i="10"/>
  <c r="L1999" i="10" l="1"/>
  <c r="W1999" i="10" s="1"/>
  <c r="P1999" i="10" l="1"/>
  <c r="O1999" i="10"/>
  <c r="S1999" i="10" l="1"/>
  <c r="M2000" i="10"/>
  <c r="N2000" i="10"/>
  <c r="T1999" i="10"/>
  <c r="L2000" i="10" l="1"/>
  <c r="W2000" i="10" s="1"/>
  <c r="P2000" i="10" l="1"/>
  <c r="O2000" i="10"/>
  <c r="M2001" i="10" l="1"/>
  <c r="S2000" i="10"/>
  <c r="N2001" i="10"/>
  <c r="T2000" i="10"/>
  <c r="L2001" i="10" l="1"/>
  <c r="W2001" i="10" s="1"/>
  <c r="P2001" i="10" l="1"/>
  <c r="O2001" i="10"/>
  <c r="M2002" i="10" l="1"/>
  <c r="S2001" i="10"/>
  <c r="N2002" i="10"/>
  <c r="T2001" i="10"/>
  <c r="L2002" i="10" l="1"/>
  <c r="W2002" i="10" s="1"/>
  <c r="P2002" i="10" l="1"/>
  <c r="O2002" i="10"/>
  <c r="S2002" i="10" l="1"/>
  <c r="M2003" i="10"/>
  <c r="N2003" i="10"/>
  <c r="T2002" i="10"/>
  <c r="L2003" i="10" l="1"/>
  <c r="W2003" i="10" s="1"/>
  <c r="P2003" i="10" l="1"/>
  <c r="O2003" i="10"/>
  <c r="M2004" i="10" l="1"/>
  <c r="S2003" i="10"/>
  <c r="N2004" i="10"/>
  <c r="T2003" i="10"/>
  <c r="L2004" i="10" l="1"/>
  <c r="W2004" i="10" s="1"/>
  <c r="P2004" i="10" l="1"/>
  <c r="O2004" i="10"/>
  <c r="M2005" i="10" l="1"/>
  <c r="S2004" i="10"/>
  <c r="N2005" i="10"/>
  <c r="T2004" i="10"/>
  <c r="L2005" i="10" l="1"/>
  <c r="W2005" i="10" s="1"/>
  <c r="P2005" i="10" l="1"/>
  <c r="O2005" i="10"/>
  <c r="M2006" i="10" l="1"/>
  <c r="S2005" i="10"/>
  <c r="N2006" i="10"/>
  <c r="T2005" i="10"/>
  <c r="L2006" i="10" l="1"/>
  <c r="W2006" i="10" s="1"/>
  <c r="P2006" i="10" l="1"/>
  <c r="O2006" i="10"/>
  <c r="M2007" i="10" l="1"/>
  <c r="S2006" i="10"/>
  <c r="N2007" i="10"/>
  <c r="T2006" i="10"/>
  <c r="L2007" i="10" l="1"/>
  <c r="W2007" i="10" s="1"/>
  <c r="P2007" i="10" l="1"/>
  <c r="O2007" i="10"/>
  <c r="M2008" i="10" l="1"/>
  <c r="S2007" i="10"/>
  <c r="N2008" i="10"/>
  <c r="T2007" i="10"/>
  <c r="L2008" i="10" l="1"/>
  <c r="W2008" i="10" s="1"/>
  <c r="P2008" i="10" l="1"/>
  <c r="O2008" i="10"/>
  <c r="M2009" i="10" l="1"/>
  <c r="S2008" i="10"/>
  <c r="N2009" i="10"/>
  <c r="T2008" i="10"/>
  <c r="L2009" i="10" l="1"/>
  <c r="W2009" i="10" s="1"/>
  <c r="P2009" i="10" l="1"/>
  <c r="O2009" i="10"/>
  <c r="S2009" i="10" l="1"/>
  <c r="M2010" i="10"/>
  <c r="N2010" i="10"/>
  <c r="T2009" i="10"/>
  <c r="L2010" i="10" l="1"/>
  <c r="W2010" i="10" s="1"/>
  <c r="P2010" i="10" l="1"/>
  <c r="O2010" i="10"/>
  <c r="M2011" i="10" l="1"/>
  <c r="S2010" i="10"/>
  <c r="N2011" i="10"/>
  <c r="T2010" i="10"/>
  <c r="L2011" i="10" l="1"/>
  <c r="W2011" i="10" s="1"/>
  <c r="O2011" i="10" l="1"/>
  <c r="P2011" i="10"/>
  <c r="N2012" i="10" l="1"/>
  <c r="T2011" i="10"/>
  <c r="S2011" i="10"/>
  <c r="M2012" i="10"/>
  <c r="L2012" i="10" l="1"/>
  <c r="W2012" i="10" s="1"/>
  <c r="O2012" i="10"/>
  <c r="P2012" i="10" l="1"/>
  <c r="T2012" i="10" s="1"/>
  <c r="M2013" i="10"/>
  <c r="S2012" i="10"/>
  <c r="N2013" i="10" l="1"/>
  <c r="L2013" i="10" s="1"/>
  <c r="W2013" i="10" s="1"/>
  <c r="P2013" i="10" l="1"/>
  <c r="O2013" i="10"/>
  <c r="S2013" i="10" l="1"/>
  <c r="M2014" i="10"/>
  <c r="N2014" i="10"/>
  <c r="T2013" i="10"/>
  <c r="L2014" i="10" l="1"/>
  <c r="W2014" i="10" s="1"/>
  <c r="P2014" i="10" l="1"/>
  <c r="O2014" i="10"/>
  <c r="M2015" i="10" l="1"/>
  <c r="S2014" i="10"/>
  <c r="N2015" i="10"/>
  <c r="T2014" i="10"/>
  <c r="L2015" i="10" l="1"/>
  <c r="W2015" i="10" s="1"/>
  <c r="P2015" i="10" l="1"/>
  <c r="O2015" i="10"/>
  <c r="M2016" i="10" l="1"/>
  <c r="S2015" i="10"/>
  <c r="N2016" i="10"/>
  <c r="T2015" i="10"/>
  <c r="L2016" i="10" l="1"/>
  <c r="W2016" i="10" s="1"/>
  <c r="P2016" i="10" l="1"/>
  <c r="O2016" i="10"/>
  <c r="S2016" i="10" l="1"/>
  <c r="M2017" i="10"/>
  <c r="N2017" i="10"/>
  <c r="T2016" i="10"/>
  <c r="L2017" i="10" l="1"/>
  <c r="W2017" i="10" s="1"/>
  <c r="P2017" i="10" l="1"/>
  <c r="O2017" i="10"/>
  <c r="S2017" i="10" l="1"/>
  <c r="M2018" i="10"/>
  <c r="N2018" i="10"/>
  <c r="T2017" i="10"/>
  <c r="L2018" i="10" l="1"/>
  <c r="W2018" i="10" s="1"/>
  <c r="P2018" i="10" l="1"/>
  <c r="O2018" i="10"/>
  <c r="S2018" i="10" l="1"/>
  <c r="M2019" i="10"/>
  <c r="N2019" i="10"/>
  <c r="T2018" i="10"/>
  <c r="L2019" i="10" l="1"/>
  <c r="W2019" i="10" s="1"/>
  <c r="P2019" i="10" l="1"/>
  <c r="O2019" i="10"/>
  <c r="S2019" i="10" l="1"/>
  <c r="M2020" i="10"/>
  <c r="N2020" i="10"/>
  <c r="T2019" i="10"/>
  <c r="L2020" i="10" l="1"/>
  <c r="W2020" i="10" s="1"/>
  <c r="P2020" i="10" l="1"/>
  <c r="O2020" i="10"/>
  <c r="S2020" i="10" l="1"/>
  <c r="M2021" i="10"/>
  <c r="N2021" i="10"/>
  <c r="T2020" i="10"/>
  <c r="L2021" i="10" l="1"/>
  <c r="W2021" i="10" s="1"/>
  <c r="P2021" i="10" l="1"/>
  <c r="O2021" i="10"/>
  <c r="S2021" i="10" l="1"/>
  <c r="M2022" i="10"/>
  <c r="N2022" i="10"/>
  <c r="T2021" i="10"/>
  <c r="L2022" i="10" l="1"/>
  <c r="W2022" i="10" s="1"/>
  <c r="P2022" i="10" l="1"/>
  <c r="O2022" i="10"/>
  <c r="S2022" i="10" l="1"/>
  <c r="M2023" i="10"/>
  <c r="N2023" i="10"/>
  <c r="T2022" i="10"/>
  <c r="L2023" i="10" l="1"/>
  <c r="W2023" i="10" s="1"/>
  <c r="P2023" i="10" l="1"/>
  <c r="O2023" i="10"/>
  <c r="M2024" i="10" l="1"/>
  <c r="S2023" i="10"/>
  <c r="N2024" i="10"/>
  <c r="T2023" i="10"/>
  <c r="L2024" i="10" l="1"/>
  <c r="W2024" i="10" s="1"/>
  <c r="P2024" i="10" l="1"/>
  <c r="O2024" i="10"/>
  <c r="M2025" i="10" l="1"/>
  <c r="S2024" i="10"/>
  <c r="N2025" i="10"/>
  <c r="T2024" i="10"/>
  <c r="L2025" i="10" l="1"/>
  <c r="W2025" i="10" s="1"/>
  <c r="P2025" i="10" l="1"/>
  <c r="O2025" i="10"/>
  <c r="S2025" i="10" l="1"/>
  <c r="M2026" i="10"/>
  <c r="N2026" i="10"/>
  <c r="T2025" i="10"/>
  <c r="L2026" i="10" l="1"/>
  <c r="W2026" i="10" s="1"/>
  <c r="P2026" i="10"/>
  <c r="O2026" i="10"/>
  <c r="M2027" i="10" l="1"/>
  <c r="S2026" i="10"/>
  <c r="N2027" i="10"/>
  <c r="T2026" i="10"/>
  <c r="L2027" i="10" l="1"/>
  <c r="W2027" i="10" s="1"/>
  <c r="O2027" i="10" l="1"/>
  <c r="P2027" i="10"/>
  <c r="N2028" i="10" l="1"/>
  <c r="T2027" i="10"/>
  <c r="M2028" i="10"/>
  <c r="S2027" i="10"/>
  <c r="L2028" i="10" l="1"/>
  <c r="W2028" i="10" s="1"/>
  <c r="P2028" i="10"/>
  <c r="O2028" i="10"/>
  <c r="S2028" i="10" l="1"/>
  <c r="M2029" i="10"/>
  <c r="N2029" i="10"/>
  <c r="T2028" i="10"/>
  <c r="L2029" i="10" l="1"/>
  <c r="W2029" i="10" s="1"/>
  <c r="P2029" i="10" l="1"/>
  <c r="O2029" i="10"/>
  <c r="S2029" i="10" l="1"/>
  <c r="M2030" i="10"/>
  <c r="N2030" i="10"/>
  <c r="T2029" i="10"/>
  <c r="L2030" i="10" l="1"/>
  <c r="W2030" i="10" s="1"/>
  <c r="P2030" i="10" l="1"/>
  <c r="O2030" i="10"/>
  <c r="S2030" i="10" l="1"/>
  <c r="M2031" i="10"/>
  <c r="N2031" i="10"/>
  <c r="T2030" i="10"/>
  <c r="L2031" i="10" l="1"/>
  <c r="W2031" i="10" s="1"/>
  <c r="O2031" i="10" l="1"/>
  <c r="P2031" i="10"/>
  <c r="N2032" i="10" l="1"/>
  <c r="T2031" i="10"/>
  <c r="M2032" i="10"/>
  <c r="S2031" i="10"/>
  <c r="L2032" i="10" l="1"/>
  <c r="W2032" i="10" s="1"/>
  <c r="P2032" i="10"/>
  <c r="O2032" i="10"/>
  <c r="M2033" i="10" l="1"/>
  <c r="S2032" i="10"/>
  <c r="N2033" i="10"/>
  <c r="T2032" i="10"/>
  <c r="L2033" i="10" l="1"/>
  <c r="W2033" i="10" s="1"/>
  <c r="P2033" i="10" l="1"/>
  <c r="O2033" i="10"/>
  <c r="M2034" i="10" l="1"/>
  <c r="S2033" i="10"/>
  <c r="N2034" i="10"/>
  <c r="T2033" i="10"/>
  <c r="L2034" i="10" l="1"/>
  <c r="W2034" i="10" s="1"/>
  <c r="P2034" i="10" l="1"/>
  <c r="O2034" i="10"/>
  <c r="M2035" i="10" l="1"/>
  <c r="S2034" i="10"/>
  <c r="N2035" i="10"/>
  <c r="T2034" i="10"/>
  <c r="L2035" i="10" l="1"/>
  <c r="W2035" i="10" s="1"/>
  <c r="O2035" i="10" l="1"/>
  <c r="P2035" i="10"/>
  <c r="N2036" i="10" l="1"/>
  <c r="T2035" i="10"/>
  <c r="M2036" i="10"/>
  <c r="S2035" i="10"/>
  <c r="L2036" i="10" l="1"/>
  <c r="W2036" i="10" s="1"/>
  <c r="P2036" i="10"/>
  <c r="O2036" i="10"/>
  <c r="S2036" i="10" l="1"/>
  <c r="M2037" i="10"/>
  <c r="N2037" i="10"/>
  <c r="T2036" i="10"/>
  <c r="L2037" i="10" l="1"/>
  <c r="W2037" i="10" s="1"/>
  <c r="P2037" i="10" l="1"/>
  <c r="O2037" i="10"/>
  <c r="M2038" i="10" l="1"/>
  <c r="S2037" i="10"/>
  <c r="N2038" i="10"/>
  <c r="T2037" i="10"/>
  <c r="L2038" i="10" l="1"/>
  <c r="W2038" i="10" s="1"/>
  <c r="P2038" i="10" l="1"/>
  <c r="O2038" i="10"/>
  <c r="S2038" i="10" l="1"/>
  <c r="M2039" i="10"/>
  <c r="N2039" i="10"/>
  <c r="T2038" i="10"/>
  <c r="L2039" i="10" l="1"/>
  <c r="W2039" i="10" s="1"/>
  <c r="P2039" i="10" l="1"/>
  <c r="O2039" i="10"/>
  <c r="M2040" i="10" l="1"/>
  <c r="S2039" i="10"/>
  <c r="N2040" i="10"/>
  <c r="T2039" i="10"/>
  <c r="L2040" i="10" l="1"/>
  <c r="W2040" i="10" s="1"/>
  <c r="P2040" i="10" l="1"/>
  <c r="O2040" i="10"/>
  <c r="M2041" i="10" l="1"/>
  <c r="S2040" i="10"/>
  <c r="N2041" i="10"/>
  <c r="T2040" i="10"/>
  <c r="L2041" i="10" l="1"/>
  <c r="W2041" i="10" s="1"/>
  <c r="P2041" i="10" l="1"/>
  <c r="O2041" i="10"/>
  <c r="M2042" i="10" l="1"/>
  <c r="S2041" i="10"/>
  <c r="N2042" i="10"/>
  <c r="T2041" i="10"/>
  <c r="L2042" i="10" l="1"/>
  <c r="W2042" i="10" s="1"/>
  <c r="P2042" i="10" l="1"/>
  <c r="O2042" i="10"/>
  <c r="S2042" i="10" l="1"/>
  <c r="M2043" i="10"/>
  <c r="N2043" i="10"/>
  <c r="T2042" i="10"/>
  <c r="L2043" i="10" l="1"/>
  <c r="W2043" i="10" s="1"/>
  <c r="P2043" i="10" l="1"/>
  <c r="O2043" i="10"/>
  <c r="M2044" i="10" l="1"/>
  <c r="S2043" i="10"/>
  <c r="N2044" i="10"/>
  <c r="T2043" i="10"/>
  <c r="L2044" i="10" l="1"/>
  <c r="W2044" i="10" s="1"/>
  <c r="P2044" i="10" l="1"/>
  <c r="O2044" i="10"/>
  <c r="M2045" i="10" l="1"/>
  <c r="S2044" i="10"/>
  <c r="N2045" i="10"/>
  <c r="T2044" i="10"/>
  <c r="L2045" i="10" l="1"/>
  <c r="W2045" i="10" s="1"/>
  <c r="P2045" i="10" l="1"/>
  <c r="O2045" i="10"/>
  <c r="S2045" i="10" l="1"/>
  <c r="M2046" i="10"/>
  <c r="N2046" i="10"/>
  <c r="T2045" i="10"/>
  <c r="L2046" i="10" l="1"/>
  <c r="W2046" i="10" s="1"/>
  <c r="P2046" i="10" l="1"/>
  <c r="O2046" i="10"/>
  <c r="S2046" i="10" l="1"/>
  <c r="M2047" i="10"/>
  <c r="N2047" i="10"/>
  <c r="T2046" i="10"/>
  <c r="L2047" i="10" l="1"/>
  <c r="W2047" i="10" s="1"/>
  <c r="P2047" i="10" l="1"/>
  <c r="O2047" i="10"/>
  <c r="M2048" i="10" l="1"/>
  <c r="S2047" i="10"/>
  <c r="N2048" i="10"/>
  <c r="T2047" i="10"/>
  <c r="L2048" i="10" l="1"/>
  <c r="W2048" i="10" s="1"/>
  <c r="P2048" i="10" l="1"/>
  <c r="O2048" i="10"/>
  <c r="M2049" i="10" l="1"/>
  <c r="S2048" i="10"/>
  <c r="N2049" i="10"/>
  <c r="T2048" i="10"/>
  <c r="L2049" i="10" l="1"/>
  <c r="W2049" i="10" s="1"/>
  <c r="P2049" i="10" l="1"/>
  <c r="O2049" i="10"/>
  <c r="S2049" i="10" l="1"/>
  <c r="M2050" i="10"/>
  <c r="N2050" i="10"/>
  <c r="T2049" i="10"/>
  <c r="L2050" i="10" l="1"/>
  <c r="W2050" i="10" s="1"/>
  <c r="P2050" i="10" l="1"/>
  <c r="O2050" i="10"/>
  <c r="M2051" i="10" l="1"/>
  <c r="S2050" i="10"/>
  <c r="N2051" i="10"/>
  <c r="T2050" i="10"/>
  <c r="L2051" i="10" l="1"/>
  <c r="W2051" i="10" s="1"/>
  <c r="P2051" i="10" l="1"/>
  <c r="O2051" i="10"/>
  <c r="S2051" i="10" l="1"/>
  <c r="M2052" i="10"/>
  <c r="N2052" i="10"/>
  <c r="T2051" i="10"/>
  <c r="L2052" i="10" l="1"/>
  <c r="W2052" i="10" s="1"/>
  <c r="O2052" i="10" l="1"/>
  <c r="P2052" i="10"/>
  <c r="N2053" i="10" l="1"/>
  <c r="T2052" i="10"/>
  <c r="M2053" i="10"/>
  <c r="S2052" i="10"/>
  <c r="L2053" i="10" l="1"/>
  <c r="W2053" i="10" s="1"/>
  <c r="P2053" i="10"/>
  <c r="O2053" i="10"/>
  <c r="M2054" i="10" l="1"/>
  <c r="S2053" i="10"/>
  <c r="N2054" i="10"/>
  <c r="T2053" i="10"/>
  <c r="L2054" i="10" l="1"/>
  <c r="W2054" i="10" s="1"/>
  <c r="P2054" i="10" l="1"/>
  <c r="O2054" i="10"/>
  <c r="S2054" i="10" l="1"/>
  <c r="M2055" i="10"/>
  <c r="N2055" i="10"/>
  <c r="T2054" i="10"/>
  <c r="L2055" i="10" l="1"/>
  <c r="W2055" i="10" s="1"/>
  <c r="P2055" i="10" l="1"/>
  <c r="O2055" i="10"/>
  <c r="M2056" i="10" l="1"/>
  <c r="S2055" i="10"/>
  <c r="N2056" i="10"/>
  <c r="T2055" i="10"/>
  <c r="L2056" i="10" l="1"/>
  <c r="W2056" i="10" s="1"/>
  <c r="P2056" i="10" l="1"/>
  <c r="O2056" i="10"/>
  <c r="M2057" i="10" l="1"/>
  <c r="S2056" i="10"/>
  <c r="N2057" i="10"/>
  <c r="T2056" i="10"/>
  <c r="L2057" i="10" l="1"/>
  <c r="W2057" i="10" s="1"/>
  <c r="P2057" i="10" l="1"/>
  <c r="O2057" i="10"/>
  <c r="S2057" i="10" l="1"/>
  <c r="M2058" i="10"/>
  <c r="N2058" i="10"/>
  <c r="T2057" i="10"/>
  <c r="L2058" i="10" l="1"/>
  <c r="W2058" i="10" s="1"/>
  <c r="P2058" i="10" l="1"/>
  <c r="O2058" i="10"/>
  <c r="M2059" i="10" l="1"/>
  <c r="S2058" i="10"/>
  <c r="N2059" i="10"/>
  <c r="T2058" i="10"/>
  <c r="L2059" i="10" l="1"/>
  <c r="W2059" i="10" s="1"/>
  <c r="P2059" i="10" l="1"/>
  <c r="O2059" i="10"/>
  <c r="M2060" i="10" l="1"/>
  <c r="S2059" i="10"/>
  <c r="N2060" i="10"/>
  <c r="T2059" i="10"/>
  <c r="L2060" i="10" l="1"/>
  <c r="W2060" i="10" s="1"/>
  <c r="P2060" i="10" l="1"/>
  <c r="O2060" i="10"/>
  <c r="S2060" i="10" l="1"/>
  <c r="M2061" i="10"/>
  <c r="N2061" i="10"/>
  <c r="T2060" i="10"/>
  <c r="L2061" i="10" l="1"/>
  <c r="W2061" i="10" s="1"/>
  <c r="P2061" i="10" l="1"/>
  <c r="O2061" i="10"/>
  <c r="S2061" i="10" l="1"/>
  <c r="M2062" i="10"/>
  <c r="N2062" i="10"/>
  <c r="T2061" i="10"/>
  <c r="L2062" i="10" l="1"/>
  <c r="W2062" i="10" s="1"/>
  <c r="O2062" i="10" l="1"/>
  <c r="P2062" i="10"/>
  <c r="N2063" i="10" l="1"/>
  <c r="T2062" i="10"/>
  <c r="M2063" i="10"/>
  <c r="L2063" i="10" s="1"/>
  <c r="W2063" i="10" s="1"/>
  <c r="S2062" i="10"/>
  <c r="P2063" i="10" l="1"/>
  <c r="O2063" i="10"/>
  <c r="M2064" i="10" l="1"/>
  <c r="S2063" i="10"/>
  <c r="N2064" i="10"/>
  <c r="T2063" i="10"/>
  <c r="L2064" i="10" l="1"/>
  <c r="W2064" i="10" s="1"/>
  <c r="P2064" i="10" l="1"/>
  <c r="O2064" i="10"/>
  <c r="S2064" i="10" l="1"/>
  <c r="M2065" i="10"/>
  <c r="N2065" i="10"/>
  <c r="T2064" i="10"/>
  <c r="L2065" i="10" l="1"/>
  <c r="O2065" i="10"/>
  <c r="P2065" i="10" l="1"/>
  <c r="T2065" i="10" s="1"/>
  <c r="W2065" i="10"/>
  <c r="S2065" i="10"/>
  <c r="M2066" i="10"/>
  <c r="N2066" i="10"/>
  <c r="L2066" i="10" l="1"/>
  <c r="W2066" i="10" s="1"/>
  <c r="P2066" i="10" l="1"/>
  <c r="O2066" i="10"/>
  <c r="M2067" i="10" l="1"/>
  <c r="S2066" i="10"/>
  <c r="N2067" i="10"/>
  <c r="T2066" i="10"/>
  <c r="L2067" i="10" l="1"/>
  <c r="W2067" i="10" s="1"/>
  <c r="P2067" i="10" l="1"/>
  <c r="O2067" i="10"/>
  <c r="M2068" i="10" l="1"/>
  <c r="S2067" i="10"/>
  <c r="N2068" i="10"/>
  <c r="T2067" i="10"/>
  <c r="L2068" i="10" l="1"/>
  <c r="W2068" i="10" s="1"/>
  <c r="P2068" i="10" l="1"/>
  <c r="O2068" i="10"/>
  <c r="S2068" i="10" l="1"/>
  <c r="M2069" i="10"/>
  <c r="N2069" i="10"/>
  <c r="T2068" i="10"/>
  <c r="L2069" i="10" l="1"/>
  <c r="W2069" i="10" s="1"/>
  <c r="P2069" i="10" l="1"/>
  <c r="O2069" i="10"/>
  <c r="S2069" i="10" l="1"/>
  <c r="M2070" i="10"/>
  <c r="N2070" i="10"/>
  <c r="T2069" i="10"/>
  <c r="L2070" i="10" l="1"/>
  <c r="W2070" i="10" s="1"/>
  <c r="P2070" i="10" l="1"/>
  <c r="O2070" i="10"/>
  <c r="M2071" i="10" l="1"/>
  <c r="S2070" i="10"/>
  <c r="N2071" i="10"/>
  <c r="T2070" i="10"/>
  <c r="L2071" i="10" l="1"/>
  <c r="W2071" i="10" s="1"/>
  <c r="O2071" i="10" l="1"/>
  <c r="P2071" i="10"/>
  <c r="N2072" i="10" l="1"/>
  <c r="T2071" i="10"/>
  <c r="M2072" i="10"/>
  <c r="S2071" i="10"/>
  <c r="L2072" i="10" l="1"/>
  <c r="W2072" i="10" s="1"/>
  <c r="P2072" i="10" l="1"/>
  <c r="N2073" i="10" s="1"/>
  <c r="O2072" i="10"/>
  <c r="S2072" i="10" s="1"/>
  <c r="T2072" i="10" l="1"/>
  <c r="M2073" i="10"/>
  <c r="L2073" i="10" s="1"/>
  <c r="W2073" i="10" s="1"/>
  <c r="P2073" i="10"/>
  <c r="O2073" i="10"/>
  <c r="S2073" i="10" l="1"/>
  <c r="M2074" i="10"/>
  <c r="N2074" i="10"/>
  <c r="T2073" i="10"/>
  <c r="L2074" i="10" l="1"/>
  <c r="W2074" i="10" s="1"/>
  <c r="P2074" i="10"/>
  <c r="O2074" i="10"/>
  <c r="M2075" i="10" l="1"/>
  <c r="S2074" i="10"/>
  <c r="N2075" i="10"/>
  <c r="T2074" i="10"/>
  <c r="L2075" i="10" l="1"/>
  <c r="W2075" i="10" s="1"/>
  <c r="P2075" i="10" l="1"/>
  <c r="O2075" i="10"/>
  <c r="M2076" i="10" l="1"/>
  <c r="S2075" i="10"/>
  <c r="N2076" i="10"/>
  <c r="T2075" i="10"/>
  <c r="L2076" i="10" l="1"/>
  <c r="W2076" i="10" s="1"/>
  <c r="O2076" i="10" l="1"/>
  <c r="P2076" i="10"/>
  <c r="N2077" i="10" l="1"/>
  <c r="T2076" i="10"/>
  <c r="M2077" i="10"/>
  <c r="S2076" i="10"/>
  <c r="L2077" i="10" l="1"/>
  <c r="W2077" i="10" s="1"/>
  <c r="P2077" i="10"/>
  <c r="O2077" i="10"/>
  <c r="M2078" i="10" l="1"/>
  <c r="S2077" i="10"/>
  <c r="N2078" i="10"/>
  <c r="T2077" i="10"/>
  <c r="L2078" i="10" l="1"/>
  <c r="W2078" i="10" s="1"/>
  <c r="P2078" i="10" l="1"/>
  <c r="O2078" i="10"/>
  <c r="M2079" i="10" l="1"/>
  <c r="S2078" i="10"/>
  <c r="N2079" i="10"/>
  <c r="T2078" i="10"/>
  <c r="L2079" i="10" l="1"/>
  <c r="W2079" i="10" s="1"/>
  <c r="P2079" i="10" l="1"/>
  <c r="O2079" i="10"/>
  <c r="M2080" i="10" l="1"/>
  <c r="S2079" i="10"/>
  <c r="N2080" i="10"/>
  <c r="T2079" i="10"/>
  <c r="L2080" i="10" l="1"/>
  <c r="W2080" i="10" s="1"/>
  <c r="P2080" i="10" l="1"/>
  <c r="O2080" i="10"/>
  <c r="S2080" i="10" l="1"/>
  <c r="M2081" i="10"/>
  <c r="N2081" i="10"/>
  <c r="T2080" i="10"/>
  <c r="L2081" i="10" l="1"/>
  <c r="W2081" i="10" s="1"/>
  <c r="P2081" i="10" l="1"/>
  <c r="O2081" i="10"/>
  <c r="S2081" i="10" l="1"/>
  <c r="M2082" i="10"/>
  <c r="N2082" i="10"/>
  <c r="T2081" i="10"/>
  <c r="L2082" i="10" l="1"/>
  <c r="W2082" i="10" s="1"/>
  <c r="P2082" i="10" l="1"/>
  <c r="O2082" i="10"/>
  <c r="M2083" i="10" l="1"/>
  <c r="S2082" i="10"/>
  <c r="N2083" i="10"/>
  <c r="T2082" i="10"/>
  <c r="L2083" i="10" l="1"/>
  <c r="W2083" i="10" s="1"/>
  <c r="P2083" i="10" l="1"/>
  <c r="O2083" i="10"/>
  <c r="M2084" i="10" l="1"/>
  <c r="S2083" i="10"/>
  <c r="N2084" i="10"/>
  <c r="T2083" i="10"/>
  <c r="L2084" i="10" l="1"/>
  <c r="W2084" i="10" s="1"/>
  <c r="O2084" i="10" l="1"/>
  <c r="P2084" i="10"/>
  <c r="N2085" i="10" l="1"/>
  <c r="T2084" i="10"/>
  <c r="M2085" i="10"/>
  <c r="S2084" i="10"/>
  <c r="L2085" i="10" l="1"/>
  <c r="W2085" i="10" s="1"/>
  <c r="P2085" i="10"/>
  <c r="O2085" i="10"/>
  <c r="M2086" i="10" l="1"/>
  <c r="S2085" i="10"/>
  <c r="N2086" i="10"/>
  <c r="T2085" i="10"/>
  <c r="L2086" i="10" l="1"/>
  <c r="W2086" i="10" s="1"/>
  <c r="P2086" i="10" l="1"/>
  <c r="O2086" i="10"/>
  <c r="S2086" i="10" l="1"/>
  <c r="M2087" i="10"/>
  <c r="N2087" i="10"/>
  <c r="T2086" i="10"/>
  <c r="L2087" i="10" l="1"/>
  <c r="W2087" i="10" s="1"/>
  <c r="P2087" i="10" l="1"/>
  <c r="O2087" i="10"/>
  <c r="M2088" i="10" l="1"/>
  <c r="S2087" i="10"/>
  <c r="N2088" i="10"/>
  <c r="T2087" i="10"/>
  <c r="L2088" i="10" l="1"/>
  <c r="W2088" i="10" s="1"/>
  <c r="O2088" i="10" l="1"/>
  <c r="P2088" i="10"/>
  <c r="N2089" i="10" l="1"/>
  <c r="T2088" i="10"/>
  <c r="M2089" i="10"/>
  <c r="S2088" i="10"/>
  <c r="L2089" i="10" l="1"/>
  <c r="W2089" i="10" s="1"/>
  <c r="P2089" i="10"/>
  <c r="O2089" i="10"/>
  <c r="S2089" i="10" l="1"/>
  <c r="M2090" i="10"/>
  <c r="N2090" i="10"/>
  <c r="T2089" i="10"/>
  <c r="L2090" i="10" l="1"/>
  <c r="W2090" i="10" s="1"/>
  <c r="P2090" i="10" l="1"/>
  <c r="O2090" i="10"/>
  <c r="M2091" i="10" l="1"/>
  <c r="S2090" i="10"/>
  <c r="N2091" i="10"/>
  <c r="T2090" i="10"/>
  <c r="L2091" i="10" l="1"/>
  <c r="W2091" i="10" s="1"/>
  <c r="P2091" i="10" l="1"/>
  <c r="O2091" i="10"/>
  <c r="M2092" i="10" l="1"/>
  <c r="S2091" i="10"/>
  <c r="N2092" i="10"/>
  <c r="T2091" i="10"/>
  <c r="L2092" i="10" l="1"/>
  <c r="W2092" i="10" s="1"/>
  <c r="P2092" i="10" l="1"/>
  <c r="O2092" i="10"/>
  <c r="M2093" i="10" l="1"/>
  <c r="S2092" i="10"/>
  <c r="N2093" i="10"/>
  <c r="T2092" i="10"/>
  <c r="L2093" i="10" l="1"/>
  <c r="W2093" i="10" s="1"/>
  <c r="P2093" i="10" l="1"/>
  <c r="O2093" i="10"/>
  <c r="M2094" i="10" l="1"/>
  <c r="S2093" i="10"/>
  <c r="N2094" i="10"/>
  <c r="T2093" i="10"/>
  <c r="L2094" i="10" l="1"/>
  <c r="W2094" i="10" s="1"/>
  <c r="P2094" i="10" l="1"/>
  <c r="O2094" i="10"/>
  <c r="S2094" i="10" l="1"/>
  <c r="M2095" i="10"/>
  <c r="N2095" i="10"/>
  <c r="T2094" i="10"/>
  <c r="L2095" i="10" l="1"/>
  <c r="W2095" i="10" s="1"/>
  <c r="P2095" i="10" l="1"/>
  <c r="O2095" i="10"/>
  <c r="M2096" i="10" l="1"/>
  <c r="S2095" i="10"/>
  <c r="N2096" i="10"/>
  <c r="T2095" i="10"/>
  <c r="L2096" i="10" l="1"/>
  <c r="W2096" i="10" s="1"/>
  <c r="P2096" i="10" l="1"/>
  <c r="O2096" i="10"/>
  <c r="M2097" i="10" l="1"/>
  <c r="S2096" i="10"/>
  <c r="N2097" i="10"/>
  <c r="T2096" i="10"/>
  <c r="L2097" i="10" l="1"/>
  <c r="W2097" i="10" s="1"/>
  <c r="P2097" i="10" l="1"/>
  <c r="O2097" i="10"/>
  <c r="S2097" i="10" l="1"/>
  <c r="M2098" i="10"/>
  <c r="N2098" i="10"/>
  <c r="T2097" i="10"/>
  <c r="L2098" i="10" l="1"/>
  <c r="W2098" i="10" s="1"/>
  <c r="P2098" i="10" l="1"/>
  <c r="O2098" i="10"/>
  <c r="M2099" i="10" l="1"/>
  <c r="S2098" i="10"/>
  <c r="N2099" i="10"/>
  <c r="T2098" i="10"/>
  <c r="L2099" i="10" l="1"/>
  <c r="W2099" i="10" s="1"/>
  <c r="P2099" i="10" l="1"/>
  <c r="O2099" i="10"/>
  <c r="M2100" i="10" l="1"/>
  <c r="S2099" i="10"/>
  <c r="N2100" i="10"/>
  <c r="T2099" i="10"/>
  <c r="L2100" i="10" l="1"/>
  <c r="W2100" i="10" s="1"/>
  <c r="P2100" i="10" l="1"/>
  <c r="O2100" i="10"/>
  <c r="M2101" i="10" l="1"/>
  <c r="S2100" i="10"/>
  <c r="N2101" i="10"/>
  <c r="T2100" i="10"/>
  <c r="L2101" i="10" l="1"/>
  <c r="W2101" i="10" s="1"/>
  <c r="P2101" i="10" l="1"/>
  <c r="O2101" i="10"/>
  <c r="M2102" i="10" l="1"/>
  <c r="S2101" i="10"/>
  <c r="N2102" i="10"/>
  <c r="T2101" i="10"/>
  <c r="L2102" i="10" l="1"/>
  <c r="W2102" i="10" s="1"/>
  <c r="P2102" i="10" l="1"/>
  <c r="O2102" i="10"/>
  <c r="M2103" i="10" l="1"/>
  <c r="S2102" i="10"/>
  <c r="N2103" i="10"/>
  <c r="T2102" i="10"/>
  <c r="L2103" i="10" l="1"/>
  <c r="W2103" i="10" s="1"/>
  <c r="P2103" i="10" l="1"/>
  <c r="O2103" i="10"/>
  <c r="M2104" i="10" l="1"/>
  <c r="S2103" i="10"/>
  <c r="N2104" i="10"/>
  <c r="T2103" i="10"/>
  <c r="L2104" i="10" l="1"/>
  <c r="W2104" i="10" s="1"/>
  <c r="P2104" i="10" l="1"/>
  <c r="O2104" i="10"/>
  <c r="S2104" i="10" l="1"/>
  <c r="M2105" i="10"/>
  <c r="N2105" i="10"/>
  <c r="T2104" i="10"/>
  <c r="L2105" i="10" l="1"/>
  <c r="W2105" i="10" s="1"/>
  <c r="O2105" i="10" l="1"/>
  <c r="P2105" i="10"/>
  <c r="N2106" i="10" l="1"/>
  <c r="T2105" i="10"/>
  <c r="M2106" i="10"/>
  <c r="S2105" i="10"/>
  <c r="L2106" i="10" l="1"/>
  <c r="W2106" i="10" s="1"/>
  <c r="O2106" i="10" l="1"/>
  <c r="M2107" i="10" s="1"/>
  <c r="P2106" i="10"/>
  <c r="N2107" i="10" s="1"/>
  <c r="S2106" i="10" l="1"/>
  <c r="T2106" i="10"/>
  <c r="L2107" i="10"/>
  <c r="W2107" i="10" s="1"/>
  <c r="P2107" i="10" l="1"/>
  <c r="O2107" i="10"/>
  <c r="S2107" i="10" l="1"/>
  <c r="M2108" i="10"/>
  <c r="N2108" i="10"/>
  <c r="T2107" i="10"/>
  <c r="L2108" i="10" l="1"/>
  <c r="W2108" i="10" s="1"/>
  <c r="P2108" i="10" l="1"/>
  <c r="O2108" i="10"/>
  <c r="M2109" i="10" l="1"/>
  <c r="S2108" i="10"/>
  <c r="N2109" i="10"/>
  <c r="T2108" i="10"/>
  <c r="L2109" i="10" l="1"/>
  <c r="W2109" i="10" s="1"/>
  <c r="P2109" i="10" l="1"/>
  <c r="O2109" i="10"/>
  <c r="M2110" i="10" l="1"/>
  <c r="S2109" i="10"/>
  <c r="N2110" i="10"/>
  <c r="T2109" i="10"/>
  <c r="L2110" i="10" l="1"/>
  <c r="W2110" i="10" s="1"/>
  <c r="P2110" i="10" l="1"/>
  <c r="O2110" i="10"/>
  <c r="S2110" i="10" l="1"/>
  <c r="M2111" i="10"/>
  <c r="N2111" i="10"/>
  <c r="T2110" i="10"/>
  <c r="L2111" i="10" l="1"/>
  <c r="W2111" i="10" s="1"/>
  <c r="P2111" i="10" l="1"/>
  <c r="O2111" i="10"/>
  <c r="M2112" i="10" l="1"/>
  <c r="S2111" i="10"/>
  <c r="N2112" i="10"/>
  <c r="T2111" i="10"/>
  <c r="L2112" i="10" l="1"/>
  <c r="W2112" i="10" s="1"/>
  <c r="O2112" i="10" l="1"/>
  <c r="P2112" i="10"/>
  <c r="N2113" i="10" l="1"/>
  <c r="T2112" i="10"/>
  <c r="S2112" i="10"/>
  <c r="M2113" i="10"/>
  <c r="L2113" i="10" l="1"/>
  <c r="W2113" i="10" s="1"/>
  <c r="P2113" i="10"/>
  <c r="O2113" i="10"/>
  <c r="S2113" i="10" l="1"/>
  <c r="M2114" i="10"/>
  <c r="N2114" i="10"/>
  <c r="T2113" i="10"/>
  <c r="L2114" i="10" l="1"/>
  <c r="W2114" i="10" s="1"/>
  <c r="P2114" i="10" l="1"/>
  <c r="O2114" i="10"/>
  <c r="M2115" i="10" l="1"/>
  <c r="S2114" i="10"/>
  <c r="N2115" i="10"/>
  <c r="T2114" i="10"/>
  <c r="L2115" i="10" l="1"/>
  <c r="W2115" i="10" s="1"/>
  <c r="P2115" i="10" l="1"/>
  <c r="O2115" i="10"/>
  <c r="M2116" i="10" l="1"/>
  <c r="S2115" i="10"/>
  <c r="N2116" i="10"/>
  <c r="T2115" i="10"/>
  <c r="L2116" i="10" l="1"/>
  <c r="W2116" i="10" s="1"/>
  <c r="P2116" i="10" l="1"/>
  <c r="O2116" i="10"/>
  <c r="M2117" i="10" l="1"/>
  <c r="S2116" i="10"/>
  <c r="N2117" i="10"/>
  <c r="T2116" i="10"/>
  <c r="L2117" i="10" l="1"/>
  <c r="W2117" i="10" s="1"/>
  <c r="P2117" i="10" l="1"/>
  <c r="O2117" i="10"/>
  <c r="S2117" i="10" l="1"/>
  <c r="M2118" i="10"/>
  <c r="N2118" i="10"/>
  <c r="T2117" i="10"/>
  <c r="L2118" i="10" l="1"/>
  <c r="W2118" i="10" s="1"/>
  <c r="P2118" i="10" l="1"/>
  <c r="O2118" i="10"/>
  <c r="M2119" i="10" l="1"/>
  <c r="S2118" i="10"/>
  <c r="N2119" i="10"/>
  <c r="T2118" i="10"/>
  <c r="L2119" i="10" l="1"/>
  <c r="W2119" i="10" s="1"/>
  <c r="P2119" i="10" l="1"/>
  <c r="O2119" i="10"/>
  <c r="M2120" i="10" l="1"/>
  <c r="S2119" i="10"/>
  <c r="T2119" i="10"/>
  <c r="N2120" i="10"/>
  <c r="L2120" i="10" l="1"/>
  <c r="W2120" i="10" s="1"/>
  <c r="P2120" i="10" l="1"/>
  <c r="O2120" i="10"/>
  <c r="S2120" i="10" l="1"/>
  <c r="M2121" i="10"/>
  <c r="N2121" i="10"/>
  <c r="T2120" i="10"/>
  <c r="L2121" i="10" l="1"/>
  <c r="W2121" i="10" s="1"/>
  <c r="P2121" i="10" l="1"/>
  <c r="O2121" i="10"/>
  <c r="S2121" i="10" l="1"/>
  <c r="M2122" i="10"/>
  <c r="N2122" i="10"/>
  <c r="T2121" i="10"/>
  <c r="L2122" i="10" l="1"/>
  <c r="W2122" i="10" s="1"/>
  <c r="O2122" i="10" l="1"/>
  <c r="P2122" i="10"/>
  <c r="N2123" i="10" l="1"/>
  <c r="T2122" i="10"/>
  <c r="S2122" i="10"/>
  <c r="M2123" i="10"/>
  <c r="L2123" i="10" l="1"/>
  <c r="W2123" i="10" s="1"/>
  <c r="P2123" i="10"/>
  <c r="O2123" i="10"/>
  <c r="S2123" i="10" l="1"/>
  <c r="M2124" i="10"/>
  <c r="N2124" i="10"/>
  <c r="T2123" i="10"/>
  <c r="L2124" i="10" l="1"/>
  <c r="W2124" i="10" s="1"/>
  <c r="O2124" i="10" l="1"/>
  <c r="P2124" i="10"/>
  <c r="N2125" i="10" l="1"/>
  <c r="T2124" i="10"/>
  <c r="S2124" i="10"/>
  <c r="M2125" i="10"/>
  <c r="L2125" i="10" s="1"/>
  <c r="W2125" i="10" s="1"/>
  <c r="P2125" i="10" l="1"/>
  <c r="O2125" i="10"/>
  <c r="M2126" i="10" l="1"/>
  <c r="S2125" i="10"/>
  <c r="N2126" i="10"/>
  <c r="T2125" i="10"/>
  <c r="L2126" i="10" l="1"/>
  <c r="W2126" i="10" s="1"/>
  <c r="P2126" i="10" l="1"/>
  <c r="O2126" i="10"/>
  <c r="S2126" i="10" l="1"/>
  <c r="M2127" i="10"/>
  <c r="N2127" i="10"/>
  <c r="T2126" i="10"/>
  <c r="L2127" i="10" l="1"/>
  <c r="W2127" i="10" s="1"/>
  <c r="P2127" i="10" l="1"/>
  <c r="O2127" i="10"/>
  <c r="S2127" i="10" l="1"/>
  <c r="M2128" i="10"/>
  <c r="N2128" i="10"/>
  <c r="T2127" i="10"/>
  <c r="L2128" i="10" l="1"/>
  <c r="W2128" i="10" s="1"/>
  <c r="P2128" i="10" l="1"/>
  <c r="O2128" i="10"/>
  <c r="M2129" i="10" l="1"/>
  <c r="S2128" i="10"/>
  <c r="N2129" i="10"/>
  <c r="T2128" i="10"/>
  <c r="L2129" i="10" l="1"/>
  <c r="W2129" i="10" s="1"/>
  <c r="P2129" i="10" l="1"/>
  <c r="O2129" i="10"/>
  <c r="S2129" i="10" l="1"/>
  <c r="M2130" i="10"/>
  <c r="N2130" i="10"/>
  <c r="T2129" i="10"/>
  <c r="L2130" i="10" l="1"/>
  <c r="W2130" i="10" s="1"/>
  <c r="P2130" i="10" l="1"/>
  <c r="O2130" i="10"/>
  <c r="S2130" i="10" l="1"/>
  <c r="M2131" i="10"/>
  <c r="N2131" i="10"/>
  <c r="T2130" i="10"/>
  <c r="L2131" i="10" l="1"/>
  <c r="W2131" i="10" s="1"/>
  <c r="P2131" i="10" l="1"/>
  <c r="O2131" i="10"/>
  <c r="S2131" i="10" l="1"/>
  <c r="M2132" i="10"/>
  <c r="N2132" i="10"/>
  <c r="T2131" i="10"/>
  <c r="L2132" i="10" l="1"/>
  <c r="W2132" i="10" s="1"/>
  <c r="P2132" i="10" l="1"/>
  <c r="O2132" i="10"/>
  <c r="S2132" i="10" l="1"/>
  <c r="M2133" i="10"/>
  <c r="N2133" i="10"/>
  <c r="T2132" i="10"/>
  <c r="L2133" i="10" l="1"/>
  <c r="W2133" i="10" s="1"/>
  <c r="P2133" i="10" l="1"/>
  <c r="O2133" i="10"/>
  <c r="M2134" i="10" l="1"/>
  <c r="S2133" i="10"/>
  <c r="N2134" i="10"/>
  <c r="T2133" i="10"/>
  <c r="L2134" i="10" l="1"/>
  <c r="W2134" i="10" s="1"/>
  <c r="P2134" i="10" l="1"/>
  <c r="O2134" i="10"/>
  <c r="M2135" i="10" l="1"/>
  <c r="S2134" i="10"/>
  <c r="N2135" i="10"/>
  <c r="T2134" i="10"/>
  <c r="L2135" i="10" l="1"/>
  <c r="W2135" i="10" s="1"/>
  <c r="P2135" i="10" l="1"/>
  <c r="O2135" i="10"/>
  <c r="M2136" i="10" l="1"/>
  <c r="S2135" i="10"/>
  <c r="N2136" i="10"/>
  <c r="T2135" i="10"/>
  <c r="L2136" i="10" l="1"/>
  <c r="W2136" i="10" s="1"/>
  <c r="P2136" i="10" l="1"/>
  <c r="O2136" i="10"/>
  <c r="M2137" i="10" l="1"/>
  <c r="S2136" i="10"/>
  <c r="N2137" i="10"/>
  <c r="T2136" i="10"/>
  <c r="L2137" i="10" l="1"/>
  <c r="W2137" i="10" s="1"/>
  <c r="P2137" i="10" l="1"/>
  <c r="O2137" i="10"/>
  <c r="S2137" i="10" l="1"/>
  <c r="M2138" i="10"/>
  <c r="N2138" i="10"/>
  <c r="T2137" i="10"/>
  <c r="L2138" i="10" l="1"/>
  <c r="W2138" i="10" s="1"/>
  <c r="P2138" i="10" l="1"/>
  <c r="O2138" i="10"/>
  <c r="M2139" i="10" l="1"/>
  <c r="S2138" i="10"/>
  <c r="N2139" i="10"/>
  <c r="T2138" i="10"/>
  <c r="L2139" i="10" l="1"/>
  <c r="W2139" i="10" s="1"/>
  <c r="P2139" i="10" l="1"/>
  <c r="O2139" i="10"/>
  <c r="M2140" i="10" l="1"/>
  <c r="S2139" i="10"/>
  <c r="N2140" i="10"/>
  <c r="T2139" i="10"/>
  <c r="L2140" i="10" l="1"/>
  <c r="W2140" i="10" s="1"/>
  <c r="O2140" i="10" l="1"/>
  <c r="P2140" i="10"/>
  <c r="N2141" i="10" l="1"/>
  <c r="T2140" i="10"/>
  <c r="S2140" i="10"/>
  <c r="M2141" i="10"/>
  <c r="L2141" i="10" s="1"/>
  <c r="W2141" i="10" s="1"/>
  <c r="P2141" i="10" l="1"/>
  <c r="O2141" i="10"/>
  <c r="S2141" i="10" l="1"/>
  <c r="M2142" i="10"/>
  <c r="N2142" i="10"/>
  <c r="T2141" i="10"/>
  <c r="L2142" i="10" l="1"/>
  <c r="W2142" i="10" s="1"/>
  <c r="P2142" i="10" l="1"/>
  <c r="O2142" i="10"/>
  <c r="M2143" i="10" l="1"/>
  <c r="S2142" i="10"/>
  <c r="N2143" i="10"/>
  <c r="T2142" i="10"/>
  <c r="L2143" i="10" l="1"/>
  <c r="W2143" i="10" s="1"/>
  <c r="P2143" i="10" l="1"/>
  <c r="O2143" i="10"/>
  <c r="S2143" i="10" l="1"/>
  <c r="M2144" i="10"/>
  <c r="N2144" i="10"/>
  <c r="T2143" i="10"/>
  <c r="L2144" i="10" l="1"/>
  <c r="W2144" i="10" s="1"/>
  <c r="P2144" i="10" l="1"/>
  <c r="O2144" i="10"/>
  <c r="S2144" i="10" l="1"/>
  <c r="M2145" i="10"/>
  <c r="N2145" i="10"/>
  <c r="T2144" i="10"/>
  <c r="L2145" i="10" l="1"/>
  <c r="W2145" i="10" s="1"/>
  <c r="P2145" i="10" l="1"/>
  <c r="O2145" i="10"/>
  <c r="M2146" i="10" l="1"/>
  <c r="S2145" i="10"/>
  <c r="N2146" i="10"/>
  <c r="T2145" i="10"/>
  <c r="L2146" i="10" l="1"/>
  <c r="W2146" i="10" s="1"/>
  <c r="P2146" i="10" l="1"/>
  <c r="O2146" i="10"/>
  <c r="M2147" i="10" l="1"/>
  <c r="S2146" i="10"/>
  <c r="N2147" i="10"/>
  <c r="T2146" i="10"/>
  <c r="L2147" i="10" l="1"/>
  <c r="W2147" i="10" s="1"/>
  <c r="P2147" i="10" l="1"/>
  <c r="O2147" i="10"/>
  <c r="S2147" i="10" l="1"/>
  <c r="M2148" i="10"/>
  <c r="N2148" i="10"/>
  <c r="T2147" i="10"/>
  <c r="L2148" i="10" l="1"/>
  <c r="W2148" i="10" s="1"/>
  <c r="P2148" i="10" l="1"/>
  <c r="O2148" i="10"/>
  <c r="M2149" i="10" l="1"/>
  <c r="S2148" i="10"/>
  <c r="N2149" i="10"/>
  <c r="T2148" i="10"/>
  <c r="L2149" i="10" l="1"/>
  <c r="W2149" i="10" s="1"/>
  <c r="P2149" i="10" l="1"/>
  <c r="O2149" i="10"/>
  <c r="M2150" i="10" l="1"/>
  <c r="S2149" i="10"/>
  <c r="N2150" i="10"/>
  <c r="T2149" i="10"/>
  <c r="L2150" i="10" l="1"/>
  <c r="W2150" i="10" s="1"/>
  <c r="P2150" i="10" l="1"/>
  <c r="O2150" i="10"/>
  <c r="S2150" i="10" l="1"/>
  <c r="M2151" i="10"/>
  <c r="N2151" i="10"/>
  <c r="T2150" i="10"/>
  <c r="L2151" i="10" l="1"/>
  <c r="W2151" i="10" s="1"/>
  <c r="P2151" i="10" l="1"/>
  <c r="O2151" i="10"/>
  <c r="M2152" i="10" l="1"/>
  <c r="S2151" i="10"/>
  <c r="N2152" i="10"/>
  <c r="T2151" i="10"/>
  <c r="L2152" i="10" l="1"/>
  <c r="W2152" i="10" s="1"/>
  <c r="P2152" i="10" l="1"/>
  <c r="O2152" i="10"/>
  <c r="S2152" i="10" l="1"/>
  <c r="M2153" i="10"/>
  <c r="N2153" i="10"/>
  <c r="T2152" i="10"/>
  <c r="L2153" i="10" l="1"/>
  <c r="W2153" i="10" s="1"/>
  <c r="P2153" i="10" l="1"/>
  <c r="O2153" i="10"/>
  <c r="S2153" i="10" l="1"/>
  <c r="M2154" i="10"/>
  <c r="N2154" i="10"/>
  <c r="T2153" i="10"/>
  <c r="L2154" i="10" l="1"/>
  <c r="W2154" i="10" s="1"/>
  <c r="P2154" i="10" l="1"/>
  <c r="O2154" i="10"/>
  <c r="S2154" i="10" l="1"/>
  <c r="M2155" i="10"/>
  <c r="N2155" i="10"/>
  <c r="T2154" i="10"/>
  <c r="L2155" i="10" l="1"/>
  <c r="W2155" i="10" s="1"/>
  <c r="P2155" i="10" l="1"/>
  <c r="O2155" i="10"/>
  <c r="M2156" i="10" l="1"/>
  <c r="S2155" i="10"/>
  <c r="N2156" i="10"/>
  <c r="T2155" i="10"/>
  <c r="L2156" i="10" l="1"/>
  <c r="W2156" i="10" s="1"/>
  <c r="P2156" i="10" l="1"/>
  <c r="O2156" i="10"/>
  <c r="S2156" i="10" l="1"/>
  <c r="M2157" i="10"/>
  <c r="N2157" i="10"/>
  <c r="T2156" i="10"/>
  <c r="L2157" i="10" l="1"/>
  <c r="W2157" i="10" s="1"/>
  <c r="O2157" i="10"/>
  <c r="P2157" i="10"/>
  <c r="T2157" i="10" l="1"/>
  <c r="N2158" i="10"/>
  <c r="S2157" i="10"/>
  <c r="M2158" i="10"/>
  <c r="L2158" i="10" s="1"/>
  <c r="W2158" i="10" s="1"/>
  <c r="P2158" i="10" l="1"/>
  <c r="O2158" i="10"/>
  <c r="M2159" i="10" l="1"/>
  <c r="S2158" i="10"/>
  <c r="N2159" i="10"/>
  <c r="T2158" i="10"/>
  <c r="L2159" i="10" l="1"/>
  <c r="W2159" i="10" s="1"/>
  <c r="P2159" i="10" l="1"/>
  <c r="O2159" i="10"/>
  <c r="M2160" i="10" l="1"/>
  <c r="S2159" i="10"/>
  <c r="T2159" i="10"/>
  <c r="N2160" i="10"/>
  <c r="L2160" i="10" l="1"/>
  <c r="W2160" i="10" s="1"/>
  <c r="O2160" i="10" l="1"/>
  <c r="P2160" i="10"/>
  <c r="N2161" i="10" l="1"/>
  <c r="T2160" i="10"/>
  <c r="S2160" i="10"/>
  <c r="M2161" i="10"/>
  <c r="L2161" i="10" s="1"/>
  <c r="W2161" i="10" s="1"/>
  <c r="P2161" i="10" l="1"/>
  <c r="O2161" i="10"/>
  <c r="M2162" i="10" l="1"/>
  <c r="S2161" i="10"/>
  <c r="N2162" i="10"/>
  <c r="T2161" i="10"/>
  <c r="L2162" i="10" l="1"/>
  <c r="W2162" i="10" s="1"/>
  <c r="P2162" i="10" l="1"/>
  <c r="O2162" i="10"/>
  <c r="S2162" i="10" l="1"/>
  <c r="M2163" i="10"/>
  <c r="N2163" i="10"/>
  <c r="T2162" i="10"/>
  <c r="L2163" i="10" l="1"/>
  <c r="W2163" i="10" s="1"/>
  <c r="P2163" i="10" l="1"/>
  <c r="O2163" i="10"/>
  <c r="M2164" i="10" l="1"/>
  <c r="S2163" i="10"/>
  <c r="N2164" i="10"/>
  <c r="T2163" i="10"/>
  <c r="L2164" i="10" l="1"/>
  <c r="W2164" i="10" s="1"/>
  <c r="P2164" i="10" l="1"/>
  <c r="O2164" i="10"/>
  <c r="S2164" i="10" l="1"/>
  <c r="M2165" i="10"/>
  <c r="N2165" i="10"/>
  <c r="T2164" i="10"/>
  <c r="L2165" i="10" l="1"/>
  <c r="W2165" i="10" s="1"/>
  <c r="P2165" i="10" l="1"/>
  <c r="O2165" i="10"/>
  <c r="M2166" i="10" l="1"/>
  <c r="S2165" i="10"/>
  <c r="N2166" i="10"/>
  <c r="T2165" i="10"/>
  <c r="L2166" i="10" l="1"/>
  <c r="P2166" i="10" l="1"/>
  <c r="N2167" i="10" s="1"/>
  <c r="W2166" i="10"/>
  <c r="O2166" i="10"/>
  <c r="M2167" i="10" s="1"/>
  <c r="T2166" i="10"/>
  <c r="S2166" i="10" l="1"/>
  <c r="L2167" i="10"/>
  <c r="W2167" i="10" s="1"/>
  <c r="P2167" i="10" l="1"/>
  <c r="O2167" i="10"/>
  <c r="M2168" i="10" l="1"/>
  <c r="S2167" i="10"/>
  <c r="N2168" i="10"/>
  <c r="T2167" i="10"/>
  <c r="L2168" i="10" l="1"/>
  <c r="W2168" i="10" s="1"/>
  <c r="O2168" i="10" l="1"/>
  <c r="P2168" i="10"/>
  <c r="N2169" i="10" l="1"/>
  <c r="T2168" i="10"/>
  <c r="M2169" i="10"/>
  <c r="L2169" i="10" s="1"/>
  <c r="W2169" i="10" s="1"/>
  <c r="S2168" i="10"/>
  <c r="O2169" i="10" l="1"/>
  <c r="P2169" i="10"/>
  <c r="N2170" i="10" l="1"/>
  <c r="T2169" i="10"/>
  <c r="S2169" i="10"/>
  <c r="M2170" i="10"/>
  <c r="L2170" i="10" s="1"/>
  <c r="W2170" i="10" s="1"/>
  <c r="P2170" i="10" l="1"/>
  <c r="O2170" i="10"/>
  <c r="M2171" i="10" l="1"/>
  <c r="S2170" i="10"/>
  <c r="T2170" i="10"/>
  <c r="N2171" i="10"/>
  <c r="L2171" i="10" l="1"/>
  <c r="W2171" i="10" s="1"/>
  <c r="P2171" i="10" l="1"/>
  <c r="O2171" i="10"/>
  <c r="M2172" i="10" l="1"/>
  <c r="S2171" i="10"/>
  <c r="T2171" i="10"/>
  <c r="N2172" i="10"/>
  <c r="L2172" i="10" l="1"/>
  <c r="W2172" i="10" s="1"/>
  <c r="P2172" i="10" l="1"/>
  <c r="O2172" i="10"/>
  <c r="M2173" i="10" l="1"/>
  <c r="S2172" i="10"/>
  <c r="N2173" i="10"/>
  <c r="T2172" i="10"/>
  <c r="L2173" i="10" l="1"/>
  <c r="W2173" i="10" s="1"/>
  <c r="P2173" i="10" l="1"/>
  <c r="O2173" i="10"/>
  <c r="M2174" i="10" l="1"/>
  <c r="S2173" i="10"/>
  <c r="N2174" i="10"/>
  <c r="T2173" i="10"/>
  <c r="L2174" i="10" l="1"/>
  <c r="W2174" i="10" s="1"/>
  <c r="P2174" i="10" l="1"/>
  <c r="O2174" i="10"/>
  <c r="M2175" i="10" l="1"/>
  <c r="S2174" i="10"/>
  <c r="N2175" i="10"/>
  <c r="T2174" i="10"/>
  <c r="L2175" i="10" l="1"/>
  <c r="W2175" i="10" s="1"/>
  <c r="P2175" i="10"/>
  <c r="O2175" i="10"/>
  <c r="M2176" i="10" l="1"/>
  <c r="S2175" i="10"/>
  <c r="N2176" i="10"/>
  <c r="T2175" i="10"/>
  <c r="L2176" i="10" l="1"/>
  <c r="W2176" i="10" s="1"/>
  <c r="P2176" i="10" l="1"/>
  <c r="O2176" i="10"/>
  <c r="M2177" i="10" l="1"/>
  <c r="S2176" i="10"/>
  <c r="N2177" i="10"/>
  <c r="T2176" i="10"/>
  <c r="L2177" i="10" l="1"/>
  <c r="W2177" i="10" s="1"/>
  <c r="P2177" i="10" l="1"/>
  <c r="O2177" i="10"/>
  <c r="S2177" i="10" l="1"/>
  <c r="M2178" i="10"/>
  <c r="N2178" i="10"/>
  <c r="T2177" i="10"/>
  <c r="L2178" i="10" l="1"/>
  <c r="O2178" i="10"/>
  <c r="P2178" i="10" l="1"/>
  <c r="W2178" i="10"/>
  <c r="S2178" i="10"/>
  <c r="M2179" i="10"/>
  <c r="N2179" i="10"/>
  <c r="T2178" i="10"/>
  <c r="L2179" i="10" l="1"/>
  <c r="W2179" i="10" s="1"/>
  <c r="P2179" i="10" l="1"/>
  <c r="O2179" i="10"/>
  <c r="M2180" i="10" l="1"/>
  <c r="S2179" i="10"/>
  <c r="N2180" i="10"/>
  <c r="T2179" i="10"/>
  <c r="L2180" i="10" l="1"/>
  <c r="W2180" i="10" s="1"/>
  <c r="P2180" i="10" l="1"/>
  <c r="O2180" i="10"/>
  <c r="S2180" i="10" l="1"/>
  <c r="M2181" i="10"/>
  <c r="N2181" i="10"/>
  <c r="T2180" i="10"/>
  <c r="L2181" i="10" l="1"/>
  <c r="W2181" i="10" s="1"/>
  <c r="P2181" i="10" l="1"/>
  <c r="O2181" i="10"/>
  <c r="S2181" i="10" l="1"/>
  <c r="M2182" i="10"/>
  <c r="N2182" i="10"/>
  <c r="T2181" i="10"/>
  <c r="L2182" i="10" l="1"/>
  <c r="W2182" i="10" s="1"/>
  <c r="P2182" i="10" l="1"/>
  <c r="O2182" i="10"/>
  <c r="S2182" i="10" l="1"/>
  <c r="M2183" i="10"/>
  <c r="N2183" i="10"/>
  <c r="T2182" i="10"/>
  <c r="L2183" i="10" l="1"/>
  <c r="W2183" i="10" s="1"/>
  <c r="P2183" i="10" l="1"/>
  <c r="O2183" i="10"/>
  <c r="S2183" i="10" l="1"/>
  <c r="M2184" i="10"/>
  <c r="N2184" i="10"/>
  <c r="T2183" i="10"/>
  <c r="L2184" i="10" l="1"/>
  <c r="W2184" i="10" s="1"/>
  <c r="P2184" i="10" l="1"/>
  <c r="O2184" i="10"/>
  <c r="M2185" i="10" l="1"/>
  <c r="S2184" i="10"/>
  <c r="N2185" i="10"/>
  <c r="T2184" i="10"/>
  <c r="L2185" i="10" l="1"/>
  <c r="W2185" i="10" s="1"/>
  <c r="P2185" i="10" l="1"/>
  <c r="O2185" i="10"/>
  <c r="S2185" i="10" l="1"/>
  <c r="M2186" i="10"/>
  <c r="N2186" i="10"/>
  <c r="T2185" i="10"/>
  <c r="L2186" i="10" l="1"/>
  <c r="W2186" i="10" s="1"/>
  <c r="P2186" i="10" l="1"/>
  <c r="O2186" i="10"/>
  <c r="M2187" i="10" l="1"/>
  <c r="S2186" i="10"/>
  <c r="N2187" i="10"/>
  <c r="T2186" i="10"/>
  <c r="L2187" i="10" l="1"/>
  <c r="W2187" i="10" s="1"/>
  <c r="O2187" i="10" l="1"/>
  <c r="P2187" i="10"/>
  <c r="N2188" i="10" l="1"/>
  <c r="T2187" i="10"/>
  <c r="S2187" i="10"/>
  <c r="M2188" i="10"/>
  <c r="L2188" i="10" l="1"/>
  <c r="W2188" i="10" s="1"/>
  <c r="P2188" i="10"/>
  <c r="O2188" i="10"/>
  <c r="M2189" i="10" l="1"/>
  <c r="S2188" i="10"/>
  <c r="N2189" i="10"/>
  <c r="T2188" i="10"/>
  <c r="L2189" i="10" l="1"/>
  <c r="W2189" i="10" s="1"/>
  <c r="P2189" i="10" l="1"/>
  <c r="O2189" i="10"/>
  <c r="S2189" i="10" l="1"/>
  <c r="M2190" i="10"/>
  <c r="N2190" i="10"/>
  <c r="T2189" i="10"/>
  <c r="L2190" i="10" l="1"/>
  <c r="W2190" i="10" s="1"/>
  <c r="P2190" i="10"/>
  <c r="O2190" i="10"/>
  <c r="S2190" i="10" l="1"/>
  <c r="M2191" i="10"/>
  <c r="N2191" i="10"/>
  <c r="T2190" i="10"/>
  <c r="L2191" i="10" l="1"/>
  <c r="O2191" i="10"/>
  <c r="P2191" i="10" l="1"/>
  <c r="T2191" i="10" s="1"/>
  <c r="W2191" i="10"/>
  <c r="M2192" i="10"/>
  <c r="S2191" i="10"/>
  <c r="N2192" i="10"/>
  <c r="L2192" i="10" l="1"/>
  <c r="W2192" i="10" s="1"/>
  <c r="O2192" i="10" l="1"/>
  <c r="P2192" i="10"/>
  <c r="N2193" i="10" l="1"/>
  <c r="T2192" i="10"/>
  <c r="S2192" i="10"/>
  <c r="M2193" i="10"/>
  <c r="L2193" i="10" s="1"/>
  <c r="W2193" i="10" s="1"/>
  <c r="P2193" i="10" l="1"/>
  <c r="O2193" i="10"/>
  <c r="S2193" i="10" l="1"/>
  <c r="M2194" i="10"/>
  <c r="N2194" i="10"/>
  <c r="T2193" i="10"/>
  <c r="L2194" i="10" l="1"/>
  <c r="W2194" i="10" s="1"/>
  <c r="P2194" i="10" l="1"/>
  <c r="O2194" i="10"/>
  <c r="M2195" i="10" l="1"/>
  <c r="S2194" i="10"/>
  <c r="N2195" i="10"/>
  <c r="T2194" i="10"/>
  <c r="L2195" i="10" l="1"/>
  <c r="W2195" i="10" s="1"/>
  <c r="P2195" i="10" l="1"/>
  <c r="O2195" i="10"/>
  <c r="M2196" i="10" l="1"/>
  <c r="S2195" i="10"/>
  <c r="N2196" i="10"/>
  <c r="T2195" i="10"/>
  <c r="L2196" i="10" l="1"/>
  <c r="W2196" i="10" s="1"/>
  <c r="P2196" i="10" l="1"/>
  <c r="O2196" i="10"/>
  <c r="S2196" i="10" l="1"/>
  <c r="M2197" i="10"/>
  <c r="N2197" i="10"/>
  <c r="T2196" i="10"/>
  <c r="L2197" i="10" l="1"/>
  <c r="W2197" i="10" s="1"/>
  <c r="P2197" i="10"/>
  <c r="O2197" i="10"/>
  <c r="S2197" i="10" l="1"/>
  <c r="M2198" i="10"/>
  <c r="N2198" i="10"/>
  <c r="T2197" i="10"/>
  <c r="L2198" i="10" l="1"/>
  <c r="W2198" i="10" s="1"/>
  <c r="P2198" i="10" l="1"/>
  <c r="O2198" i="10"/>
  <c r="M2199" i="10" l="1"/>
  <c r="S2198" i="10"/>
  <c r="N2199" i="10"/>
  <c r="T2198" i="10"/>
  <c r="L2199" i="10" l="1"/>
  <c r="W2199" i="10" s="1"/>
  <c r="P2199" i="10" l="1"/>
  <c r="O2199" i="10"/>
  <c r="S2199" i="10" l="1"/>
  <c r="M2200" i="10"/>
  <c r="N2200" i="10"/>
  <c r="T2199" i="10"/>
  <c r="L2200" i="10" l="1"/>
  <c r="W2200" i="10" s="1"/>
  <c r="P2200" i="10" l="1"/>
  <c r="O2200" i="10"/>
  <c r="S2200" i="10" l="1"/>
  <c r="M2201" i="10"/>
  <c r="N2201" i="10"/>
  <c r="T2200" i="10"/>
  <c r="L2201" i="10" l="1"/>
  <c r="W2201" i="10" s="1"/>
  <c r="P2201" i="10" l="1"/>
  <c r="O2201" i="10"/>
  <c r="S2201" i="10" l="1"/>
  <c r="M2202" i="10"/>
  <c r="N2202" i="10"/>
  <c r="T2201" i="10"/>
  <c r="L2202" i="10" l="1"/>
  <c r="W2202" i="10" s="1"/>
  <c r="P2202" i="10" l="1"/>
  <c r="O2202" i="10"/>
  <c r="M2203" i="10" l="1"/>
  <c r="S2202" i="10"/>
  <c r="N2203" i="10"/>
  <c r="T2202" i="10"/>
  <c r="L2203" i="10" l="1"/>
  <c r="W2203" i="10" s="1"/>
  <c r="P2203" i="10" l="1"/>
  <c r="O2203" i="10"/>
  <c r="M2204" i="10" l="1"/>
  <c r="S2203" i="10"/>
  <c r="N2204" i="10"/>
  <c r="T2203" i="10"/>
  <c r="L2204" i="10" l="1"/>
  <c r="W2204" i="10" s="1"/>
  <c r="P2204" i="10" l="1"/>
  <c r="O2204" i="10"/>
  <c r="M2205" i="10" l="1"/>
  <c r="S2204" i="10"/>
  <c r="N2205" i="10"/>
  <c r="T2204" i="10"/>
  <c r="L2205" i="10" l="1"/>
  <c r="W2205" i="10" s="1"/>
  <c r="P2205" i="10" l="1"/>
  <c r="O2205" i="10"/>
  <c r="M2206" i="10" l="1"/>
  <c r="S2205" i="10"/>
  <c r="N2206" i="10"/>
  <c r="T2205" i="10"/>
  <c r="L2206" i="10" l="1"/>
  <c r="W2206" i="10" s="1"/>
  <c r="O2206" i="10" l="1"/>
  <c r="P2206" i="10"/>
  <c r="N2207" i="10" l="1"/>
  <c r="T2206" i="10"/>
  <c r="M2207" i="10"/>
  <c r="L2207" i="10" s="1"/>
  <c r="W2207" i="10" s="1"/>
  <c r="S2206" i="10"/>
  <c r="P2207" i="10" l="1"/>
  <c r="O2207" i="10"/>
  <c r="S2207" i="10" l="1"/>
  <c r="M2208" i="10"/>
  <c r="N2208" i="10"/>
  <c r="T2207" i="10"/>
  <c r="L2208" i="10" l="1"/>
  <c r="W2208" i="10" s="1"/>
  <c r="P2208" i="10" l="1"/>
  <c r="O2208" i="10"/>
  <c r="S2208" i="10" l="1"/>
  <c r="M2209" i="10"/>
  <c r="N2209" i="10"/>
  <c r="T2208" i="10"/>
  <c r="L2209" i="10" l="1"/>
  <c r="W2209" i="10" s="1"/>
  <c r="O2209" i="10" l="1"/>
  <c r="P2209" i="10"/>
  <c r="N2210" i="10" l="1"/>
  <c r="T2209" i="10"/>
  <c r="S2209" i="10"/>
  <c r="M2210" i="10"/>
  <c r="L2210" i="10" s="1"/>
  <c r="W2210" i="10" s="1"/>
  <c r="P2210" i="10" l="1"/>
  <c r="O2210" i="10"/>
  <c r="S2210" i="10" l="1"/>
  <c r="M2211" i="10"/>
  <c r="N2211" i="10"/>
  <c r="T2210" i="10"/>
  <c r="L2211" i="10" l="1"/>
  <c r="W2211" i="10" s="1"/>
  <c r="P2211" i="10" l="1"/>
  <c r="O2211" i="10"/>
  <c r="S2211" i="10" l="1"/>
  <c r="M2212" i="10"/>
  <c r="N2212" i="10"/>
  <c r="T2211" i="10"/>
  <c r="L2212" i="10" l="1"/>
  <c r="W2212" i="10" s="1"/>
  <c r="P2212" i="10" l="1"/>
  <c r="O2212" i="10"/>
  <c r="M2213" i="10" l="1"/>
  <c r="S2212" i="10"/>
  <c r="N2213" i="10"/>
  <c r="T2212" i="10"/>
  <c r="L2213" i="10" l="1"/>
  <c r="W2213" i="10" s="1"/>
  <c r="P2213" i="10" l="1"/>
  <c r="O2213" i="10"/>
  <c r="S2213" i="10" l="1"/>
  <c r="M2214" i="10"/>
  <c r="N2214" i="10"/>
  <c r="T2213" i="10"/>
  <c r="L2214" i="10" l="1"/>
  <c r="W2214" i="10" s="1"/>
  <c r="P2214" i="10" l="1"/>
  <c r="O2214" i="10"/>
  <c r="M2215" i="10" l="1"/>
  <c r="S2214" i="10"/>
  <c r="N2215" i="10"/>
  <c r="T2214" i="10"/>
  <c r="L2215" i="10" l="1"/>
  <c r="W2215" i="10" s="1"/>
  <c r="P2215" i="10" l="1"/>
  <c r="O2215" i="10"/>
  <c r="M2216" i="10" l="1"/>
  <c r="S2215" i="10"/>
  <c r="N2216" i="10"/>
  <c r="T2215" i="10"/>
  <c r="L2216" i="10" l="1"/>
  <c r="W2216" i="10" s="1"/>
  <c r="O2216" i="10" l="1"/>
  <c r="P2216" i="10"/>
  <c r="N2217" i="10" l="1"/>
  <c r="T2216" i="10"/>
  <c r="M2217" i="10"/>
  <c r="L2217" i="10" s="1"/>
  <c r="W2217" i="10" s="1"/>
  <c r="S2216" i="10"/>
  <c r="P2217" i="10" l="1"/>
  <c r="O2217" i="10"/>
  <c r="S2217" i="10" l="1"/>
  <c r="M2218" i="10"/>
  <c r="N2218" i="10"/>
  <c r="T2217" i="10"/>
  <c r="L2218" i="10" l="1"/>
  <c r="W2218" i="10" s="1"/>
  <c r="P2218" i="10" l="1"/>
  <c r="O2218" i="10"/>
  <c r="M2219" i="10" l="1"/>
  <c r="S2218" i="10"/>
  <c r="N2219" i="10"/>
  <c r="T2218" i="10"/>
  <c r="L2219" i="10" l="1"/>
  <c r="W2219" i="10" s="1"/>
  <c r="P2219" i="10" l="1"/>
  <c r="O2219" i="10"/>
  <c r="S2219" i="10" l="1"/>
  <c r="M2220" i="10"/>
  <c r="N2220" i="10"/>
  <c r="T2219" i="10"/>
  <c r="L2220" i="10" l="1"/>
  <c r="W2220" i="10" s="1"/>
  <c r="P2220" i="10" l="1"/>
  <c r="O2220" i="10"/>
  <c r="S2220" i="10" l="1"/>
  <c r="M2221" i="10"/>
  <c r="N2221" i="10"/>
  <c r="T2220" i="10"/>
  <c r="L2221" i="10" l="1"/>
  <c r="W2221" i="10" s="1"/>
  <c r="P2221" i="10" l="1"/>
  <c r="O2221" i="10"/>
  <c r="M2222" i="10" l="1"/>
  <c r="S2221" i="10"/>
  <c r="N2222" i="10"/>
  <c r="T2221" i="10"/>
  <c r="L2222" i="10" l="1"/>
  <c r="W2222" i="10" s="1"/>
  <c r="P2222" i="10" l="1"/>
  <c r="O2222" i="10"/>
  <c r="S2222" i="10" l="1"/>
  <c r="M2223" i="10"/>
  <c r="N2223" i="10"/>
  <c r="T2222" i="10"/>
  <c r="L2223" i="10" l="1"/>
  <c r="W2223" i="10" s="1"/>
  <c r="P2223" i="10"/>
  <c r="O2223" i="10"/>
  <c r="M2224" i="10" l="1"/>
  <c r="S2223" i="10"/>
  <c r="N2224" i="10"/>
  <c r="T2223" i="10"/>
  <c r="L2224" i="10" l="1"/>
  <c r="W2224" i="10" s="1"/>
  <c r="P2224" i="10" l="1"/>
  <c r="O2224" i="10"/>
  <c r="M2225" i="10" l="1"/>
  <c r="S2224" i="10"/>
  <c r="N2225" i="10"/>
  <c r="T2224" i="10"/>
  <c r="L2225" i="10" l="1"/>
  <c r="W2225" i="10" s="1"/>
  <c r="P2225" i="10" l="1"/>
  <c r="O2225" i="10"/>
  <c r="M2226" i="10" l="1"/>
  <c r="S2225" i="10"/>
  <c r="N2226" i="10"/>
  <c r="T2225" i="10"/>
  <c r="L2226" i="10" l="1"/>
  <c r="W2226" i="10" s="1"/>
  <c r="O2226" i="10" l="1"/>
  <c r="P2226" i="10"/>
  <c r="N2227" i="10" l="1"/>
  <c r="T2226" i="10"/>
  <c r="M2227" i="10"/>
  <c r="S2226" i="10"/>
  <c r="L2227" i="10" l="1"/>
  <c r="W2227" i="10" s="1"/>
  <c r="P2227" i="10"/>
  <c r="O2227" i="10"/>
  <c r="M2228" i="10" l="1"/>
  <c r="S2227" i="10"/>
  <c r="N2228" i="10"/>
  <c r="T2227" i="10"/>
  <c r="L2228" i="10" l="1"/>
  <c r="W2228" i="10" s="1"/>
  <c r="P2228" i="10" l="1"/>
  <c r="O2228" i="10"/>
  <c r="M2229" i="10" l="1"/>
  <c r="S2228" i="10"/>
  <c r="N2229" i="10"/>
  <c r="T2228" i="10"/>
  <c r="L2229" i="10" l="1"/>
  <c r="W2229" i="10" s="1"/>
  <c r="P2229" i="10" l="1"/>
  <c r="O2229" i="10"/>
  <c r="M2230" i="10" l="1"/>
  <c r="S2229" i="10"/>
  <c r="N2230" i="10"/>
  <c r="T2229" i="10"/>
  <c r="L2230" i="10" l="1"/>
  <c r="W2230" i="10" s="1"/>
  <c r="P2230" i="10" l="1"/>
  <c r="O2230" i="10"/>
  <c r="M2231" i="10" l="1"/>
  <c r="S2230" i="10"/>
  <c r="N2231" i="10"/>
  <c r="T2230" i="10"/>
  <c r="L2231" i="10" l="1"/>
  <c r="W2231" i="10" s="1"/>
  <c r="P2231" i="10" l="1"/>
  <c r="O2231" i="10"/>
  <c r="M2232" i="10" l="1"/>
  <c r="S2231" i="10"/>
  <c r="N2232" i="10"/>
  <c r="T2231" i="10"/>
  <c r="L2232" i="10" l="1"/>
  <c r="W2232" i="10" s="1"/>
  <c r="P2232" i="10" l="1"/>
  <c r="O2232" i="10"/>
  <c r="S2232" i="10" l="1"/>
  <c r="M2233" i="10"/>
  <c r="N2233" i="10"/>
  <c r="T2232" i="10"/>
  <c r="L2233" i="10" l="1"/>
  <c r="W2233" i="10" s="1"/>
  <c r="P2233" i="10" l="1"/>
  <c r="O2233" i="10"/>
  <c r="S2233" i="10" l="1"/>
  <c r="M2234" i="10"/>
  <c r="N2234" i="10"/>
  <c r="T2233" i="10"/>
  <c r="L2234" i="10" l="1"/>
  <c r="W2234" i="10" s="1"/>
  <c r="P2234" i="10" l="1"/>
  <c r="O2234" i="10"/>
  <c r="S2234" i="10" l="1"/>
  <c r="M2235" i="10"/>
  <c r="N2235" i="10"/>
  <c r="T2234" i="10"/>
  <c r="L2235" i="10" l="1"/>
  <c r="O2235" i="10"/>
  <c r="P2235" i="10" l="1"/>
  <c r="W2235" i="10"/>
  <c r="S2235" i="10"/>
  <c r="M2236" i="10"/>
  <c r="N2236" i="10"/>
  <c r="T2235" i="10"/>
  <c r="L2236" i="10" l="1"/>
  <c r="W2236" i="10" s="1"/>
  <c r="P2236" i="10" l="1"/>
  <c r="O2236" i="10"/>
  <c r="M2237" i="10" l="1"/>
  <c r="S2236" i="10"/>
  <c r="N2237" i="10"/>
  <c r="T2236" i="10"/>
  <c r="L2237" i="10" l="1"/>
  <c r="W2237" i="10" s="1"/>
  <c r="P2237" i="10" l="1"/>
  <c r="O2237" i="10"/>
  <c r="S2237" i="10" l="1"/>
  <c r="M2238" i="10"/>
  <c r="N2238" i="10"/>
  <c r="T2237" i="10"/>
  <c r="L2238" i="10" l="1"/>
  <c r="W2238" i="10" s="1"/>
  <c r="P2238" i="10" l="1"/>
  <c r="O2238" i="10"/>
  <c r="M2239" i="10" l="1"/>
  <c r="S2238" i="10"/>
  <c r="N2239" i="10"/>
  <c r="T2238" i="10"/>
  <c r="L2239" i="10" l="1"/>
  <c r="W2239" i="10" s="1"/>
  <c r="P2239" i="10" l="1"/>
  <c r="O2239" i="10"/>
  <c r="S2239" i="10" l="1"/>
  <c r="M2240" i="10"/>
  <c r="T2239" i="10"/>
  <c r="N2240" i="10"/>
  <c r="L2240" i="10" l="1"/>
  <c r="W2240" i="10" s="1"/>
  <c r="P2240" i="10" l="1"/>
  <c r="O2240" i="10"/>
  <c r="M2241" i="10" l="1"/>
  <c r="S2240" i="10"/>
  <c r="N2241" i="10"/>
  <c r="T2240" i="10"/>
  <c r="L2241" i="10" l="1"/>
  <c r="W2241" i="10" s="1"/>
  <c r="P2241" i="10" l="1"/>
  <c r="O2241" i="10"/>
  <c r="S2241" i="10" l="1"/>
  <c r="M2242" i="10"/>
  <c r="N2242" i="10"/>
  <c r="T2241" i="10"/>
  <c r="L2242" i="10" l="1"/>
  <c r="W2242" i="10" s="1"/>
  <c r="O2242" i="10" l="1"/>
  <c r="P2242" i="10"/>
  <c r="N2243" i="10" l="1"/>
  <c r="T2242" i="10"/>
  <c r="M2243" i="10"/>
  <c r="S2242" i="10"/>
  <c r="L2243" i="10" l="1"/>
  <c r="W2243" i="10" s="1"/>
  <c r="O2243" i="10" l="1"/>
  <c r="P2243" i="10"/>
  <c r="N2244" i="10" s="1"/>
  <c r="S2243" i="10"/>
  <c r="M2244" i="10"/>
  <c r="T2243" i="10" l="1"/>
  <c r="L2244" i="10"/>
  <c r="W2244" i="10" s="1"/>
  <c r="P2244" i="10" l="1"/>
  <c r="O2244" i="10"/>
  <c r="M2245" i="10" l="1"/>
  <c r="S2244" i="10"/>
  <c r="N2245" i="10"/>
  <c r="T2244" i="10"/>
  <c r="L2245" i="10" l="1"/>
  <c r="W2245" i="10" s="1"/>
  <c r="P2245" i="10" l="1"/>
  <c r="O2245" i="10"/>
  <c r="S2245" i="10" l="1"/>
  <c r="M2246" i="10"/>
  <c r="N2246" i="10"/>
  <c r="T2245" i="10"/>
  <c r="L2246" i="10" l="1"/>
  <c r="W2246" i="10" s="1"/>
  <c r="O2246" i="10" l="1"/>
  <c r="P2246" i="10"/>
  <c r="N2247" i="10" l="1"/>
  <c r="T2246" i="10"/>
  <c r="M2247" i="10"/>
  <c r="S2246" i="10"/>
  <c r="L2247" i="10" l="1"/>
  <c r="W2247" i="10" s="1"/>
  <c r="P2247" i="10"/>
  <c r="O2247" i="10"/>
  <c r="S2247" i="10" l="1"/>
  <c r="M2248" i="10"/>
  <c r="N2248" i="10"/>
  <c r="T2247" i="10"/>
  <c r="L2248" i="10" l="1"/>
  <c r="W2248" i="10" s="1"/>
  <c r="P2248" i="10" l="1"/>
  <c r="O2248" i="10"/>
  <c r="M2249" i="10" l="1"/>
  <c r="S2248" i="10"/>
  <c r="N2249" i="10"/>
  <c r="T2248" i="10"/>
  <c r="L2249" i="10" l="1"/>
  <c r="W2249" i="10" s="1"/>
  <c r="O2249" i="10" l="1"/>
  <c r="P2249" i="10"/>
  <c r="N2250" i="10" l="1"/>
  <c r="T2249" i="10"/>
  <c r="M2250" i="10"/>
  <c r="S2249" i="10"/>
  <c r="L2250" i="10" l="1"/>
  <c r="W2250" i="10" s="1"/>
  <c r="P2250" i="10"/>
  <c r="O2250" i="10"/>
  <c r="S2250" i="10" l="1"/>
  <c r="M2251" i="10"/>
  <c r="N2251" i="10"/>
  <c r="T2250" i="10"/>
  <c r="L2251" i="10" l="1"/>
  <c r="W2251" i="10" s="1"/>
  <c r="P2251" i="10" l="1"/>
  <c r="O2251" i="10"/>
  <c r="S2251" i="10" l="1"/>
  <c r="M2252" i="10"/>
  <c r="N2252" i="10"/>
  <c r="T2251" i="10"/>
  <c r="L2252" i="10" l="1"/>
  <c r="W2252" i="10" s="1"/>
  <c r="P2252" i="10" l="1"/>
  <c r="O2252" i="10"/>
  <c r="M2253" i="10" l="1"/>
  <c r="S2252" i="10"/>
  <c r="N2253" i="10"/>
  <c r="T2252" i="10"/>
  <c r="L2253" i="10" l="1"/>
  <c r="W2253" i="10" s="1"/>
  <c r="P2253" i="10" l="1"/>
  <c r="O2253" i="10"/>
  <c r="M2254" i="10" l="1"/>
  <c r="S2253" i="10"/>
  <c r="N2254" i="10"/>
  <c r="T2253" i="10"/>
  <c r="L2254" i="10" l="1"/>
  <c r="W2254" i="10" s="1"/>
  <c r="O2254" i="10" l="1"/>
  <c r="P2254" i="10"/>
  <c r="N2255" i="10" l="1"/>
  <c r="T2254" i="10"/>
  <c r="M2255" i="10"/>
  <c r="S2254" i="10"/>
  <c r="L2255" i="10" l="1"/>
  <c r="W2255" i="10" s="1"/>
  <c r="P2255" i="10"/>
  <c r="O2255" i="10"/>
  <c r="M2256" i="10" l="1"/>
  <c r="S2255" i="10"/>
  <c r="N2256" i="10"/>
  <c r="T2255" i="10"/>
  <c r="L2256" i="10" l="1"/>
  <c r="W2256" i="10" s="1"/>
  <c r="P2256" i="10" l="1"/>
  <c r="O2256" i="10"/>
  <c r="S2256" i="10" l="1"/>
  <c r="M2257" i="10"/>
  <c r="N2257" i="10"/>
  <c r="T2256" i="10"/>
  <c r="L2257" i="10" l="1"/>
  <c r="W2257" i="10" s="1"/>
  <c r="O2257" i="10" l="1"/>
  <c r="P2257" i="10"/>
  <c r="N2258" i="10" l="1"/>
  <c r="T2257" i="10"/>
  <c r="S2257" i="10"/>
  <c r="M2258" i="10"/>
  <c r="L2258" i="10" l="1"/>
  <c r="W2258" i="10" s="1"/>
  <c r="P2258" i="10"/>
  <c r="O2258" i="10"/>
  <c r="M2259" i="10" l="1"/>
  <c r="S2258" i="10"/>
  <c r="N2259" i="10"/>
  <c r="T2258" i="10"/>
  <c r="L2259" i="10" l="1"/>
  <c r="W2259" i="10" s="1"/>
  <c r="P2259" i="10" l="1"/>
  <c r="O2259" i="10"/>
  <c r="M2260" i="10" l="1"/>
  <c r="S2259" i="10"/>
  <c r="N2260" i="10"/>
  <c r="T2259" i="10"/>
  <c r="L2260" i="10" l="1"/>
  <c r="W2260" i="10" s="1"/>
  <c r="O2260" i="10" l="1"/>
  <c r="P2260" i="10"/>
  <c r="N2261" i="10" l="1"/>
  <c r="T2260" i="10"/>
  <c r="S2260" i="10"/>
  <c r="M2261" i="10"/>
  <c r="L2261" i="10" l="1"/>
  <c r="W2261" i="10" s="1"/>
  <c r="P2261" i="10"/>
  <c r="O2261" i="10"/>
  <c r="M2262" i="10" l="1"/>
  <c r="S2261" i="10"/>
  <c r="N2262" i="10"/>
  <c r="T2261" i="10"/>
  <c r="L2262" i="10" l="1"/>
  <c r="W2262" i="10" s="1"/>
  <c r="P2262" i="10" l="1"/>
  <c r="O2262" i="10"/>
  <c r="S2262" i="10" l="1"/>
  <c r="M2263" i="10"/>
  <c r="N2263" i="10"/>
  <c r="T2262" i="10"/>
  <c r="L2263" i="10" l="1"/>
  <c r="W2263" i="10" s="1"/>
  <c r="P2263" i="10" l="1"/>
  <c r="O2263" i="10"/>
  <c r="S2263" i="10" l="1"/>
  <c r="M2264" i="10"/>
  <c r="N2264" i="10"/>
  <c r="T2263" i="10"/>
  <c r="L2264" i="10" l="1"/>
  <c r="W2264" i="10" s="1"/>
  <c r="P2264" i="10" l="1"/>
  <c r="O2264" i="10"/>
  <c r="S2264" i="10" l="1"/>
  <c r="M2265" i="10"/>
  <c r="N2265" i="10"/>
  <c r="T2264" i="10"/>
  <c r="L2265" i="10" l="1"/>
  <c r="W2265" i="10" s="1"/>
  <c r="P2265" i="10" l="1"/>
  <c r="O2265" i="10"/>
  <c r="S2265" i="10" l="1"/>
  <c r="M2266" i="10"/>
  <c r="N2266" i="10"/>
  <c r="T2265" i="10"/>
  <c r="L2266" i="10" l="1"/>
  <c r="W2266" i="10" s="1"/>
  <c r="P2266" i="10" l="1"/>
  <c r="O2266" i="10"/>
  <c r="S2266" i="10" l="1"/>
  <c r="M2267" i="10"/>
  <c r="N2267" i="10"/>
  <c r="T2266" i="10"/>
  <c r="L2267" i="10" l="1"/>
  <c r="W2267" i="10" s="1"/>
  <c r="O2267" i="10" l="1"/>
  <c r="M2268" i="10" s="1"/>
  <c r="P2267" i="10"/>
  <c r="N2268" i="10"/>
  <c r="T2267" i="10"/>
  <c r="S2267" i="10" l="1"/>
  <c r="L2268" i="10"/>
  <c r="W2268" i="10" s="1"/>
  <c r="P2268" i="10" l="1"/>
  <c r="O2268" i="10"/>
  <c r="S2268" i="10" l="1"/>
  <c r="M2269" i="10"/>
  <c r="N2269" i="10"/>
  <c r="T2268" i="10"/>
  <c r="L2269" i="10" l="1"/>
  <c r="W2269" i="10" s="1"/>
  <c r="P2269" i="10" l="1"/>
  <c r="O2269" i="10"/>
  <c r="S2269" i="10" l="1"/>
  <c r="M2270" i="10"/>
  <c r="N2270" i="10"/>
  <c r="T2269" i="10"/>
  <c r="L2270" i="10" l="1"/>
  <c r="W2270" i="10" s="1"/>
  <c r="P2270" i="10"/>
  <c r="O2270" i="10"/>
  <c r="M2271" i="10" l="1"/>
  <c r="S2270" i="10"/>
  <c r="N2271" i="10"/>
  <c r="T2270" i="10"/>
  <c r="L2271" i="10" l="1"/>
  <c r="W2271" i="10" s="1"/>
  <c r="P2271" i="10" l="1"/>
  <c r="O2271" i="10"/>
  <c r="M2272" i="10" l="1"/>
  <c r="S2271" i="10"/>
  <c r="N2272" i="10"/>
  <c r="T2271" i="10"/>
  <c r="L2272" i="10" l="1"/>
  <c r="W2272" i="10" s="1"/>
  <c r="O2272" i="10" l="1"/>
  <c r="P2272" i="10"/>
  <c r="N2273" i="10" l="1"/>
  <c r="T2272" i="10"/>
  <c r="S2272" i="10"/>
  <c r="M2273" i="10"/>
  <c r="L2273" i="10" s="1"/>
  <c r="W2273" i="10" s="1"/>
  <c r="P2273" i="10" l="1"/>
  <c r="O2273" i="10"/>
  <c r="M2274" i="10" l="1"/>
  <c r="S2273" i="10"/>
  <c r="N2274" i="10"/>
  <c r="T2273" i="10"/>
  <c r="L2274" i="10" l="1"/>
  <c r="W2274" i="10" s="1"/>
  <c r="P2274" i="10" l="1"/>
  <c r="O2274" i="10"/>
  <c r="M2275" i="10" l="1"/>
  <c r="S2274" i="10"/>
  <c r="N2275" i="10"/>
  <c r="T2274" i="10"/>
  <c r="L2275" i="10" l="1"/>
  <c r="W2275" i="10" s="1"/>
  <c r="O2275" i="10" l="1"/>
  <c r="P2275" i="10"/>
  <c r="N2276" i="10" l="1"/>
  <c r="T2275" i="10"/>
  <c r="S2275" i="10"/>
  <c r="M2276" i="10"/>
  <c r="L2276" i="10" l="1"/>
  <c r="W2276" i="10" s="1"/>
  <c r="P2276" i="10"/>
  <c r="O2276" i="10"/>
  <c r="S2276" i="10" l="1"/>
  <c r="M2277" i="10"/>
  <c r="N2277" i="10"/>
  <c r="T2276" i="10"/>
  <c r="L2277" i="10" l="1"/>
  <c r="W2277" i="10" s="1"/>
  <c r="P2277" i="10" l="1"/>
  <c r="O2277" i="10"/>
  <c r="S2277" i="10" l="1"/>
  <c r="M2278" i="10"/>
  <c r="N2278" i="10"/>
  <c r="T2277" i="10"/>
  <c r="L2278" i="10" l="1"/>
  <c r="W2278" i="10" s="1"/>
  <c r="P2278" i="10" l="1"/>
  <c r="O2278" i="10"/>
  <c r="M2279" i="10" l="1"/>
  <c r="S2278" i="10"/>
  <c r="N2279" i="10"/>
  <c r="T2278" i="10"/>
  <c r="L2279" i="10" l="1"/>
  <c r="W2279" i="10" s="1"/>
  <c r="O2279" i="10" l="1"/>
  <c r="P2279" i="10"/>
  <c r="N2280" i="10" l="1"/>
  <c r="T2279" i="10"/>
  <c r="M2280" i="10"/>
  <c r="L2280" i="10" s="1"/>
  <c r="W2280" i="10" s="1"/>
  <c r="S2279" i="10"/>
  <c r="P2280" i="10" l="1"/>
  <c r="O2280" i="10"/>
  <c r="S2280" i="10" l="1"/>
  <c r="M2281" i="10"/>
  <c r="N2281" i="10"/>
  <c r="T2280" i="10"/>
  <c r="L2281" i="10" l="1"/>
  <c r="W2281" i="10" s="1"/>
  <c r="P2281" i="10" l="1"/>
  <c r="O2281" i="10"/>
  <c r="M2282" i="10" l="1"/>
  <c r="S2281" i="10"/>
  <c r="N2282" i="10"/>
  <c r="T2281" i="10"/>
  <c r="L2282" i="10" l="1"/>
  <c r="W2282" i="10" s="1"/>
  <c r="P2282" i="10" l="1"/>
  <c r="O2282" i="10"/>
  <c r="S2282" i="10" l="1"/>
  <c r="M2283" i="10"/>
  <c r="N2283" i="10"/>
  <c r="T2282" i="10"/>
  <c r="L2283" i="10" l="1"/>
  <c r="P2283" i="10"/>
  <c r="O2283" i="10" l="1"/>
  <c r="S2283" i="10" s="1"/>
  <c r="W2283" i="10"/>
  <c r="N2284" i="10"/>
  <c r="T2283" i="10"/>
  <c r="M2284" i="10"/>
  <c r="L2284" i="10" l="1"/>
  <c r="W2284" i="10" s="1"/>
  <c r="P2284" i="10"/>
  <c r="O2284" i="10"/>
  <c r="S2284" i="10" l="1"/>
  <c r="M2285" i="10"/>
  <c r="N2285" i="10"/>
  <c r="T2284" i="10"/>
  <c r="L2285" i="10" l="1"/>
  <c r="W2285" i="10" s="1"/>
  <c r="P2285" i="10" l="1"/>
  <c r="O2285" i="10"/>
  <c r="M2286" i="10" l="1"/>
  <c r="S2285" i="10"/>
  <c r="N2286" i="10"/>
  <c r="T2285" i="10"/>
  <c r="L2286" i="10" l="1"/>
  <c r="W2286" i="10" s="1"/>
  <c r="P2286" i="10" l="1"/>
  <c r="O2286" i="10"/>
  <c r="M2287" i="10" l="1"/>
  <c r="S2286" i="10"/>
  <c r="N2287" i="10"/>
  <c r="T2286" i="10"/>
  <c r="L2287" i="10" l="1"/>
  <c r="W2287" i="10" s="1"/>
  <c r="P2287" i="10" l="1"/>
  <c r="O2287" i="10"/>
  <c r="M2288" i="10" l="1"/>
  <c r="S2287" i="10"/>
  <c r="N2288" i="10"/>
  <c r="T2287" i="10"/>
  <c r="L2288" i="10" l="1"/>
  <c r="W2288" i="10" s="1"/>
  <c r="P2288" i="10" l="1"/>
  <c r="O2288" i="10"/>
  <c r="S2288" i="10" l="1"/>
  <c r="M2289" i="10"/>
  <c r="N2289" i="10"/>
  <c r="T2288" i="10"/>
  <c r="L2289" i="10" l="1"/>
  <c r="W2289" i="10" s="1"/>
  <c r="O2289" i="10" l="1"/>
  <c r="P2289" i="10"/>
  <c r="N2290" i="10" l="1"/>
  <c r="T2289" i="10"/>
  <c r="M2290" i="10"/>
  <c r="S2289" i="10"/>
  <c r="L2290" i="10" l="1"/>
  <c r="W2290" i="10" s="1"/>
  <c r="P2290" i="10"/>
  <c r="O2290" i="10"/>
  <c r="M2291" i="10" l="1"/>
  <c r="S2290" i="10"/>
  <c r="N2291" i="10"/>
  <c r="T2290" i="10"/>
  <c r="L2291" i="10" l="1"/>
  <c r="W2291" i="10" s="1"/>
  <c r="P2291" i="10" l="1"/>
  <c r="O2291" i="10"/>
  <c r="S2291" i="10" l="1"/>
  <c r="M2292" i="10"/>
  <c r="N2292" i="10"/>
  <c r="T2291" i="10"/>
  <c r="L2292" i="10" l="1"/>
  <c r="W2292" i="10" s="1"/>
  <c r="O2292" i="10" l="1"/>
  <c r="P2292" i="10"/>
  <c r="N2293" i="10" l="1"/>
  <c r="T2292" i="10"/>
  <c r="M2293" i="10"/>
  <c r="S2292" i="10"/>
  <c r="L2293" i="10" l="1"/>
  <c r="W2293" i="10" s="1"/>
  <c r="P2293" i="10"/>
  <c r="O2293" i="10"/>
  <c r="M2294" i="10" l="1"/>
  <c r="S2293" i="10"/>
  <c r="N2294" i="10"/>
  <c r="T2293" i="10"/>
  <c r="L2294" i="10" l="1"/>
  <c r="W2294" i="10" s="1"/>
  <c r="P2294" i="10" l="1"/>
  <c r="O2294" i="10"/>
  <c r="M2295" i="10" l="1"/>
  <c r="S2294" i="10"/>
  <c r="N2295" i="10"/>
  <c r="T2294" i="10"/>
  <c r="L2295" i="10" l="1"/>
  <c r="W2295" i="10" s="1"/>
  <c r="O2295" i="10" l="1"/>
  <c r="P2295" i="10"/>
  <c r="N2296" i="10" l="1"/>
  <c r="T2295" i="10"/>
  <c r="M2296" i="10"/>
  <c r="S2295" i="10"/>
  <c r="L2296" i="10" l="1"/>
  <c r="W2296" i="10" s="1"/>
  <c r="P2296" i="10"/>
  <c r="O2296" i="10"/>
  <c r="S2296" i="10" l="1"/>
  <c r="M2297" i="10"/>
  <c r="N2297" i="10"/>
  <c r="T2296" i="10"/>
  <c r="L2297" i="10" l="1"/>
  <c r="W2297" i="10" s="1"/>
  <c r="P2297" i="10" l="1"/>
  <c r="O2297" i="10"/>
  <c r="S2297" i="10" l="1"/>
  <c r="M2298" i="10"/>
  <c r="N2298" i="10"/>
  <c r="T2297" i="10"/>
  <c r="L2298" i="10" l="1"/>
  <c r="W2298" i="10" s="1"/>
  <c r="P2298" i="10" l="1"/>
  <c r="O2298" i="10"/>
  <c r="S2298" i="10" l="1"/>
  <c r="M2299" i="10"/>
  <c r="N2299" i="10"/>
  <c r="T2298" i="10"/>
  <c r="L2299" i="10" l="1"/>
  <c r="O2299" i="10"/>
  <c r="P2299" i="10" l="1"/>
  <c r="W2299" i="10"/>
  <c r="M2300" i="10"/>
  <c r="S2299" i="10"/>
  <c r="N2300" i="10"/>
  <c r="T2299" i="10"/>
  <c r="L2300" i="10" l="1"/>
  <c r="W2300" i="10" s="1"/>
  <c r="P2300" i="10" l="1"/>
  <c r="O2300" i="10"/>
  <c r="M2301" i="10" l="1"/>
  <c r="S2300" i="10"/>
  <c r="N2301" i="10"/>
  <c r="T2300" i="10"/>
  <c r="L2301" i="10" l="1"/>
  <c r="W2301" i="10" s="1"/>
  <c r="P2301" i="10" l="1"/>
  <c r="O2301" i="10"/>
  <c r="S2301" i="10" l="1"/>
  <c r="M2302" i="10"/>
  <c r="N2302" i="10"/>
  <c r="T2301" i="10"/>
  <c r="L2302" i="10" l="1"/>
  <c r="W2302" i="10" s="1"/>
  <c r="P2302" i="10"/>
  <c r="O2302" i="10"/>
  <c r="M2303" i="10" l="1"/>
  <c r="S2302" i="10"/>
  <c r="N2303" i="10"/>
  <c r="T2302" i="10"/>
  <c r="L2303" i="10" l="1"/>
  <c r="W2303" i="10" s="1"/>
  <c r="P2303" i="10" l="1"/>
  <c r="O2303" i="10"/>
  <c r="M2304" i="10" l="1"/>
  <c r="S2303" i="10"/>
  <c r="N2304" i="10"/>
  <c r="T2303" i="10"/>
  <c r="L2304" i="10" l="1"/>
  <c r="W2304" i="10" s="1"/>
  <c r="P2304" i="10" l="1"/>
  <c r="O2304" i="10"/>
  <c r="M2305" i="10" l="1"/>
  <c r="S2304" i="10"/>
  <c r="N2305" i="10"/>
  <c r="T2304" i="10"/>
  <c r="L2305" i="10" l="1"/>
  <c r="W2305" i="10" s="1"/>
  <c r="P2305" i="10" l="1"/>
  <c r="O2305" i="10"/>
  <c r="M2306" i="10" l="1"/>
  <c r="S2305" i="10"/>
  <c r="N2306" i="10"/>
  <c r="T2305" i="10"/>
  <c r="L2306" i="10" l="1"/>
  <c r="W2306" i="10" s="1"/>
  <c r="P2306" i="10" l="1"/>
  <c r="O2306" i="10"/>
  <c r="S2306" i="10" l="1"/>
  <c r="M2307" i="10"/>
  <c r="N2307" i="10"/>
  <c r="T2306" i="10"/>
  <c r="L2307" i="10" l="1"/>
  <c r="W2307" i="10" s="1"/>
  <c r="P2307" i="10" l="1"/>
  <c r="O2307" i="10"/>
  <c r="M2308" i="10" l="1"/>
  <c r="S2307" i="10"/>
  <c r="N2308" i="10"/>
  <c r="T2307" i="10"/>
  <c r="L2308" i="10" l="1"/>
  <c r="W2308" i="10" s="1"/>
  <c r="P2308" i="10" l="1"/>
  <c r="O2308" i="10"/>
  <c r="S2308" i="10" l="1"/>
  <c r="M2309" i="10"/>
  <c r="N2309" i="10"/>
  <c r="T2308" i="10"/>
  <c r="L2309" i="10" l="1"/>
  <c r="W2309" i="10" s="1"/>
  <c r="P2309" i="10" l="1"/>
  <c r="O2309" i="10"/>
  <c r="S2309" i="10" l="1"/>
  <c r="M2310" i="10"/>
  <c r="N2310" i="10"/>
  <c r="T2309" i="10"/>
  <c r="L2310" i="10" l="1"/>
  <c r="P2310" i="10"/>
  <c r="O2310" i="10" l="1"/>
  <c r="W2310" i="10"/>
  <c r="M2311" i="10"/>
  <c r="S2310" i="10"/>
  <c r="N2311" i="10"/>
  <c r="T2310" i="10"/>
  <c r="L2311" i="10" l="1"/>
  <c r="W2311" i="10" s="1"/>
  <c r="P2311" i="10" l="1"/>
  <c r="O2311" i="10"/>
  <c r="S2311" i="10" l="1"/>
  <c r="M2312" i="10"/>
  <c r="N2312" i="10"/>
  <c r="T2311" i="10"/>
  <c r="L2312" i="10" l="1"/>
  <c r="W2312" i="10" s="1"/>
  <c r="P2312" i="10" l="1"/>
  <c r="O2312" i="10"/>
  <c r="M2313" i="10" l="1"/>
  <c r="S2312" i="10"/>
  <c r="T2312" i="10"/>
  <c r="N2313" i="10"/>
  <c r="L2313" i="10" l="1"/>
  <c r="W2313" i="10" s="1"/>
  <c r="P2313" i="10" l="1"/>
  <c r="O2313" i="10"/>
  <c r="M2314" i="10" l="1"/>
  <c r="S2313" i="10"/>
  <c r="N2314" i="10"/>
  <c r="T2313" i="10"/>
  <c r="L2314" i="10" l="1"/>
  <c r="W2314" i="10" s="1"/>
  <c r="P2314" i="10" l="1"/>
  <c r="O2314" i="10"/>
  <c r="S2314" i="10" l="1"/>
  <c r="M2315" i="10"/>
  <c r="N2315" i="10"/>
  <c r="T2314" i="10"/>
  <c r="L2315" i="10" l="1"/>
  <c r="W2315" i="10" s="1"/>
  <c r="P2315" i="10" l="1"/>
  <c r="O2315" i="10"/>
  <c r="S2315" i="10" l="1"/>
  <c r="M2316" i="10"/>
  <c r="N2316" i="10"/>
  <c r="T2315" i="10"/>
  <c r="L2316" i="10" l="1"/>
  <c r="W2316" i="10" s="1"/>
  <c r="P2316" i="10" l="1"/>
  <c r="O2316" i="10"/>
  <c r="S2316" i="10" l="1"/>
  <c r="M2317" i="10"/>
  <c r="N2317" i="10"/>
  <c r="T2316" i="10"/>
  <c r="L2317" i="10" l="1"/>
  <c r="W2317" i="10" s="1"/>
  <c r="P2317" i="10" l="1"/>
  <c r="O2317" i="10"/>
  <c r="S2317" i="10" l="1"/>
  <c r="M2318" i="10"/>
  <c r="N2318" i="10"/>
  <c r="T2317" i="10"/>
  <c r="L2318" i="10" l="1"/>
  <c r="W2318" i="10" s="1"/>
  <c r="O2318" i="10" l="1"/>
  <c r="P2318" i="10"/>
  <c r="N2319" i="10" l="1"/>
  <c r="T2318" i="10"/>
  <c r="S2318" i="10"/>
  <c r="M2319" i="10"/>
  <c r="L2319" i="10" l="1"/>
  <c r="W2319" i="10" s="1"/>
  <c r="P2319" i="10"/>
  <c r="O2319" i="10"/>
  <c r="M2320" i="10" l="1"/>
  <c r="S2319" i="10"/>
  <c r="T2319" i="10"/>
  <c r="N2320" i="10"/>
  <c r="L2320" i="10" l="1"/>
  <c r="W2320" i="10" s="1"/>
  <c r="P2320" i="10" l="1"/>
  <c r="O2320" i="10"/>
  <c r="M2321" i="10" l="1"/>
  <c r="S2320" i="10"/>
  <c r="T2320" i="10"/>
  <c r="N2321" i="10"/>
  <c r="L2321" i="10" l="1"/>
  <c r="W2321" i="10" s="1"/>
  <c r="P2321" i="10" l="1"/>
  <c r="O2321" i="10"/>
  <c r="S2321" i="10" l="1"/>
  <c r="M2322" i="10"/>
  <c r="N2322" i="10"/>
  <c r="T2321" i="10"/>
  <c r="L2322" i="10" l="1"/>
  <c r="W2322" i="10" s="1"/>
  <c r="P2322" i="10" l="1"/>
  <c r="O2322" i="10"/>
  <c r="S2322" i="10" l="1"/>
  <c r="M2323" i="10"/>
  <c r="N2323" i="10"/>
  <c r="T2322" i="10"/>
  <c r="L2323" i="10" l="1"/>
  <c r="W2323" i="10" s="1"/>
  <c r="P2323" i="10" l="1"/>
  <c r="O2323" i="10"/>
  <c r="S2323" i="10" l="1"/>
  <c r="M2324" i="10"/>
  <c r="N2324" i="10"/>
  <c r="T2323" i="10"/>
  <c r="L2324" i="10" l="1"/>
  <c r="W2324" i="10" s="1"/>
  <c r="P2324" i="10" l="1"/>
  <c r="O2324" i="10"/>
  <c r="M2325" i="10" l="1"/>
  <c r="S2324" i="10"/>
  <c r="N2325" i="10"/>
  <c r="T2324" i="10"/>
  <c r="L2325" i="10" l="1"/>
  <c r="W2325" i="10" s="1"/>
  <c r="P2325" i="10" l="1"/>
  <c r="O2325" i="10"/>
  <c r="M2326" i="10" l="1"/>
  <c r="S2325" i="10"/>
  <c r="N2326" i="10"/>
  <c r="T2325" i="10"/>
  <c r="L2326" i="10" l="1"/>
  <c r="W2326" i="10" s="1"/>
  <c r="P2326" i="10" l="1"/>
  <c r="O2326" i="10"/>
  <c r="S2326" i="10" l="1"/>
  <c r="M2327" i="10"/>
  <c r="N2327" i="10"/>
  <c r="T2326" i="10"/>
  <c r="L2327" i="10" l="1"/>
  <c r="W2327" i="10" s="1"/>
  <c r="P2327" i="10" l="1"/>
  <c r="O2327" i="10"/>
  <c r="S2327" i="10" l="1"/>
  <c r="M2328" i="10"/>
  <c r="N2328" i="10"/>
  <c r="T2327" i="10"/>
  <c r="L2328" i="10" l="1"/>
  <c r="W2328" i="10" s="1"/>
  <c r="P2328" i="10" l="1"/>
  <c r="O2328" i="10"/>
  <c r="S2328" i="10" l="1"/>
  <c r="M2329" i="10"/>
  <c r="N2329" i="10"/>
  <c r="T2328" i="10"/>
  <c r="L2329" i="10" l="1"/>
  <c r="P2329" i="10" s="1"/>
  <c r="O2329" i="10" l="1"/>
  <c r="M2330" i="10" s="1"/>
  <c r="W2329" i="10"/>
  <c r="N2330" i="10"/>
  <c r="T2329" i="10"/>
  <c r="S2329" i="10" l="1"/>
  <c r="L2330" i="10"/>
  <c r="W2330" i="10" s="1"/>
  <c r="P2330" i="10"/>
  <c r="O2330" i="10"/>
  <c r="M2331" i="10" l="1"/>
  <c r="S2330" i="10"/>
  <c r="N2331" i="10"/>
  <c r="T2330" i="10"/>
  <c r="L2331" i="10" l="1"/>
  <c r="W2331" i="10" s="1"/>
  <c r="P2331" i="10" l="1"/>
  <c r="O2331" i="10"/>
  <c r="M2332" i="10" l="1"/>
  <c r="S2331" i="10"/>
  <c r="N2332" i="10"/>
  <c r="T2331" i="10"/>
  <c r="L2332" i="10" l="1"/>
  <c r="W2332" i="10" s="1"/>
  <c r="P2332" i="10" l="1"/>
  <c r="O2332" i="10"/>
  <c r="S2332" i="10" l="1"/>
  <c r="M2333" i="10"/>
  <c r="N2333" i="10"/>
  <c r="T2332" i="10"/>
  <c r="L2333" i="10" l="1"/>
  <c r="O2333" i="10"/>
  <c r="P2333" i="10" l="1"/>
  <c r="W2333" i="10"/>
  <c r="M2334" i="10"/>
  <c r="S2333" i="10"/>
  <c r="N2334" i="10"/>
  <c r="T2333" i="10"/>
  <c r="L2334" i="10" l="1"/>
  <c r="W2334" i="10" s="1"/>
  <c r="P2334" i="10" l="1"/>
  <c r="O2334" i="10"/>
  <c r="M2335" i="10" l="1"/>
  <c r="S2334" i="10"/>
  <c r="N2335" i="10"/>
  <c r="T2334" i="10"/>
  <c r="L2335" i="10" l="1"/>
  <c r="W2335" i="10" s="1"/>
  <c r="O2335" i="10" l="1"/>
  <c r="P2335" i="10"/>
  <c r="T2335" i="10" l="1"/>
  <c r="N2336" i="10"/>
  <c r="M2336" i="10"/>
  <c r="S2335" i="10"/>
  <c r="L2336" i="10" l="1"/>
  <c r="W2336" i="10" s="1"/>
  <c r="P2336" i="10"/>
  <c r="O2336" i="10"/>
  <c r="M2337" i="10" l="1"/>
  <c r="S2336" i="10"/>
  <c r="N2337" i="10"/>
  <c r="T2336" i="10"/>
  <c r="L2337" i="10" l="1"/>
  <c r="W2337" i="10" s="1"/>
  <c r="O2337" i="10" l="1"/>
  <c r="P2337" i="10"/>
  <c r="N2338" i="10" l="1"/>
  <c r="T2337" i="10"/>
  <c r="M2338" i="10"/>
  <c r="S2337" i="10"/>
  <c r="L2338" i="10" l="1"/>
  <c r="W2338" i="10" s="1"/>
  <c r="P2338" i="10"/>
  <c r="O2338" i="10"/>
  <c r="S2338" i="10" l="1"/>
  <c r="M2339" i="10"/>
  <c r="N2339" i="10"/>
  <c r="T2338" i="10"/>
  <c r="L2339" i="10" l="1"/>
  <c r="W2339" i="10" s="1"/>
  <c r="P2339" i="10" l="1"/>
  <c r="O2339" i="10"/>
  <c r="M2340" i="10" l="1"/>
  <c r="S2339" i="10"/>
  <c r="N2340" i="10"/>
  <c r="T2339" i="10"/>
  <c r="L2340" i="10" l="1"/>
  <c r="W2340" i="10" s="1"/>
  <c r="O2340" i="10" l="1"/>
  <c r="P2340" i="10"/>
  <c r="N2341" i="10" l="1"/>
  <c r="T2340" i="10"/>
  <c r="S2340" i="10"/>
  <c r="M2341" i="10"/>
  <c r="L2341" i="10" s="1"/>
  <c r="W2341" i="10" s="1"/>
  <c r="P2341" i="10" l="1"/>
  <c r="O2341" i="10"/>
  <c r="M2342" i="10" l="1"/>
  <c r="S2341" i="10"/>
  <c r="N2342" i="10"/>
  <c r="T2341" i="10"/>
  <c r="L2342" i="10" l="1"/>
  <c r="W2342" i="10" s="1"/>
  <c r="P2342" i="10" l="1"/>
  <c r="O2342" i="10"/>
  <c r="M2343" i="10" l="1"/>
  <c r="S2342" i="10"/>
  <c r="N2343" i="10"/>
  <c r="T2342" i="10"/>
  <c r="L2343" i="10" l="1"/>
  <c r="W2343" i="10" s="1"/>
  <c r="P2343" i="10" l="1"/>
  <c r="O2343" i="10"/>
  <c r="S2343" i="10" l="1"/>
  <c r="M2344" i="10"/>
  <c r="N2344" i="10"/>
  <c r="T2343" i="10"/>
  <c r="L2344" i="10" l="1"/>
  <c r="W2344" i="10" s="1"/>
  <c r="P2344" i="10" l="1"/>
  <c r="O2344" i="10"/>
  <c r="M2345" i="10" l="1"/>
  <c r="S2344" i="10"/>
  <c r="N2345" i="10"/>
  <c r="T2344" i="10"/>
  <c r="L2345" i="10" l="1"/>
  <c r="W2345" i="10" s="1"/>
  <c r="O2345" i="10" l="1"/>
  <c r="P2345" i="10"/>
  <c r="N2346" i="10" l="1"/>
  <c r="T2345" i="10"/>
  <c r="S2345" i="10"/>
  <c r="M2346" i="10"/>
  <c r="L2346" i="10" s="1"/>
  <c r="W2346" i="10" s="1"/>
  <c r="P2346" i="10" l="1"/>
  <c r="O2346" i="10"/>
  <c r="S2346" i="10" l="1"/>
  <c r="M2347" i="10"/>
  <c r="N2347" i="10"/>
  <c r="T2346" i="10"/>
  <c r="L2347" i="10" l="1"/>
  <c r="W2347" i="10" s="1"/>
  <c r="P2347" i="10"/>
  <c r="O2347" i="10"/>
  <c r="S2347" i="10" l="1"/>
  <c r="M2348" i="10"/>
  <c r="N2348" i="10"/>
  <c r="T2347" i="10"/>
  <c r="L2348" i="10" l="1"/>
  <c r="W2348" i="10" s="1"/>
  <c r="P2348" i="10" l="1"/>
  <c r="O2348" i="10"/>
  <c r="S2348" i="10" l="1"/>
  <c r="M2349" i="10"/>
  <c r="N2349" i="10"/>
  <c r="T2348" i="10"/>
  <c r="L2349" i="10" l="1"/>
  <c r="W2349" i="10" s="1"/>
  <c r="P2349" i="10" l="1"/>
  <c r="O2349" i="10"/>
  <c r="S2349" i="10" l="1"/>
  <c r="M2350" i="10"/>
  <c r="N2350" i="10"/>
  <c r="T2349" i="10"/>
  <c r="L2350" i="10" l="1"/>
  <c r="W2350" i="10" s="1"/>
  <c r="P2350" i="10" l="1"/>
  <c r="O2350" i="10"/>
  <c r="S2350" i="10" l="1"/>
  <c r="M2351" i="10"/>
  <c r="N2351" i="10"/>
  <c r="T2350" i="10"/>
  <c r="L2351" i="10" l="1"/>
  <c r="W2351" i="10" s="1"/>
  <c r="P2351" i="10" l="1"/>
  <c r="O2351" i="10"/>
  <c r="S2351" i="10" l="1"/>
  <c r="M2352" i="10"/>
  <c r="N2352" i="10"/>
  <c r="T2351" i="10"/>
  <c r="L2352" i="10" l="1"/>
  <c r="W2352" i="10" s="1"/>
  <c r="P2352" i="10" l="1"/>
  <c r="O2352" i="10"/>
  <c r="M2353" i="10" l="1"/>
  <c r="S2352" i="10"/>
  <c r="N2353" i="10"/>
  <c r="T2352" i="10"/>
  <c r="L2353" i="10" l="1"/>
  <c r="W2353" i="10" s="1"/>
  <c r="P2353" i="10" l="1"/>
  <c r="O2353" i="10"/>
  <c r="S2353" i="10" l="1"/>
  <c r="M2354" i="10"/>
  <c r="N2354" i="10"/>
  <c r="T2353" i="10"/>
  <c r="L2354" i="10" l="1"/>
  <c r="W2354" i="10" s="1"/>
  <c r="O2354" i="10" l="1"/>
  <c r="P2354" i="10"/>
  <c r="N2355" i="10" l="1"/>
  <c r="T2354" i="10"/>
  <c r="M2355" i="10"/>
  <c r="S2354" i="10"/>
  <c r="L2355" i="10" l="1"/>
  <c r="W2355" i="10" s="1"/>
  <c r="P2355" i="10"/>
  <c r="O2355" i="10"/>
  <c r="M2356" i="10" l="1"/>
  <c r="S2355" i="10"/>
  <c r="N2356" i="10"/>
  <c r="T2355" i="10"/>
  <c r="L2356" i="10" l="1"/>
  <c r="W2356" i="10" s="1"/>
  <c r="P2356" i="10" l="1"/>
  <c r="O2356" i="10"/>
  <c r="S2356" i="10" l="1"/>
  <c r="M2357" i="10"/>
  <c r="N2357" i="10"/>
  <c r="T2356" i="10"/>
  <c r="L2357" i="10" l="1"/>
  <c r="W2357" i="10" s="1"/>
  <c r="P2357" i="10" l="1"/>
  <c r="O2357" i="10"/>
  <c r="S2357" i="10" l="1"/>
  <c r="M2358" i="10"/>
  <c r="N2358" i="10"/>
  <c r="T2357" i="10"/>
  <c r="L2358" i="10" l="1"/>
  <c r="W2358" i="10" s="1"/>
  <c r="P2358" i="10" l="1"/>
  <c r="O2358" i="10"/>
  <c r="M2359" i="10" l="1"/>
  <c r="S2358" i="10"/>
  <c r="N2359" i="10"/>
  <c r="T2358" i="10"/>
  <c r="L2359" i="10" l="1"/>
  <c r="W2359" i="10" s="1"/>
  <c r="O2359" i="10" l="1"/>
  <c r="P2359" i="10"/>
  <c r="N2360" i="10" l="1"/>
  <c r="T2359" i="10"/>
  <c r="S2359" i="10"/>
  <c r="M2360" i="10"/>
  <c r="L2360" i="10" s="1"/>
  <c r="W2360" i="10" s="1"/>
  <c r="P2360" i="10" l="1"/>
  <c r="O2360" i="10"/>
  <c r="M2361" i="10" l="1"/>
  <c r="S2360" i="10"/>
  <c r="N2361" i="10"/>
  <c r="T2360" i="10"/>
  <c r="L2361" i="10" l="1"/>
  <c r="W2361" i="10" s="1"/>
  <c r="P2361" i="10" l="1"/>
  <c r="O2361" i="10"/>
  <c r="M2362" i="10" l="1"/>
  <c r="S2361" i="10"/>
  <c r="N2362" i="10"/>
  <c r="T2361" i="10"/>
  <c r="L2362" i="10" l="1"/>
  <c r="W2362" i="10" s="1"/>
  <c r="P2362" i="10" l="1"/>
  <c r="O2362" i="10"/>
  <c r="M2363" i="10" l="1"/>
  <c r="S2362" i="10"/>
  <c r="N2363" i="10"/>
  <c r="T2362" i="10"/>
  <c r="L2363" i="10" l="1"/>
  <c r="W2363" i="10" s="1"/>
  <c r="P2363" i="10" l="1"/>
  <c r="O2363" i="10"/>
  <c r="S2363" i="10" l="1"/>
  <c r="M2364" i="10"/>
  <c r="N2364" i="10"/>
  <c r="T2363" i="10"/>
  <c r="L2364" i="10" l="1"/>
  <c r="W2364" i="10" s="1"/>
  <c r="P2364" i="10" l="1"/>
  <c r="O2364" i="10"/>
  <c r="S2364" i="10" l="1"/>
  <c r="M2365" i="10"/>
  <c r="N2365" i="10"/>
  <c r="T2364" i="10"/>
  <c r="L2365" i="10" l="1"/>
  <c r="W2365" i="10" s="1"/>
  <c r="P2365" i="10" l="1"/>
  <c r="O2365" i="10"/>
  <c r="S2365" i="10" l="1"/>
  <c r="M2366" i="10"/>
  <c r="N2366" i="10"/>
  <c r="T2365" i="10"/>
  <c r="L2366" i="10" l="1"/>
  <c r="W2366" i="10" s="1"/>
  <c r="P2366" i="10"/>
  <c r="O2366" i="10"/>
  <c r="M2367" i="10" l="1"/>
  <c r="S2366" i="10"/>
  <c r="N2367" i="10"/>
  <c r="T2366" i="10"/>
  <c r="L2367" i="10" l="1"/>
  <c r="W2367" i="10" s="1"/>
  <c r="P2367" i="10" l="1"/>
  <c r="O2367" i="10"/>
  <c r="S2367" i="10" l="1"/>
  <c r="M2368" i="10"/>
  <c r="N2368" i="10"/>
  <c r="T2367" i="10"/>
  <c r="L2368" i="10" l="1"/>
  <c r="W2368" i="10" s="1"/>
  <c r="P2368" i="10" l="1"/>
  <c r="O2368" i="10"/>
  <c r="S2368" i="10" l="1"/>
  <c r="M2369" i="10"/>
  <c r="N2369" i="10"/>
  <c r="T2368" i="10"/>
  <c r="L2369" i="10" l="1"/>
  <c r="W2369" i="10" s="1"/>
  <c r="P2369" i="10"/>
  <c r="O2369" i="10"/>
  <c r="S2369" i="10" l="1"/>
  <c r="M2370" i="10"/>
  <c r="N2370" i="10"/>
  <c r="T2369" i="10"/>
  <c r="L2370" i="10" l="1"/>
  <c r="W2370" i="10" s="1"/>
  <c r="P2370" i="10" l="1"/>
  <c r="O2370" i="10"/>
  <c r="M2371" i="10" l="1"/>
  <c r="S2370" i="10"/>
  <c r="N2371" i="10"/>
  <c r="T2370" i="10"/>
  <c r="L2371" i="10" l="1"/>
  <c r="W2371" i="10" s="1"/>
  <c r="P2371" i="10" l="1"/>
  <c r="O2371" i="10"/>
  <c r="S2371" i="10" l="1"/>
  <c r="M2372" i="10"/>
  <c r="N2372" i="10"/>
  <c r="T2371" i="10"/>
  <c r="L2372" i="10" l="1"/>
  <c r="W2372" i="10" s="1"/>
  <c r="O2372" i="10"/>
  <c r="P2372" i="10"/>
  <c r="N2373" i="10" l="1"/>
  <c r="T2372" i="10"/>
  <c r="M2373" i="10"/>
  <c r="S2372" i="10"/>
  <c r="L2373" i="10" l="1"/>
  <c r="W2373" i="10" s="1"/>
  <c r="P2373" i="10"/>
  <c r="O2373" i="10"/>
  <c r="S2373" i="10" l="1"/>
  <c r="M2374" i="10"/>
  <c r="N2374" i="10"/>
  <c r="T2373" i="10"/>
  <c r="L2374" i="10" l="1"/>
  <c r="W2374" i="10" s="1"/>
  <c r="P2374" i="10" l="1"/>
  <c r="O2374" i="10"/>
  <c r="M2375" i="10" l="1"/>
  <c r="S2374" i="10"/>
  <c r="N2375" i="10"/>
  <c r="T2374" i="10"/>
  <c r="L2375" i="10" l="1"/>
  <c r="W2375" i="10" s="1"/>
  <c r="P2375" i="10" l="1"/>
  <c r="O2375" i="10"/>
  <c r="M2376" i="10" l="1"/>
  <c r="S2375" i="10"/>
  <c r="N2376" i="10"/>
  <c r="T2375" i="10"/>
  <c r="L2376" i="10" l="1"/>
  <c r="W2376" i="10" s="1"/>
  <c r="P2376" i="10" l="1"/>
  <c r="O2376" i="10"/>
  <c r="S2376" i="10" l="1"/>
  <c r="M2377" i="10"/>
  <c r="N2377" i="10"/>
  <c r="T2376" i="10"/>
  <c r="L2377" i="10" l="1"/>
  <c r="W2377" i="10" s="1"/>
  <c r="P2377" i="10" l="1"/>
  <c r="O2377" i="10"/>
  <c r="S2377" i="10" l="1"/>
  <c r="M2378" i="10"/>
  <c r="N2378" i="10"/>
  <c r="T2377" i="10"/>
  <c r="L2378" i="10" l="1"/>
  <c r="W2378" i="10" s="1"/>
  <c r="P2378" i="10" l="1"/>
  <c r="O2378" i="10"/>
  <c r="S2378" i="10" l="1"/>
  <c r="M2379" i="10"/>
  <c r="N2379" i="10"/>
  <c r="T2378" i="10"/>
  <c r="L2379" i="10" l="1"/>
  <c r="W2379" i="10" s="1"/>
  <c r="P2379" i="10" l="1"/>
  <c r="O2379" i="10"/>
  <c r="S2379" i="10" l="1"/>
  <c r="M2380" i="10"/>
  <c r="T2379" i="10"/>
  <c r="N2380" i="10"/>
  <c r="L2380" i="10" l="1"/>
  <c r="W2380" i="10" s="1"/>
  <c r="P2380" i="10" l="1"/>
  <c r="O2380" i="10"/>
  <c r="S2380" i="10" l="1"/>
  <c r="M2381" i="10"/>
  <c r="N2381" i="10"/>
  <c r="T2380" i="10"/>
  <c r="L2381" i="10" l="1"/>
  <c r="W2381" i="10" s="1"/>
  <c r="P2381" i="10"/>
  <c r="O2381" i="10"/>
  <c r="M2382" i="10" l="1"/>
  <c r="S2381" i="10"/>
  <c r="N2382" i="10"/>
  <c r="T2381" i="10"/>
  <c r="L2382" i="10" l="1"/>
  <c r="W2382" i="10" s="1"/>
  <c r="P2382" i="10" l="1"/>
  <c r="O2382" i="10"/>
  <c r="S2382" i="10" l="1"/>
  <c r="M2383" i="10"/>
  <c r="N2383" i="10"/>
  <c r="T2382" i="10"/>
  <c r="L2383" i="10" l="1"/>
  <c r="O2383" i="10"/>
  <c r="P2383" i="10" l="1"/>
  <c r="W2383" i="10"/>
  <c r="S2383" i="10"/>
  <c r="M2384" i="10"/>
  <c r="N2384" i="10"/>
  <c r="T2383" i="10"/>
  <c r="L2384" i="10" l="1"/>
  <c r="W2384" i="10" s="1"/>
  <c r="P2384" i="10"/>
  <c r="O2384" i="10"/>
  <c r="M2385" i="10" l="1"/>
  <c r="S2384" i="10"/>
  <c r="N2385" i="10"/>
  <c r="T2384" i="10"/>
  <c r="L2385" i="10" l="1"/>
  <c r="W2385" i="10" s="1"/>
  <c r="O2385" i="10"/>
  <c r="P2385" i="10" l="1"/>
  <c r="N2386" i="10" s="1"/>
  <c r="S2385" i="10"/>
  <c r="M2386" i="10"/>
  <c r="T2385" i="10" l="1"/>
  <c r="L2386" i="10"/>
  <c r="W2386" i="10" s="1"/>
  <c r="P2386" i="10" l="1"/>
  <c r="O2386" i="10"/>
  <c r="S2386" i="10" l="1"/>
  <c r="M2387" i="10"/>
  <c r="N2387" i="10"/>
  <c r="T2386" i="10"/>
  <c r="L2387" i="10" l="1"/>
  <c r="W2387" i="10" s="1"/>
  <c r="O2387" i="10"/>
  <c r="P2387" i="10"/>
  <c r="N2388" i="10" l="1"/>
  <c r="T2387" i="10"/>
  <c r="S2387" i="10"/>
  <c r="M2388" i="10"/>
  <c r="L2388" i="10" s="1"/>
  <c r="W2388" i="10" s="1"/>
  <c r="P2388" i="10" l="1"/>
  <c r="O2388" i="10"/>
  <c r="M2389" i="10" l="1"/>
  <c r="S2388" i="10"/>
  <c r="N2389" i="10"/>
  <c r="T2388" i="10"/>
  <c r="L2389" i="10" l="1"/>
  <c r="W2389" i="10" s="1"/>
  <c r="O2389" i="10" l="1"/>
  <c r="P2389" i="10"/>
  <c r="N2390" i="10" l="1"/>
  <c r="T2389" i="10"/>
  <c r="M2390" i="10"/>
  <c r="S2389" i="10"/>
  <c r="L2390" i="10" l="1"/>
  <c r="W2390" i="10" s="1"/>
  <c r="P2390" i="10"/>
  <c r="O2390" i="10"/>
  <c r="S2390" i="10" l="1"/>
  <c r="M2391" i="10"/>
  <c r="N2391" i="10"/>
  <c r="T2390" i="10"/>
  <c r="L2391" i="10" l="1"/>
  <c r="O2391" i="10"/>
  <c r="P2391" i="10" l="1"/>
  <c r="T2391" i="10" s="1"/>
  <c r="W2391" i="10"/>
  <c r="S2391" i="10"/>
  <c r="M2392" i="10"/>
  <c r="N2392" i="10"/>
  <c r="L2392" i="10" l="1"/>
  <c r="W2392" i="10" s="1"/>
  <c r="P2392" i="10" l="1"/>
  <c r="O2392" i="10"/>
  <c r="S2392" i="10" l="1"/>
  <c r="M2393" i="10"/>
  <c r="N2393" i="10"/>
  <c r="T2392" i="10"/>
  <c r="L2393" i="10" l="1"/>
  <c r="W2393" i="10" s="1"/>
  <c r="P2393" i="10" l="1"/>
  <c r="O2393" i="10"/>
  <c r="M2394" i="10" l="1"/>
  <c r="S2393" i="10"/>
  <c r="N2394" i="10"/>
  <c r="T2393" i="10"/>
  <c r="L2394" i="10" l="1"/>
  <c r="W2394" i="10" s="1"/>
  <c r="P2394" i="10" l="1"/>
  <c r="O2394" i="10"/>
  <c r="S2394" i="10" l="1"/>
  <c r="M2395" i="10"/>
  <c r="N2395" i="10"/>
  <c r="T2394" i="10"/>
  <c r="L2395" i="10" l="1"/>
  <c r="W2395" i="10" s="1"/>
  <c r="P2395" i="10" l="1"/>
  <c r="O2395" i="10"/>
  <c r="M2396" i="10" l="1"/>
  <c r="S2395" i="10"/>
  <c r="N2396" i="10"/>
  <c r="T2395" i="10"/>
  <c r="L2396" i="10" l="1"/>
  <c r="W2396" i="10" s="1"/>
  <c r="P2396" i="10" l="1"/>
  <c r="O2396" i="10"/>
  <c r="M2397" i="10" l="1"/>
  <c r="S2396" i="10"/>
  <c r="N2397" i="10"/>
  <c r="T2396" i="10"/>
  <c r="L2397" i="10" l="1"/>
  <c r="W2397" i="10" s="1"/>
  <c r="P2397" i="10" l="1"/>
  <c r="O2397" i="10"/>
  <c r="M2398" i="10" l="1"/>
  <c r="S2397" i="10"/>
  <c r="N2398" i="10"/>
  <c r="T2397" i="10"/>
  <c r="L2398" i="10" l="1"/>
  <c r="W2398" i="10" s="1"/>
  <c r="P2398" i="10" l="1"/>
  <c r="O2398" i="10"/>
  <c r="M2399" i="10" l="1"/>
  <c r="S2398" i="10"/>
  <c r="N2399" i="10"/>
  <c r="T2398" i="10"/>
  <c r="L2399" i="10" l="1"/>
  <c r="W2399" i="10" s="1"/>
  <c r="P2399" i="10" l="1"/>
  <c r="O2399" i="10"/>
  <c r="S2399" i="10" l="1"/>
  <c r="M2400" i="10"/>
  <c r="N2400" i="10"/>
  <c r="T2399" i="10"/>
  <c r="L2400" i="10" l="1"/>
  <c r="W2400" i="10" s="1"/>
  <c r="P2400" i="10" l="1"/>
  <c r="O2400" i="10"/>
  <c r="S2400" i="10" l="1"/>
  <c r="M2401" i="10"/>
  <c r="T2400" i="10"/>
  <c r="N2401" i="10"/>
  <c r="L2401" i="10" l="1"/>
  <c r="W2401" i="10" s="1"/>
  <c r="P2401" i="10" l="1"/>
  <c r="O2401" i="10"/>
  <c r="M2402" i="10" l="1"/>
  <c r="S2401" i="10"/>
  <c r="N2402" i="10"/>
  <c r="T2401" i="10"/>
  <c r="L2402" i="10" l="1"/>
  <c r="W2402" i="10" s="1"/>
  <c r="P2402" i="10" l="1"/>
  <c r="O2402" i="10"/>
  <c r="M2403" i="10" l="1"/>
  <c r="S2402" i="10"/>
  <c r="N2403" i="10"/>
  <c r="T2402" i="10"/>
  <c r="L2403" i="10" l="1"/>
  <c r="W2403" i="10" s="1"/>
  <c r="P2403" i="10" l="1"/>
  <c r="O2403" i="10"/>
  <c r="S2403" i="10" l="1"/>
  <c r="M2404" i="10"/>
  <c r="N2404" i="10"/>
  <c r="T2403" i="10"/>
  <c r="L2404" i="10" l="1"/>
  <c r="W2404" i="10" s="1"/>
  <c r="P2404" i="10" l="1"/>
  <c r="O2404" i="10"/>
  <c r="S2404" i="10" l="1"/>
  <c r="M2405" i="10"/>
  <c r="N2405" i="10"/>
  <c r="T2404" i="10"/>
  <c r="L2405" i="10" l="1"/>
  <c r="W2405" i="10" s="1"/>
  <c r="P2405" i="10" l="1"/>
  <c r="O2405" i="10"/>
  <c r="N2406" i="10" l="1"/>
  <c r="T2405" i="10"/>
  <c r="S2405" i="10"/>
  <c r="M2406" i="10"/>
  <c r="L2406" i="10" l="1"/>
  <c r="W2406" i="10" s="1"/>
  <c r="P2406" i="10"/>
  <c r="O2406" i="10"/>
  <c r="M2407" i="10" l="1"/>
  <c r="S2406" i="10"/>
  <c r="N2407" i="10"/>
  <c r="T2406" i="10"/>
  <c r="L2407" i="10" l="1"/>
  <c r="W2407" i="10" s="1"/>
  <c r="O2407" i="10" l="1"/>
  <c r="P2407" i="10"/>
  <c r="N2408" i="10" l="1"/>
  <c r="T2407" i="10"/>
  <c r="S2407" i="10"/>
  <c r="M2408" i="10"/>
  <c r="L2408" i="10" l="1"/>
  <c r="W2408" i="10" s="1"/>
  <c r="O2408" i="10" l="1"/>
  <c r="M2409" i="10" s="1"/>
  <c r="P2408" i="10"/>
  <c r="N2409" i="10"/>
  <c r="T2408" i="10"/>
  <c r="S2408" i="10" l="1"/>
  <c r="L2409" i="10"/>
  <c r="W2409" i="10" s="1"/>
  <c r="P2409" i="10" l="1"/>
  <c r="O2409" i="10"/>
  <c r="S2409" i="10" l="1"/>
  <c r="M2410" i="10"/>
  <c r="N2410" i="10"/>
  <c r="T2409" i="10"/>
  <c r="L2410" i="10" l="1"/>
  <c r="W2410" i="10" s="1"/>
  <c r="O2410" i="10" l="1"/>
  <c r="P2410" i="10"/>
  <c r="N2411" i="10" l="1"/>
  <c r="T2410" i="10"/>
  <c r="M2411" i="10"/>
  <c r="S2410" i="10"/>
  <c r="L2411" i="10" l="1"/>
  <c r="W2411" i="10" s="1"/>
  <c r="P2411" i="10"/>
  <c r="O2411" i="10"/>
  <c r="S2411" i="10" l="1"/>
  <c r="M2412" i="10"/>
  <c r="N2412" i="10"/>
  <c r="T2411" i="10"/>
  <c r="L2412" i="10" l="1"/>
  <c r="W2412" i="10" s="1"/>
  <c r="P2412" i="10" l="1"/>
  <c r="O2412" i="10"/>
  <c r="M2413" i="10" l="1"/>
  <c r="S2412" i="10"/>
  <c r="N2413" i="10"/>
  <c r="T2412" i="10"/>
  <c r="L2413" i="10" l="1"/>
  <c r="W2413" i="10" s="1"/>
  <c r="P2413" i="10" l="1"/>
  <c r="O2413" i="10"/>
  <c r="M2414" i="10" l="1"/>
  <c r="S2413" i="10"/>
  <c r="N2414" i="10"/>
  <c r="T2413" i="10"/>
  <c r="L2414" i="10" l="1"/>
  <c r="W2414" i="10" s="1"/>
  <c r="P2414" i="10" l="1"/>
  <c r="O2414" i="10"/>
  <c r="S2414" i="10" l="1"/>
  <c r="M2415" i="10"/>
  <c r="N2415" i="10"/>
  <c r="T2414" i="10"/>
  <c r="L2415" i="10" l="1"/>
  <c r="W2415" i="10" s="1"/>
  <c r="P2415" i="10" l="1"/>
  <c r="O2415" i="10"/>
  <c r="S2415" i="10" l="1"/>
  <c r="M2416" i="10"/>
  <c r="N2416" i="10"/>
  <c r="T2415" i="10"/>
  <c r="L2416" i="10" l="1"/>
  <c r="W2416" i="10" s="1"/>
  <c r="P2416" i="10" l="1"/>
  <c r="O2416" i="10"/>
  <c r="M2417" i="10" l="1"/>
  <c r="S2416" i="10"/>
  <c r="N2417" i="10"/>
  <c r="T2416" i="10"/>
  <c r="L2417" i="10" l="1"/>
  <c r="W2417" i="10" s="1"/>
  <c r="P2417" i="10" l="1"/>
  <c r="O2417" i="10"/>
  <c r="M2418" i="10" l="1"/>
  <c r="S2417" i="10"/>
  <c r="N2418" i="10"/>
  <c r="T2417" i="10"/>
  <c r="L2418" i="10" l="1"/>
  <c r="W2418" i="10" s="1"/>
  <c r="P2418" i="10" l="1"/>
  <c r="O2418" i="10"/>
  <c r="S2418" i="10" l="1"/>
  <c r="M2419" i="10"/>
  <c r="N2419" i="10"/>
  <c r="T2418" i="10"/>
  <c r="L2419" i="10" l="1"/>
  <c r="W2419" i="10" s="1"/>
  <c r="P2419" i="10" l="1"/>
  <c r="O2419" i="10"/>
  <c r="M2420" i="10" l="1"/>
  <c r="S2419" i="10"/>
  <c r="N2420" i="10"/>
  <c r="T2419" i="10"/>
  <c r="L2420" i="10" l="1"/>
  <c r="W2420" i="10" s="1"/>
  <c r="P2420" i="10" l="1"/>
  <c r="O2420" i="10"/>
  <c r="M2421" i="10" l="1"/>
  <c r="S2420" i="10"/>
  <c r="N2421" i="10"/>
  <c r="T2420" i="10"/>
  <c r="L2421" i="10" l="1"/>
  <c r="W2421" i="10" s="1"/>
  <c r="P2421" i="10" l="1"/>
  <c r="O2421" i="10"/>
  <c r="M2422" i="10" l="1"/>
  <c r="S2421" i="10"/>
  <c r="N2422" i="10"/>
  <c r="T2421" i="10"/>
  <c r="L2422" i="10" l="1"/>
  <c r="W2422" i="10" s="1"/>
  <c r="P2422" i="10" l="1"/>
  <c r="O2422" i="10"/>
  <c r="M2423" i="10" l="1"/>
  <c r="S2422" i="10"/>
  <c r="N2423" i="10"/>
  <c r="T2422" i="10"/>
  <c r="L2423" i="10" l="1"/>
  <c r="W2423" i="10" s="1"/>
  <c r="P2423" i="10" l="1"/>
  <c r="O2423" i="10"/>
  <c r="S2423" i="10" l="1"/>
  <c r="M2424" i="10"/>
  <c r="T2423" i="10"/>
  <c r="N2424" i="10"/>
  <c r="L2424" i="10" l="1"/>
  <c r="W2424" i="10" s="1"/>
  <c r="P2424" i="10" l="1"/>
  <c r="O2424" i="10"/>
  <c r="M2425" i="10" l="1"/>
  <c r="S2424" i="10"/>
  <c r="N2425" i="10"/>
  <c r="T2424" i="10"/>
  <c r="L2425" i="10" l="1"/>
  <c r="W2425" i="10" s="1"/>
  <c r="P2425" i="10" l="1"/>
  <c r="O2425" i="10"/>
  <c r="M2426" i="10" l="1"/>
  <c r="S2425" i="10"/>
  <c r="N2426" i="10"/>
  <c r="T2425" i="10"/>
  <c r="L2426" i="10" l="1"/>
  <c r="W2426" i="10" s="1"/>
  <c r="P2426" i="10" l="1"/>
  <c r="O2426" i="10"/>
  <c r="M2427" i="10" l="1"/>
  <c r="S2426" i="10"/>
  <c r="N2427" i="10"/>
  <c r="T2426" i="10"/>
  <c r="L2427" i="10" l="1"/>
  <c r="W2427" i="10" s="1"/>
  <c r="P2427" i="10" l="1"/>
  <c r="O2427" i="10"/>
  <c r="M2428" i="10" l="1"/>
  <c r="S2427" i="10"/>
  <c r="N2428" i="10"/>
  <c r="T2427" i="10"/>
  <c r="L2428" i="10" l="1"/>
  <c r="W2428" i="10" s="1"/>
  <c r="P2428" i="10" l="1"/>
  <c r="O2428" i="10"/>
  <c r="M2429" i="10" l="1"/>
  <c r="S2428" i="10"/>
  <c r="N2429" i="10"/>
  <c r="T2428" i="10"/>
  <c r="L2429" i="10" l="1"/>
  <c r="W2429" i="10" s="1"/>
  <c r="P2429" i="10" l="1"/>
  <c r="O2429" i="10"/>
  <c r="S2429" i="10" l="1"/>
  <c r="M2430" i="10"/>
  <c r="T2429" i="10"/>
  <c r="N2430" i="10"/>
  <c r="L2430" i="10" l="1"/>
  <c r="W2430" i="10" s="1"/>
  <c r="O2430" i="10" l="1"/>
  <c r="P2430" i="10"/>
  <c r="T2430" i="10" l="1"/>
  <c r="N2431" i="10"/>
  <c r="S2430" i="10"/>
  <c r="M2431" i="10"/>
  <c r="L2431" i="10" l="1"/>
  <c r="W2431" i="10" s="1"/>
  <c r="P2431" i="10"/>
  <c r="O2431" i="10"/>
  <c r="S2431" i="10" l="1"/>
  <c r="M2432" i="10"/>
  <c r="N2432" i="10"/>
  <c r="T2431" i="10"/>
  <c r="L2432" i="10" l="1"/>
  <c r="W2432" i="10" s="1"/>
  <c r="O2432" i="10"/>
  <c r="P2432" i="10"/>
  <c r="T2432" i="10" l="1"/>
  <c r="N2433" i="10"/>
  <c r="S2432" i="10"/>
  <c r="M2433" i="10"/>
  <c r="L2433" i="10" l="1"/>
  <c r="W2433" i="10" s="1"/>
  <c r="O2433" i="10"/>
  <c r="P2433" i="10"/>
  <c r="N2434" i="10" l="1"/>
  <c r="T2433" i="10"/>
  <c r="S2433" i="10"/>
  <c r="M2434" i="10"/>
  <c r="L2434" i="10" l="1"/>
  <c r="W2434" i="10" s="1"/>
  <c r="P2434" i="10"/>
  <c r="O2434" i="10"/>
  <c r="S2434" i="10" l="1"/>
  <c r="M2435" i="10"/>
  <c r="N2435" i="10"/>
  <c r="T2434" i="10"/>
  <c r="L2435" i="10" l="1"/>
  <c r="W2435" i="10" s="1"/>
  <c r="P2435" i="10" l="1"/>
  <c r="O2435" i="10"/>
  <c r="S2435" i="10" l="1"/>
  <c r="M2436" i="10"/>
  <c r="N2436" i="10"/>
  <c r="T2435" i="10"/>
  <c r="L2436" i="10" l="1"/>
  <c r="W2436" i="10" s="1"/>
  <c r="P2436" i="10"/>
  <c r="O2436" i="10"/>
  <c r="M2437" i="10" l="1"/>
  <c r="S2436" i="10"/>
  <c r="N2437" i="10"/>
  <c r="T2436" i="10"/>
  <c r="L2437" i="10" l="1"/>
  <c r="W2437" i="10" s="1"/>
  <c r="P2437" i="10" l="1"/>
  <c r="O2437" i="10"/>
  <c r="S2437" i="10" l="1"/>
  <c r="M2438" i="10"/>
  <c r="N2438" i="10"/>
  <c r="T2437" i="10"/>
  <c r="L2438" i="10" l="1"/>
  <c r="W2438" i="10" s="1"/>
  <c r="P2438" i="10" l="1"/>
  <c r="O2438" i="10"/>
  <c r="S2438" i="10" l="1"/>
  <c r="M2439" i="10"/>
  <c r="N2439" i="10"/>
  <c r="T2438" i="10"/>
  <c r="L2439" i="10" l="1"/>
  <c r="W2439" i="10" s="1"/>
  <c r="P2439" i="10" l="1"/>
  <c r="O2439" i="10"/>
  <c r="S2439" i="10" l="1"/>
  <c r="M2440" i="10"/>
  <c r="N2440" i="10"/>
  <c r="T2439" i="10"/>
  <c r="L2440" i="10" l="1"/>
  <c r="W2440" i="10" s="1"/>
  <c r="P2440" i="10" l="1"/>
  <c r="O2440" i="10"/>
  <c r="S2440" i="10" l="1"/>
  <c r="M2441" i="10"/>
  <c r="N2441" i="10"/>
  <c r="T2440" i="10"/>
  <c r="L2441" i="10" l="1"/>
  <c r="W2441" i="10" s="1"/>
  <c r="P2441" i="10" l="1"/>
  <c r="O2441" i="10"/>
  <c r="S2441" i="10" l="1"/>
  <c r="M2442" i="10"/>
  <c r="N2442" i="10"/>
  <c r="T2441" i="10"/>
  <c r="L2442" i="10" l="1"/>
  <c r="W2442" i="10" s="1"/>
  <c r="P2442" i="10" l="1"/>
  <c r="O2442" i="10"/>
  <c r="M2443" i="10" l="1"/>
  <c r="S2442" i="10"/>
  <c r="N2443" i="10"/>
  <c r="T2442" i="10"/>
  <c r="L2443" i="10" l="1"/>
  <c r="W2443" i="10" s="1"/>
  <c r="P2443" i="10" l="1"/>
  <c r="O2443" i="10"/>
  <c r="S2443" i="10" l="1"/>
  <c r="M2444" i="10"/>
  <c r="N2444" i="10"/>
  <c r="T2443" i="10"/>
  <c r="L2444" i="10" l="1"/>
  <c r="W2444" i="10" s="1"/>
  <c r="P2444" i="10" l="1"/>
  <c r="O2444" i="10"/>
  <c r="S2444" i="10" l="1"/>
  <c r="M2445" i="10"/>
  <c r="N2445" i="10"/>
  <c r="T2444" i="10"/>
  <c r="L2445" i="10" l="1"/>
  <c r="W2445" i="10" s="1"/>
  <c r="P2445" i="10" l="1"/>
  <c r="O2445" i="10"/>
  <c r="S2445" i="10" l="1"/>
  <c r="M2446" i="10"/>
  <c r="N2446" i="10"/>
  <c r="T2445" i="10"/>
  <c r="L2446" i="10" l="1"/>
  <c r="W2446" i="10" s="1"/>
  <c r="P2446" i="10" l="1"/>
  <c r="O2446" i="10"/>
  <c r="M2447" i="10" l="1"/>
  <c r="S2446" i="10"/>
  <c r="N2447" i="10"/>
  <c r="T2446" i="10"/>
  <c r="L2447" i="10" l="1"/>
  <c r="W2447" i="10" s="1"/>
  <c r="P2447" i="10" l="1"/>
  <c r="O2447" i="10"/>
  <c r="M2448" i="10" l="1"/>
  <c r="S2447" i="10"/>
  <c r="N2448" i="10"/>
  <c r="T2447" i="10"/>
  <c r="L2448" i="10" l="1"/>
  <c r="W2448" i="10" s="1"/>
  <c r="P2448" i="10" l="1"/>
  <c r="O2448" i="10"/>
  <c r="M2449" i="10" l="1"/>
  <c r="S2448" i="10"/>
  <c r="N2449" i="10"/>
  <c r="T2448" i="10"/>
  <c r="L2449" i="10" l="1"/>
  <c r="W2449" i="10" s="1"/>
  <c r="P2449" i="10" l="1"/>
  <c r="O2449" i="10"/>
  <c r="S2449" i="10" l="1"/>
  <c r="M2450" i="10"/>
  <c r="N2450" i="10"/>
  <c r="T2449" i="10"/>
  <c r="L2450" i="10" l="1"/>
  <c r="W2450" i="10" s="1"/>
  <c r="P2450" i="10" l="1"/>
  <c r="O2450" i="10"/>
  <c r="S2450" i="10" l="1"/>
  <c r="M2451" i="10"/>
  <c r="N2451" i="10"/>
  <c r="T2450" i="10"/>
  <c r="L2451" i="10" l="1"/>
  <c r="W2451" i="10" s="1"/>
  <c r="O2451" i="10" l="1"/>
  <c r="P2451" i="10"/>
  <c r="T2451" i="10" l="1"/>
  <c r="N2452" i="10"/>
  <c r="M2452" i="10"/>
  <c r="S2451" i="10"/>
  <c r="L2452" i="10" l="1"/>
  <c r="W2452" i="10" s="1"/>
  <c r="P2452" i="10"/>
  <c r="O2452" i="10" l="1"/>
  <c r="S2452" i="10" s="1"/>
  <c r="N2453" i="10"/>
  <c r="T2452" i="10"/>
  <c r="M2453" i="10" l="1"/>
  <c r="L2453" i="10" s="1"/>
  <c r="W2453" i="10" s="1"/>
  <c r="P2453" i="10"/>
  <c r="O2453" i="10"/>
  <c r="M2454" i="10" l="1"/>
  <c r="S2453" i="10"/>
  <c r="T2453" i="10"/>
  <c r="N2454" i="10"/>
  <c r="L2454" i="10" l="1"/>
  <c r="W2454" i="10" s="1"/>
  <c r="P2454" i="10" l="1"/>
  <c r="O2454" i="10"/>
  <c r="S2454" i="10" l="1"/>
  <c r="M2455" i="10"/>
  <c r="N2455" i="10"/>
  <c r="T2454" i="10"/>
  <c r="L2455" i="10" l="1"/>
  <c r="W2455" i="10" s="1"/>
  <c r="P2455" i="10" l="1"/>
  <c r="O2455" i="10"/>
  <c r="M2456" i="10" l="1"/>
  <c r="S2455" i="10"/>
  <c r="N2456" i="10"/>
  <c r="T2455" i="10"/>
  <c r="L2456" i="10" l="1"/>
  <c r="W2456" i="10" s="1"/>
  <c r="P2456" i="10" l="1"/>
  <c r="O2456" i="10"/>
  <c r="M2457" i="10" l="1"/>
  <c r="S2456" i="10"/>
  <c r="N2457" i="10"/>
  <c r="T2456" i="10"/>
  <c r="L2457" i="10" l="1"/>
  <c r="W2457" i="10" s="1"/>
  <c r="P2457" i="10" l="1"/>
  <c r="O2457" i="10"/>
  <c r="M2458" i="10" l="1"/>
  <c r="S2457" i="10"/>
  <c r="N2458" i="10"/>
  <c r="T2457" i="10"/>
  <c r="L2458" i="10" l="1"/>
  <c r="W2458" i="10" s="1"/>
  <c r="P2458" i="10" l="1"/>
  <c r="O2458" i="10"/>
  <c r="M2459" i="10" l="1"/>
  <c r="S2458" i="10"/>
  <c r="N2459" i="10"/>
  <c r="T2458" i="10"/>
  <c r="L2459" i="10" l="1"/>
  <c r="W2459" i="10" s="1"/>
  <c r="P2459" i="10" l="1"/>
  <c r="O2459" i="10"/>
  <c r="M2460" i="10" l="1"/>
  <c r="S2459" i="10"/>
  <c r="N2460" i="10"/>
  <c r="T2459" i="10"/>
  <c r="L2460" i="10" l="1"/>
  <c r="W2460" i="10" s="1"/>
  <c r="O2460" i="10" l="1"/>
  <c r="P2460" i="10"/>
  <c r="N2461" i="10" l="1"/>
  <c r="T2460" i="10"/>
  <c r="S2460" i="10"/>
  <c r="M2461" i="10"/>
  <c r="L2461" i="10" l="1"/>
  <c r="W2461" i="10" s="1"/>
  <c r="P2461" i="10"/>
  <c r="O2461" i="10"/>
  <c r="S2461" i="10" l="1"/>
  <c r="M2462" i="10"/>
  <c r="N2462" i="10"/>
  <c r="T2461" i="10"/>
  <c r="L2462" i="10" l="1"/>
  <c r="W2462" i="10" s="1"/>
  <c r="P2462" i="10" l="1"/>
  <c r="O2462" i="10"/>
  <c r="S2462" i="10" l="1"/>
  <c r="M2463" i="10"/>
  <c r="N2463" i="10"/>
  <c r="T2462" i="10"/>
  <c r="L2463" i="10" l="1"/>
  <c r="W2463" i="10" s="1"/>
  <c r="O2463" i="10" l="1"/>
  <c r="P2463" i="10"/>
  <c r="N2464" i="10" l="1"/>
  <c r="T2463" i="10"/>
  <c r="S2463" i="10"/>
  <c r="M2464" i="10"/>
  <c r="L2464" i="10" s="1"/>
  <c r="W2464" i="10" s="1"/>
  <c r="P2464" i="10" l="1"/>
  <c r="O2464" i="10"/>
  <c r="S2464" i="10" l="1"/>
  <c r="M2465" i="10"/>
  <c r="T2464" i="10"/>
  <c r="N2465" i="10"/>
  <c r="L2465" i="10" l="1"/>
  <c r="W2465" i="10" s="1"/>
  <c r="O2465" i="10" l="1"/>
  <c r="P2465" i="10"/>
  <c r="N2466" i="10" l="1"/>
  <c r="T2465" i="10"/>
  <c r="S2465" i="10"/>
  <c r="M2466" i="10"/>
  <c r="L2466" i="10" l="1"/>
  <c r="W2466" i="10" s="1"/>
  <c r="P2466" i="10"/>
  <c r="O2466" i="10"/>
  <c r="M2467" i="10" l="1"/>
  <c r="S2466" i="10"/>
  <c r="N2467" i="10"/>
  <c r="T2466" i="10"/>
  <c r="L2467" i="10" l="1"/>
  <c r="W2467" i="10" s="1"/>
  <c r="O2467" i="10" l="1"/>
  <c r="P2467" i="10"/>
  <c r="N2468" i="10" l="1"/>
  <c r="T2467" i="10"/>
  <c r="S2467" i="10"/>
  <c r="M2468" i="10"/>
  <c r="L2468" i="10" l="1"/>
  <c r="W2468" i="10" s="1"/>
  <c r="P2468" i="10"/>
  <c r="O2468" i="10"/>
  <c r="S2468" i="10" l="1"/>
  <c r="M2469" i="10"/>
  <c r="N2469" i="10"/>
  <c r="T2468" i="10"/>
  <c r="L2469" i="10" l="1"/>
  <c r="W2469" i="10" s="1"/>
  <c r="P2469" i="10" l="1"/>
  <c r="O2469" i="10"/>
  <c r="M2470" i="10" l="1"/>
  <c r="S2469" i="10"/>
  <c r="N2470" i="10"/>
  <c r="T2469" i="10"/>
  <c r="L2470" i="10" l="1"/>
  <c r="W2470" i="10" s="1"/>
  <c r="O2470" i="10" l="1"/>
  <c r="P2470" i="10"/>
  <c r="N2471" i="10" l="1"/>
  <c r="T2470" i="10"/>
  <c r="S2470" i="10"/>
  <c r="M2471" i="10"/>
  <c r="L2471" i="10" l="1"/>
  <c r="W2471" i="10" s="1"/>
  <c r="P2471" i="10"/>
  <c r="O2471" i="10"/>
  <c r="M2472" i="10" l="1"/>
  <c r="S2471" i="10"/>
  <c r="N2472" i="10"/>
  <c r="T2471" i="10"/>
  <c r="L2472" i="10" l="1"/>
  <c r="W2472" i="10" s="1"/>
  <c r="P2472" i="10" l="1"/>
  <c r="O2472" i="10"/>
  <c r="S2472" i="10" l="1"/>
  <c r="M2473" i="10"/>
  <c r="N2473" i="10"/>
  <c r="T2472" i="10"/>
  <c r="L2473" i="10" l="1"/>
  <c r="W2473" i="10" s="1"/>
  <c r="O2473" i="10" l="1"/>
  <c r="P2473" i="10"/>
  <c r="N2474" i="10" l="1"/>
  <c r="T2473" i="10"/>
  <c r="M2474" i="10"/>
  <c r="S2473" i="10"/>
  <c r="L2474" i="10" l="1"/>
  <c r="W2474" i="10" s="1"/>
  <c r="AF12" i="10" s="1"/>
  <c r="AF4" i="10"/>
  <c r="AF5" i="10"/>
  <c r="AF6" i="10"/>
  <c r="AF7" i="10"/>
  <c r="AF8" i="10"/>
  <c r="AF9" i="10"/>
  <c r="AF10" i="10"/>
  <c r="AF11" i="10"/>
  <c r="AF3" i="10"/>
  <c r="O2474" i="10"/>
  <c r="S2474" i="10" s="1"/>
  <c r="P2474" i="10" l="1"/>
  <c r="T2474" i="10" s="1"/>
  <c r="AF13" i="10"/>
</calcChain>
</file>

<file path=xl/sharedStrings.xml><?xml version="1.0" encoding="utf-8"?>
<sst xmlns="http://schemas.openxmlformats.org/spreadsheetml/2006/main" count="9679" uniqueCount="24">
  <si>
    <t>Patrimonio</t>
  </si>
  <si>
    <t>CDI</t>
  </si>
  <si>
    <t>Retorno</t>
  </si>
  <si>
    <t>P&amp;L</t>
  </si>
  <si>
    <t>Total</t>
  </si>
  <si>
    <t>IBX</t>
  </si>
  <si>
    <t>Qtd Ações</t>
  </si>
  <si>
    <t>Qtd CDI</t>
  </si>
  <si>
    <t>P&amp;L CDI</t>
  </si>
  <si>
    <t>%Ações</t>
  </si>
  <si>
    <t>%CDI</t>
  </si>
  <si>
    <t>Diario</t>
  </si>
  <si>
    <t>Mensal</t>
  </si>
  <si>
    <t>Trimestral</t>
  </si>
  <si>
    <t/>
  </si>
  <si>
    <t>Semestral</t>
  </si>
  <si>
    <t>Anual</t>
  </si>
  <si>
    <t>Periodo</t>
  </si>
  <si>
    <t>Rebalance</t>
  </si>
  <si>
    <t>Inicial</t>
  </si>
  <si>
    <t>Estrategia</t>
  </si>
  <si>
    <t>Benchmark</t>
  </si>
  <si>
    <t>BenckMark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</si>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</sst>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%"/>
    <numFmt numFmtId="166" formatCode="[$-416]dd\-mmm\-yy;@"/>
    <numFmt numFmtId="169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4" borderId="0" xfId="0" applyFill="1"/>
    <xf numFmtId="10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center"/>
    </xf>
    <xf numFmtId="10" fontId="0" fillId="0" borderId="0" xfId="3" applyNumberFormat="1" applyFont="1"/>
    <xf numFmtId="9" fontId="0" fillId="0" borderId="0" xfId="0" applyNumberFormat="1" applyAlignment="1">
      <alignment horizontal="center"/>
    </xf>
    <xf numFmtId="166" fontId="0" fillId="0" borderId="0" xfId="0" applyNumberFormat="1"/>
    <xf numFmtId="43" fontId="3" fillId="2" borderId="0" xfId="1" applyFont="1" applyFill="1" applyAlignment="1">
      <alignment horizontal="center" vertical="center" wrapText="1"/>
    </xf>
    <xf numFmtId="166" fontId="0" fillId="5" borderId="0" xfId="0" applyNumberFormat="1" applyFill="1"/>
    <xf numFmtId="43" fontId="0" fillId="5" borderId="0" xfId="1" applyFont="1" applyFill="1"/>
    <xf numFmtId="43" fontId="0" fillId="0" borderId="0" xfId="0" applyNumberFormat="1"/>
    <xf numFmtId="43" fontId="4" fillId="0" borderId="0" xfId="1" applyFont="1" applyAlignment="1">
      <alignment horizontal="center"/>
    </xf>
    <xf numFmtId="10" fontId="0" fillId="5" borderId="0" xfId="3" applyNumberFormat="1" applyFont="1" applyFill="1" applyAlignment="1">
      <alignment horizontal="center"/>
    </xf>
    <xf numFmtId="165" fontId="0" fillId="5" borderId="0" xfId="3" applyNumberFormat="1" applyFont="1" applyFill="1" applyAlignment="1">
      <alignment horizont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vertical="center"/>
    </xf>
    <xf numFmtId="43" fontId="5" fillId="0" borderId="0" xfId="0" applyNumberFormat="1" applyFont="1"/>
    <xf numFmtId="0" fontId="5" fillId="0" borderId="0" xfId="0" applyFont="1"/>
    <xf numFmtId="9" fontId="3" fillId="6" borderId="1" xfId="3" applyFont="1" applyFill="1" applyBorder="1" applyAlignment="1">
      <alignment horizontal="center" vertical="center" wrapText="1"/>
    </xf>
    <xf numFmtId="9" fontId="0" fillId="0" borderId="0" xfId="3" applyFont="1" applyAlignment="1">
      <alignment horizontal="center"/>
    </xf>
    <xf numFmtId="9" fontId="5" fillId="5" borderId="0" xfId="3" applyFont="1" applyFill="1" applyAlignment="1">
      <alignment horizontal="center"/>
    </xf>
    <xf numFmtId="169" fontId="0" fillId="0" borderId="0" xfId="1" applyNumberFormat="1" applyFont="1"/>
    <xf numFmtId="165" fontId="0" fillId="0" borderId="0" xfId="3" applyNumberFormat="1" applyFont="1"/>
    <xf numFmtId="9" fontId="0" fillId="0" borderId="0" xfId="0" applyNumberFormat="1"/>
    <xf numFmtId="10" fontId="0" fillId="5" borderId="0" xfId="3" applyNumberFormat="1" applyFont="1" applyFill="1"/>
    <xf numFmtId="14" fontId="0" fillId="0" borderId="0" xfId="0" applyNumberFormat="1"/>
    <xf numFmtId="10" fontId="3" fillId="2" borderId="0" xfId="3" applyNumberFormat="1" applyFont="1" applyFill="1" applyAlignment="1">
      <alignment horizontal="center" vertical="center" wrapText="1"/>
    </xf>
    <xf numFmtId="165" fontId="2" fillId="0" borderId="0" xfId="3" applyNumberFormat="1" applyFont="1"/>
    <xf numFmtId="9" fontId="5" fillId="5" borderId="0" xfId="3" applyFont="1" applyFill="1" applyAlignment="1">
      <alignment horizontal="center" vertical="center"/>
    </xf>
    <xf numFmtId="165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DC9E-8E3A-4565-B51A-97EA88CA68F7}">
  <sheetPr codeName="Sheet5"/>
  <dimension ref="A1:AI2474"/>
  <sheetViews>
    <sheetView showGridLines="0" tabSelected="1" zoomScale="115" zoomScaleNormal="115" workbookViewId="0">
      <selection activeCell="C14" sqref="C14"/>
    </sheetView>
  </sheetViews>
  <sheetFormatPr defaultRowHeight="14.4" x14ac:dyDescent="0.3"/>
  <cols>
    <col min="1" max="1" width="15" customWidth="1"/>
    <col min="2" max="2" width="10.44140625" style="1" bestFit="1" customWidth="1"/>
    <col min="3" max="3" width="7.88671875" style="1" customWidth="1"/>
    <col min="4" max="4" width="7.6640625" style="2" bestFit="1" customWidth="1"/>
    <col min="5" max="5" width="6" style="2" bestFit="1" customWidth="1"/>
    <col min="6" max="6" width="3.77734375" style="4" customWidth="1"/>
    <col min="7" max="7" width="8.6640625" style="24" bestFit="1" customWidth="1"/>
    <col min="8" max="8" width="9.33203125" style="24" bestFit="1" customWidth="1"/>
    <col min="9" max="9" width="10.88671875" customWidth="1"/>
    <col min="10" max="10" width="14.21875" bestFit="1" customWidth="1"/>
    <col min="11" max="11" width="3.6640625" customWidth="1"/>
    <col min="12" max="13" width="11.6640625" customWidth="1"/>
    <col min="14" max="14" width="11.6640625" style="22" customWidth="1"/>
    <col min="15" max="15" width="10.21875" customWidth="1"/>
    <col min="16" max="16" width="10.77734375" customWidth="1"/>
    <col min="17" max="17" width="3.109375" customWidth="1"/>
    <col min="22" max="22" width="11.5546875" style="1" bestFit="1" customWidth="1"/>
    <col min="23" max="23" width="10.109375" style="7" bestFit="1" customWidth="1"/>
    <col min="24" max="24" width="10.109375" style="7" customWidth="1"/>
    <col min="29" max="30" width="10.88671875" bestFit="1" customWidth="1"/>
    <col min="32" max="32" width="9.44140625" bestFit="1" customWidth="1"/>
    <col min="33" max="33" width="15.44140625" customWidth="1"/>
    <col min="34" max="34" width="11.44140625" customWidth="1"/>
    <col min="35" max="35" width="9.88671875" customWidth="1"/>
  </cols>
  <sheetData>
    <row r="1" spans="1:35" s="18" customFormat="1" ht="28.2" customHeight="1" thickBot="1" x14ac:dyDescent="0.35">
      <c r="A1" s="3"/>
      <c r="B1" s="10" t="s">
        <v>5</v>
      </c>
      <c r="C1" s="10" t="s">
        <v>1</v>
      </c>
      <c r="D1" s="3" t="s">
        <v>2</v>
      </c>
      <c r="E1" s="3" t="s">
        <v>1</v>
      </c>
      <c r="F1" s="17"/>
      <c r="G1" s="23" t="s">
        <v>5</v>
      </c>
      <c r="H1" s="23" t="s">
        <v>1</v>
      </c>
      <c r="I1" s="19" t="s">
        <v>19</v>
      </c>
      <c r="J1" s="20">
        <v>100000</v>
      </c>
      <c r="L1" s="3" t="s">
        <v>0</v>
      </c>
      <c r="M1" s="3" t="s">
        <v>3</v>
      </c>
      <c r="N1" s="3" t="s">
        <v>8</v>
      </c>
      <c r="O1" s="3" t="s">
        <v>6</v>
      </c>
      <c r="P1" s="3" t="s">
        <v>7</v>
      </c>
      <c r="S1" s="3" t="s">
        <v>9</v>
      </c>
      <c r="T1" s="3" t="s">
        <v>10</v>
      </c>
      <c r="V1" s="10" t="s">
        <v>21</v>
      </c>
      <c r="W1" s="31" t="s">
        <v>20</v>
      </c>
      <c r="X1" s="31" t="s">
        <v>22</v>
      </c>
      <c r="Y1" s="3" t="s">
        <v>5</v>
      </c>
      <c r="Z1" s="3" t="s">
        <v>1</v>
      </c>
      <c r="AF1" s="19" t="s">
        <v>18</v>
      </c>
      <c r="AG1" s="20" t="s">
        <v>16</v>
      </c>
    </row>
    <row r="2" spans="1:35" ht="23.4" customHeight="1" thickTop="1" x14ac:dyDescent="0.3">
      <c r="A2" s="11">
        <v>40177</v>
      </c>
      <c r="B2" s="12">
        <v>21672.84</v>
      </c>
      <c r="C2" s="12">
        <v>22.35004</v>
      </c>
      <c r="D2" s="16"/>
      <c r="E2" s="16"/>
      <c r="G2" s="33">
        <f>VLOOKUP(A2,Aux!B:C,2,FALSE)</f>
        <v>0.5</v>
      </c>
      <c r="H2" s="33">
        <f>IF(ISNUMBER(G2),1-G2,"")</f>
        <v>0.5</v>
      </c>
      <c r="L2" s="13">
        <f>J1</f>
        <v>100000</v>
      </c>
      <c r="M2" s="13"/>
      <c r="N2" s="21"/>
      <c r="O2" s="26">
        <f>J1*G2/B2</f>
        <v>2.3070349801871837</v>
      </c>
      <c r="P2" s="26">
        <f>J1*H2/C2</f>
        <v>2237.1324615078988</v>
      </c>
      <c r="Q2" s="1"/>
      <c r="S2" s="6">
        <f>O2*B2/L2</f>
        <v>0.5</v>
      </c>
      <c r="T2" s="6">
        <f>P2*C2/L2</f>
        <v>0.5</v>
      </c>
      <c r="V2" s="1">
        <f>L2</f>
        <v>100000</v>
      </c>
      <c r="AF2" s="31" t="s">
        <v>20</v>
      </c>
      <c r="AG2" s="31" t="s">
        <v>23</v>
      </c>
      <c r="AH2" s="3" t="s">
        <v>5</v>
      </c>
      <c r="AI2" s="3" t="s">
        <v>1</v>
      </c>
    </row>
    <row r="3" spans="1:35" x14ac:dyDescent="0.3">
      <c r="A3" s="9">
        <v>40182</v>
      </c>
      <c r="B3" s="1">
        <v>22154.41</v>
      </c>
      <c r="C3" s="1">
        <v>22.364599999999999</v>
      </c>
      <c r="D3" s="6">
        <f>B3/B2-1</f>
        <v>2.2219976708174771E-2</v>
      </c>
      <c r="E3" s="5">
        <f>C3/C2-1</f>
        <v>6.5145297279101122E-4</v>
      </c>
      <c r="G3" s="25" t="str">
        <f>IF(VLOOKUP(A3,Aux!B:C,2,FALSE)=0,"",VLOOKUP(A3,Aux!B:C,2,FALSE))</f>
        <v/>
      </c>
      <c r="H3" s="25" t="str">
        <f t="shared" ref="H3:H66" si="0">IF(ISNUMBER(G3),1-G3,"")</f>
        <v/>
      </c>
      <c r="L3" s="13">
        <f>L2+M3+N3</f>
        <v>101143.5714840483</v>
      </c>
      <c r="M3" s="14">
        <f>O2*(B3-B2)</f>
        <v>1110.9988354087413</v>
      </c>
      <c r="N3" s="14">
        <f>P2*(C3-C2)</f>
        <v>32.572648639553805</v>
      </c>
      <c r="O3" s="1">
        <f>IF(ISNUMBER(G3),L3*G3/B3,O2)</f>
        <v>2.3070349801871837</v>
      </c>
      <c r="P3" s="1">
        <f>IF(ISNUMBER(H3),L3*H3/C3,P2)</f>
        <v>2237.1324615078988</v>
      </c>
      <c r="Q3" s="1"/>
      <c r="S3" s="6">
        <f t="shared" ref="S3:S66" si="1">O3*B3/L3</f>
        <v>0.50533116524829891</v>
      </c>
      <c r="T3" s="6">
        <f t="shared" ref="T3:T66" si="2">P3*C3/L3</f>
        <v>0.49466883475170104</v>
      </c>
      <c r="V3" s="1">
        <f>$O$2*B3+$P$2*C3</f>
        <v>101143.5714840483</v>
      </c>
      <c r="W3" s="7">
        <f>LN(L3/L2)</f>
        <v>1.1370821320767062E-2</v>
      </c>
      <c r="X3" s="7">
        <f>LN(V3/V2)</f>
        <v>1.1370821320767062E-2</v>
      </c>
      <c r="Y3">
        <f>LN(B3/B2)</f>
        <v>2.1976710017837818E-2</v>
      </c>
      <c r="Z3">
        <f>LN(C3/C2)</f>
        <v>6.5124086941504959E-4</v>
      </c>
      <c r="AC3" s="30">
        <f>DATE(AE3,1,1)</f>
        <v>40179</v>
      </c>
      <c r="AD3" s="30">
        <f>DATE(AE3+1,1,1)-1</f>
        <v>40543</v>
      </c>
      <c r="AE3">
        <v>2010</v>
      </c>
      <c r="AF3" s="27">
        <f>EXP(SUMIFS(W:W,$A:$A,"&gt;=" &amp;$AC3,$A:$A,"&lt;=" &amp;$AD3))-1</f>
        <v>6.1745223807778249E-2</v>
      </c>
      <c r="AG3" s="27">
        <f>EXP(SUMIFS(X:X,$A:$A,"&gt;=" &amp;$AC3,$A:$A,"&lt;=" &amp;$AD3))-1</f>
        <v>6.1745223807775584E-2</v>
      </c>
      <c r="AH3" s="27">
        <f t="shared" ref="AH3:AI12" si="3">EXP(SUMIFS(Y:Y,$A:$A,"&gt;=" &amp;$AC3,$A:$A,"&lt;=" &amp;$AD3))-1</f>
        <v>2.6146550244454225E-2</v>
      </c>
      <c r="AI3" s="27">
        <f t="shared" si="3"/>
        <v>9.7343897371101384E-2</v>
      </c>
    </row>
    <row r="4" spans="1:35" x14ac:dyDescent="0.3">
      <c r="A4" s="11">
        <v>40183</v>
      </c>
      <c r="B4" s="12">
        <v>22204.59</v>
      </c>
      <c r="C4" s="12">
        <v>22.371929999999999</v>
      </c>
      <c r="D4" s="16">
        <f t="shared" ref="D4:D26" si="4">B4/B3-1</f>
        <v>2.2650117967484285E-3</v>
      </c>
      <c r="E4" s="15">
        <f>C4/C3-1</f>
        <v>3.2775010507668512E-4</v>
      </c>
      <c r="G4" s="25" t="str">
        <f>IF(VLOOKUP(A4,Aux!B:C,2,FALSE)=0,"",VLOOKUP(A4,Aux!B:C,2,FALSE))</f>
        <v/>
      </c>
      <c r="H4" s="25" t="str">
        <f t="shared" si="0"/>
        <v/>
      </c>
      <c r="L4" s="13">
        <f t="shared" ref="L4:L67" si="5">L3+M4+N4</f>
        <v>101275.73668029695</v>
      </c>
      <c r="M4" s="14">
        <f t="shared" ref="M4:M67" si="6">O3*(B4-B3)</f>
        <v>115.76701530579355</v>
      </c>
      <c r="N4" s="14">
        <f t="shared" ref="N4:N67" si="7">P3*(C4-C3)</f>
        <v>16.398180942852036</v>
      </c>
      <c r="O4" s="1">
        <f t="shared" ref="O4:O67" si="8">IF(ISNUMBER(G4),L4*G4/B4,O3)</f>
        <v>2.3070349801871837</v>
      </c>
      <c r="P4" s="1">
        <f t="shared" ref="P4:P67" si="9">IF(ISNUMBER(H4),L4*H4/C4,P3)</f>
        <v>2237.1324615078988</v>
      </c>
      <c r="Q4" s="1"/>
      <c r="S4" s="6">
        <f t="shared" si="1"/>
        <v>0.50581479365018167</v>
      </c>
      <c r="T4" s="6">
        <f t="shared" si="2"/>
        <v>0.49418520634981822</v>
      </c>
      <c r="V4" s="1">
        <f t="shared" ref="V4:V67" si="10">$O$2*B4+$P$2*C4</f>
        <v>101275.73668029695</v>
      </c>
      <c r="W4" s="7">
        <f t="shared" ref="W4:W67" si="11">LN(L4/L3)</f>
        <v>1.3058558121605839E-3</v>
      </c>
      <c r="X4" s="7">
        <f t="shared" ref="X4:X67" si="12">LN(V4/V3)</f>
        <v>1.3058558121605839E-3</v>
      </c>
      <c r="Y4">
        <f>LN(B4/B3)</f>
        <v>2.2624505243410802E-3</v>
      </c>
      <c r="Z4">
        <f>LN(C4/C3)</f>
        <v>3.2769640674376534E-4</v>
      </c>
      <c r="AC4" s="30">
        <f t="shared" ref="AC4:AC12" si="13">DATE(AE4,1,1)</f>
        <v>40544</v>
      </c>
      <c r="AD4" s="30">
        <f t="shared" ref="AD4:AD12" si="14">DATE(AE4+1,1,1)-1</f>
        <v>40908</v>
      </c>
      <c r="AE4">
        <v>2011</v>
      </c>
      <c r="AF4" s="27">
        <f t="shared" ref="AF4:AF12" si="15">EXP(SUMIFS(W:W,$A:$A,"&gt;=" &amp;$AC4,$A:$A,"&lt;=" &amp;$AD4))-1</f>
        <v>1.0102347651208543E-3</v>
      </c>
      <c r="AG4" s="27">
        <f t="shared" ref="AG4:AG12" si="16">EXP(SUMIFS(X:X,$A:$A,"&gt;=" &amp;$AC4,$A:$A,"&lt;=" &amp;$AD4))-1</f>
        <v>4.863464106477533E-3</v>
      </c>
      <c r="AH4" s="27">
        <f t="shared" si="3"/>
        <v>-0.11391393065764477</v>
      </c>
      <c r="AI4" s="27">
        <f t="shared" si="3"/>
        <v>0.11593440018788548</v>
      </c>
    </row>
    <row r="5" spans="1:35" x14ac:dyDescent="0.3">
      <c r="A5" s="9">
        <v>40184</v>
      </c>
      <c r="B5" s="1">
        <v>22351.13</v>
      </c>
      <c r="C5" s="1">
        <v>22.379259999999999</v>
      </c>
      <c r="D5" s="6">
        <f t="shared" si="4"/>
        <v>6.5995364021582681E-3</v>
      </c>
      <c r="E5" s="5">
        <f t="shared" ref="E5:E68" si="17">C5/C4-1</f>
        <v>3.2764272014085272E-4</v>
      </c>
      <c r="G5" s="25" t="str">
        <f>IF(VLOOKUP(A5,Aux!B:C,2,FALSE)=0,"",VLOOKUP(A5,Aux!B:C,2,FALSE))</f>
        <v/>
      </c>
      <c r="H5" s="25" t="str">
        <f t="shared" si="0"/>
        <v/>
      </c>
      <c r="L5" s="13">
        <f t="shared" si="5"/>
        <v>101630.20776723642</v>
      </c>
      <c r="M5" s="14">
        <f t="shared" si="6"/>
        <v>338.0729059966319</v>
      </c>
      <c r="N5" s="14">
        <f t="shared" si="7"/>
        <v>16.398180942852036</v>
      </c>
      <c r="O5" s="1">
        <f t="shared" si="8"/>
        <v>2.3070349801871837</v>
      </c>
      <c r="P5" s="1">
        <f t="shared" si="9"/>
        <v>2237.1324615078988</v>
      </c>
      <c r="Q5" s="1"/>
      <c r="S5" s="6">
        <f t="shared" si="1"/>
        <v>0.50737708688749383</v>
      </c>
      <c r="T5" s="6">
        <f t="shared" si="2"/>
        <v>0.49262291311250611</v>
      </c>
      <c r="V5" s="1">
        <f t="shared" si="10"/>
        <v>101630.20776723642</v>
      </c>
      <c r="W5" s="7">
        <f t="shared" si="11"/>
        <v>3.4939483760340309E-3</v>
      </c>
      <c r="X5" s="7">
        <f t="shared" si="12"/>
        <v>3.4939483760340309E-3</v>
      </c>
      <c r="Y5">
        <f>LN(B5/B4)</f>
        <v>6.5778548018586205E-3</v>
      </c>
      <c r="Z5">
        <f>LN(C5/C4)</f>
        <v>3.2758905698606342E-4</v>
      </c>
      <c r="AC5" s="30">
        <f t="shared" si="13"/>
        <v>40909</v>
      </c>
      <c r="AD5" s="30">
        <f t="shared" si="14"/>
        <v>41274</v>
      </c>
      <c r="AE5">
        <v>2012</v>
      </c>
      <c r="AF5" s="27">
        <f t="shared" si="15"/>
        <v>9.9898388235688529E-2</v>
      </c>
      <c r="AG5" s="27">
        <f t="shared" si="16"/>
        <v>9.7591823661983268E-2</v>
      </c>
      <c r="AH5" s="27">
        <f t="shared" si="3"/>
        <v>0.11550777118986311</v>
      </c>
      <c r="AI5" s="27">
        <f t="shared" si="3"/>
        <v>8.4289005281513285E-2</v>
      </c>
    </row>
    <row r="6" spans="1:35" x14ac:dyDescent="0.3">
      <c r="A6" s="11">
        <v>40185</v>
      </c>
      <c r="B6" s="12">
        <v>22276.16</v>
      </c>
      <c r="C6" s="12">
        <v>22.386600000000001</v>
      </c>
      <c r="D6" s="16">
        <f t="shared" si="4"/>
        <v>-3.354192830519187E-3</v>
      </c>
      <c r="E6" s="15">
        <f t="shared" si="17"/>
        <v>3.2798224784924557E-4</v>
      </c>
      <c r="G6" s="25" t="str">
        <f>IF(VLOOKUP(A6,Aux!B:C,2,FALSE)=0,"",VLOOKUP(A6,Aux!B:C,2,FALSE))</f>
        <v/>
      </c>
      <c r="H6" s="25" t="str">
        <f t="shared" si="0"/>
        <v/>
      </c>
      <c r="L6" s="13">
        <f t="shared" si="5"/>
        <v>101473.66990703926</v>
      </c>
      <c r="M6" s="14">
        <f t="shared" si="6"/>
        <v>-172.95841246463584</v>
      </c>
      <c r="N6" s="14">
        <f t="shared" si="7"/>
        <v>16.420552267474218</v>
      </c>
      <c r="O6" s="1">
        <f t="shared" si="8"/>
        <v>2.3070349801871837</v>
      </c>
      <c r="P6" s="1">
        <f t="shared" si="9"/>
        <v>2237.1324615078988</v>
      </c>
      <c r="Q6" s="1"/>
      <c r="S6" s="6">
        <f t="shared" si="1"/>
        <v>0.50645532374385394</v>
      </c>
      <c r="T6" s="6">
        <f t="shared" si="2"/>
        <v>0.49354467625614612</v>
      </c>
      <c r="V6" s="1">
        <f t="shared" si="10"/>
        <v>101473.66990703926</v>
      </c>
      <c r="W6" s="7">
        <f t="shared" si="11"/>
        <v>-1.5414564506134041E-3</v>
      </c>
      <c r="X6" s="7">
        <f t="shared" si="12"/>
        <v>-1.5414564506134041E-3</v>
      </c>
      <c r="Y6">
        <f>LN(B6/B5)</f>
        <v>-3.3598307459251683E-3</v>
      </c>
      <c r="Z6">
        <f>LN(C6/C5)</f>
        <v>3.2792847342950882E-4</v>
      </c>
      <c r="AC6" s="30">
        <f t="shared" si="13"/>
        <v>41275</v>
      </c>
      <c r="AD6" s="30">
        <f t="shared" si="14"/>
        <v>41639</v>
      </c>
      <c r="AE6">
        <v>2013</v>
      </c>
      <c r="AF6" s="27">
        <f t="shared" si="15"/>
        <v>2.4562310792360931E-2</v>
      </c>
      <c r="AG6" s="27">
        <f t="shared" si="16"/>
        <v>3.2039153049101765E-2</v>
      </c>
      <c r="AH6" s="27">
        <f t="shared" si="3"/>
        <v>-3.1294680773148453E-2</v>
      </c>
      <c r="AI6" s="27">
        <f t="shared" si="3"/>
        <v>8.0419302357868538E-2</v>
      </c>
    </row>
    <row r="7" spans="1:35" x14ac:dyDescent="0.3">
      <c r="A7" s="9">
        <v>40186</v>
      </c>
      <c r="B7" s="1">
        <v>22226.23</v>
      </c>
      <c r="C7" s="1">
        <v>22.39395</v>
      </c>
      <c r="D7" s="6">
        <f t="shared" si="4"/>
        <v>-2.241409650496351E-3</v>
      </c>
      <c r="E7" s="5">
        <f t="shared" si="17"/>
        <v>3.283214065556983E-4</v>
      </c>
      <c r="G7" s="25" t="str">
        <f>IF(VLOOKUP(A7,Aux!B:C,2,FALSE)=0,"",VLOOKUP(A7,Aux!B:C,2,FALSE))</f>
        <v/>
      </c>
      <c r="H7" s="25" t="str">
        <f t="shared" si="0"/>
        <v/>
      </c>
      <c r="L7" s="13">
        <f t="shared" si="5"/>
        <v>101374.9225740706</v>
      </c>
      <c r="M7" s="14">
        <f t="shared" si="6"/>
        <v>-115.19025656074675</v>
      </c>
      <c r="N7" s="14">
        <f t="shared" si="7"/>
        <v>16.442923592080501</v>
      </c>
      <c r="O7" s="1">
        <f t="shared" si="8"/>
        <v>2.3070349801871837</v>
      </c>
      <c r="P7" s="1">
        <f t="shared" si="9"/>
        <v>2237.1324615078988</v>
      </c>
      <c r="Q7" s="1"/>
      <c r="S7" s="6">
        <f t="shared" si="1"/>
        <v>0.50581237238647414</v>
      </c>
      <c r="T7" s="6">
        <f t="shared" si="2"/>
        <v>0.4941876276135258</v>
      </c>
      <c r="V7" s="1">
        <f t="shared" si="10"/>
        <v>101374.9225740706</v>
      </c>
      <c r="W7" s="7">
        <f t="shared" si="11"/>
        <v>-9.7360636878123083E-4</v>
      </c>
      <c r="X7" s="7">
        <f t="shared" si="12"/>
        <v>-9.7360636878123083E-4</v>
      </c>
      <c r="Y7">
        <f>LN(B7/B6)</f>
        <v>-2.2439253689804728E-3</v>
      </c>
      <c r="Z7">
        <f>LN(C7/C6)</f>
        <v>3.2826752087692219E-4</v>
      </c>
      <c r="AC7" s="30">
        <f t="shared" si="13"/>
        <v>41640</v>
      </c>
      <c r="AD7" s="30">
        <f t="shared" si="14"/>
        <v>42004</v>
      </c>
      <c r="AE7">
        <v>2014</v>
      </c>
      <c r="AF7" s="27">
        <f t="shared" si="15"/>
        <v>4.010115850286855E-2</v>
      </c>
      <c r="AG7" s="27">
        <f t="shared" si="16"/>
        <v>5.2798353947535626E-2</v>
      </c>
      <c r="AH7" s="27">
        <f t="shared" si="3"/>
        <v>-2.7794631452401353E-2</v>
      </c>
      <c r="AI7" s="27">
        <f t="shared" si="3"/>
        <v>0.10799694845813557</v>
      </c>
    </row>
    <row r="8" spans="1:35" x14ac:dyDescent="0.3">
      <c r="A8" s="11">
        <v>40189</v>
      </c>
      <c r="B8" s="12">
        <v>22259.32</v>
      </c>
      <c r="C8" s="12">
        <v>22.401299999999999</v>
      </c>
      <c r="D8" s="16">
        <f t="shared" si="4"/>
        <v>1.4887814982567082E-3</v>
      </c>
      <c r="E8" s="15">
        <f t="shared" si="17"/>
        <v>3.282136469893171E-4</v>
      </c>
      <c r="G8" s="25" t="str">
        <f>IF(VLOOKUP(A8,Aux!B:C,2,FALSE)=0,"",VLOOKUP(A8,Aux!B:C,2,FALSE))</f>
        <v/>
      </c>
      <c r="H8" s="25" t="str">
        <f t="shared" si="0"/>
        <v/>
      </c>
      <c r="L8" s="13">
        <f t="shared" si="5"/>
        <v>101467.70528515708</v>
      </c>
      <c r="M8" s="14">
        <f t="shared" si="6"/>
        <v>76.339787494394244</v>
      </c>
      <c r="N8" s="14">
        <f t="shared" si="7"/>
        <v>16.442923592080501</v>
      </c>
      <c r="O8" s="1">
        <f t="shared" si="8"/>
        <v>2.3070349801871837</v>
      </c>
      <c r="P8" s="1">
        <f t="shared" si="9"/>
        <v>2237.1324615078988</v>
      </c>
      <c r="Q8" s="1"/>
      <c r="S8" s="6">
        <f t="shared" si="1"/>
        <v>0.50610220986925403</v>
      </c>
      <c r="T8" s="6">
        <f t="shared" si="2"/>
        <v>0.49389779013074597</v>
      </c>
      <c r="V8" s="1">
        <f t="shared" si="10"/>
        <v>101467.70528515708</v>
      </c>
      <c r="W8" s="7">
        <f t="shared" si="11"/>
        <v>9.148246454558839E-4</v>
      </c>
      <c r="X8" s="7">
        <f t="shared" si="12"/>
        <v>9.148246454558839E-4</v>
      </c>
      <c r="Y8">
        <f>LN(B8/B7)</f>
        <v>1.487674361801891E-3</v>
      </c>
      <c r="Z8">
        <f>LN(C8/C7)</f>
        <v>3.2815979667289905E-4</v>
      </c>
      <c r="AC8" s="30">
        <f t="shared" si="13"/>
        <v>42005</v>
      </c>
      <c r="AD8" s="30">
        <f t="shared" si="14"/>
        <v>42369</v>
      </c>
      <c r="AE8">
        <v>2015</v>
      </c>
      <c r="AF8" s="27">
        <f t="shared" si="15"/>
        <v>4.0489042575817535E-3</v>
      </c>
      <c r="AG8" s="27">
        <f t="shared" si="16"/>
        <v>3.5986734909124518E-2</v>
      </c>
      <c r="AH8" s="27">
        <f t="shared" si="3"/>
        <v>-0.12408918137058766</v>
      </c>
      <c r="AI8" s="27">
        <f t="shared" si="3"/>
        <v>0.13218698988575239</v>
      </c>
    </row>
    <row r="9" spans="1:35" x14ac:dyDescent="0.3">
      <c r="A9" s="9">
        <v>40190</v>
      </c>
      <c r="B9" s="1">
        <v>22158.28</v>
      </c>
      <c r="C9" s="1">
        <v>22.408650000000002</v>
      </c>
      <c r="D9" s="6">
        <f t="shared" si="4"/>
        <v>-4.5392222224219791E-3</v>
      </c>
      <c r="E9" s="5">
        <f t="shared" si="17"/>
        <v>3.28105958136371E-4</v>
      </c>
      <c r="G9" s="25" t="str">
        <f>IF(VLOOKUP(A9,Aux!B:C,2,FALSE)=0,"",VLOOKUP(A9,Aux!B:C,2,FALSE))</f>
        <v/>
      </c>
      <c r="H9" s="25" t="str">
        <f t="shared" si="0"/>
        <v/>
      </c>
      <c r="L9" s="13">
        <f t="shared" si="5"/>
        <v>101251.04539435105</v>
      </c>
      <c r="M9" s="14">
        <f t="shared" si="6"/>
        <v>-233.10281439811504</v>
      </c>
      <c r="N9" s="14">
        <f t="shared" si="7"/>
        <v>16.442923592088448</v>
      </c>
      <c r="O9" s="1">
        <f t="shared" si="8"/>
        <v>2.3070349801871837</v>
      </c>
      <c r="P9" s="1">
        <f t="shared" si="9"/>
        <v>2237.1324615078988</v>
      </c>
      <c r="Q9" s="1"/>
      <c r="S9" s="6">
        <f t="shared" si="1"/>
        <v>0.50488295564436836</v>
      </c>
      <c r="T9" s="6">
        <f t="shared" si="2"/>
        <v>0.49511704435563159</v>
      </c>
      <c r="V9" s="1">
        <f t="shared" si="10"/>
        <v>101251.04539435104</v>
      </c>
      <c r="W9" s="7">
        <f t="shared" si="11"/>
        <v>-2.1375425072877549E-3</v>
      </c>
      <c r="X9" s="7">
        <f t="shared" si="12"/>
        <v>-2.1375425072879773E-3</v>
      </c>
      <c r="Y9">
        <f>LN(B9/B8)</f>
        <v>-4.5495557743307196E-3</v>
      </c>
      <c r="Z9">
        <f>LN(C9/C8)</f>
        <v>3.2805214314751257E-4</v>
      </c>
      <c r="AC9" s="30">
        <f t="shared" si="13"/>
        <v>42370</v>
      </c>
      <c r="AD9" s="30">
        <f t="shared" si="14"/>
        <v>42735</v>
      </c>
      <c r="AE9">
        <v>2016</v>
      </c>
      <c r="AF9" s="27">
        <f t="shared" si="15"/>
        <v>0.25350058493372618</v>
      </c>
      <c r="AG9" s="27">
        <f t="shared" si="16"/>
        <v>0.21205616782317582</v>
      </c>
      <c r="AH9" s="27">
        <f t="shared" si="3"/>
        <v>0.36696965903570034</v>
      </c>
      <c r="AI9" s="27">
        <f t="shared" si="3"/>
        <v>0.14003151083175491</v>
      </c>
    </row>
    <row r="10" spans="1:35" x14ac:dyDescent="0.3">
      <c r="A10" s="11">
        <v>40191</v>
      </c>
      <c r="B10" s="12">
        <v>22236.79</v>
      </c>
      <c r="C10" s="12">
        <v>22.416</v>
      </c>
      <c r="D10" s="16">
        <f t="shared" si="4"/>
        <v>3.5431450455540858E-3</v>
      </c>
      <c r="E10" s="15">
        <f t="shared" si="17"/>
        <v>3.2799833992669392E-4</v>
      </c>
      <c r="G10" s="25" t="str">
        <f>IF(VLOOKUP(A10,Aux!B:C,2,FALSE)=0,"",VLOOKUP(A10,Aux!B:C,2,FALSE))</f>
        <v/>
      </c>
      <c r="H10" s="25" t="str">
        <f t="shared" si="0"/>
        <v/>
      </c>
      <c r="L10" s="13">
        <f t="shared" si="5"/>
        <v>101448.61363423764</v>
      </c>
      <c r="M10" s="14">
        <f t="shared" si="6"/>
        <v>181.12531629450049</v>
      </c>
      <c r="N10" s="14">
        <f t="shared" si="7"/>
        <v>16.442923592080501</v>
      </c>
      <c r="O10" s="1">
        <f t="shared" si="8"/>
        <v>2.3070349801871837</v>
      </c>
      <c r="P10" s="1">
        <f t="shared" si="9"/>
        <v>2237.1324615078988</v>
      </c>
      <c r="Q10" s="1"/>
      <c r="S10" s="6">
        <f t="shared" si="1"/>
        <v>0.50568510045920534</v>
      </c>
      <c r="T10" s="6">
        <f t="shared" si="2"/>
        <v>0.49431489954079455</v>
      </c>
      <c r="V10" s="1">
        <f t="shared" si="10"/>
        <v>101448.61363423763</v>
      </c>
      <c r="W10" s="7">
        <f t="shared" si="11"/>
        <v>1.9493698548619187E-3</v>
      </c>
      <c r="X10" s="7">
        <f t="shared" si="12"/>
        <v>1.9493698548619187E-3</v>
      </c>
      <c r="Y10">
        <f>LN(B10/B9)</f>
        <v>3.5368828945940424E-3</v>
      </c>
      <c r="Z10">
        <f>LN(C10/C9)</f>
        <v>3.2794456023064257E-4</v>
      </c>
      <c r="AC10" s="30">
        <f t="shared" si="13"/>
        <v>42736</v>
      </c>
      <c r="AD10" s="30">
        <f t="shared" si="14"/>
        <v>43100</v>
      </c>
      <c r="AE10">
        <v>2017</v>
      </c>
      <c r="AF10" s="27">
        <f t="shared" si="15"/>
        <v>0.1876210357422623</v>
      </c>
      <c r="AG10" s="27">
        <f t="shared" si="16"/>
        <v>0.16266592888269615</v>
      </c>
      <c r="AH10" s="27">
        <f t="shared" si="3"/>
        <v>0.27545380756203452</v>
      </c>
      <c r="AI10" s="27">
        <f t="shared" si="3"/>
        <v>9.9788263922494957E-2</v>
      </c>
    </row>
    <row r="11" spans="1:35" x14ac:dyDescent="0.3">
      <c r="A11" s="9">
        <v>40192</v>
      </c>
      <c r="B11" s="1">
        <v>22046.74</v>
      </c>
      <c r="C11" s="1">
        <v>22.423359999999999</v>
      </c>
      <c r="D11" s="6">
        <f t="shared" si="4"/>
        <v>-8.5466472453982201E-3</v>
      </c>
      <c r="E11" s="5">
        <f t="shared" si="17"/>
        <v>3.2833690221267808E-4</v>
      </c>
      <c r="G11" s="25" t="str">
        <f>IF(VLOOKUP(A11,Aux!B:C,2,FALSE)=0,"",VLOOKUP(A11,Aux!B:C,2,FALSE))</f>
        <v/>
      </c>
      <c r="H11" s="25" t="str">
        <f t="shared" si="0"/>
        <v/>
      </c>
      <c r="L11" s="13">
        <f t="shared" si="5"/>
        <v>101026.62693116975</v>
      </c>
      <c r="M11" s="14">
        <f t="shared" si="6"/>
        <v>-438.45199798457259</v>
      </c>
      <c r="N11" s="14">
        <f t="shared" si="7"/>
        <v>16.465294916694731</v>
      </c>
      <c r="O11" s="1">
        <f t="shared" si="8"/>
        <v>2.3070349801871837</v>
      </c>
      <c r="P11" s="1">
        <f t="shared" si="9"/>
        <v>2237.1324615078988</v>
      </c>
      <c r="Q11" s="1"/>
      <c r="S11" s="6">
        <f t="shared" si="1"/>
        <v>0.50345737479432118</v>
      </c>
      <c r="T11" s="6">
        <f t="shared" si="2"/>
        <v>0.49654262520567877</v>
      </c>
      <c r="V11" s="1">
        <f t="shared" si="10"/>
        <v>101026.62693116974</v>
      </c>
      <c r="W11" s="7">
        <f t="shared" si="11"/>
        <v>-4.1682855926186485E-3</v>
      </c>
      <c r="X11" s="7">
        <f t="shared" si="12"/>
        <v>-4.1682855926186485E-3</v>
      </c>
      <c r="Y11">
        <f>LN(B11/B10)</f>
        <v>-8.5833792751784915E-3</v>
      </c>
      <c r="Z11">
        <f>LN(C11/C10)</f>
        <v>3.2828301144789592E-4</v>
      </c>
      <c r="AC11" s="30">
        <f t="shared" si="13"/>
        <v>43101</v>
      </c>
      <c r="AD11" s="30">
        <f t="shared" si="14"/>
        <v>43465</v>
      </c>
      <c r="AE11">
        <v>2018</v>
      </c>
      <c r="AF11" s="27">
        <f t="shared" si="15"/>
        <v>0.10922989235570801</v>
      </c>
      <c r="AG11" s="27">
        <f t="shared" si="16"/>
        <v>9.9574368614746556E-2</v>
      </c>
      <c r="AH11" s="27">
        <f t="shared" si="3"/>
        <v>0.15420736336032248</v>
      </c>
      <c r="AI11" s="27">
        <f t="shared" si="3"/>
        <v>6.4252421351090883E-2</v>
      </c>
    </row>
    <row r="12" spans="1:35" x14ac:dyDescent="0.3">
      <c r="A12" s="11">
        <v>40193</v>
      </c>
      <c r="B12" s="12">
        <v>21809.1</v>
      </c>
      <c r="C12" s="12">
        <v>22.430720000000001</v>
      </c>
      <c r="D12" s="16">
        <f t="shared" si="4"/>
        <v>-1.077891788082963E-2</v>
      </c>
      <c r="E12" s="15">
        <f t="shared" si="17"/>
        <v>3.2822913247620988E-4</v>
      </c>
      <c r="G12" s="25" t="str">
        <f>IF(VLOOKUP(A12,Aux!B:C,2,FALSE)=0,"",VLOOKUP(A12,Aux!B:C,2,FALSE))</f>
        <v/>
      </c>
      <c r="H12" s="25" t="str">
        <f t="shared" si="0"/>
        <v/>
      </c>
      <c r="L12" s="13">
        <f t="shared" si="5"/>
        <v>100494.84843339477</v>
      </c>
      <c r="M12" s="14">
        <f t="shared" si="6"/>
        <v>-548.24379269168935</v>
      </c>
      <c r="N12" s="14">
        <f t="shared" si="7"/>
        <v>16.465294916702682</v>
      </c>
      <c r="O12" s="1">
        <f t="shared" si="8"/>
        <v>2.3070349801871837</v>
      </c>
      <c r="P12" s="1">
        <f t="shared" si="9"/>
        <v>2237.1324615078988</v>
      </c>
      <c r="Q12" s="1"/>
      <c r="S12" s="6">
        <f t="shared" si="1"/>
        <v>0.50066602786855563</v>
      </c>
      <c r="T12" s="6">
        <f t="shared" si="2"/>
        <v>0.49933397213144426</v>
      </c>
      <c r="V12" s="1">
        <f t="shared" si="10"/>
        <v>100494.84843339477</v>
      </c>
      <c r="W12" s="7">
        <f t="shared" si="11"/>
        <v>-5.2776482619523429E-3</v>
      </c>
      <c r="X12" s="7">
        <f t="shared" si="12"/>
        <v>-5.27764826195212E-3</v>
      </c>
      <c r="Y12">
        <f>LN(B12/B11)</f>
        <v>-1.0837431270056439E-2</v>
      </c>
      <c r="Z12">
        <f>LN(C12/C11)</f>
        <v>3.2817527707879149E-4</v>
      </c>
      <c r="AC12" s="30">
        <f t="shared" si="13"/>
        <v>43466</v>
      </c>
      <c r="AD12" s="30">
        <f t="shared" si="14"/>
        <v>43830</v>
      </c>
      <c r="AE12">
        <v>2019</v>
      </c>
      <c r="AF12" s="27">
        <f t="shared" si="15"/>
        <v>0.19682244245943425</v>
      </c>
      <c r="AG12" s="27">
        <f t="shared" si="16"/>
        <v>0.17274637518888381</v>
      </c>
      <c r="AH12" s="27">
        <f t="shared" si="3"/>
        <v>0.33388670542280896</v>
      </c>
      <c r="AI12" s="27">
        <f t="shared" si="3"/>
        <v>5.9758179496059771E-2</v>
      </c>
    </row>
    <row r="13" spans="1:35" x14ac:dyDescent="0.3">
      <c r="A13" s="9">
        <v>40196</v>
      </c>
      <c r="B13" s="1">
        <v>21997.97</v>
      </c>
      <c r="C13" s="1">
        <v>22.43807</v>
      </c>
      <c r="D13" s="6">
        <f t="shared" si="4"/>
        <v>8.6601464526276928E-3</v>
      </c>
      <c r="E13" s="5">
        <f t="shared" si="17"/>
        <v>3.2767561629754027E-4</v>
      </c>
      <c r="G13" s="25" t="str">
        <f>IF(VLOOKUP(A13,Aux!B:C,2,FALSE)=0,"",VLOOKUP(A13,Aux!B:C,2,FALSE))</f>
        <v/>
      </c>
      <c r="H13" s="25" t="str">
        <f t="shared" si="0"/>
        <v/>
      </c>
      <c r="L13" s="13">
        <f t="shared" si="5"/>
        <v>100947.02105369481</v>
      </c>
      <c r="M13" s="14">
        <f t="shared" si="6"/>
        <v>435.72969670795942</v>
      </c>
      <c r="N13" s="14">
        <f t="shared" si="7"/>
        <v>16.442923592080501</v>
      </c>
      <c r="O13" s="1">
        <f t="shared" si="8"/>
        <v>2.3070349801871837</v>
      </c>
      <c r="P13" s="1">
        <f t="shared" si="9"/>
        <v>2237.1324615078988</v>
      </c>
      <c r="Q13" s="1"/>
      <c r="S13" s="6">
        <f t="shared" si="1"/>
        <v>0.50273981097583598</v>
      </c>
      <c r="T13" s="6">
        <f t="shared" si="2"/>
        <v>0.49726018902416391</v>
      </c>
      <c r="V13" s="1">
        <f t="shared" si="10"/>
        <v>100947.0210536948</v>
      </c>
      <c r="W13" s="7">
        <f t="shared" si="11"/>
        <v>4.4893683809744366E-3</v>
      </c>
      <c r="X13" s="7">
        <f t="shared" si="12"/>
        <v>4.4893683809742154E-3</v>
      </c>
      <c r="Y13">
        <f>LN(B13/B12)</f>
        <v>8.6228624861116373E-3</v>
      </c>
      <c r="Z13">
        <f>LN(C13/C12)</f>
        <v>3.2762194236755422E-4</v>
      </c>
      <c r="AE13" t="s">
        <v>4</v>
      </c>
      <c r="AF13" s="32">
        <f t="array" ref="AF13">PRODUCT(AF3:AF12+1)-1</f>
        <v>1.4719172815409127</v>
      </c>
      <c r="AG13" s="32">
        <f t="array" ref="AG13">PRODUCT(AG3:AG12+1)-1</f>
        <v>1.3953567269624139</v>
      </c>
      <c r="AH13" s="32">
        <f t="array" ref="AH13">PRODUCT(AH3:AH12+1)-1</f>
        <v>1.2459179323060496</v>
      </c>
      <c r="AI13" s="32">
        <f t="array" ref="AI13">PRODUCT(AI3:AI12+1)-1</f>
        <v>1.5447955216187554</v>
      </c>
    </row>
    <row r="14" spans="1:35" x14ac:dyDescent="0.3">
      <c r="A14" s="11">
        <v>40197</v>
      </c>
      <c r="B14" s="12">
        <v>22138.31</v>
      </c>
      <c r="C14" s="12">
        <v>22.445430000000002</v>
      </c>
      <c r="D14" s="16">
        <f t="shared" si="4"/>
        <v>6.3796795795247885E-3</v>
      </c>
      <c r="E14" s="15">
        <f t="shared" si="17"/>
        <v>3.2801395128911892E-4</v>
      </c>
      <c r="G14" s="25" t="str">
        <f>IF(VLOOKUP(A14,Aux!B:C,2,FALSE)=0,"",VLOOKUP(A14,Aux!B:C,2,FALSE))</f>
        <v/>
      </c>
      <c r="H14" s="25" t="str">
        <f t="shared" si="0"/>
        <v/>
      </c>
      <c r="L14" s="13">
        <f t="shared" si="5"/>
        <v>101287.255637731</v>
      </c>
      <c r="M14" s="14">
        <f t="shared" si="6"/>
        <v>323.7692891194697</v>
      </c>
      <c r="N14" s="14">
        <f t="shared" si="7"/>
        <v>16.465294916702682</v>
      </c>
      <c r="O14" s="1">
        <f t="shared" si="8"/>
        <v>2.3070349801871837</v>
      </c>
      <c r="P14" s="1">
        <f t="shared" si="9"/>
        <v>2237.1324615078988</v>
      </c>
      <c r="Q14" s="1"/>
      <c r="S14" s="6">
        <f t="shared" si="1"/>
        <v>0.50424760006235148</v>
      </c>
      <c r="T14" s="6">
        <f t="shared" si="2"/>
        <v>0.49575239993764836</v>
      </c>
      <c r="V14" s="1">
        <f t="shared" si="10"/>
        <v>101287.25563773097</v>
      </c>
      <c r="W14" s="7">
        <f t="shared" si="11"/>
        <v>3.3647600258737195E-3</v>
      </c>
      <c r="X14" s="7">
        <f t="shared" si="12"/>
        <v>3.3647600258734983E-3</v>
      </c>
      <c r="Y14">
        <f>LN(B14/B13)</f>
        <v>6.359415563378476E-3</v>
      </c>
      <c r="Z14">
        <f>LN(C14/C13)</f>
        <v>3.2796016647412379E-4</v>
      </c>
      <c r="AG14" s="34">
        <f>50%*AH13+50%*AI13</f>
        <v>1.3953567269624025</v>
      </c>
    </row>
    <row r="15" spans="1:35" x14ac:dyDescent="0.3">
      <c r="A15" s="9">
        <v>40198</v>
      </c>
      <c r="B15" s="1">
        <v>21614.959999999999</v>
      </c>
      <c r="C15" s="1">
        <v>22.452780000000001</v>
      </c>
      <c r="D15" s="6">
        <f t="shared" si="4"/>
        <v>-2.3640015881971177E-2</v>
      </c>
      <c r="E15" s="5">
        <f t="shared" si="17"/>
        <v>3.2746086842627697E-4</v>
      </c>
      <c r="G15" s="25" t="str">
        <f>IF(VLOOKUP(A15,Aux!B:C,2,FALSE)=0,"",VLOOKUP(A15,Aux!B:C,2,FALSE))</f>
        <v/>
      </c>
      <c r="H15" s="25" t="str">
        <f t="shared" si="0"/>
        <v/>
      </c>
      <c r="L15" s="13">
        <f t="shared" si="5"/>
        <v>100096.31180444211</v>
      </c>
      <c r="M15" s="14">
        <f t="shared" si="6"/>
        <v>-1207.3867568809676</v>
      </c>
      <c r="N15" s="14">
        <f t="shared" si="7"/>
        <v>16.442923592080501</v>
      </c>
      <c r="O15" s="1">
        <f t="shared" si="8"/>
        <v>2.3070349801871837</v>
      </c>
      <c r="P15" s="1">
        <f t="shared" si="9"/>
        <v>2237.1324615078988</v>
      </c>
      <c r="Q15" s="1"/>
      <c r="S15" s="6">
        <f t="shared" si="1"/>
        <v>0.49818487730867395</v>
      </c>
      <c r="T15" s="6">
        <f t="shared" si="2"/>
        <v>0.50181512269132578</v>
      </c>
      <c r="V15" s="1">
        <f t="shared" si="10"/>
        <v>100096.31180444208</v>
      </c>
      <c r="W15" s="7">
        <f t="shared" si="11"/>
        <v>-1.182775469105714E-2</v>
      </c>
      <c r="X15" s="7">
        <f t="shared" si="12"/>
        <v>-1.182775469105714E-2</v>
      </c>
      <c r="Y15">
        <f>LN(B15/B14)</f>
        <v>-2.3923924385884979E-2</v>
      </c>
      <c r="Z15">
        <f>LN(C15/C14)</f>
        <v>3.2740726481783855E-4</v>
      </c>
    </row>
    <row r="16" spans="1:35" x14ac:dyDescent="0.3">
      <c r="A16" s="11">
        <v>40199</v>
      </c>
      <c r="B16" s="12">
        <v>21042.6</v>
      </c>
      <c r="C16" s="12">
        <v>22.460149999999999</v>
      </c>
      <c r="D16" s="16">
        <f t="shared" si="4"/>
        <v>-2.6479808428977014E-2</v>
      </c>
      <c r="E16" s="15">
        <f t="shared" si="17"/>
        <v>3.2824443120182956E-4</v>
      </c>
      <c r="G16" s="25" t="str">
        <f>IF(VLOOKUP(A16,Aux!B:C,2,FALSE)=0,"",VLOOKUP(A16,Aux!B:C,2,FALSE))</f>
        <v/>
      </c>
      <c r="H16" s="25" t="str">
        <f t="shared" si="0"/>
        <v/>
      </c>
      <c r="L16" s="13">
        <f t="shared" si="5"/>
        <v>98792.344929423489</v>
      </c>
      <c r="M16" s="14">
        <f t="shared" si="6"/>
        <v>-1320.4545412599377</v>
      </c>
      <c r="N16" s="14">
        <f t="shared" si="7"/>
        <v>16.487666241308965</v>
      </c>
      <c r="O16" s="1">
        <f t="shared" si="8"/>
        <v>2.3070349801871837</v>
      </c>
      <c r="P16" s="1">
        <f t="shared" si="9"/>
        <v>2237.1324615078988</v>
      </c>
      <c r="Q16" s="1"/>
      <c r="S16" s="6">
        <f t="shared" si="1"/>
        <v>0.49139449325519841</v>
      </c>
      <c r="T16" s="6">
        <f t="shared" si="2"/>
        <v>0.50860550674480121</v>
      </c>
      <c r="V16" s="1">
        <f t="shared" si="10"/>
        <v>98792.344929423445</v>
      </c>
      <c r="W16" s="7">
        <f t="shared" si="11"/>
        <v>-1.3112719251275608E-2</v>
      </c>
      <c r="X16" s="7">
        <f t="shared" si="12"/>
        <v>-1.3112719251275721E-2</v>
      </c>
      <c r="Y16">
        <f>LN(B16/B15)</f>
        <v>-2.6836713171806619E-2</v>
      </c>
      <c r="Z16">
        <f>LN(C16/C15)</f>
        <v>3.2819057078445444E-4</v>
      </c>
    </row>
    <row r="17" spans="1:26" x14ac:dyDescent="0.3">
      <c r="A17" s="9">
        <v>40200</v>
      </c>
      <c r="B17" s="1">
        <v>21051.16</v>
      </c>
      <c r="C17" s="1">
        <v>22.46752</v>
      </c>
      <c r="D17" s="6">
        <f t="shared" si="4"/>
        <v>4.0679383726360818E-4</v>
      </c>
      <c r="E17" s="5">
        <f t="shared" si="17"/>
        <v>3.2813672215015188E-4</v>
      </c>
      <c r="G17" s="25" t="str">
        <f>IF(VLOOKUP(A17,Aux!B:C,2,FALSE)=0,"",VLOOKUP(A17,Aux!B:C,2,FALSE))</f>
        <v/>
      </c>
      <c r="H17" s="25" t="str">
        <f t="shared" si="0"/>
        <v/>
      </c>
      <c r="L17" s="13">
        <f t="shared" si="5"/>
        <v>98828.580815095207</v>
      </c>
      <c r="M17" s="14">
        <f t="shared" si="6"/>
        <v>19.748219430405314</v>
      </c>
      <c r="N17" s="14">
        <f t="shared" si="7"/>
        <v>16.487666241316912</v>
      </c>
      <c r="O17" s="1">
        <f t="shared" si="8"/>
        <v>2.3070349801871837</v>
      </c>
      <c r="P17" s="1">
        <f t="shared" si="9"/>
        <v>2237.1324615078988</v>
      </c>
      <c r="Q17" s="1"/>
      <c r="S17" s="6">
        <f t="shared" si="1"/>
        <v>0.49141414450119514</v>
      </c>
      <c r="T17" s="6">
        <f t="shared" si="2"/>
        <v>0.50858585549880464</v>
      </c>
      <c r="V17" s="1">
        <f t="shared" si="10"/>
        <v>98828.580815095193</v>
      </c>
      <c r="W17" s="7">
        <f t="shared" si="11"/>
        <v>3.667211449526428E-4</v>
      </c>
      <c r="X17" s="7">
        <f t="shared" si="12"/>
        <v>3.6672114495286479E-4</v>
      </c>
      <c r="Y17">
        <f>LN(B17/B16)</f>
        <v>4.0671111908266086E-4</v>
      </c>
      <c r="Z17">
        <f>LN(C17/C16)</f>
        <v>3.280828970702751E-4</v>
      </c>
    </row>
    <row r="18" spans="1:26" x14ac:dyDescent="0.3">
      <c r="A18" s="11">
        <v>40204</v>
      </c>
      <c r="B18" s="12">
        <v>20823.599999999999</v>
      </c>
      <c r="C18" s="12">
        <v>22.48227</v>
      </c>
      <c r="D18" s="16">
        <f t="shared" si="4"/>
        <v>-1.0809855608907126E-2</v>
      </c>
      <c r="E18" s="15">
        <f t="shared" si="17"/>
        <v>6.5650325447585978E-4</v>
      </c>
      <c r="G18" s="25" t="str">
        <f>IF(VLOOKUP(A18,Aux!B:C,2,FALSE)=0,"",VLOOKUP(A18,Aux!B:C,2,FALSE))</f>
        <v/>
      </c>
      <c r="H18" s="25" t="str">
        <f t="shared" si="0"/>
        <v/>
      </c>
      <c r="L18" s="13">
        <f t="shared" si="5"/>
        <v>98336.589638811041</v>
      </c>
      <c r="M18" s="14">
        <f t="shared" si="6"/>
        <v>-524.98888009139853</v>
      </c>
      <c r="N18" s="14">
        <f t="shared" si="7"/>
        <v>32.997703807240107</v>
      </c>
      <c r="O18" s="1">
        <f t="shared" si="8"/>
        <v>2.3070349801871837</v>
      </c>
      <c r="P18" s="1">
        <f t="shared" si="9"/>
        <v>2237.1324615078988</v>
      </c>
      <c r="Q18" s="1"/>
      <c r="S18" s="6">
        <f t="shared" si="1"/>
        <v>0.48853406234524654</v>
      </c>
      <c r="T18" s="6">
        <f t="shared" si="2"/>
        <v>0.51146593765475334</v>
      </c>
      <c r="V18" s="1">
        <f t="shared" si="10"/>
        <v>98336.589638811027</v>
      </c>
      <c r="W18" s="7">
        <f t="shared" si="11"/>
        <v>-4.9906603312045326E-3</v>
      </c>
      <c r="X18" s="7">
        <f t="shared" si="12"/>
        <v>-4.9906603312045326E-3</v>
      </c>
      <c r="Y18">
        <f>LN(B18/B17)</f>
        <v>-1.0868706596101358E-2</v>
      </c>
      <c r="Z18">
        <f>LN(C18/C17)</f>
        <v>6.5628785048474933E-4</v>
      </c>
    </row>
    <row r="19" spans="1:26" x14ac:dyDescent="0.3">
      <c r="A19" s="9">
        <v>40205</v>
      </c>
      <c r="B19" s="1">
        <v>20660.46</v>
      </c>
      <c r="C19" s="1">
        <v>22.489650000000001</v>
      </c>
      <c r="D19" s="6">
        <f t="shared" si="4"/>
        <v>-7.834380222439874E-3</v>
      </c>
      <c r="E19" s="5">
        <f t="shared" si="17"/>
        <v>3.2825866783037227E-4</v>
      </c>
      <c r="G19" s="25" t="str">
        <f>IF(VLOOKUP(A19,Aux!B:C,2,FALSE)=0,"",VLOOKUP(A19,Aux!B:C,2,FALSE))</f>
        <v/>
      </c>
      <c r="H19" s="25" t="str">
        <f t="shared" si="0"/>
        <v/>
      </c>
      <c r="L19" s="13">
        <f t="shared" si="5"/>
        <v>97976.729989709231</v>
      </c>
      <c r="M19" s="14">
        <f t="shared" si="6"/>
        <v>-376.36968666773578</v>
      </c>
      <c r="N19" s="14">
        <f t="shared" si="7"/>
        <v>16.510037565931146</v>
      </c>
      <c r="O19" s="1">
        <f t="shared" si="8"/>
        <v>2.3070349801871837</v>
      </c>
      <c r="P19" s="1">
        <f t="shared" si="9"/>
        <v>2237.1324615078988</v>
      </c>
      <c r="Q19" s="1"/>
      <c r="S19" s="6">
        <f t="shared" si="1"/>
        <v>0.48648698452953493</v>
      </c>
      <c r="T19" s="6">
        <f t="shared" si="2"/>
        <v>0.51351301547046491</v>
      </c>
      <c r="V19" s="1">
        <f t="shared" si="10"/>
        <v>97976.729989709216</v>
      </c>
      <c r="W19" s="7">
        <f t="shared" si="11"/>
        <v>-3.6661807039063488E-3</v>
      </c>
      <c r="X19" s="7">
        <f t="shared" si="12"/>
        <v>-3.6661807039063488E-3</v>
      </c>
      <c r="Y19">
        <f>LN(B19/B18)</f>
        <v>-7.8652302118419511E-3</v>
      </c>
      <c r="Z19">
        <f>LN(C19/C18)</f>
        <v>3.2820480274133523E-4</v>
      </c>
    </row>
    <row r="20" spans="1:26" x14ac:dyDescent="0.3">
      <c r="A20" s="11">
        <v>40206</v>
      </c>
      <c r="B20" s="12">
        <v>20870.990000000002</v>
      </c>
      <c r="C20" s="12">
        <v>22.497029999999999</v>
      </c>
      <c r="D20" s="16">
        <f t="shared" si="4"/>
        <v>1.0189995769697369E-2</v>
      </c>
      <c r="E20" s="15">
        <f t="shared" si="17"/>
        <v>3.2815094943661194E-4</v>
      </c>
      <c r="G20" s="25" t="str">
        <f>IF(VLOOKUP(A20,Aux!B:C,2,FALSE)=0,"",VLOOKUP(A20,Aux!B:C,2,FALSE))</f>
        <v/>
      </c>
      <c r="H20" s="25" t="str">
        <f t="shared" si="0"/>
        <v/>
      </c>
      <c r="L20" s="13">
        <f t="shared" si="5"/>
        <v>98478.940101653963</v>
      </c>
      <c r="M20" s="14">
        <f t="shared" si="6"/>
        <v>485.7000743788135</v>
      </c>
      <c r="N20" s="14">
        <f t="shared" si="7"/>
        <v>16.510037565923195</v>
      </c>
      <c r="O20" s="1">
        <f t="shared" si="8"/>
        <v>2.3070349801871837</v>
      </c>
      <c r="P20" s="1">
        <f t="shared" si="9"/>
        <v>2237.1324615078988</v>
      </c>
      <c r="Q20" s="1"/>
      <c r="S20" s="6">
        <f t="shared" si="1"/>
        <v>0.48893808109058057</v>
      </c>
      <c r="T20" s="6">
        <f t="shared" si="2"/>
        <v>0.51106191890941932</v>
      </c>
      <c r="V20" s="1">
        <f t="shared" si="10"/>
        <v>98478.940101653949</v>
      </c>
      <c r="W20" s="7">
        <f t="shared" si="11"/>
        <v>5.1127178532119916E-3</v>
      </c>
      <c r="X20" s="7">
        <f t="shared" si="12"/>
        <v>5.1127178532119916E-3</v>
      </c>
      <c r="Y20">
        <f>LN(B20/B19)</f>
        <v>1.0138427785293676E-2</v>
      </c>
      <c r="Z20">
        <f>LN(C20/C19)</f>
        <v>3.2809711968967024E-4</v>
      </c>
    </row>
    <row r="21" spans="1:26" x14ac:dyDescent="0.3">
      <c r="A21" s="9">
        <v>40207</v>
      </c>
      <c r="B21" s="1">
        <v>20758</v>
      </c>
      <c r="C21" s="1">
        <v>22.50441</v>
      </c>
      <c r="D21" s="6">
        <f t="shared" si="4"/>
        <v>-5.4137345664964087E-3</v>
      </c>
      <c r="E21" s="5">
        <f t="shared" si="17"/>
        <v>3.2804330171587459E-4</v>
      </c>
      <c r="G21" s="25" t="str">
        <f>IF(VLOOKUP(A21,Aux!B:C,2,FALSE)=0,"",VLOOKUP(A21,Aux!B:C,2,FALSE))</f>
        <v/>
      </c>
      <c r="H21" s="25" t="str">
        <f t="shared" si="0"/>
        <v/>
      </c>
      <c r="L21" s="13">
        <f t="shared" si="5"/>
        <v>98234.778256808539</v>
      </c>
      <c r="M21" s="14">
        <f t="shared" si="6"/>
        <v>-260.67188241135358</v>
      </c>
      <c r="N21" s="14">
        <f t="shared" si="7"/>
        <v>16.510037565931146</v>
      </c>
      <c r="O21" s="1">
        <f t="shared" si="8"/>
        <v>2.3070349801871837</v>
      </c>
      <c r="P21" s="1">
        <f t="shared" si="9"/>
        <v>2237.1324615078988</v>
      </c>
      <c r="Q21" s="1"/>
      <c r="S21" s="6">
        <f t="shared" si="1"/>
        <v>0.48749977318146381</v>
      </c>
      <c r="T21" s="6">
        <f t="shared" si="2"/>
        <v>0.51250022681853613</v>
      </c>
      <c r="V21" s="1">
        <f t="shared" si="10"/>
        <v>98234.778256808524</v>
      </c>
      <c r="W21" s="7">
        <f t="shared" si="11"/>
        <v>-2.4824091808871066E-3</v>
      </c>
      <c r="X21" s="7">
        <f t="shared" si="12"/>
        <v>-2.4824091808871066E-3</v>
      </c>
      <c r="Y21">
        <f>LN(B21/B20)</f>
        <v>-5.4284419326757656E-3</v>
      </c>
      <c r="Z21">
        <f>LN(C21/C20)</f>
        <v>3.2798950727625642E-4</v>
      </c>
    </row>
    <row r="22" spans="1:26" x14ac:dyDescent="0.3">
      <c r="A22" s="11">
        <v>40210</v>
      </c>
      <c r="B22" s="12">
        <v>21081.95</v>
      </c>
      <c r="C22" s="12">
        <v>22.511800000000001</v>
      </c>
      <c r="D22" s="16">
        <f t="shared" si="4"/>
        <v>1.560603140957717E-2</v>
      </c>
      <c r="E22" s="15">
        <f t="shared" si="17"/>
        <v>3.2838008194846502E-4</v>
      </c>
      <c r="G22" s="25" t="str">
        <f>IF(VLOOKUP(A22,Aux!B:C,2,FALSE)=0,"",VLOOKUP(A22,Aux!B:C,2,FALSE))</f>
        <v/>
      </c>
      <c r="H22" s="25" t="str">
        <f t="shared" si="0"/>
        <v/>
      </c>
      <c r="L22" s="13">
        <f t="shared" si="5"/>
        <v>98998.67464753073</v>
      </c>
      <c r="M22" s="14">
        <f t="shared" si="6"/>
        <v>747.36398183163988</v>
      </c>
      <c r="N22" s="14">
        <f t="shared" si="7"/>
        <v>16.532408890545376</v>
      </c>
      <c r="O22" s="1">
        <f t="shared" si="8"/>
        <v>2.3070349801871837</v>
      </c>
      <c r="P22" s="1">
        <f t="shared" si="9"/>
        <v>2237.1324615078988</v>
      </c>
      <c r="Q22" s="1"/>
      <c r="S22" s="6">
        <f t="shared" si="1"/>
        <v>0.49128734575206073</v>
      </c>
      <c r="T22" s="6">
        <f t="shared" si="2"/>
        <v>0.5087126542479391</v>
      </c>
      <c r="V22" s="1">
        <f t="shared" si="10"/>
        <v>98998.674647530715</v>
      </c>
      <c r="W22" s="7">
        <f t="shared" si="11"/>
        <v>7.7461525834986262E-3</v>
      </c>
      <c r="X22" s="7">
        <f t="shared" si="12"/>
        <v>7.7461525834986262E-3</v>
      </c>
      <c r="Y22">
        <f>LN(B22/B21)</f>
        <v>1.5485509595597503E-2</v>
      </c>
      <c r="Z22">
        <f>LN(C22/C21)</f>
        <v>3.2832617700990401E-4</v>
      </c>
    </row>
    <row r="23" spans="1:26" x14ac:dyDescent="0.3">
      <c r="A23" s="9">
        <v>40211</v>
      </c>
      <c r="B23" s="1">
        <v>21231.16</v>
      </c>
      <c r="C23" s="1">
        <v>22.519200000000001</v>
      </c>
      <c r="D23" s="6">
        <f t="shared" si="4"/>
        <v>7.0776185314924689E-3</v>
      </c>
      <c r="E23" s="5">
        <f t="shared" si="17"/>
        <v>3.2871649534915726E-4</v>
      </c>
      <c r="G23" s="25" t="str">
        <f>IF(VLOOKUP(A23,Aux!B:C,2,FALSE)=0,"",VLOOKUP(A23,Aux!B:C,2,FALSE))</f>
        <v/>
      </c>
      <c r="H23" s="25" t="str">
        <f t="shared" si="0"/>
        <v/>
      </c>
      <c r="L23" s="13">
        <f t="shared" si="5"/>
        <v>99359.462117139614</v>
      </c>
      <c r="M23" s="14">
        <f t="shared" si="6"/>
        <v>344.23268939372764</v>
      </c>
      <c r="N23" s="14">
        <f t="shared" si="7"/>
        <v>16.55478021515961</v>
      </c>
      <c r="O23" s="1">
        <f t="shared" si="8"/>
        <v>2.3070349801871837</v>
      </c>
      <c r="P23" s="1">
        <f t="shared" si="9"/>
        <v>2237.1324615078988</v>
      </c>
      <c r="Q23" s="1"/>
      <c r="S23" s="6">
        <f t="shared" si="1"/>
        <v>0.4929679342688556</v>
      </c>
      <c r="T23" s="6">
        <f t="shared" si="2"/>
        <v>0.50703206573114434</v>
      </c>
      <c r="V23" s="1">
        <f t="shared" si="10"/>
        <v>99359.462117139599</v>
      </c>
      <c r="W23" s="7">
        <f t="shared" si="11"/>
        <v>3.6377420493745047E-3</v>
      </c>
      <c r="X23" s="7">
        <f t="shared" si="12"/>
        <v>3.6377420493745047E-3</v>
      </c>
      <c r="Y23">
        <f>LN(B23/B22)</f>
        <v>7.0526897446353803E-3</v>
      </c>
      <c r="Z23">
        <f>LN(C23/C22)</f>
        <v>3.2866247991885104E-4</v>
      </c>
    </row>
    <row r="24" spans="1:26" x14ac:dyDescent="0.3">
      <c r="A24" s="11">
        <v>40212</v>
      </c>
      <c r="B24" s="12">
        <v>21234.27</v>
      </c>
      <c r="C24" s="12">
        <v>22.526589999999999</v>
      </c>
      <c r="D24" s="16">
        <f t="shared" si="4"/>
        <v>1.4648281111351302E-4</v>
      </c>
      <c r="E24" s="15">
        <f t="shared" si="17"/>
        <v>3.2816441081373604E-4</v>
      </c>
      <c r="G24" s="25" t="str">
        <f>IF(VLOOKUP(A24,Aux!B:C,2,FALSE)=0,"",VLOOKUP(A24,Aux!B:C,2,FALSE))</f>
        <v/>
      </c>
      <c r="H24" s="25" t="str">
        <f t="shared" si="0"/>
        <v/>
      </c>
      <c r="L24" s="13">
        <f t="shared" si="5"/>
        <v>99383.169404818531</v>
      </c>
      <c r="M24" s="14">
        <f t="shared" si="6"/>
        <v>7.1748787883834844</v>
      </c>
      <c r="N24" s="14">
        <f t="shared" si="7"/>
        <v>16.532408890537429</v>
      </c>
      <c r="O24" s="1">
        <f t="shared" si="8"/>
        <v>2.3070349801871837</v>
      </c>
      <c r="P24" s="1">
        <f t="shared" si="9"/>
        <v>2237.1324615078988</v>
      </c>
      <c r="Q24" s="1"/>
      <c r="S24" s="6">
        <f t="shared" si="1"/>
        <v>0.49292253368571026</v>
      </c>
      <c r="T24" s="6">
        <f t="shared" si="2"/>
        <v>0.50707746631428974</v>
      </c>
      <c r="V24" s="1">
        <f t="shared" si="10"/>
        <v>99383.169404818531</v>
      </c>
      <c r="W24" s="7">
        <f t="shared" si="11"/>
        <v>2.3857274717362488E-4</v>
      </c>
      <c r="X24" s="7">
        <f t="shared" si="12"/>
        <v>2.3857274717384687E-4</v>
      </c>
      <c r="Y24">
        <f>LN(B24/B23)</f>
        <v>1.464720835541264E-4</v>
      </c>
      <c r="Z24">
        <f>LN(C24/C23)</f>
        <v>3.2811057665078924E-4</v>
      </c>
    </row>
    <row r="25" spans="1:26" x14ac:dyDescent="0.3">
      <c r="A25" s="9">
        <v>40213</v>
      </c>
      <c r="B25" s="1">
        <v>20289.62</v>
      </c>
      <c r="C25" s="1">
        <v>22.53398</v>
      </c>
      <c r="D25" s="6">
        <f t="shared" si="4"/>
        <v>-4.448704853051233E-2</v>
      </c>
      <c r="E25" s="5">
        <f t="shared" si="17"/>
        <v>3.280567542625068E-4</v>
      </c>
      <c r="G25" s="25" t="str">
        <f>IF(VLOOKUP(A25,Aux!B:C,2,FALSE)=0,"",VLOOKUP(A25,Aux!B:C,2,FALSE))</f>
        <v/>
      </c>
      <c r="H25" s="25" t="str">
        <f t="shared" si="0"/>
        <v/>
      </c>
      <c r="L25" s="13">
        <f t="shared" si="5"/>
        <v>97220.361219675251</v>
      </c>
      <c r="M25" s="14">
        <f t="shared" si="6"/>
        <v>-2179.3405940338266</v>
      </c>
      <c r="N25" s="14">
        <f t="shared" si="7"/>
        <v>16.532408890545376</v>
      </c>
      <c r="O25" s="1">
        <f t="shared" si="8"/>
        <v>2.3070349801871837</v>
      </c>
      <c r="P25" s="1">
        <f t="shared" si="9"/>
        <v>2237.1324615078988</v>
      </c>
      <c r="Q25" s="1"/>
      <c r="S25" s="6">
        <f t="shared" si="1"/>
        <v>0.48147180783393762</v>
      </c>
      <c r="T25" s="6">
        <f t="shared" si="2"/>
        <v>0.51852819216606227</v>
      </c>
      <c r="V25" s="1">
        <f t="shared" si="10"/>
        <v>97220.361219675251</v>
      </c>
      <c r="W25" s="7">
        <f t="shared" si="11"/>
        <v>-2.2002610345140117E-2</v>
      </c>
      <c r="X25" s="7">
        <f t="shared" si="12"/>
        <v>-2.2002610345140117E-2</v>
      </c>
      <c r="Y25">
        <f>LN(B25/B24)</f>
        <v>-4.5506960742194319E-2</v>
      </c>
      <c r="Z25">
        <f>LN(C25/C24)</f>
        <v>3.280029554112276E-4</v>
      </c>
    </row>
    <row r="26" spans="1:26" x14ac:dyDescent="0.3">
      <c r="A26" s="11">
        <v>40214</v>
      </c>
      <c r="B26" s="12">
        <v>19896.73</v>
      </c>
      <c r="C26" s="12">
        <v>22.541370000000001</v>
      </c>
      <c r="D26" s="16">
        <f t="shared" si="4"/>
        <v>-1.9364088632512599E-2</v>
      </c>
      <c r="E26" s="15">
        <f t="shared" si="17"/>
        <v>3.2794916832279419E-4</v>
      </c>
      <c r="G26" s="25" t="str">
        <f>IF(VLOOKUP(A26,Aux!B:C,2,FALSE)=0,"",VLOOKUP(A26,Aux!B:C,2,FALSE))</f>
        <v/>
      </c>
      <c r="H26" s="25" t="str">
        <f t="shared" si="0"/>
        <v/>
      </c>
      <c r="L26" s="13">
        <f t="shared" si="5"/>
        <v>96330.48265520006</v>
      </c>
      <c r="M26" s="14">
        <f t="shared" si="6"/>
        <v>-906.41097336574126</v>
      </c>
      <c r="N26" s="14">
        <f t="shared" si="7"/>
        <v>16.532408890545376</v>
      </c>
      <c r="O26" s="1">
        <f t="shared" si="8"/>
        <v>2.3070349801871837</v>
      </c>
      <c r="P26" s="1">
        <f t="shared" si="9"/>
        <v>2237.1324615078988</v>
      </c>
      <c r="Q26" s="1"/>
      <c r="S26" s="6">
        <f t="shared" si="1"/>
        <v>0.47651014337424641</v>
      </c>
      <c r="T26" s="6">
        <f t="shared" si="2"/>
        <v>0.52348985662575342</v>
      </c>
      <c r="V26" s="1">
        <f t="shared" si="10"/>
        <v>96330.482655200045</v>
      </c>
      <c r="W26" s="7">
        <f t="shared" si="11"/>
        <v>-9.1953599057625762E-3</v>
      </c>
      <c r="X26" s="7">
        <f t="shared" si="12"/>
        <v>-9.1953599057628017E-3</v>
      </c>
      <c r="Y26">
        <f>LN(B26/B25)</f>
        <v>-1.9554028604558082E-2</v>
      </c>
      <c r="Z26">
        <f>LN(C26/C25)</f>
        <v>3.2789540474845088E-4</v>
      </c>
    </row>
    <row r="27" spans="1:26" x14ac:dyDescent="0.3">
      <c r="A27" s="9">
        <v>40217</v>
      </c>
      <c r="B27" s="1">
        <v>19989.580000000002</v>
      </c>
      <c r="C27" s="1">
        <v>22.548770000000001</v>
      </c>
      <c r="D27" s="6">
        <f t="shared" ref="D27:D90" si="18">B27/B26-1</f>
        <v>4.6665959682823388E-3</v>
      </c>
      <c r="E27" s="5">
        <f t="shared" si="17"/>
        <v>3.2828528168438176E-4</v>
      </c>
      <c r="G27" s="25" t="str">
        <f>IF(VLOOKUP(A27,Aux!B:C,2,FALSE)=0,"",VLOOKUP(A27,Aux!B:C,2,FALSE))</f>
        <v/>
      </c>
      <c r="H27" s="25" t="str">
        <f t="shared" si="0"/>
        <v/>
      </c>
      <c r="L27" s="13">
        <f t="shared" si="5"/>
        <v>96561.245633325598</v>
      </c>
      <c r="M27" s="14">
        <f t="shared" si="6"/>
        <v>214.20819791038505</v>
      </c>
      <c r="N27" s="14">
        <f t="shared" si="7"/>
        <v>16.55478021515961</v>
      </c>
      <c r="O27" s="1">
        <f t="shared" si="8"/>
        <v>2.3070349801871837</v>
      </c>
      <c r="P27" s="1">
        <f t="shared" si="9"/>
        <v>2237.1324615078988</v>
      </c>
      <c r="S27" s="6">
        <f t="shared" si="1"/>
        <v>0.47758974106827556</v>
      </c>
      <c r="T27" s="6">
        <f t="shared" si="2"/>
        <v>0.52241025893172444</v>
      </c>
      <c r="V27" s="1">
        <f t="shared" si="10"/>
        <v>96561.245633325598</v>
      </c>
      <c r="W27" s="7">
        <f t="shared" si="11"/>
        <v>2.3926696107048734E-3</v>
      </c>
      <c r="X27" s="7">
        <f t="shared" si="12"/>
        <v>2.392669610705095E-3</v>
      </c>
      <c r="Y27">
        <f>LN(B27/B26)</f>
        <v>4.6557411662005131E-3</v>
      </c>
      <c r="Z27">
        <f>LN(C27/C26)</f>
        <v>3.2823140786162935E-4</v>
      </c>
    </row>
    <row r="28" spans="1:26" x14ac:dyDescent="0.3">
      <c r="A28" s="11">
        <v>40218</v>
      </c>
      <c r="B28" s="12">
        <v>20469.349999999999</v>
      </c>
      <c r="C28" s="12">
        <v>22.556170000000002</v>
      </c>
      <c r="D28" s="16">
        <f t="shared" si="18"/>
        <v>2.4001004523356517E-2</v>
      </c>
      <c r="E28" s="15">
        <f t="shared" si="17"/>
        <v>3.2817754582614711E-4</v>
      </c>
      <c r="G28" s="25" t="str">
        <f>IF(VLOOKUP(A28,Aux!B:C,2,FALSE)=0,"",VLOOKUP(A28,Aux!B:C,2,FALSE))</f>
        <v/>
      </c>
      <c r="H28" s="25" t="str">
        <f t="shared" si="0"/>
        <v/>
      </c>
      <c r="L28" s="13">
        <f t="shared" si="5"/>
        <v>97684.646585985145</v>
      </c>
      <c r="M28" s="14">
        <f t="shared" si="6"/>
        <v>1106.8461724443978</v>
      </c>
      <c r="N28" s="14">
        <f t="shared" si="7"/>
        <v>16.55478021515961</v>
      </c>
      <c r="O28" s="1">
        <f t="shared" si="8"/>
        <v>2.3070349801871837</v>
      </c>
      <c r="P28" s="1">
        <f t="shared" si="9"/>
        <v>2237.1324615078988</v>
      </c>
      <c r="S28" s="6">
        <f t="shared" si="1"/>
        <v>0.48342813453419098</v>
      </c>
      <c r="T28" s="6">
        <f t="shared" si="2"/>
        <v>0.51657186546580913</v>
      </c>
      <c r="V28" s="1">
        <f t="shared" si="10"/>
        <v>97684.646585985145</v>
      </c>
      <c r="W28" s="7">
        <f t="shared" si="11"/>
        <v>1.1566921340001318E-2</v>
      </c>
      <c r="X28" s="7">
        <f t="shared" si="12"/>
        <v>1.1566921340001318E-2</v>
      </c>
      <c r="Y28">
        <f>LN(B28/B27)</f>
        <v>2.3717507596675229E-2</v>
      </c>
      <c r="Z28">
        <f>LN(C28/C27)</f>
        <v>3.2812370735408453E-4</v>
      </c>
    </row>
    <row r="29" spans="1:26" x14ac:dyDescent="0.3">
      <c r="A29" s="9">
        <v>40219</v>
      </c>
      <c r="B29" s="1">
        <v>20593.009999999998</v>
      </c>
      <c r="C29" s="1">
        <v>22.563569999999999</v>
      </c>
      <c r="D29" s="6">
        <f t="shared" si="18"/>
        <v>6.0412274937895472E-3</v>
      </c>
      <c r="E29" s="5">
        <f t="shared" si="17"/>
        <v>3.2806988065781084E-4</v>
      </c>
      <c r="G29" s="25" t="str">
        <f>IF(VLOOKUP(A29,Aux!B:C,2,FALSE)=0,"",VLOOKUP(A29,Aux!B:C,2,FALSE))</f>
        <v/>
      </c>
      <c r="H29" s="25" t="str">
        <f t="shared" si="0"/>
        <v/>
      </c>
      <c r="L29" s="13">
        <f t="shared" si="5"/>
        <v>97986.489311850251</v>
      </c>
      <c r="M29" s="14">
        <f t="shared" si="6"/>
        <v>285.28794564994678</v>
      </c>
      <c r="N29" s="14">
        <f t="shared" si="7"/>
        <v>16.554780215151659</v>
      </c>
      <c r="O29" s="1">
        <f t="shared" si="8"/>
        <v>2.3070349801871837</v>
      </c>
      <c r="P29" s="1">
        <f t="shared" si="9"/>
        <v>2237.1324615078988</v>
      </c>
      <c r="S29" s="6">
        <f t="shared" si="1"/>
        <v>0.48485046000723359</v>
      </c>
      <c r="T29" s="6">
        <f t="shared" si="2"/>
        <v>0.51514953999276647</v>
      </c>
      <c r="V29" s="1">
        <f t="shared" si="10"/>
        <v>97986.489311850251</v>
      </c>
      <c r="W29" s="7">
        <f t="shared" si="11"/>
        <v>3.0852068589909314E-3</v>
      </c>
      <c r="X29" s="7">
        <f t="shared" si="12"/>
        <v>3.0852068589909314E-3</v>
      </c>
      <c r="Y29">
        <f>LN(B29/B28)</f>
        <v>6.0230524419890253E-3</v>
      </c>
      <c r="Z29">
        <f>LN(C29/C28)</f>
        <v>3.2801607750165514E-4</v>
      </c>
    </row>
    <row r="30" spans="1:26" x14ac:dyDescent="0.3">
      <c r="A30" s="11">
        <v>40220</v>
      </c>
      <c r="B30" s="12">
        <v>20926.25</v>
      </c>
      <c r="C30" s="12">
        <v>22.570969999999999</v>
      </c>
      <c r="D30" s="16">
        <f t="shared" si="18"/>
        <v>1.6182189976113426E-2</v>
      </c>
      <c r="E30" s="15">
        <f t="shared" si="17"/>
        <v>3.2796228610987299E-4</v>
      </c>
      <c r="G30" s="25" t="str">
        <f>IF(VLOOKUP(A30,Aux!B:C,2,FALSE)=0,"",VLOOKUP(A30,Aux!B:C,2,FALSE))</f>
        <v/>
      </c>
      <c r="H30" s="25" t="str">
        <f t="shared" si="0"/>
        <v/>
      </c>
      <c r="L30" s="13">
        <f t="shared" si="5"/>
        <v>98771.840428862983</v>
      </c>
      <c r="M30" s="14">
        <f t="shared" si="6"/>
        <v>768.79633679758081</v>
      </c>
      <c r="N30" s="14">
        <f t="shared" si="7"/>
        <v>16.55478021515961</v>
      </c>
      <c r="O30" s="1">
        <f t="shared" si="8"/>
        <v>2.3070349801871837</v>
      </c>
      <c r="P30" s="1">
        <f t="shared" si="9"/>
        <v>2237.1324615078988</v>
      </c>
      <c r="S30" s="6">
        <f t="shared" si="1"/>
        <v>0.48877889228876248</v>
      </c>
      <c r="T30" s="6">
        <f t="shared" si="2"/>
        <v>0.51122110771123763</v>
      </c>
      <c r="V30" s="1">
        <f t="shared" si="10"/>
        <v>98771.840428862983</v>
      </c>
      <c r="W30" s="7">
        <f t="shared" si="11"/>
        <v>7.9829432252329913E-3</v>
      </c>
      <c r="X30" s="7">
        <f t="shared" si="12"/>
        <v>7.9829432252329913E-3</v>
      </c>
      <c r="Y30">
        <f>LN(B30/B29)</f>
        <v>1.6052653922860993E-2</v>
      </c>
      <c r="Z30">
        <f>LN(C30/C29)</f>
        <v>3.2790851823488666E-4</v>
      </c>
    </row>
    <row r="31" spans="1:26" x14ac:dyDescent="0.3">
      <c r="A31" s="9">
        <v>40221</v>
      </c>
      <c r="B31" s="1">
        <v>20860.98</v>
      </c>
      <c r="C31" s="1">
        <v>22.578379999999999</v>
      </c>
      <c r="D31" s="6">
        <f t="shared" si="18"/>
        <v>-3.119049041275912E-3</v>
      </c>
      <c r="E31" s="5">
        <f t="shared" si="17"/>
        <v>3.282978090883848E-4</v>
      </c>
      <c r="G31" s="25" t="str">
        <f>IF(VLOOKUP(A31,Aux!B:C,2,FALSE)=0,"",VLOOKUP(A31,Aux!B:C,2,FALSE))</f>
        <v/>
      </c>
      <c r="H31" s="25" t="str">
        <f t="shared" si="0"/>
        <v/>
      </c>
      <c r="L31" s="13">
        <f t="shared" si="5"/>
        <v>98637.837407245941</v>
      </c>
      <c r="M31" s="14">
        <f t="shared" si="6"/>
        <v>-150.58017315681849</v>
      </c>
      <c r="N31" s="14">
        <f t="shared" si="7"/>
        <v>16.57715153977384</v>
      </c>
      <c r="O31" s="1">
        <f t="shared" si="8"/>
        <v>2.3070349801871837</v>
      </c>
      <c r="P31" s="1">
        <f t="shared" si="9"/>
        <v>2237.1324615078988</v>
      </c>
      <c r="S31" s="6">
        <f t="shared" si="1"/>
        <v>0.48791631939661545</v>
      </c>
      <c r="T31" s="6">
        <f t="shared" si="2"/>
        <v>0.51208368060338461</v>
      </c>
      <c r="V31" s="1">
        <f t="shared" si="10"/>
        <v>98637.837407245941</v>
      </c>
      <c r="W31" s="7">
        <f t="shared" si="11"/>
        <v>-1.3576137063574174E-3</v>
      </c>
      <c r="X31" s="7">
        <f t="shared" si="12"/>
        <v>-1.3576137063574174E-3</v>
      </c>
      <c r="Y31">
        <f>LN(B31/B30)</f>
        <v>-3.1239234129786229E-3</v>
      </c>
      <c r="Z31">
        <f>LN(C31/C30)</f>
        <v>3.2824393115434128E-4</v>
      </c>
    </row>
    <row r="32" spans="1:26" x14ac:dyDescent="0.3">
      <c r="A32" s="11">
        <v>40226</v>
      </c>
      <c r="B32" s="12">
        <v>21290.82</v>
      </c>
      <c r="C32" s="12">
        <v>22.585789999999999</v>
      </c>
      <c r="D32" s="16">
        <f t="shared" si="18"/>
        <v>2.0604976372155193E-2</v>
      </c>
      <c r="E32" s="15">
        <f t="shared" si="17"/>
        <v>3.281900650091707E-4</v>
      </c>
      <c r="G32" s="25" t="str">
        <f>IF(VLOOKUP(A32,Aux!B:C,2,FALSE)=0,"",VLOOKUP(A32,Aux!B:C,2,FALSE))</f>
        <v/>
      </c>
      <c r="H32" s="25" t="str">
        <f t="shared" si="0"/>
        <v/>
      </c>
      <c r="L32" s="13">
        <f t="shared" si="5"/>
        <v>99646.070474669381</v>
      </c>
      <c r="M32" s="14">
        <f t="shared" si="6"/>
        <v>991.65591588365942</v>
      </c>
      <c r="N32" s="14">
        <f t="shared" si="7"/>
        <v>16.57715153977384</v>
      </c>
      <c r="O32" s="1">
        <f t="shared" si="8"/>
        <v>2.3070349801871837</v>
      </c>
      <c r="P32" s="1">
        <f t="shared" si="9"/>
        <v>2237.1324615078988</v>
      </c>
      <c r="S32" s="6">
        <f t="shared" si="1"/>
        <v>0.49293129435901989</v>
      </c>
      <c r="T32" s="6">
        <f t="shared" si="2"/>
        <v>0.50706870564098017</v>
      </c>
      <c r="V32" s="1">
        <f t="shared" si="10"/>
        <v>99646.070474669381</v>
      </c>
      <c r="W32" s="7">
        <f t="shared" si="11"/>
        <v>1.0169678091024955E-2</v>
      </c>
      <c r="X32" s="7">
        <f t="shared" si="12"/>
        <v>1.0169678091024955E-2</v>
      </c>
      <c r="Y32">
        <f>LN(B32/B31)</f>
        <v>2.0395565563884346E-2</v>
      </c>
      <c r="Z32">
        <f>LN(C32/C31)</f>
        <v>3.2813622242986292E-4</v>
      </c>
    </row>
    <row r="33" spans="1:26" x14ac:dyDescent="0.3">
      <c r="A33" s="9">
        <v>40227</v>
      </c>
      <c r="B33" s="1">
        <v>21446.2</v>
      </c>
      <c r="C33" s="1">
        <v>22.5932</v>
      </c>
      <c r="D33" s="6">
        <f t="shared" si="18"/>
        <v>7.2979810077771212E-3</v>
      </c>
      <c r="E33" s="5">
        <f t="shared" si="17"/>
        <v>3.2808239162762654E-4</v>
      </c>
      <c r="G33" s="25" t="str">
        <f>IF(VLOOKUP(A33,Aux!B:C,2,FALSE)=0,"",VLOOKUP(A33,Aux!B:C,2,FALSE))</f>
        <v/>
      </c>
      <c r="H33" s="25" t="str">
        <f t="shared" si="0"/>
        <v/>
      </c>
      <c r="L33" s="13">
        <f t="shared" si="5"/>
        <v>100021.11472143064</v>
      </c>
      <c r="M33" s="14">
        <f t="shared" si="6"/>
        <v>358.46709522148694</v>
      </c>
      <c r="N33" s="14">
        <f t="shared" si="7"/>
        <v>16.57715153977384</v>
      </c>
      <c r="O33" s="1">
        <f t="shared" si="8"/>
        <v>2.3070349801871837</v>
      </c>
      <c r="P33" s="1">
        <f t="shared" si="9"/>
        <v>2237.1324615078988</v>
      </c>
      <c r="S33" s="6">
        <f t="shared" si="1"/>
        <v>0.49466688838541162</v>
      </c>
      <c r="T33" s="6">
        <f t="shared" si="2"/>
        <v>0.50533311161458838</v>
      </c>
      <c r="V33" s="1">
        <f t="shared" si="10"/>
        <v>100021.11472143064</v>
      </c>
      <c r="W33" s="7">
        <f t="shared" si="11"/>
        <v>3.7566983024205887E-3</v>
      </c>
      <c r="X33" s="7">
        <f t="shared" si="12"/>
        <v>3.7566983024205887E-3</v>
      </c>
      <c r="Y33">
        <f>LN(B33/B32)</f>
        <v>7.2714796040976356E-3</v>
      </c>
      <c r="Z33">
        <f>LN(C33/C32)</f>
        <v>3.2802858436826635E-4</v>
      </c>
    </row>
    <row r="34" spans="1:26" x14ac:dyDescent="0.3">
      <c r="A34" s="11">
        <v>40228</v>
      </c>
      <c r="B34" s="12">
        <v>21333.360000000001</v>
      </c>
      <c r="C34" s="12">
        <v>22.600629999999999</v>
      </c>
      <c r="D34" s="16">
        <f t="shared" si="18"/>
        <v>-5.2615381745950707E-3</v>
      </c>
      <c r="E34" s="15">
        <f t="shared" si="17"/>
        <v>3.2886001097676143E-4</v>
      </c>
      <c r="G34" s="25" t="str">
        <f>IF(VLOOKUP(A34,Aux!B:C,2,FALSE)=0,"",VLOOKUP(A34,Aux!B:C,2,FALSE))</f>
        <v/>
      </c>
      <c r="H34" s="25" t="str">
        <f t="shared" si="0"/>
        <v/>
      </c>
      <c r="L34" s="13">
        <f t="shared" si="5"/>
        <v>99777.410788455309</v>
      </c>
      <c r="M34" s="14">
        <f t="shared" si="6"/>
        <v>-260.32582716432216</v>
      </c>
      <c r="N34" s="14">
        <f t="shared" si="7"/>
        <v>16.621894189002305</v>
      </c>
      <c r="O34" s="1">
        <f t="shared" si="8"/>
        <v>2.3070349801871837</v>
      </c>
      <c r="P34" s="1">
        <f t="shared" si="9"/>
        <v>2237.1324615078988</v>
      </c>
      <c r="S34" s="6">
        <f t="shared" si="1"/>
        <v>0.49326603462655361</v>
      </c>
      <c r="T34" s="6">
        <f t="shared" si="2"/>
        <v>0.5067339653734465</v>
      </c>
      <c r="V34" s="1">
        <f t="shared" si="10"/>
        <v>99777.410788455323</v>
      </c>
      <c r="W34" s="7">
        <f t="shared" si="11"/>
        <v>-2.4394980214522757E-3</v>
      </c>
      <c r="X34" s="7">
        <f t="shared" si="12"/>
        <v>-2.4394980214520528E-3</v>
      </c>
      <c r="Y34">
        <f>LN(B34/B33)</f>
        <v>-5.2754288120798161E-3</v>
      </c>
      <c r="Z34">
        <f>LN(C34/C33)</f>
        <v>3.2880594837571189E-4</v>
      </c>
    </row>
    <row r="35" spans="1:26" x14ac:dyDescent="0.3">
      <c r="A35" s="9">
        <v>40231</v>
      </c>
      <c r="B35" s="1">
        <v>21201.53</v>
      </c>
      <c r="C35" s="1">
        <v>22.608049999999999</v>
      </c>
      <c r="D35" s="6">
        <f t="shared" si="18"/>
        <v>-6.1795235255956982E-3</v>
      </c>
      <c r="E35" s="5">
        <f t="shared" si="17"/>
        <v>3.2830943208228547E-4</v>
      </c>
      <c r="G35" s="25" t="str">
        <f>IF(VLOOKUP(A35,Aux!B:C,2,FALSE)=0,"",VLOOKUP(A35,Aux!B:C,2,FALSE))</f>
        <v/>
      </c>
      <c r="H35" s="25" t="str">
        <f t="shared" si="0"/>
        <v/>
      </c>
      <c r="L35" s="13">
        <f t="shared" si="5"/>
        <v>99489.873889881623</v>
      </c>
      <c r="M35" s="14">
        <f t="shared" si="6"/>
        <v>-304.13642143808045</v>
      </c>
      <c r="N35" s="14">
        <f t="shared" si="7"/>
        <v>16.599522864388074</v>
      </c>
      <c r="O35" s="1">
        <f t="shared" si="8"/>
        <v>2.3070349801871837</v>
      </c>
      <c r="P35" s="1">
        <f t="shared" si="9"/>
        <v>2237.1324615078988</v>
      </c>
      <c r="S35" s="6">
        <f t="shared" si="1"/>
        <v>0.49163467025424107</v>
      </c>
      <c r="T35" s="6">
        <f t="shared" si="2"/>
        <v>0.50836532974575899</v>
      </c>
      <c r="V35" s="1">
        <f t="shared" si="10"/>
        <v>99489.873889881623</v>
      </c>
      <c r="W35" s="7">
        <f t="shared" si="11"/>
        <v>-2.8859438578140539E-3</v>
      </c>
      <c r="X35" s="7">
        <f t="shared" si="12"/>
        <v>-2.8859438578141654E-3</v>
      </c>
      <c r="Y35">
        <f>LN(B35/B34)</f>
        <v>-6.1986958056090393E-3</v>
      </c>
      <c r="Z35">
        <f>LN(C35/C34)</f>
        <v>3.282555503336233E-4</v>
      </c>
    </row>
    <row r="36" spans="1:26" x14ac:dyDescent="0.3">
      <c r="A36" s="11">
        <v>40232</v>
      </c>
      <c r="B36" s="12">
        <v>20858.05</v>
      </c>
      <c r="C36" s="12">
        <v>22.615480000000002</v>
      </c>
      <c r="D36" s="16">
        <f t="shared" si="18"/>
        <v>-1.6200717589721081E-2</v>
      </c>
      <c r="E36" s="15">
        <f t="shared" si="17"/>
        <v>3.2864400069909649E-4</v>
      </c>
      <c r="G36" s="25" t="str">
        <f>IF(VLOOKUP(A36,Aux!B:C,2,FALSE)=0,"",VLOOKUP(A36,Aux!B:C,2,FALSE))</f>
        <v/>
      </c>
      <c r="H36" s="25" t="str">
        <f t="shared" si="0"/>
        <v/>
      </c>
      <c r="L36" s="13">
        <f t="shared" si="5"/>
        <v>98714.075409075944</v>
      </c>
      <c r="M36" s="14">
        <f t="shared" si="6"/>
        <v>-792.42037499469279</v>
      </c>
      <c r="N36" s="14">
        <f t="shared" si="7"/>
        <v>16.621894189010252</v>
      </c>
      <c r="O36" s="1">
        <f t="shared" si="8"/>
        <v>2.3070349801871837</v>
      </c>
      <c r="P36" s="1">
        <f t="shared" si="9"/>
        <v>2237.1324615078988</v>
      </c>
      <c r="S36" s="6">
        <f t="shared" si="1"/>
        <v>0.48747101939698684</v>
      </c>
      <c r="T36" s="6">
        <f t="shared" si="2"/>
        <v>0.51252898060301311</v>
      </c>
      <c r="V36" s="1">
        <f t="shared" si="10"/>
        <v>98714.075409075944</v>
      </c>
      <c r="W36" s="7">
        <f t="shared" si="11"/>
        <v>-7.8283247681228876E-3</v>
      </c>
      <c r="X36" s="7">
        <f t="shared" si="12"/>
        <v>-7.8283247681228876E-3</v>
      </c>
      <c r="Y36">
        <f>LN(B36/B35)</f>
        <v>-1.6333384027263535E-2</v>
      </c>
      <c r="Z36">
        <f>LN(C36/C35)</f>
        <v>3.2859000908852076E-4</v>
      </c>
    </row>
    <row r="37" spans="1:26" x14ac:dyDescent="0.3">
      <c r="A37" s="9">
        <v>40233</v>
      </c>
      <c r="B37" s="1">
        <v>20778.509999999998</v>
      </c>
      <c r="C37" s="1">
        <v>22.622910000000001</v>
      </c>
      <c r="D37" s="6">
        <f t="shared" si="18"/>
        <v>-3.8133957872380497E-3</v>
      </c>
      <c r="E37" s="5">
        <f t="shared" si="17"/>
        <v>3.285360293037165E-4</v>
      </c>
      <c r="G37" s="25" t="str">
        <f>IF(VLOOKUP(A37,Aux!B:C,2,FALSE)=0,"",VLOOKUP(A37,Aux!B:C,2,FALSE))</f>
        <v/>
      </c>
      <c r="H37" s="25" t="str">
        <f t="shared" si="0"/>
        <v/>
      </c>
      <c r="L37" s="13">
        <f t="shared" si="5"/>
        <v>98547.19574094085</v>
      </c>
      <c r="M37" s="14">
        <f t="shared" si="6"/>
        <v>-183.5015623240906</v>
      </c>
      <c r="N37" s="14">
        <f t="shared" si="7"/>
        <v>16.621894189002305</v>
      </c>
      <c r="O37" s="1">
        <f t="shared" si="8"/>
        <v>2.3070349801871837</v>
      </c>
      <c r="P37" s="1">
        <f t="shared" si="9"/>
        <v>2237.1324615078988</v>
      </c>
      <c r="S37" s="6">
        <f t="shared" si="1"/>
        <v>0.48643443423985888</v>
      </c>
      <c r="T37" s="6">
        <f t="shared" si="2"/>
        <v>0.51356556576014112</v>
      </c>
      <c r="V37" s="1">
        <f t="shared" si="10"/>
        <v>98547.19574094085</v>
      </c>
      <c r="W37" s="7">
        <f t="shared" si="11"/>
        <v>-1.691966263559265E-3</v>
      </c>
      <c r="X37" s="7">
        <f t="shared" si="12"/>
        <v>-1.691966263559265E-3</v>
      </c>
      <c r="Y37">
        <f>LN(B37/B36)</f>
        <v>-3.8206853187667941E-3</v>
      </c>
      <c r="Z37">
        <f>LN(C37/C36)</f>
        <v>3.2848207315980921E-4</v>
      </c>
    </row>
    <row r="38" spans="1:26" x14ac:dyDescent="0.3">
      <c r="A38" s="11">
        <v>40234</v>
      </c>
      <c r="B38" s="12">
        <v>20862.349999999999</v>
      </c>
      <c r="C38" s="12">
        <v>22.630330000000001</v>
      </c>
      <c r="D38" s="16">
        <f t="shared" si="18"/>
        <v>4.0349380200985774E-3</v>
      </c>
      <c r="E38" s="15">
        <f t="shared" si="17"/>
        <v>3.2798609904727272E-4</v>
      </c>
      <c r="G38" s="25" t="str">
        <f>IF(VLOOKUP(A38,Aux!B:C,2,FALSE)=0,"",VLOOKUP(A38,Aux!B:C,2,FALSE))</f>
        <v/>
      </c>
      <c r="H38" s="25" t="str">
        <f t="shared" si="0"/>
        <v/>
      </c>
      <c r="L38" s="13">
        <f t="shared" si="5"/>
        <v>98757.217076544126</v>
      </c>
      <c r="M38" s="14">
        <f t="shared" si="6"/>
        <v>193.42181273889381</v>
      </c>
      <c r="N38" s="14">
        <f t="shared" si="7"/>
        <v>16.599522864388074</v>
      </c>
      <c r="O38" s="1">
        <f t="shared" si="8"/>
        <v>2.3070349801871837</v>
      </c>
      <c r="P38" s="1">
        <f t="shared" si="9"/>
        <v>2237.1324615078988</v>
      </c>
      <c r="S38" s="6">
        <f t="shared" si="1"/>
        <v>0.48735852065984864</v>
      </c>
      <c r="T38" s="6">
        <f t="shared" si="2"/>
        <v>0.51264147934015147</v>
      </c>
      <c r="V38" s="1">
        <f t="shared" si="10"/>
        <v>98757.217076544126</v>
      </c>
      <c r="W38" s="7">
        <f t="shared" si="11"/>
        <v>2.1289074271231235E-3</v>
      </c>
      <c r="X38" s="7">
        <f t="shared" si="12"/>
        <v>2.1289074271231235E-3</v>
      </c>
      <c r="Y38">
        <f>LN(B38/B37)</f>
        <v>4.0268194888717756E-3</v>
      </c>
      <c r="Z38">
        <f>LN(C38/C37)</f>
        <v>3.2793232336481812E-4</v>
      </c>
    </row>
    <row r="39" spans="1:26" x14ac:dyDescent="0.3">
      <c r="A39" s="9">
        <v>40235</v>
      </c>
      <c r="B39" s="1">
        <v>20994.29</v>
      </c>
      <c r="C39" s="1">
        <v>22.63776</v>
      </c>
      <c r="D39" s="6">
        <f t="shared" si="18"/>
        <v>6.3243114989444127E-3</v>
      </c>
      <c r="E39" s="5">
        <f t="shared" si="17"/>
        <v>3.283204442887655E-4</v>
      </c>
      <c r="G39" s="25" t="str">
        <f>IF(VLOOKUP(A39,Aux!B:C,2,FALSE)=0,"",VLOOKUP(A39,Aux!B:C,2,FALSE))</f>
        <v/>
      </c>
      <c r="H39" s="25" t="str">
        <f t="shared" si="0"/>
        <v/>
      </c>
      <c r="L39" s="13">
        <f t="shared" si="5"/>
        <v>99078.229166019024</v>
      </c>
      <c r="M39" s="14">
        <f t="shared" si="6"/>
        <v>304.39019528590239</v>
      </c>
      <c r="N39" s="14">
        <f t="shared" si="7"/>
        <v>16.621894189002305</v>
      </c>
      <c r="O39" s="1">
        <f t="shared" si="8"/>
        <v>2.3070349801871837</v>
      </c>
      <c r="P39" s="1">
        <f t="shared" si="9"/>
        <v>2237.1324615078988</v>
      </c>
      <c r="S39" s="6">
        <f t="shared" si="1"/>
        <v>0.48885170659474853</v>
      </c>
      <c r="T39" s="6">
        <f t="shared" si="2"/>
        <v>0.51114829340525159</v>
      </c>
      <c r="V39" s="1">
        <f t="shared" si="10"/>
        <v>99078.229166019039</v>
      </c>
      <c r="W39" s="7">
        <f t="shared" si="11"/>
        <v>3.2452462620149738E-3</v>
      </c>
      <c r="X39" s="7">
        <f t="shared" si="12"/>
        <v>3.2452462620151954E-3</v>
      </c>
      <c r="Y39">
        <f>LN(B39/B38)</f>
        <v>6.3043969607029038E-3</v>
      </c>
      <c r="Z39">
        <f>LN(C39/C38)</f>
        <v>3.2826655892581808E-4</v>
      </c>
    </row>
    <row r="40" spans="1:26" x14ac:dyDescent="0.3">
      <c r="A40" s="11">
        <v>40238</v>
      </c>
      <c r="B40" s="12">
        <v>21192.89</v>
      </c>
      <c r="C40" s="12">
        <v>22.645189999999999</v>
      </c>
      <c r="D40" s="16">
        <f t="shared" si="18"/>
        <v>9.459714998697244E-3</v>
      </c>
      <c r="E40" s="15">
        <f t="shared" si="17"/>
        <v>3.282126853541012E-4</v>
      </c>
      <c r="G40" s="25" t="str">
        <f>IF(VLOOKUP(A40,Aux!B:C,2,FALSE)=0,"",VLOOKUP(A40,Aux!B:C,2,FALSE))</f>
        <v/>
      </c>
      <c r="H40" s="25" t="str">
        <f t="shared" si="0"/>
        <v/>
      </c>
      <c r="L40" s="13">
        <f t="shared" si="5"/>
        <v>99553.028207273193</v>
      </c>
      <c r="M40" s="14">
        <f t="shared" si="6"/>
        <v>458.17714706517131</v>
      </c>
      <c r="N40" s="14">
        <f t="shared" si="7"/>
        <v>16.621894189002305</v>
      </c>
      <c r="O40" s="1">
        <f t="shared" si="8"/>
        <v>2.3070349801871837</v>
      </c>
      <c r="P40" s="1">
        <f t="shared" si="9"/>
        <v>2237.1324615078988</v>
      </c>
      <c r="S40" s="6">
        <f t="shared" si="1"/>
        <v>0.4911225649456149</v>
      </c>
      <c r="T40" s="6">
        <f t="shared" si="2"/>
        <v>0.50887743505438532</v>
      </c>
      <c r="V40" s="1">
        <f t="shared" si="10"/>
        <v>99553.028207273223</v>
      </c>
      <c r="W40" s="7">
        <f t="shared" si="11"/>
        <v>4.7807173134495054E-3</v>
      </c>
      <c r="X40" s="7">
        <f t="shared" si="12"/>
        <v>4.7807173134497265E-3</v>
      </c>
      <c r="Y40">
        <f>LN(B40/B39)</f>
        <v>9.4152520791962804E-3</v>
      </c>
      <c r="Z40">
        <f>LN(C40/C39)</f>
        <v>3.2815883535320089E-4</v>
      </c>
    </row>
    <row r="41" spans="1:26" x14ac:dyDescent="0.3">
      <c r="A41" s="9">
        <v>40239</v>
      </c>
      <c r="B41" s="1">
        <v>21369.05</v>
      </c>
      <c r="C41" s="1">
        <v>22.652609999999999</v>
      </c>
      <c r="D41" s="6">
        <f t="shared" si="18"/>
        <v>8.3122216932187687E-3</v>
      </c>
      <c r="E41" s="5">
        <f t="shared" si="17"/>
        <v>3.2766340224998913E-4</v>
      </c>
      <c r="G41" s="25" t="str">
        <f>IF(VLOOKUP(A41,Aux!B:C,2,FALSE)=0,"",VLOOKUP(A41,Aux!B:C,2,FALSE))</f>
        <v/>
      </c>
      <c r="H41" s="25" t="str">
        <f t="shared" si="0"/>
        <v/>
      </c>
      <c r="L41" s="13">
        <f t="shared" si="5"/>
        <v>99976.035012247361</v>
      </c>
      <c r="M41" s="14">
        <f t="shared" si="6"/>
        <v>406.40728210977392</v>
      </c>
      <c r="N41" s="14">
        <f t="shared" si="7"/>
        <v>16.599522864388074</v>
      </c>
      <c r="O41" s="1">
        <f t="shared" si="8"/>
        <v>2.3070349801871837</v>
      </c>
      <c r="P41" s="1">
        <f t="shared" si="9"/>
        <v>2237.1324615078988</v>
      </c>
      <c r="S41" s="6">
        <f t="shared" si="1"/>
        <v>0.49310963209662839</v>
      </c>
      <c r="T41" s="6">
        <f t="shared" si="2"/>
        <v>0.50689036790337172</v>
      </c>
      <c r="V41" s="1">
        <f t="shared" si="10"/>
        <v>99976.035012247376</v>
      </c>
      <c r="W41" s="7">
        <f t="shared" si="11"/>
        <v>4.2400583843430397E-3</v>
      </c>
      <c r="X41" s="7">
        <f t="shared" si="12"/>
        <v>4.2400583843430397E-3</v>
      </c>
      <c r="Y41">
        <f>LN(B41/B40)</f>
        <v>8.2778654317596408E-3</v>
      </c>
      <c r="Z41">
        <f>LN(C41/C40)</f>
        <v>3.276097323208631E-4</v>
      </c>
    </row>
    <row r="42" spans="1:26" x14ac:dyDescent="0.3">
      <c r="A42" s="11">
        <v>40240</v>
      </c>
      <c r="B42" s="12">
        <v>21364.39</v>
      </c>
      <c r="C42" s="12">
        <v>22.660049999999998</v>
      </c>
      <c r="D42" s="16">
        <f t="shared" si="18"/>
        <v>-2.1807239910054399E-4</v>
      </c>
      <c r="E42" s="15">
        <f t="shared" si="17"/>
        <v>3.2843897458167959E-4</v>
      </c>
      <c r="G42" s="25" t="str">
        <f>IF(VLOOKUP(A42,Aux!B:C,2,FALSE)=0,"",VLOOKUP(A42,Aux!B:C,2,FALSE))</f>
        <v/>
      </c>
      <c r="H42" s="25" t="str">
        <f t="shared" si="0"/>
        <v/>
      </c>
      <c r="L42" s="13">
        <f t="shared" si="5"/>
        <v>99981.928494753316</v>
      </c>
      <c r="M42" s="14">
        <f t="shared" si="6"/>
        <v>-10.75078300767194</v>
      </c>
      <c r="N42" s="14">
        <f t="shared" si="7"/>
        <v>16.644265513616538</v>
      </c>
      <c r="O42" s="1">
        <f t="shared" si="8"/>
        <v>2.3070349801871837</v>
      </c>
      <c r="P42" s="1">
        <f t="shared" si="9"/>
        <v>2237.1324615078988</v>
      </c>
      <c r="S42" s="6">
        <f t="shared" si="1"/>
        <v>0.49297303825208505</v>
      </c>
      <c r="T42" s="6">
        <f t="shared" si="2"/>
        <v>0.50702696174791495</v>
      </c>
      <c r="V42" s="1">
        <f t="shared" si="10"/>
        <v>99981.928494753316</v>
      </c>
      <c r="W42" s="7">
        <f t="shared" si="11"/>
        <v>5.8947214747534062E-5</v>
      </c>
      <c r="X42" s="7">
        <f t="shared" si="12"/>
        <v>5.8947214747312031E-5</v>
      </c>
      <c r="Y42">
        <f>LN(B42/B41)</f>
        <v>-2.180961803435867E-4</v>
      </c>
      <c r="Z42">
        <f>LN(C42/C41)</f>
        <v>3.2838505030856633E-4</v>
      </c>
    </row>
    <row r="43" spans="1:26" x14ac:dyDescent="0.3">
      <c r="A43" s="9">
        <v>40241</v>
      </c>
      <c r="B43" s="1">
        <v>21379.91</v>
      </c>
      <c r="C43" s="1">
        <v>22.667480000000001</v>
      </c>
      <c r="D43" s="6">
        <f t="shared" si="18"/>
        <v>7.2644245868946911E-4</v>
      </c>
      <c r="E43" s="5">
        <f t="shared" si="17"/>
        <v>3.2788983254694593E-4</v>
      </c>
      <c r="G43" s="25" t="str">
        <f>IF(VLOOKUP(A43,Aux!B:C,2,FALSE)=0,"",VLOOKUP(A43,Aux!B:C,2,FALSE))</f>
        <v/>
      </c>
      <c r="H43" s="25" t="str">
        <f t="shared" si="0"/>
        <v/>
      </c>
      <c r="L43" s="13">
        <f t="shared" si="5"/>
        <v>100034.35557183484</v>
      </c>
      <c r="M43" s="14">
        <f t="shared" si="6"/>
        <v>35.805182892506096</v>
      </c>
      <c r="N43" s="14">
        <f t="shared" si="7"/>
        <v>16.621894189010252</v>
      </c>
      <c r="O43" s="1">
        <f t="shared" si="8"/>
        <v>2.3070349801871837</v>
      </c>
      <c r="P43" s="1">
        <f t="shared" si="9"/>
        <v>2237.1324615078988</v>
      </c>
      <c r="S43" s="6">
        <f t="shared" si="1"/>
        <v>0.49307260451969404</v>
      </c>
      <c r="T43" s="6">
        <f t="shared" si="2"/>
        <v>0.50692739548030596</v>
      </c>
      <c r="V43" s="1">
        <f t="shared" si="10"/>
        <v>100034.35557183484</v>
      </c>
      <c r="W43" s="7">
        <f t="shared" si="11"/>
        <v>5.2422809999513051E-4</v>
      </c>
      <c r="X43" s="7">
        <f t="shared" si="12"/>
        <v>5.2422809999513051E-4</v>
      </c>
      <c r="Y43">
        <f>LN(B43/B42)</f>
        <v>7.2617872708273794E-4</v>
      </c>
      <c r="Z43">
        <f>LN(C43/C42)</f>
        <v>3.2783608842358223E-4</v>
      </c>
    </row>
    <row r="44" spans="1:26" x14ac:dyDescent="0.3">
      <c r="A44" s="11">
        <v>40242</v>
      </c>
      <c r="B44" s="12">
        <v>21678.51</v>
      </c>
      <c r="C44" s="12">
        <v>22.674910000000001</v>
      </c>
      <c r="D44" s="16">
        <f t="shared" si="18"/>
        <v>1.39663824590468E-2</v>
      </c>
      <c r="E44" s="15">
        <f t="shared" si="17"/>
        <v>3.2778235604480344E-4</v>
      </c>
      <c r="G44" s="25" t="str">
        <f>IF(VLOOKUP(A44,Aux!B:C,2,FALSE)=0,"",VLOOKUP(A44,Aux!B:C,2,FALSE))</f>
        <v/>
      </c>
      <c r="H44" s="25" t="str">
        <f t="shared" si="0"/>
        <v/>
      </c>
      <c r="L44" s="13">
        <f t="shared" si="5"/>
        <v>100739.85811110772</v>
      </c>
      <c r="M44" s="14">
        <f t="shared" si="6"/>
        <v>688.8806450838897</v>
      </c>
      <c r="N44" s="14">
        <f t="shared" si="7"/>
        <v>16.621894189002305</v>
      </c>
      <c r="O44" s="1">
        <f t="shared" si="8"/>
        <v>2.3070349801871837</v>
      </c>
      <c r="P44" s="1">
        <f t="shared" si="9"/>
        <v>2237.1324615078988</v>
      </c>
      <c r="S44" s="6">
        <f t="shared" si="1"/>
        <v>0.49645772612839473</v>
      </c>
      <c r="T44" s="6">
        <f t="shared" si="2"/>
        <v>0.50354227387160533</v>
      </c>
      <c r="V44" s="1">
        <f t="shared" si="10"/>
        <v>100739.85811110772</v>
      </c>
      <c r="W44" s="7">
        <f t="shared" si="11"/>
        <v>7.0278491455531686E-3</v>
      </c>
      <c r="X44" s="7">
        <f t="shared" si="12"/>
        <v>7.0278491455531686E-3</v>
      </c>
      <c r="Y44">
        <f>LN(B44/B43)</f>
        <v>1.3869751225960555E-2</v>
      </c>
      <c r="Z44">
        <f>LN(C44/C43)</f>
        <v>3.27728647144569E-4</v>
      </c>
    </row>
    <row r="45" spans="1:26" x14ac:dyDescent="0.3">
      <c r="A45" s="9">
        <v>40245</v>
      </c>
      <c r="B45" s="1">
        <v>21612.66</v>
      </c>
      <c r="C45" s="1">
        <v>22.68234</v>
      </c>
      <c r="D45" s="6">
        <f t="shared" si="18"/>
        <v>-3.0375703865255232E-3</v>
      </c>
      <c r="E45" s="5">
        <f t="shared" si="17"/>
        <v>3.2767494997765212E-4</v>
      </c>
      <c r="G45" s="25" t="str">
        <f>IF(VLOOKUP(A45,Aux!B:C,2,FALSE)=0,"",VLOOKUP(A45,Aux!B:C,2,FALSE))</f>
        <v/>
      </c>
      <c r="H45" s="25" t="str">
        <f t="shared" si="0"/>
        <v/>
      </c>
      <c r="L45" s="13">
        <f t="shared" si="5"/>
        <v>100604.56175185139</v>
      </c>
      <c r="M45" s="14">
        <f t="shared" si="6"/>
        <v>-151.91825344532268</v>
      </c>
      <c r="N45" s="14">
        <f t="shared" si="7"/>
        <v>16.621894189002305</v>
      </c>
      <c r="O45" s="1">
        <f t="shared" si="8"/>
        <v>2.3070349801871837</v>
      </c>
      <c r="P45" s="1">
        <f t="shared" si="9"/>
        <v>2237.1324615078988</v>
      </c>
      <c r="S45" s="6">
        <f t="shared" si="1"/>
        <v>0.49561532565370736</v>
      </c>
      <c r="T45" s="6">
        <f t="shared" si="2"/>
        <v>0.50438467434629286</v>
      </c>
      <c r="V45" s="1">
        <f t="shared" si="10"/>
        <v>100604.5617518514</v>
      </c>
      <c r="W45" s="7">
        <f t="shared" si="11"/>
        <v>-1.3439297668361445E-3</v>
      </c>
      <c r="X45" s="7">
        <f t="shared" si="12"/>
        <v>-1.3439297668360333E-3</v>
      </c>
      <c r="Y45">
        <f>LN(B45/B44)</f>
        <v>-3.0421931671732968E-3</v>
      </c>
      <c r="Z45">
        <f>LN(C45/C44)</f>
        <v>3.2762127626593114E-4</v>
      </c>
    </row>
    <row r="46" spans="1:26" x14ac:dyDescent="0.3">
      <c r="A46" s="11">
        <v>40246</v>
      </c>
      <c r="B46" s="12">
        <v>21904.94</v>
      </c>
      <c r="C46" s="12">
        <v>22.689799999999998</v>
      </c>
      <c r="D46" s="16">
        <f t="shared" si="18"/>
        <v>1.3523555175531277E-2</v>
      </c>
      <c r="E46" s="15">
        <f t="shared" si="17"/>
        <v>3.2889022913851207E-4</v>
      </c>
      <c r="G46" s="25" t="str">
        <f>IF(VLOOKUP(A46,Aux!B:C,2,FALSE)=0,"",VLOOKUP(A46,Aux!B:C,2,FALSE))</f>
        <v/>
      </c>
      <c r="H46" s="25" t="str">
        <f t="shared" si="0"/>
        <v/>
      </c>
      <c r="L46" s="13">
        <f t="shared" si="5"/>
        <v>101295.55094402334</v>
      </c>
      <c r="M46" s="14">
        <f t="shared" si="6"/>
        <v>674.3001840091074</v>
      </c>
      <c r="N46" s="14">
        <f t="shared" si="7"/>
        <v>16.689008162844999</v>
      </c>
      <c r="O46" s="1">
        <f t="shared" si="8"/>
        <v>2.3070349801871837</v>
      </c>
      <c r="P46" s="1">
        <f t="shared" si="9"/>
        <v>2237.1324615078988</v>
      </c>
      <c r="S46" s="6">
        <f t="shared" si="1"/>
        <v>0.49889123804487434</v>
      </c>
      <c r="T46" s="6">
        <f t="shared" si="2"/>
        <v>0.50110876195512588</v>
      </c>
      <c r="V46" s="1">
        <f t="shared" si="10"/>
        <v>101295.55094402336</v>
      </c>
      <c r="W46" s="7">
        <f t="shared" si="11"/>
        <v>6.8448886018366841E-3</v>
      </c>
      <c r="X46" s="7">
        <f t="shared" si="12"/>
        <v>6.8448886018366841E-3</v>
      </c>
      <c r="Y46">
        <f>LN(B46/B45)</f>
        <v>1.3432928056249885E-2</v>
      </c>
      <c r="Z46">
        <f>LN(C46/C45)</f>
        <v>3.2883615660272823E-4</v>
      </c>
    </row>
    <row r="47" spans="1:26" x14ac:dyDescent="0.3">
      <c r="A47" s="9">
        <v>40247</v>
      </c>
      <c r="B47" s="1">
        <v>22013.93</v>
      </c>
      <c r="C47" s="1">
        <v>22.69725</v>
      </c>
      <c r="D47" s="6">
        <f t="shared" si="18"/>
        <v>4.9755899810728366E-3</v>
      </c>
      <c r="E47" s="5">
        <f t="shared" si="17"/>
        <v>3.2834136924964064E-4</v>
      </c>
      <c r="G47" s="25" t="str">
        <f>IF(VLOOKUP(A47,Aux!B:C,2,FALSE)=0,"",VLOOKUP(A47,Aux!B:C,2,FALSE))</f>
        <v/>
      </c>
      <c r="H47" s="25" t="str">
        <f t="shared" si="0"/>
        <v/>
      </c>
      <c r="L47" s="13">
        <f t="shared" si="5"/>
        <v>101563.66132335219</v>
      </c>
      <c r="M47" s="14">
        <f t="shared" si="6"/>
        <v>251.44374249060485</v>
      </c>
      <c r="N47" s="14">
        <f t="shared" si="7"/>
        <v>16.666636838238716</v>
      </c>
      <c r="O47" s="1">
        <f t="shared" si="8"/>
        <v>2.3070349801871837</v>
      </c>
      <c r="P47" s="1">
        <f t="shared" si="9"/>
        <v>2237.1324615078988</v>
      </c>
      <c r="S47" s="6">
        <f t="shared" si="1"/>
        <v>0.50004997751803959</v>
      </c>
      <c r="T47" s="6">
        <f t="shared" si="2"/>
        <v>0.49995002248196058</v>
      </c>
      <c r="V47" s="1">
        <f t="shared" si="10"/>
        <v>101563.66132335221</v>
      </c>
      <c r="W47" s="7">
        <f t="shared" si="11"/>
        <v>2.6433163418325902E-3</v>
      </c>
      <c r="X47" s="7">
        <f t="shared" si="12"/>
        <v>2.6433163418325902E-3</v>
      </c>
      <c r="Y47">
        <f>LN(B47/B46)</f>
        <v>4.9632526400199056E-3</v>
      </c>
      <c r="Z47">
        <f>LN(C47/C46)</f>
        <v>3.2828747701863685E-4</v>
      </c>
    </row>
    <row r="48" spans="1:26" x14ac:dyDescent="0.3">
      <c r="A48" s="11">
        <v>40248</v>
      </c>
      <c r="B48" s="12">
        <v>21997.51</v>
      </c>
      <c r="C48" s="12">
        <v>22.704709999999999</v>
      </c>
      <c r="D48" s="16">
        <f t="shared" si="18"/>
        <v>-7.4589135152158814E-4</v>
      </c>
      <c r="E48" s="15">
        <f t="shared" si="17"/>
        <v>3.2867417858994941E-4</v>
      </c>
      <c r="G48" s="25" t="str">
        <f>IF(VLOOKUP(A48,Aux!B:C,2,FALSE)=0,"",VLOOKUP(A48,Aux!B:C,2,FALSE))</f>
        <v/>
      </c>
      <c r="H48" s="25" t="str">
        <f t="shared" si="0"/>
        <v/>
      </c>
      <c r="L48" s="13">
        <f t="shared" si="5"/>
        <v>101542.46881714037</v>
      </c>
      <c r="M48" s="14">
        <f t="shared" si="6"/>
        <v>-37.88151437467792</v>
      </c>
      <c r="N48" s="14">
        <f t="shared" si="7"/>
        <v>16.689008162844999</v>
      </c>
      <c r="O48" s="1">
        <f t="shared" si="8"/>
        <v>2.3070349801871837</v>
      </c>
      <c r="P48" s="1">
        <f t="shared" si="9"/>
        <v>2237.1324615078988</v>
      </c>
      <c r="S48" s="6">
        <f t="shared" si="1"/>
        <v>0.4997812800711709</v>
      </c>
      <c r="T48" s="6">
        <f t="shared" si="2"/>
        <v>0.50021871992882916</v>
      </c>
      <c r="V48" s="1">
        <f t="shared" si="10"/>
        <v>101542.46881714038</v>
      </c>
      <c r="W48" s="7">
        <f t="shared" si="11"/>
        <v>-2.0868406358852827E-4</v>
      </c>
      <c r="X48" s="7">
        <f t="shared" si="12"/>
        <v>-2.0868406358852827E-4</v>
      </c>
      <c r="Y48">
        <f>LN(B48/B47)</f>
        <v>-7.46169666879677E-4</v>
      </c>
      <c r="Z48">
        <f>LN(C48/C47)</f>
        <v>3.2862017706439419E-4</v>
      </c>
    </row>
    <row r="49" spans="1:26" x14ac:dyDescent="0.3">
      <c r="A49" s="9">
        <v>40249</v>
      </c>
      <c r="B49" s="1">
        <v>21839.49</v>
      </c>
      <c r="C49" s="1">
        <v>22.712160000000001</v>
      </c>
      <c r="D49" s="6">
        <f t="shared" si="18"/>
        <v>-7.183540318881354E-3</v>
      </c>
      <c r="E49" s="5">
        <f t="shared" si="17"/>
        <v>3.2812575011975653E-4</v>
      </c>
      <c r="G49" s="25" t="str">
        <f>IF(VLOOKUP(A49,Aux!B:C,2,FALSE)=0,"",VLOOKUP(A49,Aux!B:C,2,FALSE))</f>
        <v/>
      </c>
      <c r="H49" s="25" t="str">
        <f t="shared" si="0"/>
        <v/>
      </c>
      <c r="L49" s="13">
        <f t="shared" si="5"/>
        <v>101194.57778640944</v>
      </c>
      <c r="M49" s="14">
        <f t="shared" si="6"/>
        <v>-364.55766756917137</v>
      </c>
      <c r="N49" s="14">
        <f t="shared" si="7"/>
        <v>16.666636838238716</v>
      </c>
      <c r="O49" s="1">
        <f t="shared" si="8"/>
        <v>2.3070349801871837</v>
      </c>
      <c r="P49" s="1">
        <f t="shared" si="9"/>
        <v>2237.1324615078988</v>
      </c>
      <c r="S49" s="6">
        <f t="shared" si="1"/>
        <v>0.49789690793309382</v>
      </c>
      <c r="T49" s="6">
        <f t="shared" si="2"/>
        <v>0.50210309206690618</v>
      </c>
      <c r="V49" s="1">
        <f t="shared" si="10"/>
        <v>101194.57778640944</v>
      </c>
      <c r="W49" s="7">
        <f t="shared" si="11"/>
        <v>-3.4319467312127839E-3</v>
      </c>
      <c r="X49" s="7">
        <f t="shared" si="12"/>
        <v>-3.4319467312130063E-3</v>
      </c>
      <c r="Y49">
        <f>LN(B49/B48)</f>
        <v>-7.2094661788898668E-3</v>
      </c>
      <c r="Z49">
        <f>LN(C49/C48)</f>
        <v>3.2807192863896465E-4</v>
      </c>
    </row>
    <row r="50" spans="1:26" x14ac:dyDescent="0.3">
      <c r="A50" s="11">
        <v>40252</v>
      </c>
      <c r="B50" s="12">
        <v>21767.05</v>
      </c>
      <c r="C50" s="12">
        <v>22.7196</v>
      </c>
      <c r="D50" s="16">
        <f t="shared" si="18"/>
        <v>-3.316927272569159E-3</v>
      </c>
      <c r="E50" s="15">
        <f t="shared" si="17"/>
        <v>3.2757782615133735E-4</v>
      </c>
      <c r="G50" s="25" t="str">
        <f>IF(VLOOKUP(A50,Aux!B:C,2,FALSE)=0,"",VLOOKUP(A50,Aux!B:C,2,FALSE))</f>
        <v/>
      </c>
      <c r="H50" s="25" t="str">
        <f t="shared" si="0"/>
        <v/>
      </c>
      <c r="L50" s="13">
        <f t="shared" si="5"/>
        <v>101044.1004379583</v>
      </c>
      <c r="M50" s="14">
        <f t="shared" si="6"/>
        <v>-167.12161396476495</v>
      </c>
      <c r="N50" s="14">
        <f t="shared" si="7"/>
        <v>16.644265513616538</v>
      </c>
      <c r="O50" s="1">
        <f t="shared" si="8"/>
        <v>2.3070349801871837</v>
      </c>
      <c r="P50" s="1">
        <f t="shared" si="9"/>
        <v>2237.1324615078988</v>
      </c>
      <c r="S50" s="6">
        <f t="shared" si="1"/>
        <v>0.49698444093049443</v>
      </c>
      <c r="T50" s="6">
        <f t="shared" si="2"/>
        <v>0.50301555906950546</v>
      </c>
      <c r="V50" s="1">
        <f t="shared" si="10"/>
        <v>101044.10043795829</v>
      </c>
      <c r="W50" s="7">
        <f t="shared" si="11"/>
        <v>-1.4881166900569522E-3</v>
      </c>
      <c r="X50" s="7">
        <f t="shared" si="12"/>
        <v>-1.4881166900570632E-3</v>
      </c>
      <c r="Y50">
        <f>LN(B50/B49)</f>
        <v>-3.3224404704616465E-3</v>
      </c>
      <c r="Z50">
        <f>LN(C50/C49)</f>
        <v>3.2752418424952296E-4</v>
      </c>
    </row>
    <row r="51" spans="1:26" x14ac:dyDescent="0.3">
      <c r="A51" s="9">
        <v>40253</v>
      </c>
      <c r="B51" s="1">
        <v>22035.49</v>
      </c>
      <c r="C51" s="1">
        <v>22.727060000000002</v>
      </c>
      <c r="D51" s="6">
        <f t="shared" si="18"/>
        <v>1.233240149675785E-2</v>
      </c>
      <c r="E51" s="5">
        <f t="shared" si="17"/>
        <v>3.2835085124749419E-4</v>
      </c>
      <c r="G51" s="25" t="str">
        <f>IF(VLOOKUP(A51,Aux!B:C,2,FALSE)=0,"",VLOOKUP(A51,Aux!B:C,2,FALSE))</f>
        <v/>
      </c>
      <c r="H51" s="25" t="str">
        <f t="shared" si="0"/>
        <v/>
      </c>
      <c r="L51" s="13">
        <f t="shared" si="5"/>
        <v>101680.0899162026</v>
      </c>
      <c r="M51" s="14">
        <f t="shared" si="6"/>
        <v>619.300470081453</v>
      </c>
      <c r="N51" s="14">
        <f t="shared" si="7"/>
        <v>16.68900816285295</v>
      </c>
      <c r="O51" s="1">
        <f t="shared" si="8"/>
        <v>2.3070349801871837</v>
      </c>
      <c r="P51" s="1">
        <f t="shared" si="9"/>
        <v>2237.1324615078988</v>
      </c>
      <c r="S51" s="6">
        <f t="shared" si="1"/>
        <v>0.49996657435551828</v>
      </c>
      <c r="T51" s="6">
        <f t="shared" si="2"/>
        <v>0.50003342564448172</v>
      </c>
      <c r="V51" s="1">
        <f t="shared" si="10"/>
        <v>101680.0899162026</v>
      </c>
      <c r="W51" s="7">
        <f t="shared" si="11"/>
        <v>6.27445164428305E-3</v>
      </c>
      <c r="X51" s="7">
        <f t="shared" si="12"/>
        <v>6.2744516442832712E-3</v>
      </c>
      <c r="Y51">
        <f>LN(B51/B50)</f>
        <v>1.2256976911138157E-2</v>
      </c>
      <c r="Z51">
        <f>LN(C51/C50)</f>
        <v>3.282969559041352E-4</v>
      </c>
    </row>
    <row r="52" spans="1:26" x14ac:dyDescent="0.3">
      <c r="A52" s="11">
        <v>40254</v>
      </c>
      <c r="B52" s="12">
        <v>21970.66</v>
      </c>
      <c r="C52" s="12">
        <v>22.73451</v>
      </c>
      <c r="D52" s="16">
        <f t="shared" si="18"/>
        <v>-2.9420720846236037E-3</v>
      </c>
      <c r="E52" s="15">
        <f t="shared" si="17"/>
        <v>3.2780306823676497E-4</v>
      </c>
      <c r="G52" s="25" t="str">
        <f>IF(VLOOKUP(A52,Aux!B:C,2,FALSE)=0,"",VLOOKUP(A52,Aux!B:C,2,FALSE))</f>
        <v/>
      </c>
      <c r="H52" s="25" t="str">
        <f t="shared" si="0"/>
        <v/>
      </c>
      <c r="L52" s="13">
        <f t="shared" si="5"/>
        <v>101547.19147527529</v>
      </c>
      <c r="M52" s="14">
        <f t="shared" si="6"/>
        <v>-149.56507776553914</v>
      </c>
      <c r="N52" s="14">
        <f t="shared" si="7"/>
        <v>16.666636838230769</v>
      </c>
      <c r="O52" s="1">
        <f t="shared" si="8"/>
        <v>2.3070349801871837</v>
      </c>
      <c r="P52" s="1">
        <f t="shared" si="9"/>
        <v>2237.1324615078988</v>
      </c>
      <c r="S52" s="6">
        <f t="shared" si="1"/>
        <v>0.49914803572032457</v>
      </c>
      <c r="T52" s="6">
        <f t="shared" si="2"/>
        <v>0.50085196427967538</v>
      </c>
      <c r="V52" s="1">
        <f t="shared" si="10"/>
        <v>101547.19147527529</v>
      </c>
      <c r="W52" s="7">
        <f t="shared" si="11"/>
        <v>-1.3078801129600879E-3</v>
      </c>
      <c r="X52" s="7">
        <f t="shared" si="12"/>
        <v>-1.3078801129600879E-3</v>
      </c>
      <c r="Y52">
        <f>LN(B52/B51)</f>
        <v>-2.9464084861249222E-3</v>
      </c>
      <c r="Z52">
        <f>LN(C52/C51)</f>
        <v>3.2774935254944971E-4</v>
      </c>
    </row>
    <row r="53" spans="1:26" x14ac:dyDescent="0.3">
      <c r="A53" s="9">
        <v>40255</v>
      </c>
      <c r="B53" s="1">
        <v>21921.39</v>
      </c>
      <c r="C53" s="1">
        <v>22.741969999999998</v>
      </c>
      <c r="D53" s="6">
        <f t="shared" si="18"/>
        <v>-2.2425361823450451E-3</v>
      </c>
      <c r="E53" s="5">
        <f t="shared" si="17"/>
        <v>3.2813550852850426E-4</v>
      </c>
      <c r="G53" s="25" t="str">
        <f>IF(VLOOKUP(A53,Aux!B:C,2,FALSE)=0,"",VLOOKUP(A53,Aux!B:C,2,FALSE))</f>
        <v/>
      </c>
      <c r="H53" s="25" t="str">
        <f t="shared" si="0"/>
        <v/>
      </c>
      <c r="L53" s="13">
        <f t="shared" si="5"/>
        <v>101450.21286996432</v>
      </c>
      <c r="M53" s="14">
        <f t="shared" si="6"/>
        <v>-113.66761347382355</v>
      </c>
      <c r="N53" s="14">
        <f t="shared" si="7"/>
        <v>16.689008162844999</v>
      </c>
      <c r="O53" s="1">
        <f t="shared" si="8"/>
        <v>2.3070349801871837</v>
      </c>
      <c r="P53" s="1">
        <f t="shared" si="9"/>
        <v>2237.1324615078988</v>
      </c>
      <c r="S53" s="6">
        <f t="shared" si="1"/>
        <v>0.49850475532416011</v>
      </c>
      <c r="T53" s="6">
        <f t="shared" si="2"/>
        <v>0.50149524467583972</v>
      </c>
      <c r="V53" s="1">
        <f t="shared" si="10"/>
        <v>101450.21286996431</v>
      </c>
      <c r="W53" s="7">
        <f t="shared" si="11"/>
        <v>-9.5546652925487894E-4</v>
      </c>
      <c r="X53" s="7">
        <f t="shared" si="12"/>
        <v>-9.5546652925499007E-4</v>
      </c>
      <c r="Y53">
        <f>LN(B53/B52)</f>
        <v>-2.2450544321582326E-3</v>
      </c>
      <c r="Z53">
        <f>LN(C53/C52)</f>
        <v>3.2808168384672993E-4</v>
      </c>
    </row>
    <row r="54" spans="1:26" x14ac:dyDescent="0.3">
      <c r="A54" s="11">
        <v>40256</v>
      </c>
      <c r="B54" s="12">
        <v>21656.48</v>
      </c>
      <c r="C54" s="12">
        <v>22.74943</v>
      </c>
      <c r="D54" s="16">
        <f t="shared" si="18"/>
        <v>-1.2084543908940093E-2</v>
      </c>
      <c r="E54" s="15">
        <f t="shared" si="17"/>
        <v>3.2802787093655361E-4</v>
      </c>
      <c r="G54" s="25" t="str">
        <f>IF(VLOOKUP(A54,Aux!B:C,2,FALSE)=0,"",VLOOKUP(A54,Aux!B:C,2,FALSE))</f>
        <v/>
      </c>
      <c r="H54" s="25" t="str">
        <f t="shared" si="0"/>
        <v/>
      </c>
      <c r="L54" s="13">
        <f t="shared" si="5"/>
        <v>100855.74524152579</v>
      </c>
      <c r="M54" s="14">
        <f t="shared" si="6"/>
        <v>-611.15663660138648</v>
      </c>
      <c r="N54" s="14">
        <f t="shared" si="7"/>
        <v>16.68900816285295</v>
      </c>
      <c r="O54" s="1">
        <f t="shared" si="8"/>
        <v>2.3070349801871837</v>
      </c>
      <c r="P54" s="1">
        <f t="shared" si="9"/>
        <v>2237.1324615078988</v>
      </c>
      <c r="S54" s="6">
        <f t="shared" si="1"/>
        <v>0.49538334963542513</v>
      </c>
      <c r="T54" s="6">
        <f t="shared" si="2"/>
        <v>0.5046166503645747</v>
      </c>
      <c r="V54" s="1">
        <f t="shared" si="10"/>
        <v>100855.74524152577</v>
      </c>
      <c r="W54" s="7">
        <f t="shared" si="11"/>
        <v>-5.8769335810081461E-3</v>
      </c>
      <c r="X54" s="7">
        <f t="shared" si="12"/>
        <v>-5.8769335810081461E-3</v>
      </c>
      <c r="Y54">
        <f>LN(B54/B53)</f>
        <v>-1.2158155653691957E-2</v>
      </c>
      <c r="Z54">
        <f>LN(C54/C53)</f>
        <v>3.279740815571203E-4</v>
      </c>
    </row>
    <row r="55" spans="1:26" x14ac:dyDescent="0.3">
      <c r="A55" s="9">
        <v>40259</v>
      </c>
      <c r="B55" s="1">
        <v>21739.200000000001</v>
      </c>
      <c r="C55" s="1">
        <v>22.756889999999999</v>
      </c>
      <c r="D55" s="6">
        <f t="shared" si="18"/>
        <v>3.81964197321083E-3</v>
      </c>
      <c r="E55" s="5">
        <f t="shared" si="17"/>
        <v>3.2792030393724581E-4</v>
      </c>
      <c r="G55" s="25" t="str">
        <f>IF(VLOOKUP(A55,Aux!B:C,2,FALSE)=0,"",VLOOKUP(A55,Aux!B:C,2,FALSE))</f>
        <v/>
      </c>
      <c r="H55" s="25" t="str">
        <f t="shared" si="0"/>
        <v/>
      </c>
      <c r="L55" s="13">
        <f t="shared" si="5"/>
        <v>101063.27218324972</v>
      </c>
      <c r="M55" s="14">
        <f t="shared" si="6"/>
        <v>190.83793356108652</v>
      </c>
      <c r="N55" s="14">
        <f t="shared" si="7"/>
        <v>16.689008162844999</v>
      </c>
      <c r="O55" s="1">
        <f t="shared" si="8"/>
        <v>2.3070349801871837</v>
      </c>
      <c r="P55" s="1">
        <f t="shared" si="9"/>
        <v>2237.1324615078988</v>
      </c>
      <c r="S55" s="6">
        <f t="shared" si="1"/>
        <v>0.49625441327831482</v>
      </c>
      <c r="T55" s="6">
        <f t="shared" si="2"/>
        <v>0.50374558672168501</v>
      </c>
      <c r="V55" s="1">
        <f t="shared" si="10"/>
        <v>101063.2721832497</v>
      </c>
      <c r="W55" s="7">
        <f t="shared" si="11"/>
        <v>2.0555469954457953E-3</v>
      </c>
      <c r="X55" s="7">
        <f t="shared" si="12"/>
        <v>2.0555469954457953E-3</v>
      </c>
      <c r="Y55">
        <f>LN(B55/B54)</f>
        <v>3.8123656635219386E-3</v>
      </c>
      <c r="Z55">
        <f>LN(C55/C54)</f>
        <v>3.2786654982543405E-4</v>
      </c>
    </row>
    <row r="56" spans="1:26" x14ac:dyDescent="0.3">
      <c r="A56" s="11">
        <v>40260</v>
      </c>
      <c r="B56" s="12">
        <v>21784.61</v>
      </c>
      <c r="C56" s="12">
        <v>22.76436</v>
      </c>
      <c r="D56" s="16">
        <f t="shared" si="18"/>
        <v>2.0888533156693256E-3</v>
      </c>
      <c r="E56" s="15">
        <f t="shared" si="17"/>
        <v>3.2825223481780519E-4</v>
      </c>
      <c r="G56" s="25" t="str">
        <f>IF(VLOOKUP(A56,Aux!B:C,2,FALSE)=0,"",VLOOKUP(A56,Aux!B:C,2,FALSE))</f>
        <v/>
      </c>
      <c r="H56" s="25" t="str">
        <f t="shared" si="0"/>
        <v/>
      </c>
      <c r="L56" s="13">
        <f t="shared" si="5"/>
        <v>101184.74602118749</v>
      </c>
      <c r="M56" s="14">
        <f t="shared" si="6"/>
        <v>104.76245845029968</v>
      </c>
      <c r="N56" s="14">
        <f t="shared" si="7"/>
        <v>16.71137948746718</v>
      </c>
      <c r="O56" s="1">
        <f t="shared" si="8"/>
        <v>2.3070349801871837</v>
      </c>
      <c r="P56" s="1">
        <f t="shared" si="9"/>
        <v>2237.1324615078988</v>
      </c>
      <c r="S56" s="6">
        <f t="shared" si="1"/>
        <v>0.49669401047082556</v>
      </c>
      <c r="T56" s="6">
        <f t="shared" si="2"/>
        <v>0.50330598952917427</v>
      </c>
      <c r="V56" s="1">
        <f t="shared" si="10"/>
        <v>101184.74602118747</v>
      </c>
      <c r="W56" s="7">
        <f t="shared" si="11"/>
        <v>1.2012365176491797E-3</v>
      </c>
      <c r="X56" s="7">
        <f t="shared" si="12"/>
        <v>1.2012365176491797E-3</v>
      </c>
      <c r="Y56">
        <f>LN(B56/B55)</f>
        <v>2.0866746949340419E-3</v>
      </c>
      <c r="Z56">
        <f>LN(C56/C55)</f>
        <v>3.2819837183974663E-4</v>
      </c>
    </row>
    <row r="57" spans="1:26" x14ac:dyDescent="0.3">
      <c r="A57" s="9">
        <v>40261</v>
      </c>
      <c r="B57" s="1">
        <v>21654.54</v>
      </c>
      <c r="C57" s="1">
        <v>22.771830000000001</v>
      </c>
      <c r="D57" s="6">
        <f t="shared" si="18"/>
        <v>-5.970728876945719E-3</v>
      </c>
      <c r="E57" s="5">
        <f t="shared" si="17"/>
        <v>3.2814452064555688E-4</v>
      </c>
      <c r="G57" s="25" t="str">
        <f>IF(VLOOKUP(A57,Aux!B:C,2,FALSE)=0,"",VLOOKUP(A57,Aux!B:C,2,FALSE))</f>
        <v/>
      </c>
      <c r="H57" s="25" t="str">
        <f t="shared" si="0"/>
        <v/>
      </c>
      <c r="L57" s="13">
        <f t="shared" si="5"/>
        <v>100901.381360802</v>
      </c>
      <c r="M57" s="14">
        <f t="shared" si="6"/>
        <v>-300.0760398729463</v>
      </c>
      <c r="N57" s="14">
        <f t="shared" si="7"/>
        <v>16.71137948746718</v>
      </c>
      <c r="O57" s="1">
        <f t="shared" si="8"/>
        <v>2.3070349801871837</v>
      </c>
      <c r="P57" s="1">
        <f t="shared" si="9"/>
        <v>2237.1324615078988</v>
      </c>
      <c r="S57" s="6">
        <f t="shared" si="1"/>
        <v>0.49511493882550639</v>
      </c>
      <c r="T57" s="6">
        <f t="shared" si="2"/>
        <v>0.5048850611744935</v>
      </c>
      <c r="V57" s="1">
        <f t="shared" si="10"/>
        <v>100901.38136080198</v>
      </c>
      <c r="W57" s="7">
        <f t="shared" si="11"/>
        <v>-2.8043968160495086E-3</v>
      </c>
      <c r="X57" s="7">
        <f t="shared" si="12"/>
        <v>-2.8043968160495086E-3</v>
      </c>
      <c r="Y57">
        <f>LN(B57/B56)</f>
        <v>-5.9886249492274949E-3</v>
      </c>
      <c r="Z57">
        <f>LN(C57/C56)</f>
        <v>3.280906930075164E-4</v>
      </c>
    </row>
    <row r="58" spans="1:26" x14ac:dyDescent="0.3">
      <c r="A58" s="11">
        <v>40262</v>
      </c>
      <c r="B58" s="12">
        <v>21524.3</v>
      </c>
      <c r="C58" s="12">
        <v>22.779299999999999</v>
      </c>
      <c r="D58" s="16">
        <f t="shared" si="18"/>
        <v>-6.0144431606490301E-3</v>
      </c>
      <c r="E58" s="15">
        <f t="shared" si="17"/>
        <v>3.2803687714144658E-4</v>
      </c>
      <c r="G58" s="25" t="str">
        <f>IF(VLOOKUP(A58,Aux!B:C,2,FALSE)=0,"",VLOOKUP(A58,Aux!B:C,2,FALSE))</f>
        <v/>
      </c>
      <c r="H58" s="25" t="str">
        <f t="shared" si="0"/>
        <v/>
      </c>
      <c r="L58" s="13">
        <f t="shared" si="5"/>
        <v>100617.62450446987</v>
      </c>
      <c r="M58" s="14">
        <f t="shared" si="6"/>
        <v>-300.4682358195825</v>
      </c>
      <c r="N58" s="14">
        <f t="shared" si="7"/>
        <v>16.711379487459233</v>
      </c>
      <c r="O58" s="1">
        <f t="shared" si="8"/>
        <v>2.3070349801871837</v>
      </c>
      <c r="P58" s="1">
        <f t="shared" si="9"/>
        <v>2237.1324615078988</v>
      </c>
      <c r="S58" s="6">
        <f t="shared" si="1"/>
        <v>0.49352499891146806</v>
      </c>
      <c r="T58" s="6">
        <f t="shared" si="2"/>
        <v>0.50647500108853194</v>
      </c>
      <c r="V58" s="1">
        <f t="shared" si="10"/>
        <v>100617.62450446987</v>
      </c>
      <c r="W58" s="7">
        <f t="shared" si="11"/>
        <v>-2.8161814579272478E-3</v>
      </c>
      <c r="X58" s="7">
        <f t="shared" si="12"/>
        <v>-2.8161814579270254E-3</v>
      </c>
      <c r="Y58">
        <f>LN(B58/B57)</f>
        <v>-6.0326027738347304E-3</v>
      </c>
      <c r="Z58">
        <f>LN(C58/C57)</f>
        <v>3.2798308480865528E-4</v>
      </c>
    </row>
    <row r="59" spans="1:26" x14ac:dyDescent="0.3">
      <c r="A59" s="9">
        <v>40263</v>
      </c>
      <c r="B59" s="1">
        <v>21597.66</v>
      </c>
      <c r="C59" s="1">
        <v>22.786770000000001</v>
      </c>
      <c r="D59" s="6">
        <f t="shared" si="18"/>
        <v>3.4082409184039708E-3</v>
      </c>
      <c r="E59" s="5">
        <f t="shared" si="17"/>
        <v>3.2792930423686251E-4</v>
      </c>
      <c r="G59" s="25" t="str">
        <f>IF(VLOOKUP(A59,Aux!B:C,2,FALSE)=0,"",VLOOKUP(A59,Aux!B:C,2,FALSE))</f>
        <v/>
      </c>
      <c r="H59" s="25" t="str">
        <f t="shared" si="0"/>
        <v/>
      </c>
      <c r="L59" s="13">
        <f t="shared" si="5"/>
        <v>100803.57997010386</v>
      </c>
      <c r="M59" s="14">
        <f t="shared" si="6"/>
        <v>169.24408614653314</v>
      </c>
      <c r="N59" s="14">
        <f t="shared" si="7"/>
        <v>16.71137948746718</v>
      </c>
      <c r="O59" s="1">
        <f t="shared" si="8"/>
        <v>2.3070349801871837</v>
      </c>
      <c r="P59" s="1">
        <f t="shared" si="9"/>
        <v>2237.1324615078988</v>
      </c>
      <c r="S59" s="6">
        <f t="shared" si="1"/>
        <v>0.49429352732280929</v>
      </c>
      <c r="T59" s="6">
        <f t="shared" si="2"/>
        <v>0.50570647267719082</v>
      </c>
      <c r="V59" s="1">
        <f t="shared" si="10"/>
        <v>100803.57997010386</v>
      </c>
      <c r="W59" s="7">
        <f t="shared" si="11"/>
        <v>1.8464343806390473E-3</v>
      </c>
      <c r="X59" s="7">
        <f t="shared" si="12"/>
        <v>1.8464343806390473E-3</v>
      </c>
      <c r="Y59">
        <f>LN(B59/B58)</f>
        <v>3.4024460285127056E-3</v>
      </c>
      <c r="Z59">
        <f>LN(C59/C58)</f>
        <v>3.278755471745968E-4</v>
      </c>
    </row>
    <row r="60" spans="1:26" x14ac:dyDescent="0.3">
      <c r="A60" s="11">
        <v>40266</v>
      </c>
      <c r="B60" s="12">
        <v>21924.51</v>
      </c>
      <c r="C60" s="12">
        <v>22.794229999999999</v>
      </c>
      <c r="D60" s="16">
        <f t="shared" si="18"/>
        <v>1.5133583916035365E-2</v>
      </c>
      <c r="E60" s="15">
        <f t="shared" si="17"/>
        <v>3.2738295072087809E-4</v>
      </c>
      <c r="G60" s="25" t="str">
        <f>IF(VLOOKUP(A60,Aux!B:C,2,FALSE)=0,"",VLOOKUP(A60,Aux!B:C,2,FALSE))</f>
        <v/>
      </c>
      <c r="H60" s="25" t="str">
        <f t="shared" si="0"/>
        <v/>
      </c>
      <c r="L60" s="13">
        <f t="shared" si="5"/>
        <v>101574.3233615409</v>
      </c>
      <c r="M60" s="14">
        <f t="shared" si="6"/>
        <v>754.05438327417767</v>
      </c>
      <c r="N60" s="14">
        <f t="shared" si="7"/>
        <v>16.689008162844999</v>
      </c>
      <c r="O60" s="1">
        <f t="shared" si="8"/>
        <v>2.3070349801871837</v>
      </c>
      <c r="P60" s="1">
        <f t="shared" si="9"/>
        <v>2237.1324615078988</v>
      </c>
      <c r="S60" s="6">
        <f t="shared" si="1"/>
        <v>0.49796651180661522</v>
      </c>
      <c r="T60" s="6">
        <f t="shared" si="2"/>
        <v>0.50203348819338478</v>
      </c>
      <c r="V60" s="1">
        <f t="shared" si="10"/>
        <v>101574.3233615409</v>
      </c>
      <c r="W60" s="7">
        <f t="shared" si="11"/>
        <v>7.6169098020766818E-3</v>
      </c>
      <c r="X60" s="7">
        <f t="shared" si="12"/>
        <v>7.6169098020766818E-3</v>
      </c>
      <c r="Y60">
        <f>LN(B60/B59)</f>
        <v>1.5020213603437714E-2</v>
      </c>
      <c r="Z60">
        <f>LN(C60/C59)</f>
        <v>3.2732937261605315E-4</v>
      </c>
    </row>
    <row r="61" spans="1:26" x14ac:dyDescent="0.3">
      <c r="A61" s="9">
        <v>40267</v>
      </c>
      <c r="B61" s="1">
        <v>21956.92</v>
      </c>
      <c r="C61" s="1">
        <v>22.801659999999998</v>
      </c>
      <c r="D61" s="6">
        <f t="shared" si="18"/>
        <v>1.4782542460469728E-3</v>
      </c>
      <c r="E61" s="5">
        <f t="shared" si="17"/>
        <v>3.259596836566736E-4</v>
      </c>
      <c r="G61" s="25" t="str">
        <f>IF(VLOOKUP(A61,Aux!B:C,2,FALSE)=0,"",VLOOKUP(A61,Aux!B:C,2,FALSE))</f>
        <v/>
      </c>
      <c r="H61" s="25" t="str">
        <f t="shared" si="0"/>
        <v/>
      </c>
      <c r="L61" s="13">
        <f t="shared" si="5"/>
        <v>101665.71625943776</v>
      </c>
      <c r="M61" s="14">
        <f t="shared" si="6"/>
        <v>74.771003707866285</v>
      </c>
      <c r="N61" s="14">
        <f t="shared" si="7"/>
        <v>16.621894189002305</v>
      </c>
      <c r="O61" s="1">
        <f t="shared" si="8"/>
        <v>2.3070349801871837</v>
      </c>
      <c r="P61" s="1">
        <f t="shared" si="9"/>
        <v>2237.1324615078988</v>
      </c>
      <c r="S61" s="6">
        <f t="shared" si="1"/>
        <v>0.49825432172145023</v>
      </c>
      <c r="T61" s="6">
        <f t="shared" si="2"/>
        <v>0.50174567827854988</v>
      </c>
      <c r="V61" s="1">
        <f t="shared" si="10"/>
        <v>101665.71625943776</v>
      </c>
      <c r="W61" s="7">
        <f t="shared" si="11"/>
        <v>8.993592426722926E-4</v>
      </c>
      <c r="X61" s="7">
        <f t="shared" si="12"/>
        <v>8.993592426722926E-4</v>
      </c>
      <c r="Y61">
        <f>LN(B61/B60)</f>
        <v>1.4771627038245338E-3</v>
      </c>
      <c r="Z61">
        <f>LN(C61/C60)</f>
        <v>3.2590657034054182E-4</v>
      </c>
    </row>
    <row r="62" spans="1:26" x14ac:dyDescent="0.3">
      <c r="A62" s="11">
        <v>40268</v>
      </c>
      <c r="B62" s="12">
        <v>22088.74</v>
      </c>
      <c r="C62" s="12">
        <v>22.80912</v>
      </c>
      <c r="D62" s="16">
        <f t="shared" si="18"/>
        <v>6.0035742718014262E-3</v>
      </c>
      <c r="E62" s="15">
        <f t="shared" si="17"/>
        <v>3.271691622452888E-4</v>
      </c>
      <c r="G62" s="25" t="str">
        <f>IF(VLOOKUP(A62,Aux!B:C,2,FALSE)=0,"",VLOOKUP(A62,Aux!B:C,2,FALSE))</f>
        <v/>
      </c>
      <c r="H62" s="25" t="str">
        <f t="shared" si="0"/>
        <v/>
      </c>
      <c r="L62" s="13">
        <f t="shared" si="5"/>
        <v>101986.51861868889</v>
      </c>
      <c r="M62" s="14">
        <f t="shared" si="6"/>
        <v>304.11335108828229</v>
      </c>
      <c r="N62" s="14">
        <f t="shared" si="7"/>
        <v>16.68900816285295</v>
      </c>
      <c r="O62" s="1">
        <f t="shared" si="8"/>
        <v>2.3070349801871837</v>
      </c>
      <c r="P62" s="1">
        <f t="shared" si="9"/>
        <v>2237.1324615078988</v>
      </c>
      <c r="S62" s="6">
        <f t="shared" si="1"/>
        <v>0.49966894191956068</v>
      </c>
      <c r="T62" s="6">
        <f t="shared" si="2"/>
        <v>0.50033105808043943</v>
      </c>
      <c r="V62" s="1">
        <f t="shared" si="10"/>
        <v>101986.51861868889</v>
      </c>
      <c r="W62" s="7">
        <f t="shared" si="11"/>
        <v>3.1504945162011619E-3</v>
      </c>
      <c r="X62" s="7">
        <f t="shared" si="12"/>
        <v>3.1504945162011619E-3</v>
      </c>
      <c r="Y62">
        <f>LN(B62/B61)</f>
        <v>5.9856246253127019E-3</v>
      </c>
      <c r="Z62">
        <f>LN(C62/C61)</f>
        <v>3.2711565408542173E-4</v>
      </c>
    </row>
    <row r="63" spans="1:26" x14ac:dyDescent="0.3">
      <c r="A63" s="9">
        <v>40269</v>
      </c>
      <c r="B63" s="1">
        <v>22308.83</v>
      </c>
      <c r="C63" s="1">
        <v>22.816600000000001</v>
      </c>
      <c r="D63" s="6">
        <f t="shared" si="18"/>
        <v>9.9639001590856591E-3</v>
      </c>
      <c r="E63" s="5">
        <f t="shared" si="17"/>
        <v>3.2793899983873942E-4</v>
      </c>
      <c r="G63" s="25" t="str">
        <f>IF(VLOOKUP(A63,Aux!B:C,2,FALSE)=0,"",VLOOKUP(A63,Aux!B:C,2,FALSE))</f>
        <v/>
      </c>
      <c r="H63" s="25" t="str">
        <f t="shared" si="0"/>
        <v/>
      </c>
      <c r="L63" s="13">
        <f t="shared" si="5"/>
        <v>102511.00769829037</v>
      </c>
      <c r="M63" s="14">
        <f t="shared" si="6"/>
        <v>507.75532878939759</v>
      </c>
      <c r="N63" s="14">
        <f t="shared" si="7"/>
        <v>16.733750812081414</v>
      </c>
      <c r="O63" s="1">
        <f t="shared" si="8"/>
        <v>2.3070349801871837</v>
      </c>
      <c r="P63" s="1">
        <f t="shared" si="9"/>
        <v>2237.1324615078988</v>
      </c>
      <c r="S63" s="6">
        <f t="shared" si="1"/>
        <v>0.50206560575940562</v>
      </c>
      <c r="T63" s="6">
        <f t="shared" si="2"/>
        <v>0.49793439424059444</v>
      </c>
      <c r="V63" s="1">
        <f t="shared" si="10"/>
        <v>102511.00769829037</v>
      </c>
      <c r="W63" s="7">
        <f t="shared" si="11"/>
        <v>5.1295508467957352E-3</v>
      </c>
      <c r="X63" s="7">
        <f t="shared" si="12"/>
        <v>5.1295508467957352E-3</v>
      </c>
      <c r="Y63">
        <f>LN(B63/B62)</f>
        <v>9.914587797645813E-3</v>
      </c>
      <c r="Z63">
        <f>LN(C63/C62)</f>
        <v>3.2788523959799702E-4</v>
      </c>
    </row>
    <row r="64" spans="1:26" x14ac:dyDescent="0.3">
      <c r="A64" s="11">
        <v>40273</v>
      </c>
      <c r="B64" s="12">
        <v>22369.52</v>
      </c>
      <c r="C64" s="12">
        <v>22.82405</v>
      </c>
      <c r="D64" s="16">
        <f t="shared" si="18"/>
        <v>2.720447464075848E-3</v>
      </c>
      <c r="E64" s="15">
        <f t="shared" si="17"/>
        <v>3.265166589236923E-4</v>
      </c>
      <c r="G64" s="25" t="str">
        <f>IF(VLOOKUP(A64,Aux!B:C,2,FALSE)=0,"",VLOOKUP(A64,Aux!B:C,2,FALSE))</f>
        <v/>
      </c>
      <c r="H64" s="25" t="str">
        <f t="shared" si="0"/>
        <v/>
      </c>
      <c r="L64" s="13">
        <f t="shared" si="5"/>
        <v>102667.68828807616</v>
      </c>
      <c r="M64" s="14">
        <f t="shared" si="6"/>
        <v>140.01395294755716</v>
      </c>
      <c r="N64" s="14">
        <f t="shared" si="7"/>
        <v>16.666636838230769</v>
      </c>
      <c r="O64" s="1">
        <f t="shared" si="8"/>
        <v>2.3070349801871837</v>
      </c>
      <c r="P64" s="1">
        <f t="shared" si="9"/>
        <v>2237.1324615078988</v>
      </c>
      <c r="S64" s="6">
        <f t="shared" si="1"/>
        <v>0.50266316492090035</v>
      </c>
      <c r="T64" s="6">
        <f t="shared" si="2"/>
        <v>0.49733683507909981</v>
      </c>
      <c r="V64" s="1">
        <f t="shared" si="10"/>
        <v>102667.68828807617</v>
      </c>
      <c r="W64" s="7">
        <f t="shared" si="11"/>
        <v>1.5272601230616847E-3</v>
      </c>
      <c r="X64" s="7">
        <f t="shared" si="12"/>
        <v>1.5272601230616847E-3</v>
      </c>
      <c r="Y64">
        <f>LN(B64/B63)</f>
        <v>2.7167537444038252E-3</v>
      </c>
      <c r="Z64">
        <f>LN(C64/C63)</f>
        <v>3.2646336396022831E-4</v>
      </c>
    </row>
    <row r="65" spans="1:26" x14ac:dyDescent="0.3">
      <c r="A65" s="9">
        <v>40274</v>
      </c>
      <c r="B65" s="1">
        <v>22324.69</v>
      </c>
      <c r="C65" s="1">
        <v>22.831530000000001</v>
      </c>
      <c r="D65" s="6">
        <f t="shared" si="18"/>
        <v>-2.0040662472865511E-3</v>
      </c>
      <c r="E65" s="5">
        <f t="shared" si="17"/>
        <v>3.2772448360396389E-4</v>
      </c>
      <c r="G65" s="25" t="str">
        <f>IF(VLOOKUP(A65,Aux!B:C,2,FALSE)=0,"",VLOOKUP(A65,Aux!B:C,2,FALSE))</f>
        <v/>
      </c>
      <c r="H65" s="25" t="str">
        <f t="shared" si="0"/>
        <v/>
      </c>
      <c r="L65" s="13">
        <f t="shared" si="5"/>
        <v>102580.99766072644</v>
      </c>
      <c r="M65" s="14">
        <f t="shared" si="6"/>
        <v>-103.42437816179547</v>
      </c>
      <c r="N65" s="14">
        <f t="shared" si="7"/>
        <v>16.733750812081414</v>
      </c>
      <c r="O65" s="1">
        <f t="shared" si="8"/>
        <v>2.3070349801871837</v>
      </c>
      <c r="P65" s="1">
        <f t="shared" si="9"/>
        <v>2237.1324615078988</v>
      </c>
      <c r="S65" s="6">
        <f t="shared" si="1"/>
        <v>0.50207974114443099</v>
      </c>
      <c r="T65" s="6">
        <f t="shared" si="2"/>
        <v>0.49792025885556912</v>
      </c>
      <c r="V65" s="1">
        <f t="shared" si="10"/>
        <v>102580.99766072645</v>
      </c>
      <c r="W65" s="7">
        <f t="shared" si="11"/>
        <v>-8.4473751541007294E-4</v>
      </c>
      <c r="X65" s="7">
        <f t="shared" si="12"/>
        <v>-8.4473751541007294E-4</v>
      </c>
      <c r="Y65">
        <f>LN(B65/B64)</f>
        <v>-2.00607707505216E-3</v>
      </c>
      <c r="Z65">
        <f>LN(C65/C64)</f>
        <v>3.2767079366540511E-4</v>
      </c>
    </row>
    <row r="66" spans="1:26" x14ac:dyDescent="0.3">
      <c r="A66" s="11">
        <v>40275</v>
      </c>
      <c r="B66" s="12">
        <v>22265.01</v>
      </c>
      <c r="C66" s="12">
        <v>22.839030000000001</v>
      </c>
      <c r="D66" s="16">
        <f t="shared" si="18"/>
        <v>-2.6732734026766458E-3</v>
      </c>
      <c r="E66" s="15">
        <f t="shared" si="17"/>
        <v>3.2849309704596763E-4</v>
      </c>
      <c r="G66" s="25" t="str">
        <f>IF(VLOOKUP(A66,Aux!B:C,2,FALSE)=0,"",VLOOKUP(A66,Aux!B:C,2,FALSE))</f>
        <v/>
      </c>
      <c r="H66" s="25" t="str">
        <f t="shared" si="0"/>
        <v/>
      </c>
      <c r="L66" s="13">
        <f t="shared" si="5"/>
        <v>102460.09230657018</v>
      </c>
      <c r="M66" s="14">
        <f t="shared" si="6"/>
        <v>-137.68384761757179</v>
      </c>
      <c r="N66" s="14">
        <f t="shared" si="7"/>
        <v>16.778493461309878</v>
      </c>
      <c r="O66" s="1">
        <f t="shared" si="8"/>
        <v>2.3070349801871837</v>
      </c>
      <c r="P66" s="1">
        <f t="shared" si="9"/>
        <v>2237.1324615078988</v>
      </c>
      <c r="S66" s="6">
        <f t="shared" si="1"/>
        <v>0.50132842697940483</v>
      </c>
      <c r="T66" s="6">
        <f t="shared" si="2"/>
        <v>0.49867157302059534</v>
      </c>
      <c r="V66" s="1">
        <f t="shared" si="10"/>
        <v>102460.09230657019</v>
      </c>
      <c r="W66" s="7">
        <f t="shared" si="11"/>
        <v>-1.1793281843031885E-3</v>
      </c>
      <c r="X66" s="7">
        <f t="shared" si="12"/>
        <v>-1.1793281843031885E-3</v>
      </c>
      <c r="Y66">
        <f>LN(B66/B65)</f>
        <v>-2.6768529788998479E-3</v>
      </c>
      <c r="Z66">
        <f>LN(C66/C65)</f>
        <v>3.2843915500130045E-4</v>
      </c>
    </row>
    <row r="67" spans="1:26" x14ac:dyDescent="0.3">
      <c r="A67" s="9">
        <v>40276</v>
      </c>
      <c r="B67" s="1">
        <v>22575.03</v>
      </c>
      <c r="C67" s="1">
        <v>22.846530000000001</v>
      </c>
      <c r="D67" s="6">
        <f t="shared" si="18"/>
        <v>1.3924089861176769E-2</v>
      </c>
      <c r="E67" s="5">
        <f t="shared" si="17"/>
        <v>3.2838522476663634E-4</v>
      </c>
      <c r="G67" s="25" t="str">
        <f>IF(VLOOKUP(A67,Aux!B:C,2,FALSE)=0,"",VLOOKUP(A67,Aux!B:C,2,FALSE))</f>
        <v/>
      </c>
      <c r="H67" s="25" t="str">
        <f t="shared" ref="H67:H130" si="19">IF(ISNUMBER(G67),1-G67,"")</f>
        <v/>
      </c>
      <c r="L67" s="13">
        <f t="shared" si="5"/>
        <v>103192.09778458913</v>
      </c>
      <c r="M67" s="14">
        <f t="shared" si="6"/>
        <v>715.22698455763168</v>
      </c>
      <c r="N67" s="14">
        <f t="shared" si="7"/>
        <v>16.778493461309878</v>
      </c>
      <c r="O67" s="1">
        <f t="shared" si="8"/>
        <v>2.3070349801871837</v>
      </c>
      <c r="P67" s="1">
        <f t="shared" si="9"/>
        <v>2237.1324615078988</v>
      </c>
      <c r="S67" s="6">
        <f t="shared" ref="S67:S130" si="20">O67*B67/L67</f>
        <v>0.5047032186272018</v>
      </c>
      <c r="T67" s="6">
        <f t="shared" ref="T67:T130" si="21">P67*C67/L67</f>
        <v>0.4952967813727982</v>
      </c>
      <c r="V67" s="1">
        <f t="shared" si="10"/>
        <v>103192.09778458913</v>
      </c>
      <c r="W67" s="7">
        <f t="shared" si="11"/>
        <v>7.1188988468050482E-3</v>
      </c>
      <c r="X67" s="7">
        <f t="shared" si="12"/>
        <v>7.1188988468048279E-3</v>
      </c>
      <c r="Y67">
        <f>LN(B67/B66)</f>
        <v>1.3828040296841416E-2</v>
      </c>
      <c r="Z67">
        <f>LN(C67/C66)</f>
        <v>3.2833131813981745E-4</v>
      </c>
    </row>
    <row r="68" spans="1:26" x14ac:dyDescent="0.3">
      <c r="A68" s="11">
        <v>40277</v>
      </c>
      <c r="B68" s="12">
        <v>22480.78</v>
      </c>
      <c r="C68" s="12">
        <v>22.854030000000002</v>
      </c>
      <c r="D68" s="16">
        <f t="shared" si="18"/>
        <v>-4.1749667663786294E-3</v>
      </c>
      <c r="E68" s="15">
        <f t="shared" si="17"/>
        <v>3.2827742331109633E-4</v>
      </c>
      <c r="G68" s="25" t="str">
        <f>IF(VLOOKUP(A68,Aux!B:C,2,FALSE)=0,"",VLOOKUP(A68,Aux!B:C,2,FALSE))</f>
        <v/>
      </c>
      <c r="H68" s="25" t="str">
        <f t="shared" si="19"/>
        <v/>
      </c>
      <c r="L68" s="13">
        <f t="shared" ref="L68:L131" si="22">L67+M68+N68</f>
        <v>102991.43823116781</v>
      </c>
      <c r="M68" s="14">
        <f t="shared" ref="M68:M131" si="23">O67*(B68-B67)</f>
        <v>-217.43804688264206</v>
      </c>
      <c r="N68" s="14">
        <f t="shared" ref="N68:N131" si="24">P67*(C68-C67)</f>
        <v>16.778493461309878</v>
      </c>
      <c r="O68" s="1">
        <f t="shared" ref="O68:O131" si="25">IF(ISNUMBER(G68),L68*G68/B68,O67)</f>
        <v>2.3070349801871837</v>
      </c>
      <c r="P68" s="1">
        <f t="shared" ref="P68:P131" si="26">IF(ISNUMBER(H68),L68*H68/C68,P67)</f>
        <v>2237.1324615078988</v>
      </c>
      <c r="S68" s="6">
        <f t="shared" si="20"/>
        <v>0.50357531395456423</v>
      </c>
      <c r="T68" s="6">
        <f t="shared" si="21"/>
        <v>0.49642468604543571</v>
      </c>
      <c r="V68" s="1">
        <f t="shared" ref="V68:V131" si="27">$O$2*B68+$P$2*C68</f>
        <v>102991.43823116779</v>
      </c>
      <c r="W68" s="7">
        <f t="shared" ref="W68:W131" si="28">LN(L68/L67)</f>
        <v>-1.9464174555291795E-3</v>
      </c>
      <c r="X68" s="7">
        <f t="shared" ref="X68:X131" si="29">LN(V68/V67)</f>
        <v>-1.9464174555292907E-3</v>
      </c>
      <c r="Y68">
        <f>LN(B68/B67)</f>
        <v>-4.1837062733781506E-3</v>
      </c>
      <c r="Z68">
        <f>LN(C68/C67)</f>
        <v>3.282235520672547E-4</v>
      </c>
    </row>
    <row r="69" spans="1:26" x14ac:dyDescent="0.3">
      <c r="A69" s="9">
        <v>40280</v>
      </c>
      <c r="B69" s="1">
        <v>22198.26</v>
      </c>
      <c r="C69" s="1">
        <v>22.861529999999998</v>
      </c>
      <c r="D69" s="6">
        <f t="shared" si="18"/>
        <v>-1.2567179608536705E-2</v>
      </c>
      <c r="E69" s="5">
        <f t="shared" ref="E69:E132" si="30">C69/C68-1</f>
        <v>3.2816969260984763E-4</v>
      </c>
      <c r="G69" s="25" t="str">
        <f>IF(VLOOKUP(A69,Aux!B:C,2,FALSE)=0,"",VLOOKUP(A69,Aux!B:C,2,FALSE))</f>
        <v/>
      </c>
      <c r="H69" s="25" t="str">
        <f t="shared" si="19"/>
        <v/>
      </c>
      <c r="L69" s="13">
        <f t="shared" si="22"/>
        <v>102356.43320202662</v>
      </c>
      <c r="M69" s="14">
        <f t="shared" si="23"/>
        <v>-651.78352260248414</v>
      </c>
      <c r="N69" s="14">
        <f t="shared" si="24"/>
        <v>16.778493461301927</v>
      </c>
      <c r="O69" s="1">
        <f t="shared" si="25"/>
        <v>2.3070349801871837</v>
      </c>
      <c r="P69" s="1">
        <f t="shared" si="26"/>
        <v>2237.1324615078988</v>
      </c>
      <c r="S69" s="6">
        <f t="shared" si="20"/>
        <v>0.50033164225456783</v>
      </c>
      <c r="T69" s="6">
        <f t="shared" si="21"/>
        <v>0.49966835774543222</v>
      </c>
      <c r="V69" s="1">
        <f t="shared" si="27"/>
        <v>102356.43320202662</v>
      </c>
      <c r="W69" s="7">
        <f t="shared" si="28"/>
        <v>-6.1846957439677178E-3</v>
      </c>
      <c r="X69" s="7">
        <f t="shared" si="29"/>
        <v>-6.184695743967494E-3</v>
      </c>
      <c r="Y69">
        <f>LN(B69/B68)</f>
        <v>-1.2646814504332698E-2</v>
      </c>
      <c r="Z69">
        <f>LN(C69/C68)</f>
        <v>3.2811585671415797E-4</v>
      </c>
    </row>
    <row r="70" spans="1:26" x14ac:dyDescent="0.3">
      <c r="A70" s="11">
        <v>40281</v>
      </c>
      <c r="B70" s="12">
        <v>22214.54</v>
      </c>
      <c r="C70" s="12">
        <v>22.869039999999998</v>
      </c>
      <c r="D70" s="16">
        <f t="shared" si="18"/>
        <v>7.3339081531620387E-4</v>
      </c>
      <c r="E70" s="15">
        <f t="shared" si="30"/>
        <v>3.2849944863699854E-4</v>
      </c>
      <c r="G70" s="25" t="str">
        <f>IF(VLOOKUP(A70,Aux!B:C,2,FALSE)=0,"",VLOOKUP(A70,Aux!B:C,2,FALSE))</f>
        <v/>
      </c>
      <c r="H70" s="25" t="str">
        <f t="shared" si="19"/>
        <v/>
      </c>
      <c r="L70" s="13">
        <f t="shared" si="22"/>
        <v>102410.79259628999</v>
      </c>
      <c r="M70" s="14">
        <f t="shared" si="23"/>
        <v>37.558529477453057</v>
      </c>
      <c r="N70" s="14">
        <f t="shared" si="24"/>
        <v>16.800864785924109</v>
      </c>
      <c r="O70" s="1">
        <f t="shared" si="25"/>
        <v>2.3070349801871837</v>
      </c>
      <c r="P70" s="1">
        <f t="shared" si="26"/>
        <v>2237.1324615078988</v>
      </c>
      <c r="S70" s="6">
        <f t="shared" si="20"/>
        <v>0.50043281132289574</v>
      </c>
      <c r="T70" s="6">
        <f t="shared" si="21"/>
        <v>0.49956718867710431</v>
      </c>
      <c r="V70" s="1">
        <f t="shared" si="27"/>
        <v>102410.79259629</v>
      </c>
      <c r="W70" s="7">
        <f t="shared" si="28"/>
        <v>5.3093843830163674E-4</v>
      </c>
      <c r="X70" s="7">
        <f t="shared" si="29"/>
        <v>5.3093843830163674E-4</v>
      </c>
      <c r="Y70">
        <f>LN(B70/B69)</f>
        <v>7.3312201568763241E-4</v>
      </c>
      <c r="Z70">
        <f>LN(C70/C69)</f>
        <v>3.2844550450654252E-4</v>
      </c>
    </row>
    <row r="71" spans="1:26" x14ac:dyDescent="0.3">
      <c r="A71" s="9">
        <v>40282</v>
      </c>
      <c r="B71" s="1">
        <v>22317.26</v>
      </c>
      <c r="C71" s="1">
        <v>22.876539999999999</v>
      </c>
      <c r="D71" s="6">
        <f t="shared" si="18"/>
        <v>4.6239985162870312E-3</v>
      </c>
      <c r="E71" s="5">
        <f t="shared" si="30"/>
        <v>3.2795429978693669E-4</v>
      </c>
      <c r="G71" s="25" t="str">
        <f>IF(VLOOKUP(A71,Aux!B:C,2,FALSE)=0,"",VLOOKUP(A71,Aux!B:C,2,FALSE))</f>
        <v/>
      </c>
      <c r="H71" s="25" t="str">
        <f t="shared" si="19"/>
        <v/>
      </c>
      <c r="L71" s="13">
        <f t="shared" si="22"/>
        <v>102664.54972291613</v>
      </c>
      <c r="M71" s="14">
        <f t="shared" si="23"/>
        <v>236.97863316482179</v>
      </c>
      <c r="N71" s="14">
        <f t="shared" si="24"/>
        <v>16.778493461309878</v>
      </c>
      <c r="O71" s="1">
        <f t="shared" si="25"/>
        <v>2.3070349801871837</v>
      </c>
      <c r="P71" s="1">
        <f t="shared" si="26"/>
        <v>2237.1324615078988</v>
      </c>
      <c r="S71" s="6">
        <f t="shared" si="20"/>
        <v>0.50150416692900268</v>
      </c>
      <c r="T71" s="6">
        <f t="shared" si="21"/>
        <v>0.49849583307099737</v>
      </c>
      <c r="V71" s="1">
        <f t="shared" si="27"/>
        <v>102664.54972291613</v>
      </c>
      <c r="W71" s="7">
        <f t="shared" si="28"/>
        <v>2.474771011156055E-3</v>
      </c>
      <c r="X71" s="7">
        <f t="shared" si="29"/>
        <v>2.4747710111558334E-3</v>
      </c>
      <c r="Y71">
        <f>LN(B71/B70)</f>
        <v>4.6133406770740345E-3</v>
      </c>
      <c r="Z71">
        <f>LN(C71/C70)</f>
        <v>3.2790053453027253E-4</v>
      </c>
    </row>
    <row r="72" spans="1:26" x14ac:dyDescent="0.3">
      <c r="A72" s="11">
        <v>40283</v>
      </c>
      <c r="B72" s="12">
        <v>22180.41</v>
      </c>
      <c r="C72" s="12">
        <v>22.884039999999999</v>
      </c>
      <c r="D72" s="16">
        <f t="shared" si="18"/>
        <v>-6.1320251679640725E-3</v>
      </c>
      <c r="E72" s="15">
        <f t="shared" si="30"/>
        <v>3.2784678102548703E-4</v>
      </c>
      <c r="G72" s="25" t="str">
        <f>IF(VLOOKUP(A72,Aux!B:C,2,FALSE)=0,"",VLOOKUP(A72,Aux!B:C,2,FALSE))</f>
        <v/>
      </c>
      <c r="H72" s="25" t="str">
        <f t="shared" si="19"/>
        <v/>
      </c>
      <c r="L72" s="13">
        <f t="shared" si="22"/>
        <v>102365.61047933882</v>
      </c>
      <c r="M72" s="14">
        <f t="shared" si="23"/>
        <v>-315.71773703861271</v>
      </c>
      <c r="N72" s="14">
        <f t="shared" si="24"/>
        <v>16.778493461309878</v>
      </c>
      <c r="O72" s="1">
        <f t="shared" si="25"/>
        <v>2.3070349801871837</v>
      </c>
      <c r="P72" s="1">
        <f t="shared" si="26"/>
        <v>2237.1324615078988</v>
      </c>
      <c r="S72" s="6">
        <f t="shared" si="20"/>
        <v>0.49988449739399354</v>
      </c>
      <c r="T72" s="6">
        <f t="shared" si="21"/>
        <v>0.50011550260600646</v>
      </c>
      <c r="V72" s="1">
        <f t="shared" si="27"/>
        <v>102365.61047933882</v>
      </c>
      <c r="W72" s="7">
        <f t="shared" si="28"/>
        <v>-2.9160534734490678E-3</v>
      </c>
      <c r="X72" s="7">
        <f t="shared" si="29"/>
        <v>-2.9160534734490678E-3</v>
      </c>
      <c r="Y72">
        <f>LN(B72/B71)</f>
        <v>-6.150903247766841E-3</v>
      </c>
      <c r="Z72">
        <f>LN(C72/C71)</f>
        <v>3.2779305101272638E-4</v>
      </c>
    </row>
    <row r="73" spans="1:26" x14ac:dyDescent="0.3">
      <c r="A73" s="9">
        <v>40284</v>
      </c>
      <c r="B73" s="1">
        <v>21807.75</v>
      </c>
      <c r="C73" s="1">
        <v>22.891549999999999</v>
      </c>
      <c r="D73" s="6">
        <f t="shared" si="18"/>
        <v>-1.6801312509552302E-2</v>
      </c>
      <c r="E73" s="5">
        <f t="shared" si="30"/>
        <v>3.2817631851722595E-4</v>
      </c>
      <c r="G73" s="25" t="str">
        <f>IF(VLOOKUP(A73,Aux!B:C,2,FALSE)=0,"",VLOOKUP(A73,Aux!B:C,2,FALSE))</f>
        <v/>
      </c>
      <c r="H73" s="25" t="str">
        <f t="shared" si="19"/>
        <v/>
      </c>
      <c r="L73" s="13">
        <f t="shared" si="22"/>
        <v>101522.6716884082</v>
      </c>
      <c r="M73" s="14">
        <f t="shared" si="23"/>
        <v>-859.73965571655549</v>
      </c>
      <c r="N73" s="14">
        <f t="shared" si="24"/>
        <v>16.800864785924109</v>
      </c>
      <c r="O73" s="1">
        <f t="shared" si="25"/>
        <v>2.3070349801871837</v>
      </c>
      <c r="P73" s="1">
        <f t="shared" si="26"/>
        <v>2237.1324615078988</v>
      </c>
      <c r="S73" s="6">
        <f t="shared" si="20"/>
        <v>0.49556656904766583</v>
      </c>
      <c r="T73" s="6">
        <f t="shared" si="21"/>
        <v>0.50443343095233406</v>
      </c>
      <c r="V73" s="1">
        <f t="shared" si="27"/>
        <v>101522.67168840818</v>
      </c>
      <c r="W73" s="7">
        <f t="shared" si="28"/>
        <v>-8.2686811099008141E-3</v>
      </c>
      <c r="X73" s="7">
        <f t="shared" si="29"/>
        <v>-8.2686811099009251E-3</v>
      </c>
      <c r="Y73">
        <f>LN(B73/B72)</f>
        <v>-1.6944055667688269E-2</v>
      </c>
      <c r="Z73">
        <f>LN(C73/C72)</f>
        <v>3.2812248044780575E-4</v>
      </c>
    </row>
    <row r="74" spans="1:26" x14ac:dyDescent="0.3">
      <c r="A74" s="11">
        <v>40287</v>
      </c>
      <c r="B74" s="12">
        <v>21741.71</v>
      </c>
      <c r="C74" s="12">
        <v>22.899070000000002</v>
      </c>
      <c r="D74" s="16">
        <f t="shared" si="18"/>
        <v>-3.0282812302966367E-3</v>
      </c>
      <c r="E74" s="15">
        <f t="shared" si="30"/>
        <v>3.2850549656981975E-4</v>
      </c>
      <c r="G74" s="25" t="str">
        <f>IF(VLOOKUP(A74,Aux!B:C,2,FALSE)=0,"",VLOOKUP(A74,Aux!B:C,2,FALSE))</f>
        <v/>
      </c>
      <c r="H74" s="25" t="str">
        <f t="shared" si="19"/>
        <v/>
      </c>
      <c r="L74" s="13">
        <f t="shared" si="22"/>
        <v>101387.13833442719</v>
      </c>
      <c r="M74" s="14">
        <f t="shared" si="23"/>
        <v>-152.35659009156362</v>
      </c>
      <c r="N74" s="14">
        <f t="shared" si="24"/>
        <v>16.82323611054629</v>
      </c>
      <c r="O74" s="1">
        <f t="shared" si="25"/>
        <v>2.3070349801871837</v>
      </c>
      <c r="P74" s="1">
        <f t="shared" si="26"/>
        <v>2237.1324615078988</v>
      </c>
      <c r="S74" s="6">
        <f t="shared" si="20"/>
        <v>0.4947263166027584</v>
      </c>
      <c r="T74" s="6">
        <f t="shared" si="21"/>
        <v>0.50527368339724144</v>
      </c>
      <c r="V74" s="1">
        <f t="shared" si="27"/>
        <v>101387.13833442717</v>
      </c>
      <c r="W74" s="7">
        <f t="shared" si="28"/>
        <v>-1.3358976988059911E-3</v>
      </c>
      <c r="X74" s="7">
        <f t="shared" si="29"/>
        <v>-1.3358976988059911E-3</v>
      </c>
      <c r="Y74">
        <f>LN(B74/B73)</f>
        <v>-3.0328757519151391E-3</v>
      </c>
      <c r="Z74">
        <f>LN(C74/C73)</f>
        <v>3.284515504532553E-4</v>
      </c>
    </row>
    <row r="75" spans="1:26" x14ac:dyDescent="0.3">
      <c r="A75" s="9">
        <v>40288</v>
      </c>
      <c r="B75" s="1">
        <v>21845.83</v>
      </c>
      <c r="C75" s="1">
        <v>22.906600000000001</v>
      </c>
      <c r="D75" s="6">
        <f t="shared" si="18"/>
        <v>4.7889517429862138E-3</v>
      </c>
      <c r="E75" s="5">
        <f t="shared" si="30"/>
        <v>3.2883431510533079E-4</v>
      </c>
      <c r="G75" s="25" t="str">
        <f>IF(VLOOKUP(A75,Aux!B:C,2,FALSE)=0,"",VLOOKUP(A75,Aux!B:C,2,FALSE))</f>
        <v/>
      </c>
      <c r="H75" s="25" t="str">
        <f t="shared" si="19"/>
        <v/>
      </c>
      <c r="L75" s="13">
        <f t="shared" si="22"/>
        <v>101644.19242399944</v>
      </c>
      <c r="M75" s="14">
        <f t="shared" si="23"/>
        <v>240.20848213709561</v>
      </c>
      <c r="N75" s="14">
        <f t="shared" si="24"/>
        <v>16.845607435152573</v>
      </c>
      <c r="O75" s="1">
        <f t="shared" si="25"/>
        <v>2.3070349801871837</v>
      </c>
      <c r="P75" s="1">
        <f t="shared" si="26"/>
        <v>2237.1324615078988</v>
      </c>
      <c r="S75" s="6">
        <f t="shared" si="20"/>
        <v>0.49583840236525645</v>
      </c>
      <c r="T75" s="6">
        <f t="shared" si="21"/>
        <v>0.50416159763474333</v>
      </c>
      <c r="V75" s="1">
        <f t="shared" si="27"/>
        <v>101644.19242399943</v>
      </c>
      <c r="W75" s="7">
        <f t="shared" si="28"/>
        <v>2.5321631490209918E-3</v>
      </c>
      <c r="X75" s="7">
        <f t="shared" si="29"/>
        <v>2.5321631490209918E-3</v>
      </c>
      <c r="Y75">
        <f>LN(B75/B74)</f>
        <v>4.7775211926305086E-3</v>
      </c>
      <c r="Z75">
        <f>LN(C75/C74)</f>
        <v>3.2878026095151781E-4</v>
      </c>
    </row>
    <row r="76" spans="1:26" x14ac:dyDescent="0.3">
      <c r="A76" s="11">
        <v>40290</v>
      </c>
      <c r="B76" s="12">
        <v>21814.87</v>
      </c>
      <c r="C76" s="12">
        <v>22.91412</v>
      </c>
      <c r="D76" s="16">
        <f t="shared" si="18"/>
        <v>-1.4172041071455199E-3</v>
      </c>
      <c r="E76" s="15">
        <f t="shared" si="30"/>
        <v>3.282896632410548E-4</v>
      </c>
      <c r="G76" s="25" t="str">
        <f>IF(VLOOKUP(A76,Aux!B:C,2,FALSE)=0,"",VLOOKUP(A76,Aux!B:C,2,FALSE))</f>
        <v/>
      </c>
      <c r="H76" s="25" t="str">
        <f t="shared" si="19"/>
        <v/>
      </c>
      <c r="L76" s="13">
        <f t="shared" si="22"/>
        <v>101589.58985712337</v>
      </c>
      <c r="M76" s="14">
        <f t="shared" si="23"/>
        <v>-71.425802986601582</v>
      </c>
      <c r="N76" s="14">
        <f t="shared" si="24"/>
        <v>16.823236110538343</v>
      </c>
      <c r="O76" s="1">
        <f t="shared" si="25"/>
        <v>2.3070349801871837</v>
      </c>
      <c r="P76" s="1">
        <f t="shared" si="26"/>
        <v>2237.1324615078988</v>
      </c>
      <c r="S76" s="6">
        <f t="shared" si="20"/>
        <v>0.49540182462609933</v>
      </c>
      <c r="T76" s="6">
        <f t="shared" si="21"/>
        <v>0.50459817537390061</v>
      </c>
      <c r="V76" s="1">
        <f t="shared" si="27"/>
        <v>101589.58985712336</v>
      </c>
      <c r="W76" s="7">
        <f t="shared" si="28"/>
        <v>-5.3733751915647349E-4</v>
      </c>
      <c r="X76" s="7">
        <f t="shared" si="29"/>
        <v>-5.3733751915647349E-4</v>
      </c>
      <c r="Y76">
        <f>LN(B76/B75)</f>
        <v>-1.4182092906985929E-3</v>
      </c>
      <c r="Z76">
        <f>LN(C76/C75)</f>
        <v>3.282357879803643E-4</v>
      </c>
    </row>
    <row r="77" spans="1:26" x14ac:dyDescent="0.3">
      <c r="A77" s="9">
        <v>40291</v>
      </c>
      <c r="B77" s="1">
        <v>21857.52</v>
      </c>
      <c r="C77" s="1">
        <v>22.92164</v>
      </c>
      <c r="D77" s="6">
        <f t="shared" si="18"/>
        <v>1.9550884327983464E-3</v>
      </c>
      <c r="E77" s="5">
        <f t="shared" si="30"/>
        <v>3.2818192450756456E-4</v>
      </c>
      <c r="G77" s="25" t="str">
        <f>IF(VLOOKUP(A77,Aux!B:C,2,FALSE)=0,"",VLOOKUP(A77,Aux!B:C,2,FALSE))</f>
        <v/>
      </c>
      <c r="H77" s="25" t="str">
        <f t="shared" si="19"/>
        <v/>
      </c>
      <c r="L77" s="13">
        <f t="shared" si="22"/>
        <v>101704.80813513888</v>
      </c>
      <c r="M77" s="14">
        <f t="shared" si="23"/>
        <v>98.395041904986741</v>
      </c>
      <c r="N77" s="14">
        <f t="shared" si="24"/>
        <v>16.823236110538343</v>
      </c>
      <c r="O77" s="1">
        <f t="shared" si="25"/>
        <v>2.3070349801871837</v>
      </c>
      <c r="P77" s="1">
        <f t="shared" si="26"/>
        <v>2237.1324615078988</v>
      </c>
      <c r="S77" s="6">
        <f t="shared" si="20"/>
        <v>0.49580805612590145</v>
      </c>
      <c r="T77" s="6">
        <f t="shared" si="21"/>
        <v>0.5041919438740986</v>
      </c>
      <c r="V77" s="1">
        <f t="shared" si="27"/>
        <v>101704.80813513888</v>
      </c>
      <c r="W77" s="7">
        <f t="shared" si="28"/>
        <v>1.1335117100117341E-3</v>
      </c>
      <c r="X77" s="7">
        <f t="shared" si="29"/>
        <v>1.1335117100119559E-3</v>
      </c>
      <c r="Y77">
        <f>LN(B77/B76)</f>
        <v>1.9531797347856891E-3</v>
      </c>
      <c r="Z77">
        <f>LN(C77/C76)</f>
        <v>3.2812808459897893E-4</v>
      </c>
    </row>
    <row r="78" spans="1:26" x14ac:dyDescent="0.3">
      <c r="A78" s="11">
        <v>40294</v>
      </c>
      <c r="B78" s="12">
        <v>21639.88</v>
      </c>
      <c r="C78" s="12">
        <v>22.92916</v>
      </c>
      <c r="D78" s="16">
        <f t="shared" si="18"/>
        <v>-9.9572138101668983E-3</v>
      </c>
      <c r="E78" s="15">
        <f t="shared" si="30"/>
        <v>3.2807425646685928E-4</v>
      </c>
      <c r="G78" s="25" t="str">
        <f>IF(VLOOKUP(A78,Aux!B:C,2,FALSE)=0,"",VLOOKUP(A78,Aux!B:C,2,FALSE))</f>
        <v/>
      </c>
      <c r="H78" s="25" t="str">
        <f t="shared" si="19"/>
        <v/>
      </c>
      <c r="L78" s="13">
        <f t="shared" si="22"/>
        <v>101219.52827816148</v>
      </c>
      <c r="M78" s="14">
        <f t="shared" si="23"/>
        <v>-502.10309308793734</v>
      </c>
      <c r="N78" s="14">
        <f t="shared" si="24"/>
        <v>16.823236110538343</v>
      </c>
      <c r="O78" s="1">
        <f t="shared" si="25"/>
        <v>2.3070349801871837</v>
      </c>
      <c r="P78" s="1">
        <f t="shared" si="26"/>
        <v>2237.1324615078988</v>
      </c>
      <c r="S78" s="6">
        <f t="shared" si="20"/>
        <v>0.49322458794568724</v>
      </c>
      <c r="T78" s="6">
        <f t="shared" si="21"/>
        <v>0.50677541205431287</v>
      </c>
      <c r="V78" s="1">
        <f t="shared" si="27"/>
        <v>101219.52827816148</v>
      </c>
      <c r="W78" s="7">
        <f t="shared" si="28"/>
        <v>-4.7828741555097686E-3</v>
      </c>
      <c r="X78" s="7">
        <f t="shared" si="29"/>
        <v>-4.7828741555097686E-3</v>
      </c>
      <c r="Y78">
        <f>LN(B78/B77)</f>
        <v>-1.0007118413819651E-2</v>
      </c>
      <c r="Z78">
        <f>LN(C78/C77)</f>
        <v>3.2802045187559363E-4</v>
      </c>
    </row>
    <row r="79" spans="1:26" x14ac:dyDescent="0.3">
      <c r="A79" s="9">
        <v>40295</v>
      </c>
      <c r="B79" s="1">
        <v>20936.28</v>
      </c>
      <c r="C79" s="1">
        <v>22.936689999999999</v>
      </c>
      <c r="D79" s="6">
        <f t="shared" si="18"/>
        <v>-3.2514043515953106E-2</v>
      </c>
      <c r="E79" s="5">
        <f t="shared" si="30"/>
        <v>3.2840278492529684E-4</v>
      </c>
      <c r="G79" s="25" t="str">
        <f>IF(VLOOKUP(A79,Aux!B:C,2,FALSE)=0,"",VLOOKUP(A79,Aux!B:C,2,FALSE))</f>
        <v/>
      </c>
      <c r="H79" s="25" t="str">
        <f t="shared" si="19"/>
        <v/>
      </c>
      <c r="L79" s="13">
        <f t="shared" si="22"/>
        <v>99613.144073536925</v>
      </c>
      <c r="M79" s="14">
        <f t="shared" si="23"/>
        <v>-1623.2298120597075</v>
      </c>
      <c r="N79" s="14">
        <f t="shared" si="24"/>
        <v>16.845607435152573</v>
      </c>
      <c r="O79" s="1">
        <f t="shared" si="25"/>
        <v>2.3070349801871837</v>
      </c>
      <c r="P79" s="1">
        <f t="shared" si="26"/>
        <v>2237.1324615078988</v>
      </c>
      <c r="S79" s="6">
        <f t="shared" si="20"/>
        <v>0.48488310216708463</v>
      </c>
      <c r="T79" s="6">
        <f t="shared" si="21"/>
        <v>0.51511689783291537</v>
      </c>
      <c r="V79" s="1">
        <f t="shared" si="27"/>
        <v>99613.14407353694</v>
      </c>
      <c r="W79" s="7">
        <f t="shared" si="28"/>
        <v>-1.5997580919833179E-2</v>
      </c>
      <c r="X79" s="7">
        <f t="shared" si="29"/>
        <v>-1.5997580919833068E-2</v>
      </c>
      <c r="Y79">
        <f>LN(B79/B78)</f>
        <v>-3.3054369445514653E-2</v>
      </c>
      <c r="Z79">
        <f>LN(C79/C78)</f>
        <v>3.2834887253372025E-4</v>
      </c>
    </row>
    <row r="80" spans="1:26" x14ac:dyDescent="0.3">
      <c r="A80" s="11">
        <v>40296</v>
      </c>
      <c r="B80" s="12">
        <v>20987.63</v>
      </c>
      <c r="C80" s="12">
        <v>22.944220000000001</v>
      </c>
      <c r="D80" s="16">
        <f t="shared" si="18"/>
        <v>2.452680227815085E-3</v>
      </c>
      <c r="E80" s="15">
        <f t="shared" si="30"/>
        <v>3.2829497194253321E-4</v>
      </c>
      <c r="G80" s="25" t="str">
        <f>IF(VLOOKUP(A80,Aux!B:C,2,FALSE)=0,"",VLOOKUP(A80,Aux!B:C,2,FALSE))</f>
        <v/>
      </c>
      <c r="H80" s="25" t="str">
        <f t="shared" si="19"/>
        <v/>
      </c>
      <c r="L80" s="13">
        <f t="shared" si="22"/>
        <v>99748.455927204704</v>
      </c>
      <c r="M80" s="14">
        <f t="shared" si="23"/>
        <v>118.46624623261691</v>
      </c>
      <c r="N80" s="14">
        <f t="shared" si="24"/>
        <v>16.84560743516052</v>
      </c>
      <c r="O80" s="1">
        <f t="shared" si="25"/>
        <v>2.3070349801871837</v>
      </c>
      <c r="P80" s="1">
        <f t="shared" si="26"/>
        <v>2237.1324615078988</v>
      </c>
      <c r="S80" s="6">
        <f t="shared" si="20"/>
        <v>0.48541299322529591</v>
      </c>
      <c r="T80" s="6">
        <f t="shared" si="21"/>
        <v>0.51458700677470415</v>
      </c>
      <c r="V80" s="1">
        <f t="shared" si="27"/>
        <v>99748.455927204719</v>
      </c>
      <c r="W80" s="7">
        <f t="shared" si="28"/>
        <v>1.3574517303758962E-3</v>
      </c>
      <c r="X80" s="7">
        <f t="shared" si="29"/>
        <v>1.3574517303758962E-3</v>
      </c>
      <c r="Y80">
        <f>LN(B80/B79)</f>
        <v>2.4496773167832012E-3</v>
      </c>
      <c r="Z80">
        <f>LN(C80/C79)</f>
        <v>3.2824109493960875E-4</v>
      </c>
    </row>
    <row r="81" spans="1:26" x14ac:dyDescent="0.3">
      <c r="A81" s="9">
        <v>40297</v>
      </c>
      <c r="B81" s="1">
        <v>21385.62</v>
      </c>
      <c r="C81" s="1">
        <v>22.951750000000001</v>
      </c>
      <c r="D81" s="6">
        <f t="shared" si="18"/>
        <v>1.8963074916033884E-2</v>
      </c>
      <c r="E81" s="5">
        <f t="shared" si="30"/>
        <v>3.2818722972494108E-4</v>
      </c>
      <c r="G81" s="25" t="str">
        <f>IF(VLOOKUP(A81,Aux!B:C,2,FALSE)=0,"",VLOOKUP(A81,Aux!B:C,2,FALSE))</f>
        <v/>
      </c>
      <c r="H81" s="25" t="str">
        <f t="shared" si="19"/>
        <v/>
      </c>
      <c r="L81" s="13">
        <f t="shared" si="22"/>
        <v>100683.47838640456</v>
      </c>
      <c r="M81" s="14">
        <f t="shared" si="23"/>
        <v>918.17685176469251</v>
      </c>
      <c r="N81" s="14">
        <f t="shared" si="24"/>
        <v>16.845607435152573</v>
      </c>
      <c r="O81" s="1">
        <f t="shared" si="25"/>
        <v>2.3070349801871837</v>
      </c>
      <c r="P81" s="1">
        <f t="shared" si="26"/>
        <v>2237.1324615078988</v>
      </c>
      <c r="S81" s="6">
        <f t="shared" si="20"/>
        <v>0.49002452243100825</v>
      </c>
      <c r="T81" s="6">
        <f t="shared" si="21"/>
        <v>0.50997547756899164</v>
      </c>
      <c r="V81" s="1">
        <f t="shared" si="27"/>
        <v>100683.47838640455</v>
      </c>
      <c r="W81" s="7">
        <f t="shared" si="28"/>
        <v>9.3301423779811148E-3</v>
      </c>
      <c r="X81" s="7">
        <f t="shared" si="29"/>
        <v>9.3301423779808944E-3</v>
      </c>
      <c r="Y81">
        <f>LN(B81/B80)</f>
        <v>1.8785516995247407E-2</v>
      </c>
      <c r="Z81">
        <f>LN(C81/C80)</f>
        <v>3.2813338807583615E-4</v>
      </c>
    </row>
    <row r="82" spans="1:26" x14ac:dyDescent="0.3">
      <c r="A82" s="11">
        <v>40298</v>
      </c>
      <c r="B82" s="12">
        <v>21270.5</v>
      </c>
      <c r="C82" s="12">
        <v>22.95992</v>
      </c>
      <c r="D82" s="16">
        <f t="shared" si="18"/>
        <v>-5.3830564650451107E-3</v>
      </c>
      <c r="E82" s="15">
        <f t="shared" si="30"/>
        <v>3.5596414216776395E-4</v>
      </c>
      <c r="G82" s="25" t="str">
        <f>IF(VLOOKUP(A82,Aux!B:C,2,FALSE)=0,"",VLOOKUP(A82,Aux!B:C,2,FALSE))</f>
        <v/>
      </c>
      <c r="H82" s="25" t="str">
        <f t="shared" si="19"/>
        <v/>
      </c>
      <c r="L82" s="13">
        <f t="shared" si="22"/>
        <v>100436.16989169593</v>
      </c>
      <c r="M82" s="14">
        <f t="shared" si="23"/>
        <v>-265.58586691914621</v>
      </c>
      <c r="N82" s="14">
        <f t="shared" si="24"/>
        <v>18.277372210519061</v>
      </c>
      <c r="O82" s="1">
        <f t="shared" si="25"/>
        <v>2.3070349801871837</v>
      </c>
      <c r="P82" s="1">
        <f t="shared" si="26"/>
        <v>2237.1324615078988</v>
      </c>
      <c r="S82" s="6">
        <f t="shared" si="20"/>
        <v>0.48858680691415685</v>
      </c>
      <c r="T82" s="6">
        <f t="shared" si="21"/>
        <v>0.5114131930858431</v>
      </c>
      <c r="V82" s="1">
        <f t="shared" si="27"/>
        <v>100436.16989169593</v>
      </c>
      <c r="W82" s="7">
        <f t="shared" si="28"/>
        <v>-2.4593183358715548E-3</v>
      </c>
      <c r="X82" s="7">
        <f t="shared" si="29"/>
        <v>-2.4593183358714433E-3</v>
      </c>
      <c r="Y82">
        <f>LN(B82/B81)</f>
        <v>-5.397597319802213E-3</v>
      </c>
      <c r="Z82">
        <f>LN(C82/C81)</f>
        <v>3.5590080196329122E-4</v>
      </c>
    </row>
    <row r="83" spans="1:26" x14ac:dyDescent="0.3">
      <c r="A83" s="9">
        <v>40301</v>
      </c>
      <c r="B83" s="1">
        <v>21032</v>
      </c>
      <c r="C83" s="1">
        <v>22.96809</v>
      </c>
      <c r="D83" s="6">
        <f t="shared" si="18"/>
        <v>-1.1212712442114636E-2</v>
      </c>
      <c r="E83" s="5">
        <f t="shared" si="30"/>
        <v>3.5583747678558098E-4</v>
      </c>
      <c r="G83" s="25" t="str">
        <f>IF(VLOOKUP(A83,Aux!B:C,2,FALSE)=0,"",VLOOKUP(A83,Aux!B:C,2,FALSE))</f>
        <v/>
      </c>
      <c r="H83" s="25" t="str">
        <f t="shared" si="19"/>
        <v/>
      </c>
      <c r="L83" s="13">
        <f t="shared" si="22"/>
        <v>99904.219421131798</v>
      </c>
      <c r="M83" s="14">
        <f t="shared" si="23"/>
        <v>-550.22784277464325</v>
      </c>
      <c r="N83" s="14">
        <f t="shared" si="24"/>
        <v>18.277372210519061</v>
      </c>
      <c r="O83" s="1">
        <f t="shared" si="25"/>
        <v>2.3070349801871837</v>
      </c>
      <c r="P83" s="1">
        <f t="shared" si="26"/>
        <v>2237.1324615078988</v>
      </c>
      <c r="S83" s="6">
        <f t="shared" si="20"/>
        <v>0.48568078490019745</v>
      </c>
      <c r="T83" s="6">
        <f t="shared" si="21"/>
        <v>0.5143192150998025</v>
      </c>
      <c r="V83" s="1">
        <f t="shared" si="27"/>
        <v>99904.219421131798</v>
      </c>
      <c r="W83" s="7">
        <f t="shared" si="28"/>
        <v>-5.3104790554157275E-3</v>
      </c>
      <c r="X83" s="7">
        <f t="shared" si="29"/>
        <v>-5.3104790554157275E-3</v>
      </c>
      <c r="Y83">
        <f>LN(B83/B82)</f>
        <v>-1.1276048795532808E-2</v>
      </c>
      <c r="Z83">
        <f>LN(C83/C82)</f>
        <v>3.5577418164538189E-4</v>
      </c>
    </row>
    <row r="84" spans="1:26" x14ac:dyDescent="0.3">
      <c r="A84" s="11">
        <v>40302</v>
      </c>
      <c r="B84" s="12">
        <v>20354.52</v>
      </c>
      <c r="C84" s="12">
        <v>22.976289999999999</v>
      </c>
      <c r="D84" s="16">
        <f t="shared" si="18"/>
        <v>-3.2211867630277613E-2</v>
      </c>
      <c r="E84" s="15">
        <f t="shared" si="30"/>
        <v>3.5701706149704471E-4</v>
      </c>
      <c r="G84" s="25" t="str">
        <f>IF(VLOOKUP(A84,Aux!B:C,2,FALSE)=0,"",VLOOKUP(A84,Aux!B:C,2,FALSE))</f>
        <v/>
      </c>
      <c r="H84" s="25" t="str">
        <f t="shared" si="19"/>
        <v/>
      </c>
      <c r="L84" s="13">
        <f t="shared" si="22"/>
        <v>98359.593848938952</v>
      </c>
      <c r="M84" s="14">
        <f t="shared" si="23"/>
        <v>-1562.9700583772121</v>
      </c>
      <c r="N84" s="14">
        <f t="shared" si="24"/>
        <v>18.344486184361756</v>
      </c>
      <c r="O84" s="1">
        <f t="shared" si="25"/>
        <v>2.3070349801871837</v>
      </c>
      <c r="P84" s="1">
        <f t="shared" si="26"/>
        <v>2237.1324615078988</v>
      </c>
      <c r="S84" s="6">
        <f t="shared" si="20"/>
        <v>0.47741748219333663</v>
      </c>
      <c r="T84" s="6">
        <f t="shared" si="21"/>
        <v>0.52258251780666332</v>
      </c>
      <c r="V84" s="1">
        <f t="shared" si="27"/>
        <v>98359.593848938952</v>
      </c>
      <c r="W84" s="7">
        <f t="shared" si="28"/>
        <v>-1.5581833100855645E-2</v>
      </c>
      <c r="X84" s="7">
        <f t="shared" si="29"/>
        <v>-1.5581833100855645E-2</v>
      </c>
      <c r="Y84">
        <f>LN(B84/B83)</f>
        <v>-3.2742087180308327E-2</v>
      </c>
      <c r="Z84">
        <f>LN(C84/C83)</f>
        <v>3.5695334607048989E-4</v>
      </c>
    </row>
    <row r="85" spans="1:26" x14ac:dyDescent="0.3">
      <c r="A85" s="9">
        <v>40303</v>
      </c>
      <c r="B85" s="1">
        <v>20382.68</v>
      </c>
      <c r="C85" s="1">
        <v>22.984490000000001</v>
      </c>
      <c r="D85" s="6">
        <f t="shared" si="18"/>
        <v>1.3834764956384138E-3</v>
      </c>
      <c r="E85" s="5">
        <f t="shared" si="30"/>
        <v>3.5688964580460336E-4</v>
      </c>
      <c r="G85" s="25" t="str">
        <f>IF(VLOOKUP(A85,Aux!B:C,2,FALSE)=0,"",VLOOKUP(A85,Aux!B:C,2,FALSE))</f>
        <v/>
      </c>
      <c r="H85" s="25" t="str">
        <f t="shared" si="19"/>
        <v/>
      </c>
      <c r="L85" s="13">
        <f t="shared" si="22"/>
        <v>98442.904440165395</v>
      </c>
      <c r="M85" s="14">
        <f t="shared" si="23"/>
        <v>64.966105042070751</v>
      </c>
      <c r="N85" s="14">
        <f t="shared" si="24"/>
        <v>18.344486184369703</v>
      </c>
      <c r="O85" s="1">
        <f t="shared" si="25"/>
        <v>2.3070349801871837</v>
      </c>
      <c r="P85" s="1">
        <f t="shared" si="26"/>
        <v>2237.1324615078988</v>
      </c>
      <c r="S85" s="6">
        <f t="shared" si="20"/>
        <v>0.47767338862439906</v>
      </c>
      <c r="T85" s="6">
        <f t="shared" si="21"/>
        <v>0.52232661137560088</v>
      </c>
      <c r="V85" s="1">
        <f t="shared" si="27"/>
        <v>98442.904440165395</v>
      </c>
      <c r="W85" s="7">
        <f t="shared" si="28"/>
        <v>8.4664165269381889E-4</v>
      </c>
      <c r="X85" s="7">
        <f t="shared" si="29"/>
        <v>8.4664165269381889E-4</v>
      </c>
      <c r="Y85">
        <f>LN(B85/B84)</f>
        <v>1.3825203737779094E-3</v>
      </c>
      <c r="Z85">
        <f>LN(C85/C84)</f>
        <v>3.5682597584327827E-4</v>
      </c>
    </row>
    <row r="86" spans="1:26" x14ac:dyDescent="0.3">
      <c r="A86" s="11">
        <v>40304</v>
      </c>
      <c r="B86" s="12">
        <v>20048.830000000002</v>
      </c>
      <c r="C86" s="12">
        <v>22.99269</v>
      </c>
      <c r="D86" s="16">
        <f t="shared" si="18"/>
        <v>-1.6379102257406686E-2</v>
      </c>
      <c r="E86" s="15">
        <f t="shared" si="30"/>
        <v>3.5676232102588301E-4</v>
      </c>
      <c r="G86" s="25" t="str">
        <f>IF(VLOOKUP(A86,Aux!B:C,2,FALSE)=0,"",VLOOKUP(A86,Aux!B:C,2,FALSE))</f>
        <v/>
      </c>
      <c r="H86" s="25" t="str">
        <f t="shared" si="19"/>
        <v/>
      </c>
      <c r="L86" s="13">
        <f t="shared" si="22"/>
        <v>97691.045298214274</v>
      </c>
      <c r="M86" s="14">
        <f t="shared" si="23"/>
        <v>-770.20362813548786</v>
      </c>
      <c r="N86" s="14">
        <f t="shared" si="24"/>
        <v>18.344486184361756</v>
      </c>
      <c r="O86" s="1">
        <f t="shared" si="25"/>
        <v>2.3070349801871837</v>
      </c>
      <c r="P86" s="1">
        <f t="shared" si="26"/>
        <v>2237.1324615078988</v>
      </c>
      <c r="S86" s="6">
        <f t="shared" si="20"/>
        <v>0.47346562809960741</v>
      </c>
      <c r="T86" s="6">
        <f t="shared" si="21"/>
        <v>0.52653437190039254</v>
      </c>
      <c r="V86" s="1">
        <f t="shared" si="27"/>
        <v>97691.045298214274</v>
      </c>
      <c r="W86" s="7">
        <f t="shared" si="28"/>
        <v>-7.6668299988329079E-3</v>
      </c>
      <c r="X86" s="7">
        <f t="shared" si="29"/>
        <v>-7.6668299988329079E-3</v>
      </c>
      <c r="Y86">
        <f>LN(B86/B85)</f>
        <v>-1.6514722685852034E-2</v>
      </c>
      <c r="Z86">
        <f>LN(C86/C85)</f>
        <v>3.566986964811415E-4</v>
      </c>
    </row>
    <row r="87" spans="1:26" x14ac:dyDescent="0.3">
      <c r="A87" s="9">
        <v>40305</v>
      </c>
      <c r="B87" s="1">
        <v>19913.25</v>
      </c>
      <c r="C87" s="1">
        <v>23.000879999999999</v>
      </c>
      <c r="D87" s="6">
        <f t="shared" si="18"/>
        <v>-6.7624893821734977E-3</v>
      </c>
      <c r="E87" s="5">
        <f t="shared" si="30"/>
        <v>3.5620016622672779E-4</v>
      </c>
      <c r="G87" s="25" t="str">
        <f>IF(VLOOKUP(A87,Aux!B:C,2,FALSE)=0,"",VLOOKUP(A87,Aux!B:C,2,FALSE))</f>
        <v/>
      </c>
      <c r="H87" s="25" t="str">
        <f t="shared" si="19"/>
        <v/>
      </c>
      <c r="L87" s="13">
        <f t="shared" si="22"/>
        <v>97396.579610460249</v>
      </c>
      <c r="M87" s="14">
        <f t="shared" si="23"/>
        <v>-312.78780261378239</v>
      </c>
      <c r="N87" s="14">
        <f t="shared" si="24"/>
        <v>18.322114859747526</v>
      </c>
      <c r="O87" s="1">
        <f t="shared" si="25"/>
        <v>2.3070349801871837</v>
      </c>
      <c r="P87" s="1">
        <f t="shared" si="26"/>
        <v>2237.1324615078988</v>
      </c>
      <c r="S87" s="6">
        <f t="shared" si="20"/>
        <v>0.47168560233791296</v>
      </c>
      <c r="T87" s="6">
        <f t="shared" si="21"/>
        <v>0.52831439766208688</v>
      </c>
      <c r="V87" s="1">
        <f t="shared" si="27"/>
        <v>97396.579610460234</v>
      </c>
      <c r="W87" s="7">
        <f t="shared" si="28"/>
        <v>-3.0188066671962763E-3</v>
      </c>
      <c r="X87" s="7">
        <f t="shared" si="29"/>
        <v>-3.0188066671963877E-3</v>
      </c>
      <c r="Y87">
        <f>LN(B87/B86)</f>
        <v>-6.7854586249031963E-3</v>
      </c>
      <c r="Z87">
        <f>LN(C87/C86)</f>
        <v>3.5613674200821562E-4</v>
      </c>
    </row>
    <row r="88" spans="1:26" x14ac:dyDescent="0.3">
      <c r="A88" s="11">
        <v>40308</v>
      </c>
      <c r="B88" s="12">
        <v>20634.37</v>
      </c>
      <c r="C88" s="12">
        <v>23.009080000000001</v>
      </c>
      <c r="D88" s="16">
        <f t="shared" si="18"/>
        <v>3.6213074209383134E-2</v>
      </c>
      <c r="E88" s="15">
        <f t="shared" si="30"/>
        <v>3.5650809882059598E-4</v>
      </c>
      <c r="G88" s="25" t="str">
        <f>IF(VLOOKUP(A88,Aux!B:C,2,FALSE)=0,"",VLOOKUP(A88,Aux!B:C,2,FALSE))</f>
        <v/>
      </c>
      <c r="H88" s="25" t="str">
        <f t="shared" si="19"/>
        <v/>
      </c>
      <c r="L88" s="13">
        <f t="shared" si="22"/>
        <v>99078.5731615572</v>
      </c>
      <c r="M88" s="14">
        <f t="shared" si="23"/>
        <v>1663.6490649125794</v>
      </c>
      <c r="N88" s="14">
        <f t="shared" si="24"/>
        <v>18.344486184369703</v>
      </c>
      <c r="O88" s="1">
        <f t="shared" si="25"/>
        <v>2.3070349801871837</v>
      </c>
      <c r="P88" s="1">
        <f t="shared" si="26"/>
        <v>2237.1324615078988</v>
      </c>
      <c r="S88" s="6">
        <f t="shared" si="20"/>
        <v>0.48046930698630208</v>
      </c>
      <c r="T88" s="6">
        <f t="shared" si="21"/>
        <v>0.51953069301369781</v>
      </c>
      <c r="V88" s="1">
        <f t="shared" si="27"/>
        <v>99078.573161557186</v>
      </c>
      <c r="W88" s="7">
        <f t="shared" si="28"/>
        <v>1.7122110548861594E-2</v>
      </c>
      <c r="X88" s="7">
        <f t="shared" si="29"/>
        <v>1.7122110548861594E-2</v>
      </c>
      <c r="Y88">
        <f>LN(B88/B87)</f>
        <v>3.5572792776375789E-2</v>
      </c>
      <c r="Z88">
        <f>LN(C88/C87)</f>
        <v>3.5644456490812134E-4</v>
      </c>
    </row>
    <row r="89" spans="1:26" x14ac:dyDescent="0.3">
      <c r="A89" s="9">
        <v>40309</v>
      </c>
      <c r="B89" s="1">
        <v>20349.89</v>
      </c>
      <c r="C89" s="1">
        <v>23.01727</v>
      </c>
      <c r="D89" s="6">
        <f t="shared" si="18"/>
        <v>-1.3786706354494971E-2</v>
      </c>
      <c r="E89" s="5">
        <f t="shared" si="30"/>
        <v>3.5594643505953982E-4</v>
      </c>
      <c r="G89" s="25" t="str">
        <f>IF(VLOOKUP(A89,Aux!B:C,2,FALSE)=0,"",VLOOKUP(A89,Aux!B:C,2,FALSE))</f>
        <v/>
      </c>
      <c r="H89" s="25" t="str">
        <f t="shared" si="19"/>
        <v/>
      </c>
      <c r="L89" s="13">
        <f t="shared" si="22"/>
        <v>98440.589965253297</v>
      </c>
      <c r="M89" s="14">
        <f t="shared" si="23"/>
        <v>-656.30531116364898</v>
      </c>
      <c r="N89" s="14">
        <f t="shared" si="24"/>
        <v>18.322114859747526</v>
      </c>
      <c r="O89" s="1">
        <f t="shared" si="25"/>
        <v>2.3070349801871837</v>
      </c>
      <c r="P89" s="1">
        <f t="shared" si="26"/>
        <v>2237.1324615078988</v>
      </c>
      <c r="S89" s="6">
        <f t="shared" si="20"/>
        <v>0.47691615917308733</v>
      </c>
      <c r="T89" s="6">
        <f t="shared" si="21"/>
        <v>0.52308384082691251</v>
      </c>
      <c r="V89" s="1">
        <f t="shared" si="27"/>
        <v>98440.589965253283</v>
      </c>
      <c r="W89" s="7">
        <f t="shared" si="28"/>
        <v>-6.4599849945099529E-3</v>
      </c>
      <c r="X89" s="7">
        <f t="shared" si="29"/>
        <v>-6.4599849945099529E-3</v>
      </c>
      <c r="Y89">
        <f>LN(B89/B88)</f>
        <v>-1.3882625618080804E-2</v>
      </c>
      <c r="Z89">
        <f>LN(C89/C88)</f>
        <v>3.5588310115576316E-4</v>
      </c>
    </row>
    <row r="90" spans="1:26" x14ac:dyDescent="0.3">
      <c r="A90" s="11">
        <v>40310</v>
      </c>
      <c r="B90" s="12">
        <v>20533.349999999999</v>
      </c>
      <c r="C90" s="12">
        <v>23.025449999999999</v>
      </c>
      <c r="D90" s="16">
        <f t="shared" si="18"/>
        <v>9.0152821464881683E-3</v>
      </c>
      <c r="E90" s="15">
        <f t="shared" si="30"/>
        <v>3.5538532588796912E-4</v>
      </c>
      <c r="G90" s="25" t="str">
        <f>IF(VLOOKUP(A90,Aux!B:C,2,FALSE)=0,"",VLOOKUP(A90,Aux!B:C,2,FALSE))</f>
        <v/>
      </c>
      <c r="H90" s="25" t="str">
        <f t="shared" si="19"/>
        <v/>
      </c>
      <c r="L90" s="13">
        <f t="shared" si="22"/>
        <v>98882.13834625356</v>
      </c>
      <c r="M90" s="14">
        <f t="shared" si="23"/>
        <v>423.2486374651387</v>
      </c>
      <c r="N90" s="14">
        <f t="shared" si="24"/>
        <v>18.299743535133292</v>
      </c>
      <c r="O90" s="1">
        <f t="shared" si="25"/>
        <v>2.3070349801871837</v>
      </c>
      <c r="P90" s="1">
        <f t="shared" si="26"/>
        <v>2237.1324615078988</v>
      </c>
      <c r="S90" s="6">
        <f t="shared" si="20"/>
        <v>0.47906687196172776</v>
      </c>
      <c r="T90" s="6">
        <f t="shared" si="21"/>
        <v>0.52093312803827219</v>
      </c>
      <c r="V90" s="1">
        <f t="shared" si="27"/>
        <v>98882.138346253545</v>
      </c>
      <c r="W90" s="7">
        <f t="shared" si="28"/>
        <v>4.4754004950885084E-3</v>
      </c>
      <c r="X90" s="7">
        <f t="shared" si="29"/>
        <v>4.4754004950885084E-3</v>
      </c>
      <c r="Y90">
        <f>LN(B90/B89)</f>
        <v>8.9748870907572463E-3</v>
      </c>
      <c r="Z90">
        <f>LN(C90/C89)</f>
        <v>3.5532219148062594E-4</v>
      </c>
    </row>
    <row r="91" spans="1:26" x14ac:dyDescent="0.3">
      <c r="A91" s="9">
        <v>40311</v>
      </c>
      <c r="B91" s="1">
        <v>20411.22</v>
      </c>
      <c r="C91" s="1">
        <v>23.033639999999998</v>
      </c>
      <c r="D91" s="6">
        <f t="shared" ref="D91:D154" si="31">B91/B90-1</f>
        <v>-5.9478847825609193E-3</v>
      </c>
      <c r="E91" s="5">
        <f t="shared" si="30"/>
        <v>3.5569337407093116E-4</v>
      </c>
      <c r="G91" s="25" t="str">
        <f>IF(VLOOKUP(A91,Aux!B:C,2,FALSE)=0,"",VLOOKUP(A91,Aux!B:C,2,FALSE))</f>
        <v/>
      </c>
      <c r="H91" s="25" t="str">
        <f t="shared" si="19"/>
        <v/>
      </c>
      <c r="L91" s="13">
        <f t="shared" si="22"/>
        <v>98618.702278983052</v>
      </c>
      <c r="M91" s="14">
        <f t="shared" si="23"/>
        <v>-281.75818213025468</v>
      </c>
      <c r="N91" s="14">
        <f t="shared" si="24"/>
        <v>18.322114859747526</v>
      </c>
      <c r="O91" s="1">
        <f t="shared" si="25"/>
        <v>2.3070349801871837</v>
      </c>
      <c r="P91" s="1">
        <f t="shared" si="26"/>
        <v>2237.1324615078988</v>
      </c>
      <c r="S91" s="6">
        <f t="shared" si="20"/>
        <v>0.47748953738089928</v>
      </c>
      <c r="T91" s="6">
        <f t="shared" si="21"/>
        <v>0.52251046261910072</v>
      </c>
      <c r="V91" s="1">
        <f t="shared" si="27"/>
        <v>98618.702278983052</v>
      </c>
      <c r="W91" s="7">
        <f t="shared" si="28"/>
        <v>-2.6676972378190363E-3</v>
      </c>
      <c r="X91" s="7">
        <f t="shared" si="29"/>
        <v>-2.6676972378188134E-3</v>
      </c>
      <c r="Y91">
        <f>LN(B91/B90)</f>
        <v>-5.9656439037403634E-3</v>
      </c>
      <c r="Z91">
        <f>LN(C91/C90)</f>
        <v>3.5563013017926321E-4</v>
      </c>
    </row>
    <row r="92" spans="1:26" x14ac:dyDescent="0.3">
      <c r="A92" s="11">
        <v>40312</v>
      </c>
      <c r="B92" s="12">
        <v>20060.21</v>
      </c>
      <c r="C92" s="12">
        <v>23.041840000000001</v>
      </c>
      <c r="D92" s="16">
        <f t="shared" si="31"/>
        <v>-1.7196914246184303E-2</v>
      </c>
      <c r="E92" s="15">
        <f t="shared" si="30"/>
        <v>3.56001048900767E-4</v>
      </c>
      <c r="G92" s="25" t="str">
        <f>IF(VLOOKUP(A92,Aux!B:C,2,FALSE)=0,"",VLOOKUP(A92,Aux!B:C,2,FALSE))</f>
        <v/>
      </c>
      <c r="H92" s="25" t="str">
        <f t="shared" si="19"/>
        <v/>
      </c>
      <c r="L92" s="13">
        <f t="shared" si="22"/>
        <v>97827.254416771917</v>
      </c>
      <c r="M92" s="14">
        <f t="shared" si="23"/>
        <v>-809.79234839550804</v>
      </c>
      <c r="N92" s="14">
        <f t="shared" si="24"/>
        <v>18.344486184369703</v>
      </c>
      <c r="O92" s="1">
        <f t="shared" si="25"/>
        <v>2.3070349801871837</v>
      </c>
      <c r="P92" s="1">
        <f t="shared" si="26"/>
        <v>2237.1324615078988</v>
      </c>
      <c r="S92" s="6">
        <f t="shared" si="20"/>
        <v>0.4730747730355026</v>
      </c>
      <c r="T92" s="6">
        <f t="shared" si="21"/>
        <v>0.52692522696449728</v>
      </c>
      <c r="V92" s="1">
        <f t="shared" si="27"/>
        <v>97827.254416771902</v>
      </c>
      <c r="W92" s="7">
        <f t="shared" si="28"/>
        <v>-8.0577086715512228E-3</v>
      </c>
      <c r="X92" s="7">
        <f t="shared" si="29"/>
        <v>-8.0577086715514466E-3</v>
      </c>
      <c r="Y92">
        <f>LN(B92/B91)</f>
        <v>-1.7346498582394801E-2</v>
      </c>
      <c r="Z92">
        <f>LN(C92/C91)</f>
        <v>3.5593769556281499E-4</v>
      </c>
    </row>
    <row r="93" spans="1:26" x14ac:dyDescent="0.3">
      <c r="A93" s="9">
        <v>40315</v>
      </c>
      <c r="B93" s="1">
        <v>19937.759999999998</v>
      </c>
      <c r="C93" s="1">
        <v>23.050039999999999</v>
      </c>
      <c r="D93" s="6">
        <f t="shared" si="31"/>
        <v>-6.1041235360945745E-3</v>
      </c>
      <c r="E93" s="5">
        <f t="shared" si="30"/>
        <v>3.5587435725603633E-4</v>
      </c>
      <c r="G93" s="25" t="str">
        <f>IF(VLOOKUP(A93,Aux!B:C,2,FALSE)=0,"",VLOOKUP(A93,Aux!B:C,2,FALSE))</f>
        <v/>
      </c>
      <c r="H93" s="25" t="str">
        <f t="shared" si="19"/>
        <v/>
      </c>
      <c r="L93" s="13">
        <f t="shared" si="22"/>
        <v>97563.102469632358</v>
      </c>
      <c r="M93" s="14">
        <f t="shared" si="23"/>
        <v>-282.4964333239223</v>
      </c>
      <c r="N93" s="14">
        <f t="shared" si="24"/>
        <v>18.344486184361756</v>
      </c>
      <c r="O93" s="1">
        <f t="shared" si="25"/>
        <v>2.3070349801871837</v>
      </c>
      <c r="P93" s="1">
        <f t="shared" si="26"/>
        <v>2237.1324615078988</v>
      </c>
      <c r="S93" s="6">
        <f t="shared" si="20"/>
        <v>0.47146009692438745</v>
      </c>
      <c r="T93" s="6">
        <f t="shared" si="21"/>
        <v>0.52853990307561238</v>
      </c>
      <c r="V93" s="1">
        <f t="shared" si="27"/>
        <v>97563.102469632344</v>
      </c>
      <c r="W93" s="7">
        <f t="shared" si="28"/>
        <v>-2.7038397623908687E-3</v>
      </c>
      <c r="X93" s="7">
        <f t="shared" si="29"/>
        <v>-2.7038397623908687E-3</v>
      </c>
      <c r="Y93">
        <f>LN(B93/B92)</f>
        <v>-6.1228298608268983E-3</v>
      </c>
      <c r="Z93">
        <f>LN(C93/C92)</f>
        <v>3.5581104899637227E-4</v>
      </c>
    </row>
    <row r="94" spans="1:26" x14ac:dyDescent="0.3">
      <c r="A94" s="11">
        <v>40316</v>
      </c>
      <c r="B94" s="12">
        <v>19394.21</v>
      </c>
      <c r="C94" s="12">
        <v>23.058240000000001</v>
      </c>
      <c r="D94" s="16">
        <f t="shared" si="31"/>
        <v>-2.7262340403335195E-2</v>
      </c>
      <c r="E94" s="15">
        <f t="shared" si="30"/>
        <v>3.5574775575231143E-4</v>
      </c>
      <c r="G94" s="25" t="str">
        <f>IF(VLOOKUP(A94,Aux!B:C,2,FALSE)=0,"",VLOOKUP(A94,Aux!B:C,2,FALSE))</f>
        <v/>
      </c>
      <c r="H94" s="25" t="str">
        <f t="shared" si="19"/>
        <v/>
      </c>
      <c r="L94" s="13">
        <f t="shared" si="22"/>
        <v>96327.45809233599</v>
      </c>
      <c r="M94" s="14">
        <f t="shared" si="23"/>
        <v>-1253.9888634807421</v>
      </c>
      <c r="N94" s="14">
        <f t="shared" si="24"/>
        <v>18.344486184369703</v>
      </c>
      <c r="O94" s="1">
        <f t="shared" si="25"/>
        <v>2.3070349801871837</v>
      </c>
      <c r="P94" s="1">
        <f t="shared" si="26"/>
        <v>2237.1324615078988</v>
      </c>
      <c r="S94" s="6">
        <f t="shared" si="20"/>
        <v>0.46448979106463029</v>
      </c>
      <c r="T94" s="6">
        <f t="shared" si="21"/>
        <v>0.53551020893536949</v>
      </c>
      <c r="V94" s="1">
        <f t="shared" si="27"/>
        <v>96327.458092335961</v>
      </c>
      <c r="W94" s="7">
        <f t="shared" si="28"/>
        <v>-1.2745964550261816E-2</v>
      </c>
      <c r="X94" s="7">
        <f t="shared" si="29"/>
        <v>-1.2745964550261928E-2</v>
      </c>
      <c r="Y94">
        <f>LN(B94/B93)</f>
        <v>-2.7640853297491212E-2</v>
      </c>
      <c r="Z94">
        <f>LN(C94/C93)</f>
        <v>3.5568449252283994E-4</v>
      </c>
    </row>
    <row r="95" spans="1:26" x14ac:dyDescent="0.3">
      <c r="A95" s="9">
        <v>40317</v>
      </c>
      <c r="B95" s="1">
        <v>18961.830000000002</v>
      </c>
      <c r="C95" s="1">
        <v>23.06644</v>
      </c>
      <c r="D95" s="6">
        <f t="shared" si="31"/>
        <v>-2.2294282675086929E-2</v>
      </c>
      <c r="E95" s="5">
        <f t="shared" si="30"/>
        <v>3.5562124429255881E-4</v>
      </c>
      <c r="G95" s="25" t="str">
        <f>IF(VLOOKUP(A95,Aux!B:C,2,FALSE)=0,"",VLOOKUP(A95,Aux!B:C,2,FALSE))</f>
        <v/>
      </c>
      <c r="H95" s="25" t="str">
        <f t="shared" si="19"/>
        <v/>
      </c>
      <c r="L95" s="13">
        <f t="shared" si="22"/>
        <v>95348.286793787018</v>
      </c>
      <c r="M95" s="14">
        <f t="shared" si="23"/>
        <v>-997.51578473332847</v>
      </c>
      <c r="N95" s="14">
        <f t="shared" si="24"/>
        <v>18.344486184361756</v>
      </c>
      <c r="O95" s="1">
        <f t="shared" si="25"/>
        <v>2.3070349801871837</v>
      </c>
      <c r="P95" s="1">
        <f t="shared" si="26"/>
        <v>2237.1324615078988</v>
      </c>
      <c r="S95" s="6">
        <f t="shared" si="20"/>
        <v>0.45879801902443046</v>
      </c>
      <c r="T95" s="6">
        <f t="shared" si="21"/>
        <v>0.54120198097556949</v>
      </c>
      <c r="V95" s="1">
        <f t="shared" si="27"/>
        <v>95348.286793787003</v>
      </c>
      <c r="W95" s="7">
        <f t="shared" si="28"/>
        <v>-1.0217044591917846E-2</v>
      </c>
      <c r="X95" s="7">
        <f t="shared" si="29"/>
        <v>-1.0217044591917733E-2</v>
      </c>
      <c r="Y95">
        <f>LN(B95/B94)</f>
        <v>-2.2546556758333482E-2</v>
      </c>
      <c r="Z95">
        <f>LN(C95/C94)</f>
        <v>3.5555802604525315E-4</v>
      </c>
    </row>
    <row r="96" spans="1:26" x14ac:dyDescent="0.3">
      <c r="A96" s="11">
        <v>40318</v>
      </c>
      <c r="B96" s="12">
        <v>18445.97</v>
      </c>
      <c r="C96" s="12">
        <v>23.074639999999999</v>
      </c>
      <c r="D96" s="16">
        <f t="shared" si="31"/>
        <v>-2.7205180090740244E-2</v>
      </c>
      <c r="E96" s="15">
        <f t="shared" si="30"/>
        <v>3.5549482278152134E-4</v>
      </c>
      <c r="G96" s="25" t="str">
        <f>IF(VLOOKUP(A96,Aux!B:C,2,FALSE)=0,"",VLOOKUP(A96,Aux!B:C,2,FALSE))</f>
        <v/>
      </c>
      <c r="H96" s="25" t="str">
        <f t="shared" si="19"/>
        <v/>
      </c>
      <c r="L96" s="13">
        <f t="shared" si="22"/>
        <v>94176.524215092009</v>
      </c>
      <c r="M96" s="14">
        <f t="shared" si="23"/>
        <v>-1190.1070648793618</v>
      </c>
      <c r="N96" s="14">
        <f t="shared" si="24"/>
        <v>18.344486184361756</v>
      </c>
      <c r="O96" s="1">
        <f t="shared" si="25"/>
        <v>2.3070349801871837</v>
      </c>
      <c r="P96" s="1">
        <f t="shared" si="26"/>
        <v>2237.1324615078988</v>
      </c>
      <c r="S96" s="6">
        <f t="shared" si="20"/>
        <v>0.45186949070545301</v>
      </c>
      <c r="T96" s="6">
        <f t="shared" si="21"/>
        <v>0.54813050929454699</v>
      </c>
      <c r="V96" s="1">
        <f t="shared" si="27"/>
        <v>94176.524215092009</v>
      </c>
      <c r="W96" s="7">
        <f t="shared" si="28"/>
        <v>-1.2365425961852838E-2</v>
      </c>
      <c r="X96" s="7">
        <f t="shared" si="29"/>
        <v>-1.2365425961852725E-2</v>
      </c>
      <c r="Y96">
        <f>LN(B96/B95)</f>
        <v>-2.758209271321568E-2</v>
      </c>
      <c r="Z96">
        <f>LN(C96/C95)</f>
        <v>3.554316494684228E-4</v>
      </c>
    </row>
    <row r="97" spans="1:26" x14ac:dyDescent="0.3">
      <c r="A97" s="9">
        <v>40319</v>
      </c>
      <c r="B97" s="1">
        <v>19065.849999999999</v>
      </c>
      <c r="C97" s="1">
        <v>23.082840000000001</v>
      </c>
      <c r="D97" s="6">
        <f t="shared" si="31"/>
        <v>3.3605172295086527E-2</v>
      </c>
      <c r="E97" s="5">
        <f t="shared" si="30"/>
        <v>3.5536849112283164E-4</v>
      </c>
      <c r="G97" s="25" t="str">
        <f>IF(VLOOKUP(A97,Aux!B:C,2,FALSE)=0,"",VLOOKUP(A97,Aux!B:C,2,FALSE))</f>
        <v/>
      </c>
      <c r="H97" s="25" t="str">
        <f t="shared" si="19"/>
        <v/>
      </c>
      <c r="L97" s="13">
        <f t="shared" si="22"/>
        <v>95624.953544794815</v>
      </c>
      <c r="M97" s="14">
        <f t="shared" si="23"/>
        <v>1430.0848435184253</v>
      </c>
      <c r="N97" s="14">
        <f t="shared" si="24"/>
        <v>18.344486184369703</v>
      </c>
      <c r="O97" s="1">
        <f t="shared" si="25"/>
        <v>2.3070349801871837</v>
      </c>
      <c r="P97" s="1">
        <f t="shared" si="26"/>
        <v>2237.1324615078988</v>
      </c>
      <c r="S97" s="6">
        <f t="shared" si="20"/>
        <v>0.4599801751160808</v>
      </c>
      <c r="T97" s="6">
        <f t="shared" si="21"/>
        <v>0.54001982488391898</v>
      </c>
      <c r="V97" s="1">
        <f t="shared" si="27"/>
        <v>95624.9535447948</v>
      </c>
      <c r="W97" s="7">
        <f t="shared" si="28"/>
        <v>1.5262867970718939E-2</v>
      </c>
      <c r="X97" s="7">
        <f t="shared" si="29"/>
        <v>1.5262867970718718E-2</v>
      </c>
      <c r="Y97">
        <f>LN(B97/B96)</f>
        <v>3.3052858189142581E-2</v>
      </c>
      <c r="Z97">
        <f>LN(C97/C96)</f>
        <v>3.5530536269604988E-4</v>
      </c>
    </row>
    <row r="98" spans="1:26" x14ac:dyDescent="0.3">
      <c r="A98" s="11">
        <v>40322</v>
      </c>
      <c r="B98" s="12">
        <v>18947.07</v>
      </c>
      <c r="C98" s="12">
        <v>23.091049999999999</v>
      </c>
      <c r="D98" s="16">
        <f t="shared" si="31"/>
        <v>-6.2299871235742543E-3</v>
      </c>
      <c r="E98" s="15">
        <f t="shared" si="30"/>
        <v>3.5567547147574707E-4</v>
      </c>
      <c r="G98" s="25" t="str">
        <f>IF(VLOOKUP(A98,Aux!B:C,2,FALSE)=0,"",VLOOKUP(A98,Aux!B:C,2,FALSE))</f>
        <v/>
      </c>
      <c r="H98" s="25" t="str">
        <f t="shared" si="19"/>
        <v/>
      </c>
      <c r="L98" s="13">
        <f t="shared" si="22"/>
        <v>95369.290787357168</v>
      </c>
      <c r="M98" s="14">
        <f t="shared" si="23"/>
        <v>-274.029614946631</v>
      </c>
      <c r="N98" s="14">
        <f t="shared" si="24"/>
        <v>18.36685750897599</v>
      </c>
      <c r="O98" s="1">
        <f t="shared" si="25"/>
        <v>2.3070349801871837</v>
      </c>
      <c r="P98" s="1">
        <f t="shared" si="26"/>
        <v>2237.1324615078988</v>
      </c>
      <c r="S98" s="6">
        <f t="shared" si="20"/>
        <v>0.45833992159507486</v>
      </c>
      <c r="T98" s="6">
        <f t="shared" si="21"/>
        <v>0.54166007840492492</v>
      </c>
      <c r="V98" s="1">
        <f t="shared" si="27"/>
        <v>95369.290787357138</v>
      </c>
      <c r="W98" s="7">
        <f t="shared" si="28"/>
        <v>-2.6771792106335965E-3</v>
      </c>
      <c r="X98" s="7">
        <f t="shared" si="29"/>
        <v>-2.677179210633819E-3</v>
      </c>
      <c r="Y98">
        <f>LN(B98/B97)</f>
        <v>-6.2494744728040924E-3</v>
      </c>
      <c r="Z98">
        <f>LN(C98/C97)</f>
        <v>3.5561223394948928E-4</v>
      </c>
    </row>
    <row r="99" spans="1:26" x14ac:dyDescent="0.3">
      <c r="A99" s="9">
        <v>40323</v>
      </c>
      <c r="B99" s="1">
        <v>18689.13</v>
      </c>
      <c r="C99" s="1">
        <v>23.099260000000001</v>
      </c>
      <c r="D99" s="6">
        <f t="shared" si="31"/>
        <v>-1.361371441600201E-2</v>
      </c>
      <c r="E99" s="5">
        <f t="shared" si="30"/>
        <v>3.5554901141354733E-4</v>
      </c>
      <c r="G99" s="25" t="str">
        <f>IF(VLOOKUP(A99,Aux!B:C,2,FALSE)=0,"",VLOOKUP(A99,Aux!B:C,2,FALSE))</f>
        <v/>
      </c>
      <c r="H99" s="25" t="str">
        <f t="shared" si="19"/>
        <v/>
      </c>
      <c r="L99" s="13">
        <f t="shared" si="22"/>
        <v>94792.581042076665</v>
      </c>
      <c r="M99" s="14">
        <f t="shared" si="23"/>
        <v>-595.07660278947913</v>
      </c>
      <c r="N99" s="14">
        <f t="shared" si="24"/>
        <v>18.366857508983937</v>
      </c>
      <c r="O99" s="1">
        <f t="shared" si="25"/>
        <v>2.3070349801871837</v>
      </c>
      <c r="P99" s="1">
        <f t="shared" si="26"/>
        <v>2237.1324615078988</v>
      </c>
      <c r="S99" s="6">
        <f t="shared" si="20"/>
        <v>0.45485075082117554</v>
      </c>
      <c r="T99" s="6">
        <f t="shared" si="21"/>
        <v>0.54514924917882424</v>
      </c>
      <c r="V99" s="1">
        <f t="shared" si="27"/>
        <v>94792.58104207665</v>
      </c>
      <c r="W99" s="7">
        <f t="shared" si="28"/>
        <v>-6.0654799811283291E-3</v>
      </c>
      <c r="X99" s="7">
        <f t="shared" si="29"/>
        <v>-6.0654799811281053E-3</v>
      </c>
      <c r="Y99">
        <f>LN(B99/B98)</f>
        <v>-1.3707230732308786E-2</v>
      </c>
      <c r="Z99">
        <f>LN(C99/C98)</f>
        <v>3.5548581884204924E-4</v>
      </c>
    </row>
    <row r="100" spans="1:26" x14ac:dyDescent="0.3">
      <c r="A100" s="11">
        <v>40324</v>
      </c>
      <c r="B100" s="12">
        <v>18967.099999999999</v>
      </c>
      <c r="C100" s="12">
        <v>23.107479999999999</v>
      </c>
      <c r="D100" s="16">
        <f t="shared" si="31"/>
        <v>1.4873351515025002E-2</v>
      </c>
      <c r="E100" s="15">
        <f t="shared" si="30"/>
        <v>3.5585555554584758E-4</v>
      </c>
      <c r="G100" s="25" t="str">
        <f>IF(VLOOKUP(A100,Aux!B:C,2,FALSE)=0,"",VLOOKUP(A100,Aux!B:C,2,FALSE))</f>
        <v/>
      </c>
      <c r="H100" s="25" t="str">
        <f t="shared" si="19"/>
        <v/>
      </c>
      <c r="L100" s="13">
        <f t="shared" si="22"/>
        <v>95452.256784352881</v>
      </c>
      <c r="M100" s="14">
        <f t="shared" si="23"/>
        <v>641.28651344262573</v>
      </c>
      <c r="N100" s="14">
        <f t="shared" si="24"/>
        <v>18.38922883359022</v>
      </c>
      <c r="O100" s="1">
        <f t="shared" si="25"/>
        <v>2.3070349801871837</v>
      </c>
      <c r="P100" s="1">
        <f t="shared" si="26"/>
        <v>2237.1324615078988</v>
      </c>
      <c r="S100" s="6">
        <f t="shared" si="20"/>
        <v>0.45842565327257268</v>
      </c>
      <c r="T100" s="6">
        <f t="shared" si="21"/>
        <v>0.54157434672742721</v>
      </c>
      <c r="V100" s="1">
        <f t="shared" si="27"/>
        <v>95452.256784352867</v>
      </c>
      <c r="W100" s="7">
        <f t="shared" si="28"/>
        <v>6.9350463721293389E-3</v>
      </c>
      <c r="X100" s="7">
        <f t="shared" si="29"/>
        <v>6.9350463721293389E-3</v>
      </c>
      <c r="Y100">
        <f>LN(B100/B99)</f>
        <v>1.4763827875986388E-2</v>
      </c>
      <c r="Z100">
        <f>LN(C100/C99)</f>
        <v>3.5579225397467306E-4</v>
      </c>
    </row>
    <row r="101" spans="1:26" x14ac:dyDescent="0.3">
      <c r="A101" s="9">
        <v>40325</v>
      </c>
      <c r="B101" s="1">
        <v>19558.310000000001</v>
      </c>
      <c r="C101" s="1">
        <v>23.1157</v>
      </c>
      <c r="D101" s="6">
        <f t="shared" si="31"/>
        <v>3.1170289606740287E-2</v>
      </c>
      <c r="E101" s="5">
        <f t="shared" si="30"/>
        <v>3.5572896741675741E-4</v>
      </c>
      <c r="G101" s="25" t="str">
        <f>IF(VLOOKUP(A101,Aux!B:C,2,FALSE)=0,"",VLOOKUP(A101,Aux!B:C,2,FALSE))</f>
        <v/>
      </c>
      <c r="H101" s="25" t="str">
        <f t="shared" si="19"/>
        <v/>
      </c>
      <c r="L101" s="13">
        <f t="shared" si="22"/>
        <v>96834.588163822948</v>
      </c>
      <c r="M101" s="14">
        <f t="shared" si="23"/>
        <v>1363.9421506364713</v>
      </c>
      <c r="N101" s="14">
        <f t="shared" si="24"/>
        <v>18.389228833598168</v>
      </c>
      <c r="O101" s="1">
        <f t="shared" si="25"/>
        <v>2.3070349801871837</v>
      </c>
      <c r="P101" s="1">
        <f t="shared" si="26"/>
        <v>2237.1324615078988</v>
      </c>
      <c r="S101" s="6">
        <f t="shared" si="20"/>
        <v>0.46596682217524121</v>
      </c>
      <c r="T101" s="6">
        <f t="shared" si="21"/>
        <v>0.53403317782475879</v>
      </c>
      <c r="V101" s="1">
        <f t="shared" si="27"/>
        <v>96834.588163822948</v>
      </c>
      <c r="W101" s="7">
        <f t="shared" si="28"/>
        <v>1.4378052681554938E-2</v>
      </c>
      <c r="X101" s="7">
        <f t="shared" si="29"/>
        <v>1.4378052681554938E-2</v>
      </c>
      <c r="Y101">
        <f>LN(B101/B100)</f>
        <v>3.0694360752549596E-2</v>
      </c>
      <c r="Z101">
        <f>LN(C101/C100)</f>
        <v>3.5566571086864077E-4</v>
      </c>
    </row>
    <row r="102" spans="1:26" x14ac:dyDescent="0.3">
      <c r="A102" s="11">
        <v>40326</v>
      </c>
      <c r="B102" s="12">
        <v>19545.79</v>
      </c>
      <c r="C102" s="12">
        <v>23.123919999999998</v>
      </c>
      <c r="D102" s="16">
        <f t="shared" si="31"/>
        <v>-6.4013710796073653E-4</v>
      </c>
      <c r="E102" s="15">
        <f t="shared" si="30"/>
        <v>3.5560246931720663E-4</v>
      </c>
      <c r="G102" s="25" t="str">
        <f>IF(VLOOKUP(A102,Aux!B:C,2,FALSE)=0,"",VLOOKUP(A102,Aux!B:C,2,FALSE))</f>
        <v/>
      </c>
      <c r="H102" s="25" t="str">
        <f t="shared" si="19"/>
        <v/>
      </c>
      <c r="L102" s="13">
        <f t="shared" si="22"/>
        <v>96824.093314704602</v>
      </c>
      <c r="M102" s="14">
        <f t="shared" si="23"/>
        <v>-28.884077951944548</v>
      </c>
      <c r="N102" s="14">
        <f t="shared" si="24"/>
        <v>18.38922883359022</v>
      </c>
      <c r="O102" s="1">
        <f t="shared" si="25"/>
        <v>2.3070349801871837</v>
      </c>
      <c r="P102" s="1">
        <f t="shared" si="26"/>
        <v>2237.1324615078988</v>
      </c>
      <c r="S102" s="6">
        <f t="shared" si="20"/>
        <v>0.46571901374618546</v>
      </c>
      <c r="T102" s="6">
        <f t="shared" si="21"/>
        <v>0.53428098625381437</v>
      </c>
      <c r="V102" s="1">
        <f t="shared" si="27"/>
        <v>96824.093314704587</v>
      </c>
      <c r="W102" s="7">
        <f t="shared" si="28"/>
        <v>-1.0838501066401728E-4</v>
      </c>
      <c r="X102" s="7">
        <f t="shared" si="29"/>
        <v>-1.0838501066423935E-4</v>
      </c>
      <c r="Y102">
        <f>LN(B102/B101)</f>
        <v>-6.40342083198736E-4</v>
      </c>
      <c r="Z102">
        <f>LN(C102/C101)</f>
        <v>3.5553925774413136E-4</v>
      </c>
    </row>
    <row r="103" spans="1:26" x14ac:dyDescent="0.3">
      <c r="A103" s="9">
        <v>40329</v>
      </c>
      <c r="B103" s="1">
        <v>19997.53</v>
      </c>
      <c r="C103" s="1">
        <v>23.132149999999999</v>
      </c>
      <c r="D103" s="6">
        <f t="shared" si="31"/>
        <v>2.3111882405366879E-2</v>
      </c>
      <c r="E103" s="5">
        <f t="shared" si="30"/>
        <v>3.5590851378142219E-4</v>
      </c>
      <c r="G103" s="25" t="str">
        <f>IF(VLOOKUP(A103,Aux!B:C,2,FALSE)=0,"",VLOOKUP(A103,Aux!B:C,2,FALSE))</f>
        <v/>
      </c>
      <c r="H103" s="25" t="str">
        <f t="shared" si="19"/>
        <v/>
      </c>
      <c r="L103" s="13">
        <f t="shared" si="22"/>
        <v>97884.684896812571</v>
      </c>
      <c r="M103" s="14">
        <f t="shared" si="23"/>
        <v>1042.1799819497537</v>
      </c>
      <c r="N103" s="14">
        <f t="shared" si="24"/>
        <v>18.411600158212401</v>
      </c>
      <c r="O103" s="1">
        <f t="shared" si="25"/>
        <v>2.3070349801871837</v>
      </c>
      <c r="P103" s="1">
        <f t="shared" si="26"/>
        <v>2237.1324615078988</v>
      </c>
      <c r="S103" s="6">
        <f t="shared" si="20"/>
        <v>0.4713199135899237</v>
      </c>
      <c r="T103" s="6">
        <f t="shared" si="21"/>
        <v>0.52868008641007602</v>
      </c>
      <c r="V103" s="1">
        <f t="shared" si="27"/>
        <v>97884.684896812541</v>
      </c>
      <c r="W103" s="7">
        <f t="shared" si="28"/>
        <v>1.0894239915370417E-2</v>
      </c>
      <c r="X103" s="7">
        <f t="shared" si="29"/>
        <v>1.0894239915370196E-2</v>
      </c>
      <c r="Y103">
        <f>LN(B103/B102)</f>
        <v>2.2848847954526925E-2</v>
      </c>
      <c r="Z103">
        <f>LN(C103/C102)</f>
        <v>3.5584519337006793E-4</v>
      </c>
    </row>
    <row r="104" spans="1:26" x14ac:dyDescent="0.3">
      <c r="A104" s="11">
        <v>40330</v>
      </c>
      <c r="B104" s="12">
        <v>19583.990000000002</v>
      </c>
      <c r="C104" s="12">
        <v>23.140370000000001</v>
      </c>
      <c r="D104" s="16">
        <f t="shared" si="31"/>
        <v>-2.0679553924909611E-2</v>
      </c>
      <c r="E104" s="15">
        <f t="shared" si="30"/>
        <v>3.5534958920813153E-4</v>
      </c>
      <c r="G104" s="25" t="str">
        <f>IF(VLOOKUP(A104,Aux!B:C,2,FALSE)=0,"",VLOOKUP(A104,Aux!B:C,2,FALSE))</f>
        <v/>
      </c>
      <c r="H104" s="25" t="str">
        <f t="shared" si="19"/>
        <v/>
      </c>
      <c r="L104" s="13">
        <f t="shared" si="22"/>
        <v>96949.022879939555</v>
      </c>
      <c r="M104" s="14">
        <f t="shared" si="23"/>
        <v>-954.05124570660155</v>
      </c>
      <c r="N104" s="14">
        <f t="shared" si="24"/>
        <v>18.389228833598168</v>
      </c>
      <c r="O104" s="1">
        <f t="shared" si="25"/>
        <v>2.3070349801871837</v>
      </c>
      <c r="P104" s="1">
        <f t="shared" si="26"/>
        <v>2237.1324615078988</v>
      </c>
      <c r="S104" s="6">
        <f t="shared" si="20"/>
        <v>0.4660279045575067</v>
      </c>
      <c r="T104" s="6">
        <f t="shared" si="21"/>
        <v>0.53397209544249313</v>
      </c>
      <c r="V104" s="1">
        <f t="shared" si="27"/>
        <v>96949.022879939541</v>
      </c>
      <c r="W104" s="7">
        <f t="shared" si="28"/>
        <v>-9.6047980671101676E-3</v>
      </c>
      <c r="X104" s="7">
        <f t="shared" si="29"/>
        <v>-9.6047980671100566E-3</v>
      </c>
      <c r="Y104">
        <f>LN(B104/B103)</f>
        <v>-2.0896370218367755E-2</v>
      </c>
      <c r="Z104">
        <f>LN(C104/C103)</f>
        <v>3.5528646749592995E-4</v>
      </c>
    </row>
    <row r="105" spans="1:26" x14ac:dyDescent="0.3">
      <c r="A105" s="9">
        <v>40331</v>
      </c>
      <c r="B105" s="1">
        <v>19928</v>
      </c>
      <c r="C105" s="1">
        <v>23.148620000000001</v>
      </c>
      <c r="D105" s="6">
        <f t="shared" si="31"/>
        <v>1.7565879067544365E-2</v>
      </c>
      <c r="E105" s="5">
        <f t="shared" si="30"/>
        <v>3.5651979635598074E-4</v>
      </c>
      <c r="G105" s="25" t="str">
        <f>IF(VLOOKUP(A105,Aux!B:C,2,FALSE)=0,"",VLOOKUP(A105,Aux!B:C,2,FALSE))</f>
        <v/>
      </c>
      <c r="H105" s="25" t="str">
        <f t="shared" si="19"/>
        <v/>
      </c>
      <c r="L105" s="13">
        <f t="shared" si="22"/>
        <v>97761.122326281198</v>
      </c>
      <c r="M105" s="14">
        <f t="shared" si="23"/>
        <v>793.64310353418932</v>
      </c>
      <c r="N105" s="14">
        <f t="shared" si="24"/>
        <v>18.456342807440866</v>
      </c>
      <c r="O105" s="1">
        <f t="shared" si="25"/>
        <v>2.3070349801871837</v>
      </c>
      <c r="P105" s="1">
        <f t="shared" si="26"/>
        <v>2237.1324615078988</v>
      </c>
      <c r="S105" s="6">
        <f t="shared" si="20"/>
        <v>0.47027480854534764</v>
      </c>
      <c r="T105" s="6">
        <f t="shared" si="21"/>
        <v>0.52972519145465213</v>
      </c>
      <c r="V105" s="1">
        <f t="shared" si="27"/>
        <v>97761.122326281184</v>
      </c>
      <c r="W105" s="7">
        <f t="shared" si="28"/>
        <v>8.3416727416695206E-3</v>
      </c>
      <c r="X105" s="7">
        <f t="shared" si="29"/>
        <v>8.3416727416695206E-3</v>
      </c>
      <c r="Y105">
        <f>LN(B105/B104)</f>
        <v>1.7413382251009028E-2</v>
      </c>
      <c r="Z105">
        <f>LN(C105/C104)</f>
        <v>3.5645625827465785E-4</v>
      </c>
    </row>
    <row r="106" spans="1:26" x14ac:dyDescent="0.3">
      <c r="A106" s="11">
        <v>40333</v>
      </c>
      <c r="B106" s="12">
        <v>19587.78</v>
      </c>
      <c r="C106" s="12">
        <v>23.156880000000001</v>
      </c>
      <c r="D106" s="16">
        <f t="shared" si="31"/>
        <v>-1.7072460859092753E-2</v>
      </c>
      <c r="E106" s="15">
        <f t="shared" si="30"/>
        <v>3.5682472648468355E-4</v>
      </c>
      <c r="G106" s="25" t="str">
        <f>IF(VLOOKUP(A106,Aux!B:C,2,FALSE)=0,"",VLOOKUP(A106,Aux!B:C,2,FALSE))</f>
        <v/>
      </c>
      <c r="H106" s="25" t="str">
        <f t="shared" si="19"/>
        <v/>
      </c>
      <c r="L106" s="13">
        <f t="shared" si="22"/>
        <v>96994.701599453969</v>
      </c>
      <c r="M106" s="14">
        <f t="shared" si="23"/>
        <v>-784.89944095928627</v>
      </c>
      <c r="N106" s="14">
        <f t="shared" si="24"/>
        <v>18.478714132055096</v>
      </c>
      <c r="O106" s="1">
        <f t="shared" si="25"/>
        <v>2.3070349801871837</v>
      </c>
      <c r="P106" s="1">
        <f t="shared" si="26"/>
        <v>2237.1324615078988</v>
      </c>
      <c r="S106" s="6">
        <f t="shared" si="20"/>
        <v>0.46589857898449683</v>
      </c>
      <c r="T106" s="6">
        <f t="shared" si="21"/>
        <v>0.53410142101550284</v>
      </c>
      <c r="V106" s="1">
        <f t="shared" si="27"/>
        <v>96994.70159945394</v>
      </c>
      <c r="W106" s="7">
        <f t="shared" si="28"/>
        <v>-7.8706214562343137E-3</v>
      </c>
      <c r="X106" s="7">
        <f t="shared" si="29"/>
        <v>-7.8706214562344248E-3</v>
      </c>
      <c r="Y106">
        <f>LN(B106/B105)</f>
        <v>-1.7219875549023177E-2</v>
      </c>
      <c r="Z106">
        <f>LN(C106/C105)</f>
        <v>3.5676107968201997E-4</v>
      </c>
    </row>
    <row r="107" spans="1:26" x14ac:dyDescent="0.3">
      <c r="A107" s="9">
        <v>40336</v>
      </c>
      <c r="B107" s="1">
        <v>19405.830000000002</v>
      </c>
      <c r="C107" s="1">
        <v>23.165130000000001</v>
      </c>
      <c r="D107" s="6">
        <f t="shared" si="31"/>
        <v>-9.2889546441708992E-3</v>
      </c>
      <c r="E107" s="5">
        <f t="shared" si="30"/>
        <v>3.5626561091128828E-4</v>
      </c>
      <c r="G107" s="25" t="str">
        <f>IF(VLOOKUP(A107,Aux!B:C,2,FALSE)=0,"",VLOOKUP(A107,Aux!B:C,2,FALSE))</f>
        <v/>
      </c>
      <c r="H107" s="25" t="str">
        <f t="shared" si="19"/>
        <v/>
      </c>
      <c r="L107" s="13">
        <f t="shared" si="22"/>
        <v>96593.392927616369</v>
      </c>
      <c r="M107" s="14">
        <f t="shared" si="23"/>
        <v>-419.76501464505134</v>
      </c>
      <c r="N107" s="14">
        <f t="shared" si="24"/>
        <v>18.456342807440866</v>
      </c>
      <c r="O107" s="1">
        <f t="shared" si="25"/>
        <v>2.3070349801871837</v>
      </c>
      <c r="P107" s="1">
        <f t="shared" si="26"/>
        <v>2237.1324615078988</v>
      </c>
      <c r="S107" s="6">
        <f t="shared" si="20"/>
        <v>0.46348851896231497</v>
      </c>
      <c r="T107" s="6">
        <f t="shared" si="21"/>
        <v>0.53651148103768465</v>
      </c>
      <c r="V107" s="1">
        <f t="shared" si="27"/>
        <v>96593.39292761634</v>
      </c>
      <c r="W107" s="7">
        <f t="shared" si="28"/>
        <v>-4.1460116405696084E-3</v>
      </c>
      <c r="X107" s="7">
        <f t="shared" si="29"/>
        <v>-4.1460116405696084E-3</v>
      </c>
      <c r="Y107">
        <f>LN(B107/B106)</f>
        <v>-9.3323660233836491E-3</v>
      </c>
      <c r="Z107">
        <f>LN(C107/C106)</f>
        <v>3.5620216338752916E-4</v>
      </c>
    </row>
    <row r="108" spans="1:26" x14ac:dyDescent="0.3">
      <c r="A108" s="11">
        <v>40337</v>
      </c>
      <c r="B108" s="12">
        <v>19612.849999999999</v>
      </c>
      <c r="C108" s="12">
        <v>23.173390000000001</v>
      </c>
      <c r="D108" s="16">
        <f t="shared" si="31"/>
        <v>1.0667928143243355E-2</v>
      </c>
      <c r="E108" s="15">
        <f t="shared" si="30"/>
        <v>3.5657041423897695E-4</v>
      </c>
      <c r="G108" s="25" t="str">
        <f>IF(VLOOKUP(A108,Aux!B:C,2,FALSE)=0,"",VLOOKUP(A108,Aux!B:C,2,FALSE))</f>
        <v/>
      </c>
      <c r="H108" s="25" t="str">
        <f t="shared" si="19"/>
        <v/>
      </c>
      <c r="L108" s="13">
        <f t="shared" si="22"/>
        <v>97089.474023346775</v>
      </c>
      <c r="M108" s="14">
        <f t="shared" si="23"/>
        <v>477.60238159834336</v>
      </c>
      <c r="N108" s="14">
        <f t="shared" si="24"/>
        <v>18.478714132055096</v>
      </c>
      <c r="O108" s="1">
        <f t="shared" si="25"/>
        <v>2.3070349801871837</v>
      </c>
      <c r="P108" s="1">
        <f t="shared" si="26"/>
        <v>2237.1324615078988</v>
      </c>
      <c r="S108" s="6">
        <f t="shared" si="20"/>
        <v>0.46603951114498449</v>
      </c>
      <c r="T108" s="6">
        <f t="shared" si="21"/>
        <v>0.53396048885501501</v>
      </c>
      <c r="V108" s="1">
        <f t="shared" si="27"/>
        <v>97089.474023346731</v>
      </c>
      <c r="W108" s="7">
        <f t="shared" si="28"/>
        <v>5.1226232692227671E-3</v>
      </c>
      <c r="X108" s="7">
        <f t="shared" si="29"/>
        <v>5.1226232692227671E-3</v>
      </c>
      <c r="Y108">
        <f>LN(B108/B107)</f>
        <v>1.0611427274076308E-2</v>
      </c>
      <c r="Z108">
        <f>LN(C108/C107)</f>
        <v>3.5650685811652812E-4</v>
      </c>
    </row>
    <row r="109" spans="1:26" x14ac:dyDescent="0.3">
      <c r="A109" s="9">
        <v>40338</v>
      </c>
      <c r="B109" s="1">
        <v>19506.53</v>
      </c>
      <c r="C109" s="1">
        <v>23.181640000000002</v>
      </c>
      <c r="D109" s="6">
        <f t="shared" si="31"/>
        <v>-5.4209357640526701E-3</v>
      </c>
      <c r="E109" s="5">
        <f t="shared" si="30"/>
        <v>3.5601178765820585E-4</v>
      </c>
      <c r="G109" s="25" t="str">
        <f>IF(VLOOKUP(A109,Aux!B:C,2,FALSE)=0,"",VLOOKUP(A109,Aux!B:C,2,FALSE))</f>
        <v/>
      </c>
      <c r="H109" s="25" t="str">
        <f t="shared" si="19"/>
        <v/>
      </c>
      <c r="L109" s="13">
        <f t="shared" si="22"/>
        <v>96862.646407060718</v>
      </c>
      <c r="M109" s="14">
        <f t="shared" si="23"/>
        <v>-245.2839590935007</v>
      </c>
      <c r="N109" s="14">
        <f t="shared" si="24"/>
        <v>18.456342807440866</v>
      </c>
      <c r="O109" s="1">
        <f t="shared" si="25"/>
        <v>2.3070349801871837</v>
      </c>
      <c r="P109" s="1">
        <f t="shared" si="26"/>
        <v>2237.1324615078988</v>
      </c>
      <c r="S109" s="6">
        <f t="shared" si="20"/>
        <v>0.46459857046390074</v>
      </c>
      <c r="T109" s="6">
        <f t="shared" si="21"/>
        <v>0.53540142953609871</v>
      </c>
      <c r="V109" s="1">
        <f t="shared" si="27"/>
        <v>96862.646407060674</v>
      </c>
      <c r="W109" s="7">
        <f t="shared" si="28"/>
        <v>-2.3390073714721956E-3</v>
      </c>
      <c r="X109" s="7">
        <f t="shared" si="29"/>
        <v>-2.3390073714721956E-3</v>
      </c>
      <c r="Y109">
        <f>LN(B109/B108)</f>
        <v>-5.4356823540212245E-3</v>
      </c>
      <c r="Z109">
        <f>LN(C109/C108)</f>
        <v>3.5594843049854781E-4</v>
      </c>
    </row>
    <row r="110" spans="1:26" x14ac:dyDescent="0.3">
      <c r="A110" s="11">
        <v>40339</v>
      </c>
      <c r="B110" s="12">
        <v>19919.400000000001</v>
      </c>
      <c r="C110" s="12">
        <v>23.189889999999998</v>
      </c>
      <c r="D110" s="16">
        <f t="shared" si="31"/>
        <v>2.1165732705919593E-2</v>
      </c>
      <c r="E110" s="15">
        <f t="shared" si="30"/>
        <v>3.5588508837158805E-4</v>
      </c>
      <c r="G110" s="25" t="str">
        <f>IF(VLOOKUP(A110,Aux!B:C,2,FALSE)=0,"",VLOOKUP(A110,Aux!B:C,2,FALSE))</f>
        <v/>
      </c>
      <c r="H110" s="25" t="str">
        <f t="shared" si="19"/>
        <v/>
      </c>
      <c r="L110" s="13">
        <f t="shared" si="22"/>
        <v>97833.608282138041</v>
      </c>
      <c r="M110" s="14">
        <f t="shared" si="23"/>
        <v>952.50553226988859</v>
      </c>
      <c r="N110" s="14">
        <f t="shared" si="24"/>
        <v>18.456342807432918</v>
      </c>
      <c r="O110" s="1">
        <f t="shared" si="25"/>
        <v>2.3070349801871837</v>
      </c>
      <c r="P110" s="1">
        <f t="shared" si="26"/>
        <v>2237.1324615078988</v>
      </c>
      <c r="S110" s="6">
        <f t="shared" si="20"/>
        <v>0.46972357854586838</v>
      </c>
      <c r="T110" s="6">
        <f t="shared" si="21"/>
        <v>0.53027642145413112</v>
      </c>
      <c r="V110" s="1">
        <f t="shared" si="27"/>
        <v>97833.608282137997</v>
      </c>
      <c r="W110" s="7">
        <f t="shared" si="28"/>
        <v>9.9742023930486021E-3</v>
      </c>
      <c r="X110" s="7">
        <f t="shared" si="29"/>
        <v>9.9742023930486021E-3</v>
      </c>
      <c r="Y110">
        <f>LN(B110/B109)</f>
        <v>2.0944849913366047E-2</v>
      </c>
      <c r="Z110">
        <f>LN(C110/C109)</f>
        <v>3.5582177629429619E-4</v>
      </c>
    </row>
    <row r="111" spans="1:26" x14ac:dyDescent="0.3">
      <c r="A111" s="9">
        <v>40340</v>
      </c>
      <c r="B111" s="1">
        <v>20041.47</v>
      </c>
      <c r="C111" s="1">
        <v>23.19876</v>
      </c>
      <c r="D111" s="6">
        <f t="shared" si="31"/>
        <v>6.1281966324286952E-3</v>
      </c>
      <c r="E111" s="5">
        <f t="shared" si="30"/>
        <v>3.8249426797642982E-4</v>
      </c>
      <c r="G111" s="25" t="str">
        <f>IF(VLOOKUP(A111,Aux!B:C,2,FALSE)=0,"",VLOOKUP(A111,Aux!B:C,2,FALSE))</f>
        <v/>
      </c>
      <c r="H111" s="25" t="str">
        <f t="shared" si="19"/>
        <v/>
      </c>
      <c r="L111" s="13">
        <f t="shared" si="22"/>
        <v>98135.071407103067</v>
      </c>
      <c r="M111" s="14">
        <f t="shared" si="23"/>
        <v>281.61976003144883</v>
      </c>
      <c r="N111" s="14">
        <f t="shared" si="24"/>
        <v>19.843364933578886</v>
      </c>
      <c r="O111" s="1">
        <f t="shared" si="25"/>
        <v>2.3070349801871837</v>
      </c>
      <c r="P111" s="1">
        <f t="shared" si="26"/>
        <v>2237.1324615078988</v>
      </c>
      <c r="S111" s="6">
        <f t="shared" si="20"/>
        <v>0.47115034086606294</v>
      </c>
      <c r="T111" s="6">
        <f t="shared" si="21"/>
        <v>0.52884965913393656</v>
      </c>
      <c r="V111" s="1">
        <f t="shared" si="27"/>
        <v>98135.071407103023</v>
      </c>
      <c r="W111" s="7">
        <f t="shared" si="28"/>
        <v>3.0766484036255652E-3</v>
      </c>
      <c r="X111" s="7">
        <f t="shared" si="29"/>
        <v>3.0766484036255652E-3</v>
      </c>
      <c r="Y111">
        <f>LN(B111/B110)</f>
        <v>6.1094955989623211E-3</v>
      </c>
      <c r="Z111">
        <f>LN(C111/C110)</f>
        <v>3.8242113569177127E-4</v>
      </c>
    </row>
    <row r="112" spans="1:26" x14ac:dyDescent="0.3">
      <c r="A112" s="11">
        <v>40343</v>
      </c>
      <c r="B112" s="12">
        <v>19943.39</v>
      </c>
      <c r="C112" s="12">
        <v>23.207609999999999</v>
      </c>
      <c r="D112" s="16">
        <f t="shared" si="31"/>
        <v>-4.8938525966409907E-3</v>
      </c>
      <c r="E112" s="15">
        <f t="shared" si="30"/>
        <v>3.8148590700526341E-4</v>
      </c>
      <c r="G112" s="25" t="str">
        <f>IF(VLOOKUP(A112,Aux!B:C,2,FALSE)=0,"",VLOOKUP(A112,Aux!B:C,2,FALSE))</f>
        <v/>
      </c>
      <c r="H112" s="25" t="str">
        <f t="shared" si="19"/>
        <v/>
      </c>
      <c r="L112" s="13">
        <f t="shared" si="22"/>
        <v>97928.596038530653</v>
      </c>
      <c r="M112" s="14">
        <f t="shared" si="23"/>
        <v>-226.27399085676299</v>
      </c>
      <c r="N112" s="14">
        <f t="shared" si="24"/>
        <v>19.798622284342475</v>
      </c>
      <c r="O112" s="1">
        <f t="shared" si="25"/>
        <v>2.3070349801871837</v>
      </c>
      <c r="P112" s="1">
        <f t="shared" si="26"/>
        <v>2237.1324615078988</v>
      </c>
      <c r="S112" s="6">
        <f t="shared" si="20"/>
        <v>0.46983312550924655</v>
      </c>
      <c r="T112" s="6">
        <f t="shared" si="21"/>
        <v>0.53016687449075295</v>
      </c>
      <c r="V112" s="1">
        <f t="shared" si="27"/>
        <v>97928.59603853061</v>
      </c>
      <c r="W112" s="7">
        <f t="shared" si="28"/>
        <v>-2.1062081270989711E-3</v>
      </c>
      <c r="X112" s="7">
        <f t="shared" si="29"/>
        <v>-2.1062081270989711E-3</v>
      </c>
      <c r="Y112">
        <f>LN(B112/B111)</f>
        <v>-4.9058667061409548E-3</v>
      </c>
      <c r="Z112">
        <f>LN(C112/C111)</f>
        <v>3.8141315975742012E-4</v>
      </c>
    </row>
    <row r="113" spans="1:26" x14ac:dyDescent="0.3">
      <c r="A113" s="9">
        <v>40344</v>
      </c>
      <c r="B113" s="1">
        <v>20214.349999999999</v>
      </c>
      <c r="C113" s="1">
        <v>23.216480000000001</v>
      </c>
      <c r="D113" s="6">
        <f t="shared" si="31"/>
        <v>1.3586456465024099E-2</v>
      </c>
      <c r="E113" s="5">
        <f t="shared" si="30"/>
        <v>3.8220221728990644E-4</v>
      </c>
      <c r="G113" s="25" t="str">
        <f>IF(VLOOKUP(A113,Aux!B:C,2,FALSE)=0,"",VLOOKUP(A113,Aux!B:C,2,FALSE))</f>
        <v/>
      </c>
      <c r="H113" s="25" t="str">
        <f t="shared" si="19"/>
        <v/>
      </c>
      <c r="L113" s="13">
        <f t="shared" si="22"/>
        <v>98573.553601695749</v>
      </c>
      <c r="M113" s="14">
        <f t="shared" si="23"/>
        <v>625.11419823151732</v>
      </c>
      <c r="N113" s="14">
        <f t="shared" si="24"/>
        <v>19.843364933578886</v>
      </c>
      <c r="O113" s="1">
        <f t="shared" si="25"/>
        <v>2.3070349801871837</v>
      </c>
      <c r="P113" s="1">
        <f t="shared" si="26"/>
        <v>2237.1324615078988</v>
      </c>
      <c r="S113" s="6">
        <f t="shared" si="20"/>
        <v>0.47310065273881469</v>
      </c>
      <c r="T113" s="6">
        <f t="shared" si="21"/>
        <v>0.52689934726118481</v>
      </c>
      <c r="V113" s="1">
        <f t="shared" si="27"/>
        <v>98573.55360169569</v>
      </c>
      <c r="W113" s="7">
        <f t="shared" si="28"/>
        <v>6.5644053294640166E-3</v>
      </c>
      <c r="X113" s="7">
        <f t="shared" si="29"/>
        <v>6.5644053294640166E-3</v>
      </c>
      <c r="Y113">
        <f>LN(B113/B112)</f>
        <v>1.3494988121221007E-2</v>
      </c>
      <c r="Z113">
        <f>LN(C113/C112)</f>
        <v>3.8212919662763598E-4</v>
      </c>
    </row>
    <row r="114" spans="1:26" x14ac:dyDescent="0.3">
      <c r="A114" s="11">
        <v>40345</v>
      </c>
      <c r="B114" s="12">
        <v>20328.240000000002</v>
      </c>
      <c r="C114" s="12">
        <v>23.225370000000002</v>
      </c>
      <c r="D114" s="16">
        <f t="shared" si="31"/>
        <v>5.6341163579340936E-3</v>
      </c>
      <c r="E114" s="15">
        <f t="shared" si="30"/>
        <v>3.8291765159925717E-4</v>
      </c>
      <c r="G114" s="25" t="str">
        <f>IF(VLOOKUP(A114,Aux!B:C,2,FALSE)=0,"",VLOOKUP(A114,Aux!B:C,2,FALSE))</f>
        <v/>
      </c>
      <c r="H114" s="25" t="str">
        <f t="shared" si="19"/>
        <v/>
      </c>
      <c r="L114" s="13">
        <f t="shared" si="22"/>
        <v>98856.189923172089</v>
      </c>
      <c r="M114" s="14">
        <f t="shared" si="23"/>
        <v>262.74821389352542</v>
      </c>
      <c r="N114" s="14">
        <f t="shared" si="24"/>
        <v>19.888107582807351</v>
      </c>
      <c r="O114" s="1">
        <f t="shared" si="25"/>
        <v>2.3070349801871837</v>
      </c>
      <c r="P114" s="1">
        <f t="shared" si="26"/>
        <v>2237.1324615078988</v>
      </c>
      <c r="S114" s="6">
        <f t="shared" si="20"/>
        <v>0.47440591026305923</v>
      </c>
      <c r="T114" s="6">
        <f t="shared" si="21"/>
        <v>0.52559408973694022</v>
      </c>
      <c r="V114" s="1">
        <f t="shared" si="27"/>
        <v>98856.189923172031</v>
      </c>
      <c r="W114" s="7">
        <f t="shared" si="28"/>
        <v>2.8631604287230497E-3</v>
      </c>
      <c r="X114" s="7">
        <f t="shared" si="29"/>
        <v>2.8631604287230497E-3</v>
      </c>
      <c r="Y114">
        <f>LN(B114/B113)</f>
        <v>5.6183040886749651E-3</v>
      </c>
      <c r="Z114">
        <f>LN(C114/C113)</f>
        <v>3.8284435734514953E-4</v>
      </c>
    </row>
    <row r="115" spans="1:26" x14ac:dyDescent="0.3">
      <c r="A115" s="9">
        <v>40346</v>
      </c>
      <c r="B115" s="1">
        <v>20224.25</v>
      </c>
      <c r="C115" s="1">
        <v>23.234249999999999</v>
      </c>
      <c r="D115" s="6">
        <f t="shared" si="31"/>
        <v>-5.1155436968474133E-3</v>
      </c>
      <c r="E115" s="5">
        <f t="shared" si="30"/>
        <v>3.8234051814889369E-4</v>
      </c>
      <c r="G115" s="25" t="str">
        <f>IF(VLOOKUP(A115,Aux!B:C,2,FALSE)=0,"",VLOOKUP(A115,Aux!B:C,2,FALSE))</f>
        <v/>
      </c>
      <c r="H115" s="25" t="str">
        <f t="shared" si="19"/>
        <v/>
      </c>
      <c r="L115" s="13">
        <f t="shared" si="22"/>
        <v>98636.147091840612</v>
      </c>
      <c r="M115" s="14">
        <f t="shared" si="23"/>
        <v>-239.90856758966893</v>
      </c>
      <c r="N115" s="14">
        <f t="shared" si="24"/>
        <v>19.865736258185173</v>
      </c>
      <c r="O115" s="1">
        <f t="shared" si="25"/>
        <v>2.3070349801871837</v>
      </c>
      <c r="P115" s="1">
        <f t="shared" si="26"/>
        <v>2237.1324615078988</v>
      </c>
      <c r="S115" s="6">
        <f t="shared" si="20"/>
        <v>0.47303198242939382</v>
      </c>
      <c r="T115" s="6">
        <f t="shared" si="21"/>
        <v>0.52696801757060552</v>
      </c>
      <c r="V115" s="1">
        <f t="shared" si="27"/>
        <v>98636.147091840539</v>
      </c>
      <c r="W115" s="7">
        <f t="shared" si="28"/>
        <v>-2.2283692188928583E-3</v>
      </c>
      <c r="X115" s="7">
        <f t="shared" si="29"/>
        <v>-2.2283692188929693E-3</v>
      </c>
      <c r="Y115">
        <f>LN(B115/B114)</f>
        <v>-5.1286728849345787E-3</v>
      </c>
      <c r="Z115">
        <f>LN(C115/C114)</f>
        <v>3.8226744463836708E-4</v>
      </c>
    </row>
    <row r="116" spans="1:26" x14ac:dyDescent="0.3">
      <c r="A116" s="11">
        <v>40347</v>
      </c>
      <c r="B116" s="12">
        <v>20208.72</v>
      </c>
      <c r="C116" s="12">
        <v>23.24314</v>
      </c>
      <c r="D116" s="16">
        <f t="shared" si="31"/>
        <v>-7.6789003300492542E-4</v>
      </c>
      <c r="E116" s="15">
        <f t="shared" si="30"/>
        <v>3.8262478883543949E-4</v>
      </c>
      <c r="G116" s="25" t="str">
        <f>IF(VLOOKUP(A116,Aux!B:C,2,FALSE)=0,"",VLOOKUP(A116,Aux!B:C,2,FALSE))</f>
        <v/>
      </c>
      <c r="H116" s="25" t="str">
        <f t="shared" si="19"/>
        <v/>
      </c>
      <c r="L116" s="13">
        <f t="shared" si="22"/>
        <v>98620.206946181119</v>
      </c>
      <c r="M116" s="14">
        <f t="shared" si="23"/>
        <v>-35.828253242304278</v>
      </c>
      <c r="N116" s="14">
        <f t="shared" si="24"/>
        <v>19.888107582807351</v>
      </c>
      <c r="O116" s="1">
        <f t="shared" si="25"/>
        <v>2.3070349801871837</v>
      </c>
      <c r="P116" s="1">
        <f t="shared" si="26"/>
        <v>2237.1324615078988</v>
      </c>
      <c r="S116" s="6">
        <f t="shared" si="20"/>
        <v>0.47274514410876217</v>
      </c>
      <c r="T116" s="6">
        <f t="shared" si="21"/>
        <v>0.52725485589123711</v>
      </c>
      <c r="V116" s="1">
        <f t="shared" si="27"/>
        <v>98620.206946181046</v>
      </c>
      <c r="W116" s="7">
        <f t="shared" si="28"/>
        <v>-1.6161857773279664E-4</v>
      </c>
      <c r="X116" s="7">
        <f t="shared" si="29"/>
        <v>-1.6161857773279664E-4</v>
      </c>
      <c r="Y116">
        <f>LN(B116/B115)</f>
        <v>-7.6818501157338841E-4</v>
      </c>
      <c r="Z116">
        <f>LN(C116/C115)</f>
        <v>3.8255160663787732E-4</v>
      </c>
    </row>
    <row r="117" spans="1:26" x14ac:dyDescent="0.3">
      <c r="A117" s="9">
        <v>40350</v>
      </c>
      <c r="B117" s="1">
        <v>20371.28</v>
      </c>
      <c r="C117" s="1">
        <v>23.252050000000001</v>
      </c>
      <c r="D117" s="6">
        <f t="shared" si="31"/>
        <v>8.0440522705049755E-3</v>
      </c>
      <c r="E117" s="5">
        <f t="shared" si="30"/>
        <v>3.8333891204023196E-4</v>
      </c>
      <c r="G117" s="25" t="str">
        <f>IF(VLOOKUP(A117,Aux!B:C,2,FALSE)=0,"",VLOOKUP(A117,Aux!B:C,2,FALSE))</f>
        <v/>
      </c>
      <c r="H117" s="25" t="str">
        <f t="shared" si="19"/>
        <v/>
      </c>
      <c r="L117" s="13">
        <f t="shared" si="22"/>
        <v>99015.171402792388</v>
      </c>
      <c r="M117" s="14">
        <f t="shared" si="23"/>
        <v>375.03160637922321</v>
      </c>
      <c r="N117" s="14">
        <f t="shared" si="24"/>
        <v>19.932850232035815</v>
      </c>
      <c r="O117" s="1">
        <f t="shared" si="25"/>
        <v>2.3070349801871837</v>
      </c>
      <c r="P117" s="1">
        <f t="shared" si="26"/>
        <v>2237.1324615078988</v>
      </c>
      <c r="S117" s="6">
        <f t="shared" si="20"/>
        <v>0.4746470150518991</v>
      </c>
      <c r="T117" s="6">
        <f t="shared" si="21"/>
        <v>0.52535298494810012</v>
      </c>
      <c r="V117" s="1">
        <f t="shared" si="27"/>
        <v>99015.171402792301</v>
      </c>
      <c r="W117" s="7">
        <f t="shared" si="28"/>
        <v>3.9969056726124521E-3</v>
      </c>
      <c r="X117" s="7">
        <f t="shared" si="29"/>
        <v>3.9969056726122309E-3</v>
      </c>
      <c r="Y117">
        <f>LN(B117/B116)</f>
        <v>8.0118713435544092E-3</v>
      </c>
      <c r="Z117">
        <f>LN(C117/C116)</f>
        <v>3.8326545645114737E-4</v>
      </c>
    </row>
    <row r="118" spans="1:26" x14ac:dyDescent="0.3">
      <c r="A118" s="11">
        <v>40351</v>
      </c>
      <c r="B118" s="12">
        <v>20296.5</v>
      </c>
      <c r="C118" s="12">
        <v>23.260950000000001</v>
      </c>
      <c r="D118" s="16">
        <f t="shared" si="31"/>
        <v>-3.6708542614896089E-3</v>
      </c>
      <c r="E118" s="15">
        <f t="shared" si="30"/>
        <v>3.8276195002162616E-4</v>
      </c>
      <c r="G118" s="25" t="str">
        <f>IF(VLOOKUP(A118,Aux!B:C,2,FALSE)=0,"",VLOOKUP(A118,Aux!B:C,2,FALSE))</f>
        <v/>
      </c>
      <c r="H118" s="25" t="str">
        <f t="shared" si="19"/>
        <v/>
      </c>
      <c r="L118" s="13">
        <f t="shared" si="22"/>
        <v>98862.561805881414</v>
      </c>
      <c r="M118" s="14">
        <f t="shared" si="23"/>
        <v>-172.5200758183949</v>
      </c>
      <c r="N118" s="14">
        <f t="shared" si="24"/>
        <v>19.910478907421584</v>
      </c>
      <c r="O118" s="1">
        <f t="shared" si="25"/>
        <v>2.3070349801871837</v>
      </c>
      <c r="P118" s="1">
        <f t="shared" si="26"/>
        <v>2237.1324615078988</v>
      </c>
      <c r="S118" s="6">
        <f t="shared" si="20"/>
        <v>0.47363465623428275</v>
      </c>
      <c r="T118" s="6">
        <f t="shared" si="21"/>
        <v>0.52636534376571642</v>
      </c>
      <c r="V118" s="1">
        <f t="shared" si="27"/>
        <v>98862.561805881327</v>
      </c>
      <c r="W118" s="7">
        <f t="shared" si="28"/>
        <v>-1.5424638709335098E-3</v>
      </c>
      <c r="X118" s="7">
        <f t="shared" si="29"/>
        <v>-1.5424638709335098E-3</v>
      </c>
      <c r="Y118">
        <f>LN(B118/B117)</f>
        <v>-3.6776083809859101E-3</v>
      </c>
      <c r="Z118">
        <f>LN(C118/C117)</f>
        <v>3.826887153534676E-4</v>
      </c>
    </row>
    <row r="119" spans="1:26" x14ac:dyDescent="0.3">
      <c r="A119" s="9">
        <v>40352</v>
      </c>
      <c r="B119" s="1">
        <v>20357.2</v>
      </c>
      <c r="C119" s="1">
        <v>23.269860000000001</v>
      </c>
      <c r="D119" s="6">
        <f t="shared" si="31"/>
        <v>2.9906634148744171E-3</v>
      </c>
      <c r="E119" s="5">
        <f t="shared" si="30"/>
        <v>3.8304540442246626E-4</v>
      </c>
      <c r="G119" s="25" t="str">
        <f>IF(VLOOKUP(A119,Aux!B:C,2,FALSE)=0,"",VLOOKUP(A119,Aux!B:C,2,FALSE))</f>
        <v/>
      </c>
      <c r="H119" s="25" t="str">
        <f t="shared" si="19"/>
        <v/>
      </c>
      <c r="L119" s="13">
        <f t="shared" si="22"/>
        <v>99022.531679410822</v>
      </c>
      <c r="M119" s="14">
        <f t="shared" si="23"/>
        <v>140.03702329736373</v>
      </c>
      <c r="N119" s="14">
        <f t="shared" si="24"/>
        <v>19.932850232035815</v>
      </c>
      <c r="O119" s="1">
        <f t="shared" si="25"/>
        <v>2.3070349801871837</v>
      </c>
      <c r="P119" s="1">
        <f t="shared" si="26"/>
        <v>2237.1324615078988</v>
      </c>
      <c r="S119" s="6">
        <f t="shared" si="20"/>
        <v>0.47428369788319241</v>
      </c>
      <c r="T119" s="6">
        <f t="shared" si="21"/>
        <v>0.52571630211680664</v>
      </c>
      <c r="V119" s="1">
        <f t="shared" si="27"/>
        <v>99022.531679410735</v>
      </c>
      <c r="W119" s="7">
        <f t="shared" si="28"/>
        <v>1.6167959451525245E-3</v>
      </c>
      <c r="X119" s="7">
        <f t="shared" si="29"/>
        <v>1.6167959451525245E-3</v>
      </c>
      <c r="Y119">
        <f>LN(B119/B118)</f>
        <v>2.9862002773245037E-3</v>
      </c>
      <c r="Z119">
        <f>LN(C119/C118)</f>
        <v>3.8297206126011816E-4</v>
      </c>
    </row>
    <row r="120" spans="1:26" x14ac:dyDescent="0.3">
      <c r="A120" s="11">
        <v>40353</v>
      </c>
      <c r="B120" s="12">
        <v>19935.34</v>
      </c>
      <c r="C120" s="12">
        <v>23.278770000000002</v>
      </c>
      <c r="D120" s="16">
        <f t="shared" si="31"/>
        <v>-2.0722889198907524E-2</v>
      </c>
      <c r="E120" s="15">
        <f t="shared" si="30"/>
        <v>3.8289873682084696E-4</v>
      </c>
      <c r="G120" s="25" t="str">
        <f>IF(VLOOKUP(A120,Aux!B:C,2,FALSE)=0,"",VLOOKUP(A120,Aux!B:C,2,FALSE))</f>
        <v/>
      </c>
      <c r="H120" s="25" t="str">
        <f t="shared" si="19"/>
        <v/>
      </c>
      <c r="L120" s="13">
        <f t="shared" si="22"/>
        <v>98069.218752901099</v>
      </c>
      <c r="M120" s="14">
        <f t="shared" si="23"/>
        <v>-973.24577674176669</v>
      </c>
      <c r="N120" s="14">
        <f t="shared" si="24"/>
        <v>19.932850232035815</v>
      </c>
      <c r="O120" s="1">
        <f t="shared" si="25"/>
        <v>2.3070349801871837</v>
      </c>
      <c r="P120" s="1">
        <f t="shared" si="26"/>
        <v>2237.1324615078988</v>
      </c>
      <c r="S120" s="6">
        <f t="shared" si="20"/>
        <v>0.46897005305820527</v>
      </c>
      <c r="T120" s="6">
        <f t="shared" si="21"/>
        <v>0.53102994694179373</v>
      </c>
      <c r="V120" s="1">
        <f t="shared" si="27"/>
        <v>98069.218752901012</v>
      </c>
      <c r="W120" s="7">
        <f t="shared" si="28"/>
        <v>-9.6738738071345063E-3</v>
      </c>
      <c r="X120" s="7">
        <f t="shared" si="29"/>
        <v>-9.6738738071345063E-3</v>
      </c>
      <c r="Y120">
        <f>LN(B120/B119)</f>
        <v>-2.0940621548971989E-2</v>
      </c>
      <c r="Z120">
        <f>LN(C120/C119)</f>
        <v>3.8282544980659079E-4</v>
      </c>
    </row>
    <row r="121" spans="1:26" x14ac:dyDescent="0.3">
      <c r="A121" s="9">
        <v>40354</v>
      </c>
      <c r="B121" s="1">
        <v>20202.150000000001</v>
      </c>
      <c r="C121" s="1">
        <v>23.287690000000001</v>
      </c>
      <c r="D121" s="6">
        <f t="shared" si="31"/>
        <v>1.3383769727529193E-2</v>
      </c>
      <c r="E121" s="5">
        <f t="shared" si="30"/>
        <v>3.831817574553309E-4</v>
      </c>
      <c r="G121" s="25" t="str">
        <f>IF(VLOOKUP(A121,Aux!B:C,2,FALSE)=0,"",VLOOKUP(A121,Aux!B:C,2,FALSE))</f>
        <v/>
      </c>
      <c r="H121" s="25" t="str">
        <f t="shared" si="19"/>
        <v/>
      </c>
      <c r="L121" s="13">
        <f t="shared" si="22"/>
        <v>98704.713977521489</v>
      </c>
      <c r="M121" s="14">
        <f t="shared" si="23"/>
        <v>615.54000306374553</v>
      </c>
      <c r="N121" s="14">
        <f t="shared" si="24"/>
        <v>19.955221556650049</v>
      </c>
      <c r="O121" s="1">
        <f t="shared" si="25"/>
        <v>2.3070349801871837</v>
      </c>
      <c r="P121" s="1">
        <f t="shared" si="26"/>
        <v>2237.1324615078988</v>
      </c>
      <c r="S121" s="6">
        <f t="shared" si="20"/>
        <v>0.47218683735411637</v>
      </c>
      <c r="T121" s="6">
        <f t="shared" si="21"/>
        <v>0.52781316264588274</v>
      </c>
      <c r="V121" s="1">
        <f t="shared" si="27"/>
        <v>98704.713977521402</v>
      </c>
      <c r="W121" s="7">
        <f t="shared" si="28"/>
        <v>6.4591628092941968E-3</v>
      </c>
      <c r="X121" s="7">
        <f t="shared" si="29"/>
        <v>6.4591628092941968E-3</v>
      </c>
      <c r="Y121">
        <f>LN(B121/B120)</f>
        <v>1.3294998268828172E-2</v>
      </c>
      <c r="Z121">
        <f>LN(C121/C120)</f>
        <v>3.8310836207428977E-4</v>
      </c>
    </row>
    <row r="122" spans="1:26" x14ac:dyDescent="0.3">
      <c r="A122" s="11">
        <v>40357</v>
      </c>
      <c r="B122" s="12">
        <v>20019.05</v>
      </c>
      <c r="C122" s="12">
        <v>23.296610000000001</v>
      </c>
      <c r="D122" s="16">
        <f t="shared" si="31"/>
        <v>-9.0633917677079845E-3</v>
      </c>
      <c r="E122" s="15">
        <f t="shared" si="30"/>
        <v>3.8303498543657E-4</v>
      </c>
      <c r="G122" s="25" t="str">
        <f>IF(VLOOKUP(A122,Aux!B:C,2,FALSE)=0,"",VLOOKUP(A122,Aux!B:C,2,FALSE))</f>
        <v/>
      </c>
      <c r="H122" s="25" t="str">
        <f t="shared" si="19"/>
        <v/>
      </c>
      <c r="L122" s="13">
        <f t="shared" si="22"/>
        <v>98302.251094205858</v>
      </c>
      <c r="M122" s="14">
        <f t="shared" si="23"/>
        <v>-422.41810487227838</v>
      </c>
      <c r="N122" s="14">
        <f t="shared" si="24"/>
        <v>19.955221556650049</v>
      </c>
      <c r="O122" s="1">
        <f t="shared" si="25"/>
        <v>2.3070349801871837</v>
      </c>
      <c r="P122" s="1">
        <f t="shared" si="26"/>
        <v>2237.1324615078988</v>
      </c>
      <c r="S122" s="6">
        <f t="shared" si="20"/>
        <v>0.4698228993337718</v>
      </c>
      <c r="T122" s="6">
        <f t="shared" si="21"/>
        <v>0.53017710066622725</v>
      </c>
      <c r="V122" s="1">
        <f t="shared" si="27"/>
        <v>98302.251094205771</v>
      </c>
      <c r="W122" s="7">
        <f t="shared" si="28"/>
        <v>-4.0857788256175708E-3</v>
      </c>
      <c r="X122" s="7">
        <f t="shared" si="29"/>
        <v>-4.0857788256175708E-3</v>
      </c>
      <c r="Y122">
        <f>LN(B122/B121)</f>
        <v>-9.1047141731380732E-3</v>
      </c>
      <c r="Z122">
        <f>LN(C122/C121)</f>
        <v>3.8296164626358417E-4</v>
      </c>
    </row>
    <row r="123" spans="1:26" x14ac:dyDescent="0.3">
      <c r="A123" s="9">
        <v>40358</v>
      </c>
      <c r="B123" s="1">
        <v>19358.150000000001</v>
      </c>
      <c r="C123" s="1">
        <v>23.305530000000001</v>
      </c>
      <c r="D123" s="6">
        <f t="shared" si="31"/>
        <v>-3.3013554589253591E-2</v>
      </c>
      <c r="E123" s="5">
        <f t="shared" si="30"/>
        <v>3.8288832581212517E-4</v>
      </c>
      <c r="G123" s="25" t="str">
        <f>IF(VLOOKUP(A123,Aux!B:C,2,FALSE)=0,"",VLOOKUP(A123,Aux!B:C,2,FALSE))</f>
        <v/>
      </c>
      <c r="H123" s="25" t="str">
        <f t="shared" si="19"/>
        <v/>
      </c>
      <c r="L123" s="13">
        <f t="shared" si="22"/>
        <v>96797.486897356808</v>
      </c>
      <c r="M123" s="14">
        <f t="shared" si="23"/>
        <v>-1524.7194184057046</v>
      </c>
      <c r="N123" s="14">
        <f t="shared" si="24"/>
        <v>19.955221556650049</v>
      </c>
      <c r="O123" s="1">
        <f t="shared" si="25"/>
        <v>2.3070349801871837</v>
      </c>
      <c r="P123" s="1">
        <f t="shared" si="26"/>
        <v>2237.1324615078988</v>
      </c>
      <c r="S123" s="6">
        <f t="shared" si="20"/>
        <v>0.46137488310071029</v>
      </c>
      <c r="T123" s="6">
        <f t="shared" si="21"/>
        <v>0.53862511689928871</v>
      </c>
      <c r="V123" s="1">
        <f t="shared" si="27"/>
        <v>96797.486897356721</v>
      </c>
      <c r="W123" s="7">
        <f t="shared" si="28"/>
        <v>-1.5425894995806301E-2</v>
      </c>
      <c r="X123" s="7">
        <f t="shared" si="29"/>
        <v>-1.5425894995806301E-2</v>
      </c>
      <c r="Y123">
        <f>LN(B123/B122)</f>
        <v>-3.3570800782465139E-2</v>
      </c>
      <c r="Z123">
        <f>LN(C123/C122)</f>
        <v>3.8281504278265112E-4</v>
      </c>
    </row>
    <row r="124" spans="1:26" x14ac:dyDescent="0.3">
      <c r="A124" s="11">
        <v>40359</v>
      </c>
      <c r="B124" s="12">
        <v>19055.669999999998</v>
      </c>
      <c r="C124" s="12">
        <v>23.314450000000001</v>
      </c>
      <c r="D124" s="16">
        <f t="shared" si="31"/>
        <v>-1.5625460077538511E-2</v>
      </c>
      <c r="E124" s="15">
        <f t="shared" si="30"/>
        <v>3.827417784534326E-4</v>
      </c>
      <c r="G124" s="25" t="str">
        <f>IF(VLOOKUP(A124,Aux!B:C,2,FALSE)=0,"",VLOOKUP(A124,Aux!B:C,2,FALSE))</f>
        <v/>
      </c>
      <c r="H124" s="25" t="str">
        <f t="shared" si="19"/>
        <v/>
      </c>
      <c r="L124" s="13">
        <f t="shared" si="22"/>
        <v>96119.610178106435</v>
      </c>
      <c r="M124" s="14">
        <f t="shared" si="23"/>
        <v>-697.83194080702674</v>
      </c>
      <c r="N124" s="14">
        <f t="shared" si="24"/>
        <v>19.955221556650049</v>
      </c>
      <c r="O124" s="1">
        <f t="shared" si="25"/>
        <v>2.3070349801871837</v>
      </c>
      <c r="P124" s="1">
        <f t="shared" si="26"/>
        <v>2237.1324615078988</v>
      </c>
      <c r="S124" s="6">
        <f t="shared" si="20"/>
        <v>0.45736865952164402</v>
      </c>
      <c r="T124" s="6">
        <f t="shared" si="21"/>
        <v>0.54263134047835504</v>
      </c>
      <c r="V124" s="1">
        <f t="shared" si="27"/>
        <v>96119.610178106348</v>
      </c>
      <c r="W124" s="7">
        <f t="shared" si="28"/>
        <v>-7.0276768565639752E-3</v>
      </c>
      <c r="X124" s="7">
        <f t="shared" si="29"/>
        <v>-7.0276768565639752E-3</v>
      </c>
      <c r="Y124">
        <f>LN(B124/B123)</f>
        <v>-1.5748824348604973E-2</v>
      </c>
      <c r="Z124">
        <f>LN(C124/C123)</f>
        <v>3.8266855150302539E-4</v>
      </c>
    </row>
    <row r="125" spans="1:26" x14ac:dyDescent="0.3">
      <c r="A125" s="9">
        <v>40360</v>
      </c>
      <c r="B125" s="1">
        <v>19207.93</v>
      </c>
      <c r="C125" s="1">
        <v>23.323370000000001</v>
      </c>
      <c r="D125" s="6">
        <f t="shared" si="31"/>
        <v>7.9902727114817829E-3</v>
      </c>
      <c r="E125" s="5">
        <f t="shared" si="30"/>
        <v>3.8259534323126232E-4</v>
      </c>
      <c r="G125" s="25" t="str">
        <f>IF(VLOOKUP(A125,Aux!B:C,2,FALSE)=0,"",VLOOKUP(A125,Aux!B:C,2,FALSE))</f>
        <v/>
      </c>
      <c r="H125" s="25" t="str">
        <f t="shared" si="19"/>
        <v/>
      </c>
      <c r="L125" s="13">
        <f t="shared" si="22"/>
        <v>96490.834545746387</v>
      </c>
      <c r="M125" s="14">
        <f t="shared" si="23"/>
        <v>351.26914608330526</v>
      </c>
      <c r="N125" s="14">
        <f t="shared" si="24"/>
        <v>19.955221556650049</v>
      </c>
      <c r="O125" s="1">
        <f t="shared" si="25"/>
        <v>2.3070349801871837</v>
      </c>
      <c r="P125" s="1">
        <f t="shared" si="26"/>
        <v>2237.1324615078988</v>
      </c>
      <c r="S125" s="6">
        <f t="shared" si="20"/>
        <v>0.45924948846802444</v>
      </c>
      <c r="T125" s="6">
        <f t="shared" si="21"/>
        <v>0.54075051153197462</v>
      </c>
      <c r="V125" s="1">
        <f t="shared" si="27"/>
        <v>96490.8345457463</v>
      </c>
      <c r="W125" s="7">
        <f t="shared" si="28"/>
        <v>3.8546697488239939E-3</v>
      </c>
      <c r="X125" s="7">
        <f t="shared" si="29"/>
        <v>3.8546697488239939E-3</v>
      </c>
      <c r="Y125">
        <f>LN(B125/B124)</f>
        <v>7.9585195147987842E-3</v>
      </c>
      <c r="Z125">
        <f>LN(C125/C124)</f>
        <v>3.825221722955758E-4</v>
      </c>
    </row>
    <row r="126" spans="1:26" x14ac:dyDescent="0.3">
      <c r="A126" s="11">
        <v>40361</v>
      </c>
      <c r="B126" s="12">
        <v>19284.669999999998</v>
      </c>
      <c r="C126" s="12">
        <v>23.332319999999999</v>
      </c>
      <c r="D126" s="16">
        <f t="shared" si="31"/>
        <v>3.995224888887039E-3</v>
      </c>
      <c r="E126" s="15">
        <f t="shared" si="30"/>
        <v>3.8373528353741193E-4</v>
      </c>
      <c r="G126" s="25" t="str">
        <f>IF(VLOOKUP(A126,Aux!B:C,2,FALSE)=0,"",VLOOKUP(A126,Aux!B:C,2,FALSE))</f>
        <v/>
      </c>
      <c r="H126" s="25" t="str">
        <f t="shared" si="19"/>
        <v/>
      </c>
      <c r="L126" s="13">
        <f t="shared" si="22"/>
        <v>96687.898745656435</v>
      </c>
      <c r="M126" s="14">
        <f t="shared" si="23"/>
        <v>177.04186437955977</v>
      </c>
      <c r="N126" s="14">
        <f t="shared" si="24"/>
        <v>20.022335530492743</v>
      </c>
      <c r="O126" s="1">
        <f t="shared" si="25"/>
        <v>2.3070349801871837</v>
      </c>
      <c r="P126" s="1">
        <f t="shared" si="26"/>
        <v>2237.1324615078988</v>
      </c>
      <c r="S126" s="6">
        <f t="shared" si="20"/>
        <v>0.46014453565074542</v>
      </c>
      <c r="T126" s="6">
        <f t="shared" si="21"/>
        <v>0.53985546434925369</v>
      </c>
      <c r="V126" s="1">
        <f t="shared" si="27"/>
        <v>96687.898745656348</v>
      </c>
      <c r="W126" s="7">
        <f t="shared" si="28"/>
        <v>2.0402273574272557E-3</v>
      </c>
      <c r="X126" s="7">
        <f t="shared" si="29"/>
        <v>2.0402273574272557E-3</v>
      </c>
      <c r="Y126">
        <f>LN(B126/B125)</f>
        <v>3.9872651714613393E-3</v>
      </c>
      <c r="Z126">
        <f>LN(C126/C125)</f>
        <v>3.8366167598343783E-4</v>
      </c>
    </row>
    <row r="127" spans="1:26" x14ac:dyDescent="0.3">
      <c r="A127" s="9">
        <v>40364</v>
      </c>
      <c r="B127" s="1">
        <v>19081.09</v>
      </c>
      <c r="C127" s="1">
        <v>23.341259999999998</v>
      </c>
      <c r="D127" s="6">
        <f t="shared" si="31"/>
        <v>-1.0556571618803856E-2</v>
      </c>
      <c r="E127" s="5">
        <f t="shared" si="30"/>
        <v>3.8315949721234865E-4</v>
      </c>
      <c r="G127" s="25" t="str">
        <f>IF(VLOOKUP(A127,Aux!B:C,2,FALSE)=0,"",VLOOKUP(A127,Aux!B:C,2,FALSE))</f>
        <v/>
      </c>
      <c r="H127" s="25" t="str">
        <f t="shared" si="19"/>
        <v/>
      </c>
      <c r="L127" s="13">
        <f t="shared" si="22"/>
        <v>96238.232528595821</v>
      </c>
      <c r="M127" s="14">
        <f t="shared" si="23"/>
        <v>-469.66618126650246</v>
      </c>
      <c r="N127" s="14">
        <f t="shared" si="24"/>
        <v>19.999964205878513</v>
      </c>
      <c r="O127" s="1">
        <f t="shared" si="25"/>
        <v>2.3070349801871837</v>
      </c>
      <c r="P127" s="1">
        <f t="shared" si="26"/>
        <v>2237.1324615078988</v>
      </c>
      <c r="S127" s="6">
        <f t="shared" si="20"/>
        <v>0.45741428259314437</v>
      </c>
      <c r="T127" s="6">
        <f t="shared" si="21"/>
        <v>0.54258571740685468</v>
      </c>
      <c r="V127" s="1">
        <f t="shared" si="27"/>
        <v>96238.232528595719</v>
      </c>
      <c r="W127" s="7">
        <f t="shared" si="28"/>
        <v>-4.6615461406017255E-3</v>
      </c>
      <c r="X127" s="7">
        <f t="shared" si="29"/>
        <v>-4.6615461406019484E-3</v>
      </c>
      <c r="Y127">
        <f>LN(B127/B126)</f>
        <v>-1.0612687497899294E-2</v>
      </c>
      <c r="Z127">
        <f>LN(C127/C126)</f>
        <v>3.830861103575118E-4</v>
      </c>
    </row>
    <row r="128" spans="1:26" x14ac:dyDescent="0.3">
      <c r="A128" s="11">
        <v>40365</v>
      </c>
      <c r="B128" s="12">
        <v>19463.18</v>
      </c>
      <c r="C128" s="12">
        <v>23.350210000000001</v>
      </c>
      <c r="D128" s="16">
        <f t="shared" si="31"/>
        <v>2.002453738229848E-2</v>
      </c>
      <c r="E128" s="15">
        <f t="shared" si="30"/>
        <v>3.8344116812893958E-4</v>
      </c>
      <c r="G128" s="25" t="str">
        <f>IF(VLOOKUP(A128,Aux!B:C,2,FALSE)=0,"",VLOOKUP(A128,Aux!B:C,2,FALSE))</f>
        <v/>
      </c>
      <c r="H128" s="25" t="str">
        <f t="shared" si="19"/>
        <v/>
      </c>
      <c r="L128" s="13">
        <f t="shared" si="22"/>
        <v>97139.749859706048</v>
      </c>
      <c r="M128" s="14">
        <f t="shared" si="23"/>
        <v>881.49499557972138</v>
      </c>
      <c r="N128" s="14">
        <f t="shared" si="24"/>
        <v>20.02233553050069</v>
      </c>
      <c r="O128" s="1">
        <f t="shared" si="25"/>
        <v>2.3070349801871837</v>
      </c>
      <c r="P128" s="1">
        <f t="shared" si="26"/>
        <v>2237.1324615078988</v>
      </c>
      <c r="S128" s="6">
        <f t="shared" si="20"/>
        <v>0.46224369684428451</v>
      </c>
      <c r="T128" s="6">
        <f t="shared" si="21"/>
        <v>0.53775630315571443</v>
      </c>
      <c r="V128" s="1">
        <f t="shared" si="27"/>
        <v>97139.749859705946</v>
      </c>
      <c r="W128" s="7">
        <f t="shared" si="28"/>
        <v>9.3239556144938847E-3</v>
      </c>
      <c r="X128" s="7">
        <f t="shared" si="29"/>
        <v>9.3239556144938847E-3</v>
      </c>
      <c r="Y128">
        <f>LN(B128/B127)</f>
        <v>1.9826683263987972E-2</v>
      </c>
      <c r="Z128">
        <f>LN(C128/C127)</f>
        <v>3.8336767335091373E-4</v>
      </c>
    </row>
    <row r="129" spans="1:26" x14ac:dyDescent="0.3">
      <c r="A129" s="9">
        <v>40366</v>
      </c>
      <c r="B129" s="1">
        <v>19876.54</v>
      </c>
      <c r="C129" s="1">
        <v>23.359159999999999</v>
      </c>
      <c r="D129" s="6">
        <f t="shared" si="31"/>
        <v>2.1238050513842088E-2</v>
      </c>
      <c r="E129" s="5">
        <f t="shared" si="30"/>
        <v>3.8329419735405601E-4</v>
      </c>
      <c r="G129" s="25" t="str">
        <f>IF(VLOOKUP(A129,Aux!B:C,2,FALSE)=0,"",VLOOKUP(A129,Aux!B:C,2,FALSE))</f>
        <v/>
      </c>
      <c r="H129" s="25" t="str">
        <f t="shared" si="19"/>
        <v/>
      </c>
      <c r="L129" s="13">
        <f t="shared" si="22"/>
        <v>98113.408174646713</v>
      </c>
      <c r="M129" s="14">
        <f t="shared" si="23"/>
        <v>953.63597941017554</v>
      </c>
      <c r="N129" s="14">
        <f t="shared" si="24"/>
        <v>20.022335530492743</v>
      </c>
      <c r="O129" s="1">
        <f t="shared" si="25"/>
        <v>2.3070349801871837</v>
      </c>
      <c r="P129" s="1">
        <f t="shared" si="26"/>
        <v>2237.1324615078988</v>
      </c>
      <c r="S129" s="6">
        <f t="shared" si="20"/>
        <v>0.46737621206129182</v>
      </c>
      <c r="T129" s="6">
        <f t="shared" si="21"/>
        <v>0.53262378793870713</v>
      </c>
      <c r="V129" s="1">
        <f t="shared" si="27"/>
        <v>98113.408174646611</v>
      </c>
      <c r="W129" s="7">
        <f t="shared" si="28"/>
        <v>9.9733740073499298E-3</v>
      </c>
      <c r="X129" s="7">
        <f t="shared" si="29"/>
        <v>9.9733740073499298E-3</v>
      </c>
      <c r="Y129">
        <f>LN(B129/B128)</f>
        <v>2.1015666280381106E-2</v>
      </c>
      <c r="Z129">
        <f>LN(C129/C128)</f>
        <v>3.8322075889828339E-4</v>
      </c>
    </row>
    <row r="130" spans="1:26" x14ac:dyDescent="0.3">
      <c r="A130" s="11">
        <v>40367</v>
      </c>
      <c r="B130" s="12">
        <v>19975.82</v>
      </c>
      <c r="C130" s="12">
        <v>23.368110000000001</v>
      </c>
      <c r="D130" s="16">
        <f t="shared" si="31"/>
        <v>4.9948331047555694E-3</v>
      </c>
      <c r="E130" s="15">
        <f t="shared" si="30"/>
        <v>3.831473392024165E-4</v>
      </c>
      <c r="G130" s="25" t="str">
        <f>IF(VLOOKUP(A130,Aux!B:C,2,FALSE)=0,"",VLOOKUP(A130,Aux!B:C,2,FALSE))</f>
        <v/>
      </c>
      <c r="H130" s="25" t="str">
        <f t="shared" si="19"/>
        <v/>
      </c>
      <c r="L130" s="13">
        <f t="shared" si="22"/>
        <v>98362.472943010202</v>
      </c>
      <c r="M130" s="14">
        <f t="shared" si="23"/>
        <v>229.04243283298092</v>
      </c>
      <c r="N130" s="14">
        <f t="shared" si="24"/>
        <v>20.02233553050069</v>
      </c>
      <c r="O130" s="1">
        <f t="shared" si="25"/>
        <v>2.3070349801871837</v>
      </c>
      <c r="P130" s="1">
        <f t="shared" si="26"/>
        <v>2237.1324615078988</v>
      </c>
      <c r="S130" s="6">
        <f t="shared" si="20"/>
        <v>0.46852131833472388</v>
      </c>
      <c r="T130" s="6">
        <f t="shared" si="21"/>
        <v>0.53147868166527501</v>
      </c>
      <c r="V130" s="1">
        <f t="shared" si="27"/>
        <v>98362.4729430101</v>
      </c>
      <c r="W130" s="7">
        <f t="shared" si="28"/>
        <v>2.5353229145430984E-3</v>
      </c>
      <c r="X130" s="7">
        <f t="shared" si="29"/>
        <v>2.5353229145430984E-3</v>
      </c>
      <c r="Y130">
        <f>LN(B130/B129)</f>
        <v>4.9824003085251738E-3</v>
      </c>
      <c r="Z130">
        <f>LN(C130/C129)</f>
        <v>3.8307395700417854E-4</v>
      </c>
    </row>
    <row r="131" spans="1:26" x14ac:dyDescent="0.3">
      <c r="A131" s="9">
        <v>40371</v>
      </c>
      <c r="B131" s="1">
        <v>19825.240000000002</v>
      </c>
      <c r="C131" s="1">
        <v>23.386030000000002</v>
      </c>
      <c r="D131" s="6">
        <f t="shared" si="31"/>
        <v>-7.5381135793173293E-3</v>
      </c>
      <c r="E131" s="5">
        <f t="shared" si="30"/>
        <v>7.6685705433598983E-4</v>
      </c>
      <c r="G131" s="25" t="str">
        <f>IF(VLOOKUP(A131,Aux!B:C,2,FALSE)=0,"",VLOOKUP(A131,Aux!B:C,2,FALSE))</f>
        <v/>
      </c>
      <c r="H131" s="25" t="str">
        <f t="shared" ref="H131:H194" si="32">IF(ISNUMBER(G131),1-G131,"")</f>
        <v/>
      </c>
      <c r="L131" s="13">
        <f t="shared" si="22"/>
        <v>98055.169029403842</v>
      </c>
      <c r="M131" s="14">
        <f t="shared" si="23"/>
        <v>-347.39332731658175</v>
      </c>
      <c r="N131" s="14">
        <f t="shared" si="24"/>
        <v>40.089413710221898</v>
      </c>
      <c r="O131" s="1">
        <f t="shared" si="25"/>
        <v>2.3070349801871837</v>
      </c>
      <c r="P131" s="1">
        <f t="shared" si="26"/>
        <v>2237.1324615078988</v>
      </c>
      <c r="S131" s="6">
        <f t="shared" ref="S131:S194" si="33">O131*B131/L131</f>
        <v>0.46644682400058723</v>
      </c>
      <c r="T131" s="6">
        <f t="shared" ref="T131:T194" si="34">P131*C131/L131</f>
        <v>0.53355317599941166</v>
      </c>
      <c r="V131" s="1">
        <f t="shared" si="27"/>
        <v>98055.16902940374</v>
      </c>
      <c r="W131" s="7">
        <f t="shared" si="28"/>
        <v>-3.1290892331246713E-3</v>
      </c>
      <c r="X131" s="7">
        <f t="shared" si="29"/>
        <v>-3.1290892331246713E-3</v>
      </c>
      <c r="Y131">
        <f>LN(B131/B130)</f>
        <v>-7.5666687494032733E-3</v>
      </c>
      <c r="Z131">
        <f>LN(C131/C130)</f>
        <v>7.6656316970050392E-4</v>
      </c>
    </row>
    <row r="132" spans="1:26" x14ac:dyDescent="0.3">
      <c r="A132" s="11">
        <v>40372</v>
      </c>
      <c r="B132" s="12">
        <v>19997.23</v>
      </c>
      <c r="C132" s="12">
        <v>23.395</v>
      </c>
      <c r="D132" s="16">
        <f t="shared" si="31"/>
        <v>8.6753048134600164E-3</v>
      </c>
      <c r="E132" s="15">
        <f t="shared" si="30"/>
        <v>3.8356232331859808E-4</v>
      </c>
      <c r="G132" s="25" t="str">
        <f>IF(VLOOKUP(A132,Aux!B:C,2,FALSE)=0,"",VLOOKUP(A132,Aux!B:C,2,FALSE))</f>
        <v/>
      </c>
      <c r="H132" s="25" t="str">
        <f t="shared" si="32"/>
        <v/>
      </c>
      <c r="L132" s="13">
        <f t="shared" ref="L132:L195" si="35">L131+M132+N132</f>
        <v>98472.023053825949</v>
      </c>
      <c r="M132" s="14">
        <f t="shared" ref="M132:M195" si="36">O131*(B132-B131)</f>
        <v>396.78694624238904</v>
      </c>
      <c r="N132" s="14">
        <f t="shared" ref="N132:N195" si="37">P131*(C132-C131)</f>
        <v>20.067078179721207</v>
      </c>
      <c r="O132" s="1">
        <f t="shared" ref="O132:O195" si="38">IF(ISNUMBER(G132),L132*G132/B132,O131)</f>
        <v>2.3070349801871837</v>
      </c>
      <c r="P132" s="1">
        <f t="shared" ref="P132:P195" si="39">IF(ISNUMBER(H132),L132*H132/C132,P131)</f>
        <v>2237.1324615078988</v>
      </c>
      <c r="S132" s="6">
        <f t="shared" si="33"/>
        <v>0.46850168896835814</v>
      </c>
      <c r="T132" s="6">
        <f t="shared" si="34"/>
        <v>0.5314983110316408</v>
      </c>
      <c r="V132" s="1">
        <f t="shared" ref="V132:V195" si="40">$O$2*B132+$P$2*C132</f>
        <v>98472.023053825847</v>
      </c>
      <c r="W132" s="7">
        <f t="shared" ref="W132:W195" si="41">LN(L132/L131)</f>
        <v>4.2422083698117558E-3</v>
      </c>
      <c r="X132" s="7">
        <f t="shared" ref="X132:X195" si="42">LN(V132/V131)</f>
        <v>4.2422083698117558E-3</v>
      </c>
      <c r="Y132">
        <f>LN(B132/B131)</f>
        <v>8.6378905874847575E-3</v>
      </c>
      <c r="Z132">
        <f>LN(C132/C131)</f>
        <v>3.8348878209515738E-4</v>
      </c>
    </row>
    <row r="133" spans="1:26" x14ac:dyDescent="0.3">
      <c r="A133" s="9">
        <v>40373</v>
      </c>
      <c r="B133" s="1">
        <v>19926.060000000001</v>
      </c>
      <c r="C133" s="1">
        <v>23.403960000000001</v>
      </c>
      <c r="D133" s="6">
        <f t="shared" si="31"/>
        <v>-3.5589929205194215E-3</v>
      </c>
      <c r="E133" s="5">
        <f t="shared" ref="E133:E196" si="43">C133/C132-1</f>
        <v>3.8298781790979675E-4</v>
      </c>
      <c r="G133" s="25" t="str">
        <f>IF(VLOOKUP(A133,Aux!B:C,2,FALSE)=0,"",VLOOKUP(A133,Aux!B:C,2,FALSE))</f>
        <v/>
      </c>
      <c r="H133" s="25" t="str">
        <f t="shared" si="32"/>
        <v/>
      </c>
      <c r="L133" s="13">
        <f t="shared" si="35"/>
        <v>98327.876081141148</v>
      </c>
      <c r="M133" s="14">
        <f t="shared" si="36"/>
        <v>-164.19167953991783</v>
      </c>
      <c r="N133" s="14">
        <f t="shared" si="37"/>
        <v>20.044706855114924</v>
      </c>
      <c r="O133" s="1">
        <f t="shared" si="38"/>
        <v>2.3070349801871837</v>
      </c>
      <c r="P133" s="1">
        <f t="shared" si="39"/>
        <v>2237.1324615078988</v>
      </c>
      <c r="S133" s="6">
        <f t="shared" si="33"/>
        <v>0.46751866580921203</v>
      </c>
      <c r="T133" s="6">
        <f t="shared" si="34"/>
        <v>0.53248133419078691</v>
      </c>
      <c r="V133" s="1">
        <f t="shared" si="40"/>
        <v>98327.876081141047</v>
      </c>
      <c r="W133" s="7">
        <f t="shared" si="41"/>
        <v>-1.4649092717648178E-3</v>
      </c>
      <c r="X133" s="7">
        <f t="shared" si="42"/>
        <v>-1.4649092717648178E-3</v>
      </c>
      <c r="Y133">
        <f>LN(B133/B132)</f>
        <v>-3.5653412026266855E-3</v>
      </c>
      <c r="Z133">
        <f>LN(C133/C132)</f>
        <v>3.8291449679559477E-4</v>
      </c>
    </row>
    <row r="134" spans="1:26" x14ac:dyDescent="0.3">
      <c r="A134" s="11">
        <v>40374</v>
      </c>
      <c r="B134" s="12">
        <v>19896.099999999999</v>
      </c>
      <c r="C134" s="12">
        <v>23.412929999999999</v>
      </c>
      <c r="D134" s="16">
        <f t="shared" si="31"/>
        <v>-1.5035586563526548E-3</v>
      </c>
      <c r="E134" s="15">
        <f t="shared" si="43"/>
        <v>3.8326847251490825E-4</v>
      </c>
      <c r="G134" s="25" t="str">
        <f>IF(VLOOKUP(A134,Aux!B:C,2,FALSE)=0,"",VLOOKUP(A134,Aux!B:C,2,FALSE))</f>
        <v/>
      </c>
      <c r="H134" s="25" t="str">
        <f t="shared" si="32"/>
        <v/>
      </c>
      <c r="L134" s="13">
        <f t="shared" si="35"/>
        <v>98278.824391314454</v>
      </c>
      <c r="M134" s="14">
        <f t="shared" si="36"/>
        <v>-69.118768006414399</v>
      </c>
      <c r="N134" s="14">
        <f t="shared" si="37"/>
        <v>20.067078179721207</v>
      </c>
      <c r="O134" s="1">
        <f t="shared" si="38"/>
        <v>2.3070349801871837</v>
      </c>
      <c r="P134" s="1">
        <f t="shared" si="39"/>
        <v>2237.1324615078988</v>
      </c>
      <c r="S134" s="6">
        <f t="shared" si="33"/>
        <v>0.4670487152607698</v>
      </c>
      <c r="T134" s="6">
        <f t="shared" si="34"/>
        <v>0.53295128473922915</v>
      </c>
      <c r="V134" s="1">
        <f t="shared" si="40"/>
        <v>98278.824391314352</v>
      </c>
      <c r="W134" s="7">
        <f t="shared" si="41"/>
        <v>-4.9898290064960538E-4</v>
      </c>
      <c r="X134" s="7">
        <f t="shared" si="42"/>
        <v>-4.9898290064960538E-4</v>
      </c>
      <c r="Y134">
        <f>LN(B134/B133)</f>
        <v>-1.5046901349744064E-3</v>
      </c>
      <c r="Z134">
        <f>LN(C134/C133)</f>
        <v>3.8319504391520867E-4</v>
      </c>
    </row>
    <row r="135" spans="1:26" x14ac:dyDescent="0.3">
      <c r="A135" s="9">
        <v>40375</v>
      </c>
      <c r="B135" s="1">
        <v>19558.91</v>
      </c>
      <c r="C135" s="1">
        <v>23.421900000000001</v>
      </c>
      <c r="D135" s="6">
        <f t="shared" si="31"/>
        <v>-1.6947542483200184E-2</v>
      </c>
      <c r="E135" s="5">
        <f t="shared" si="43"/>
        <v>3.8312163407150379E-4</v>
      </c>
      <c r="G135" s="25" t="str">
        <f>IF(VLOOKUP(A135,Aux!B:C,2,FALSE)=0,"",VLOOKUP(A135,Aux!B:C,2,FALSE))</f>
        <v/>
      </c>
      <c r="H135" s="25" t="str">
        <f t="shared" si="32"/>
        <v/>
      </c>
      <c r="L135" s="13">
        <f t="shared" si="35"/>
        <v>97520.982344524862</v>
      </c>
      <c r="M135" s="14">
        <f t="shared" si="36"/>
        <v>-777.90912496931344</v>
      </c>
      <c r="N135" s="14">
        <f t="shared" si="37"/>
        <v>20.067078179729155</v>
      </c>
      <c r="O135" s="1">
        <f t="shared" si="38"/>
        <v>2.3070349801871837</v>
      </c>
      <c r="P135" s="1">
        <f t="shared" si="39"/>
        <v>2237.1324615078988</v>
      </c>
      <c r="S135" s="6">
        <f t="shared" si="33"/>
        <v>0.46270134343931024</v>
      </c>
      <c r="T135" s="6">
        <f t="shared" si="34"/>
        <v>0.53729865656068876</v>
      </c>
      <c r="V135" s="1">
        <f t="shared" si="40"/>
        <v>97520.98234452476</v>
      </c>
      <c r="W135" s="7">
        <f t="shared" si="41"/>
        <v>-7.7410273666667371E-3</v>
      </c>
      <c r="X135" s="7">
        <f t="shared" si="42"/>
        <v>-7.7410273666667371E-3</v>
      </c>
      <c r="Y135">
        <f>LN(B135/B134)</f>
        <v>-1.7092795541827733E-2</v>
      </c>
      <c r="Z135">
        <f>LN(C135/C134)</f>
        <v>3.8304826171801611E-4</v>
      </c>
    </row>
    <row r="136" spans="1:26" x14ac:dyDescent="0.3">
      <c r="A136" s="11">
        <v>40378</v>
      </c>
      <c r="B136" s="12">
        <v>19862.150000000001</v>
      </c>
      <c r="C136" s="12">
        <v>23.430879999999998</v>
      </c>
      <c r="D136" s="16">
        <f t="shared" si="31"/>
        <v>1.5503931456303022E-2</v>
      </c>
      <c r="E136" s="15">
        <f t="shared" si="43"/>
        <v>3.8340185894392143E-4</v>
      </c>
      <c r="G136" s="25" t="str">
        <f>IF(VLOOKUP(A136,Aux!B:C,2,FALSE)=0,"",VLOOKUP(A136,Aux!B:C,2,FALSE))</f>
        <v/>
      </c>
      <c r="H136" s="25" t="str">
        <f t="shared" si="32"/>
        <v/>
      </c>
      <c r="L136" s="13">
        <f t="shared" si="35"/>
        <v>98240.657081421159</v>
      </c>
      <c r="M136" s="14">
        <f t="shared" si="36"/>
        <v>699.58528739196527</v>
      </c>
      <c r="N136" s="14">
        <f t="shared" si="37"/>
        <v>20.089449504335441</v>
      </c>
      <c r="O136" s="1">
        <f t="shared" si="38"/>
        <v>2.3070349801871837</v>
      </c>
      <c r="P136" s="1">
        <f t="shared" si="39"/>
        <v>2237.1324615078988</v>
      </c>
      <c r="S136" s="6">
        <f t="shared" si="33"/>
        <v>0.46643290255833042</v>
      </c>
      <c r="T136" s="6">
        <f t="shared" si="34"/>
        <v>0.53356709744166864</v>
      </c>
      <c r="V136" s="1">
        <f t="shared" si="40"/>
        <v>98240.657081421057</v>
      </c>
      <c r="W136" s="7">
        <f t="shared" si="41"/>
        <v>7.3525945244145938E-3</v>
      </c>
      <c r="X136" s="7">
        <f t="shared" si="42"/>
        <v>7.3525945244145938E-3</v>
      </c>
      <c r="Y136">
        <f>LN(B136/B135)</f>
        <v>1.5384973479654195E-2</v>
      </c>
      <c r="Z136">
        <f>LN(C136/C135)</f>
        <v>3.8332837923210606E-4</v>
      </c>
    </row>
    <row r="137" spans="1:26" x14ac:dyDescent="0.3">
      <c r="A137" s="9">
        <v>40379</v>
      </c>
      <c r="B137" s="1">
        <v>20275.09</v>
      </c>
      <c r="C137" s="1">
        <v>23.439859999999999</v>
      </c>
      <c r="D137" s="6">
        <f t="shared" si="31"/>
        <v>2.0790297122919688E-2</v>
      </c>
      <c r="E137" s="5">
        <f t="shared" si="43"/>
        <v>3.8325491829582781E-4</v>
      </c>
      <c r="G137" s="25" t="str">
        <f>IF(VLOOKUP(A137,Aux!B:C,2,FALSE)=0,"",VLOOKUP(A137,Aux!B:C,2,FALSE))</f>
        <v/>
      </c>
      <c r="H137" s="25" t="str">
        <f t="shared" si="32"/>
        <v/>
      </c>
      <c r="L137" s="13">
        <f t="shared" si="35"/>
        <v>99213.413555644001</v>
      </c>
      <c r="M137" s="14">
        <f t="shared" si="36"/>
        <v>952.6670247184926</v>
      </c>
      <c r="N137" s="14">
        <f t="shared" si="37"/>
        <v>20.089449504343388</v>
      </c>
      <c r="O137" s="1">
        <f t="shared" si="38"/>
        <v>2.3070349801871837</v>
      </c>
      <c r="P137" s="1">
        <f t="shared" si="39"/>
        <v>2237.1324615078988</v>
      </c>
      <c r="S137" s="6">
        <f t="shared" si="33"/>
        <v>0.47146187375368698</v>
      </c>
      <c r="T137" s="6">
        <f t="shared" si="34"/>
        <v>0.52853812624631202</v>
      </c>
      <c r="V137" s="1">
        <f t="shared" si="40"/>
        <v>99213.4135556439</v>
      </c>
      <c r="W137" s="7">
        <f t="shared" si="41"/>
        <v>9.8530695357455008E-3</v>
      </c>
      <c r="X137" s="7">
        <f t="shared" si="42"/>
        <v>9.8530695357455008E-3</v>
      </c>
      <c r="Y137">
        <f>LN(B137/B136)</f>
        <v>2.0577128393660375E-2</v>
      </c>
      <c r="Z137">
        <f>LN(C137/C136)</f>
        <v>3.8318149488895102E-4</v>
      </c>
    </row>
    <row r="138" spans="1:26" x14ac:dyDescent="0.3">
      <c r="A138" s="11">
        <v>40380</v>
      </c>
      <c r="B138" s="12">
        <v>20259.830000000002</v>
      </c>
      <c r="C138" s="12">
        <v>23.448840000000001</v>
      </c>
      <c r="D138" s="16">
        <f t="shared" si="31"/>
        <v>-7.5264770711247486E-4</v>
      </c>
      <c r="E138" s="15">
        <f t="shared" si="43"/>
        <v>3.8310809023611725E-4</v>
      </c>
      <c r="G138" s="25" t="str">
        <f>IF(VLOOKUP(A138,Aux!B:C,2,FALSE)=0,"",VLOOKUP(A138,Aux!B:C,2,FALSE))</f>
        <v/>
      </c>
      <c r="H138" s="25" t="str">
        <f t="shared" si="32"/>
        <v/>
      </c>
      <c r="L138" s="13">
        <f t="shared" si="35"/>
        <v>99198.297651350702</v>
      </c>
      <c r="M138" s="14">
        <f t="shared" si="36"/>
        <v>-35.205353797652727</v>
      </c>
      <c r="N138" s="14">
        <f t="shared" si="37"/>
        <v>20.089449504343388</v>
      </c>
      <c r="O138" s="1">
        <f t="shared" si="38"/>
        <v>2.3070349801871837</v>
      </c>
      <c r="P138" s="1">
        <f t="shared" si="39"/>
        <v>2237.1324615078988</v>
      </c>
      <c r="S138" s="6">
        <f t="shared" si="33"/>
        <v>0.47117881666600647</v>
      </c>
      <c r="T138" s="6">
        <f t="shared" si="34"/>
        <v>0.52882118333399242</v>
      </c>
      <c r="V138" s="1">
        <f t="shared" si="40"/>
        <v>99198.297651350586</v>
      </c>
      <c r="W138" s="7">
        <f t="shared" si="41"/>
        <v>-1.523690736861767E-4</v>
      </c>
      <c r="X138" s="7">
        <f t="shared" si="42"/>
        <v>-1.5236907368628775E-4</v>
      </c>
      <c r="Y138">
        <f>LN(B138/B137)</f>
        <v>-7.5293108859785776E-4</v>
      </c>
      <c r="Z138">
        <f>LN(C138/C137)</f>
        <v>3.8303472306948702E-4</v>
      </c>
    </row>
    <row r="139" spans="1:26" x14ac:dyDescent="0.3">
      <c r="A139" s="9">
        <v>40381</v>
      </c>
      <c r="B139" s="1">
        <v>20649.05</v>
      </c>
      <c r="C139" s="1">
        <v>23.457830000000001</v>
      </c>
      <c r="D139" s="6">
        <f t="shared" si="31"/>
        <v>1.9211414903283819E-2</v>
      </c>
      <c r="E139" s="5">
        <f t="shared" si="43"/>
        <v>3.83387834963278E-4</v>
      </c>
      <c r="G139" s="25" t="str">
        <f>IF(VLOOKUP(A139,Aux!B:C,2,FALSE)=0,"",VLOOKUP(A139,Aux!B:C,2,FALSE))</f>
        <v/>
      </c>
      <c r="H139" s="25" t="str">
        <f t="shared" si="32"/>
        <v/>
      </c>
      <c r="L139" s="13">
        <f t="shared" si="35"/>
        <v>100116.35362716811</v>
      </c>
      <c r="M139" s="14">
        <f t="shared" si="36"/>
        <v>897.9441549884499</v>
      </c>
      <c r="N139" s="14">
        <f t="shared" si="37"/>
        <v>20.111820828957619</v>
      </c>
      <c r="O139" s="1">
        <f t="shared" si="38"/>
        <v>2.3070349801871837</v>
      </c>
      <c r="P139" s="1">
        <f t="shared" si="39"/>
        <v>2237.1324615078988</v>
      </c>
      <c r="S139" s="6">
        <f t="shared" si="33"/>
        <v>0.47582716441149769</v>
      </c>
      <c r="T139" s="6">
        <f t="shared" si="34"/>
        <v>0.52417283558850125</v>
      </c>
      <c r="V139" s="1">
        <f t="shared" si="40"/>
        <v>100116.35362716799</v>
      </c>
      <c r="W139" s="7">
        <f t="shared" si="41"/>
        <v>9.2121925051536074E-3</v>
      </c>
      <c r="X139" s="7">
        <f t="shared" si="42"/>
        <v>9.2121925051536074E-3</v>
      </c>
      <c r="Y139">
        <f>LN(B139/B138)</f>
        <v>1.9029205638903139E-2</v>
      </c>
      <c r="Z139">
        <f>LN(C139/C138)</f>
        <v>3.833143606261239E-4</v>
      </c>
    </row>
    <row r="140" spans="1:26" x14ac:dyDescent="0.3">
      <c r="A140" s="11">
        <v>40382</v>
      </c>
      <c r="B140" s="12">
        <v>20784.439999999999</v>
      </c>
      <c r="C140" s="12">
        <v>23.46724</v>
      </c>
      <c r="D140" s="16">
        <f t="shared" si="31"/>
        <v>6.5567181056755963E-3</v>
      </c>
      <c r="E140" s="15">
        <f t="shared" si="43"/>
        <v>4.0114537448676657E-4</v>
      </c>
      <c r="G140" s="25" t="str">
        <f>IF(VLOOKUP(A140,Aux!B:C,2,FALSE)=0,"",VLOOKUP(A140,Aux!B:C,2,FALSE))</f>
        <v/>
      </c>
      <c r="H140" s="25" t="str">
        <f t="shared" si="32"/>
        <v/>
      </c>
      <c r="L140" s="13">
        <f t="shared" si="35"/>
        <v>100449.75450959842</v>
      </c>
      <c r="M140" s="14">
        <f t="shared" si="36"/>
        <v>312.34946596754145</v>
      </c>
      <c r="N140" s="14">
        <f t="shared" si="37"/>
        <v>21.051416462787159</v>
      </c>
      <c r="O140" s="1">
        <f t="shared" si="38"/>
        <v>2.3070349801871837</v>
      </c>
      <c r="P140" s="1">
        <f t="shared" si="39"/>
        <v>2237.1324615078988</v>
      </c>
      <c r="S140" s="6">
        <f t="shared" si="33"/>
        <v>0.47735736496020831</v>
      </c>
      <c r="T140" s="6">
        <f t="shared" si="34"/>
        <v>0.5226426350397908</v>
      </c>
      <c r="V140" s="1">
        <f t="shared" si="40"/>
        <v>100449.75450959834</v>
      </c>
      <c r="W140" s="7">
        <f t="shared" si="41"/>
        <v>3.3246014754617381E-3</v>
      </c>
      <c r="X140" s="7">
        <f t="shared" si="42"/>
        <v>3.3246014754621809E-3</v>
      </c>
      <c r="Y140">
        <f>LN(B140/B139)</f>
        <v>6.5353163288580764E-3</v>
      </c>
      <c r="Z140">
        <f>LN(C140/C139)</f>
        <v>4.0106493719167747E-4</v>
      </c>
    </row>
    <row r="141" spans="1:26" x14ac:dyDescent="0.3">
      <c r="A141" s="9">
        <v>40385</v>
      </c>
      <c r="B141" s="1">
        <v>20813.09</v>
      </c>
      <c r="C141" s="1">
        <v>23.476659999999999</v>
      </c>
      <c r="D141" s="6">
        <f t="shared" si="31"/>
        <v>1.3784350215835239E-3</v>
      </c>
      <c r="E141" s="5">
        <f t="shared" si="43"/>
        <v>4.0141064735355059E-4</v>
      </c>
      <c r="G141" s="25" t="str">
        <f>IF(VLOOKUP(A141,Aux!B:C,2,FALSE)=0,"",VLOOKUP(A141,Aux!B:C,2,FALSE))</f>
        <v/>
      </c>
      <c r="H141" s="25" t="str">
        <f t="shared" si="32"/>
        <v/>
      </c>
      <c r="L141" s="13">
        <f t="shared" si="35"/>
        <v>100536.9248495682</v>
      </c>
      <c r="M141" s="14">
        <f t="shared" si="36"/>
        <v>66.096552182366167</v>
      </c>
      <c r="N141" s="14">
        <f t="shared" si="37"/>
        <v>21.07378778740139</v>
      </c>
      <c r="O141" s="1">
        <f t="shared" si="38"/>
        <v>2.3070349801871837</v>
      </c>
      <c r="P141" s="1">
        <f t="shared" si="39"/>
        <v>2237.1324615078988</v>
      </c>
      <c r="S141" s="6">
        <f t="shared" si="33"/>
        <v>0.47760090879674744</v>
      </c>
      <c r="T141" s="6">
        <f t="shared" si="34"/>
        <v>0.52239909120325156</v>
      </c>
      <c r="V141" s="1">
        <f t="shared" si="40"/>
        <v>100536.92484956809</v>
      </c>
      <c r="W141" s="7">
        <f t="shared" si="41"/>
        <v>8.6742410704507202E-4</v>
      </c>
      <c r="X141" s="7">
        <f t="shared" si="42"/>
        <v>8.6742410704485019E-4</v>
      </c>
      <c r="Y141">
        <f>LN(B141/B140)</f>
        <v>1.3774858521746088E-3</v>
      </c>
      <c r="Z141">
        <f>LN(C141/C140)</f>
        <v>4.0133010365299134E-4</v>
      </c>
    </row>
    <row r="142" spans="1:26" x14ac:dyDescent="0.3">
      <c r="A142" s="11">
        <v>40386</v>
      </c>
      <c r="B142" s="12">
        <v>20842.580000000002</v>
      </c>
      <c r="C142" s="12">
        <v>23.486080000000001</v>
      </c>
      <c r="D142" s="16">
        <f t="shared" si="31"/>
        <v>1.416896770253695E-3</v>
      </c>
      <c r="E142" s="15">
        <f t="shared" si="43"/>
        <v>4.0124958149934109E-4</v>
      </c>
      <c r="G142" s="25" t="str">
        <f>IF(VLOOKUP(A142,Aux!B:C,2,FALSE)=0,"",VLOOKUP(A142,Aux!B:C,2,FALSE))</f>
        <v/>
      </c>
      <c r="H142" s="25" t="str">
        <f t="shared" si="32"/>
        <v/>
      </c>
      <c r="L142" s="13">
        <f t="shared" si="35"/>
        <v>100626.03309892133</v>
      </c>
      <c r="M142" s="14">
        <f t="shared" si="36"/>
        <v>68.034461565723745</v>
      </c>
      <c r="N142" s="14">
        <f t="shared" si="37"/>
        <v>21.073787787409337</v>
      </c>
      <c r="O142" s="1">
        <f t="shared" si="38"/>
        <v>2.3070349801871837</v>
      </c>
      <c r="P142" s="1">
        <f t="shared" si="39"/>
        <v>2237.1324615078988</v>
      </c>
      <c r="S142" s="6">
        <f t="shared" si="33"/>
        <v>0.47785408662666684</v>
      </c>
      <c r="T142" s="6">
        <f t="shared" si="34"/>
        <v>0.52214591337333227</v>
      </c>
      <c r="V142" s="1">
        <f t="shared" si="40"/>
        <v>100626.03309892124</v>
      </c>
      <c r="W142" s="7">
        <f t="shared" si="41"/>
        <v>8.8593104903706853E-4</v>
      </c>
      <c r="X142" s="7">
        <f t="shared" si="42"/>
        <v>8.8593104903729035E-4</v>
      </c>
      <c r="Y142">
        <f>LN(B142/B141)</f>
        <v>1.4158939192040927E-3</v>
      </c>
      <c r="Z142">
        <f>LN(C142/C141)</f>
        <v>4.0116910241342772E-4</v>
      </c>
    </row>
    <row r="143" spans="1:26" x14ac:dyDescent="0.3">
      <c r="A143" s="9">
        <v>40387</v>
      </c>
      <c r="B143" s="1">
        <v>20982.53</v>
      </c>
      <c r="C143" s="1">
        <v>23.4955</v>
      </c>
      <c r="D143" s="6">
        <f t="shared" si="31"/>
        <v>6.7146197831553511E-3</v>
      </c>
      <c r="E143" s="5">
        <f t="shared" si="43"/>
        <v>4.0108864484822426E-4</v>
      </c>
      <c r="G143" s="25" t="str">
        <f>IF(VLOOKUP(A143,Aux!B:C,2,FALSE)=0,"",VLOOKUP(A143,Aux!B:C,2,FALSE))</f>
        <v/>
      </c>
      <c r="H143" s="25" t="str">
        <f t="shared" si="32"/>
        <v/>
      </c>
      <c r="L143" s="13">
        <f t="shared" si="35"/>
        <v>100969.97643218593</v>
      </c>
      <c r="M143" s="14">
        <f t="shared" si="36"/>
        <v>322.86954547718966</v>
      </c>
      <c r="N143" s="14">
        <f t="shared" si="37"/>
        <v>21.07378778740139</v>
      </c>
      <c r="O143" s="1">
        <f t="shared" si="38"/>
        <v>2.3070349801871837</v>
      </c>
      <c r="P143" s="1">
        <f t="shared" si="39"/>
        <v>2237.1324615078988</v>
      </c>
      <c r="S143" s="6">
        <f t="shared" si="33"/>
        <v>0.47942400695060755</v>
      </c>
      <c r="T143" s="6">
        <f t="shared" si="34"/>
        <v>0.52057599304939139</v>
      </c>
      <c r="V143" s="1">
        <f t="shared" si="40"/>
        <v>100969.97643218582</v>
      </c>
      <c r="W143" s="7">
        <f t="shared" si="41"/>
        <v>3.4122070945752686E-3</v>
      </c>
      <c r="X143" s="7">
        <f t="shared" si="42"/>
        <v>3.4122070945752686E-3</v>
      </c>
      <c r="Y143">
        <f>LN(B143/B142)</f>
        <v>6.6921771303127906E-3</v>
      </c>
      <c r="Z143">
        <f>LN(C143/C142)</f>
        <v>4.0100823029923428E-4</v>
      </c>
    </row>
    <row r="144" spans="1:26" x14ac:dyDescent="0.3">
      <c r="A144" s="11">
        <v>40388</v>
      </c>
      <c r="B144" s="12">
        <v>20985.47</v>
      </c>
      <c r="C144" s="12">
        <v>23.504919999999998</v>
      </c>
      <c r="D144" s="16">
        <f t="shared" si="31"/>
        <v>1.4011656363654978E-4</v>
      </c>
      <c r="E144" s="15">
        <f t="shared" si="43"/>
        <v>4.0092783724543501E-4</v>
      </c>
      <c r="G144" s="25" t="str">
        <f>IF(VLOOKUP(A144,Aux!B:C,2,FALSE)=0,"",VLOOKUP(A144,Aux!B:C,2,FALSE))</f>
        <v/>
      </c>
      <c r="H144" s="25" t="str">
        <f t="shared" si="32"/>
        <v/>
      </c>
      <c r="L144" s="13">
        <f t="shared" si="35"/>
        <v>100997.83290281509</v>
      </c>
      <c r="M144" s="14">
        <f t="shared" si="36"/>
        <v>6.7826828417556912</v>
      </c>
      <c r="N144" s="14">
        <f t="shared" si="37"/>
        <v>21.07378778740139</v>
      </c>
      <c r="O144" s="1">
        <f t="shared" si="38"/>
        <v>2.3070349801871837</v>
      </c>
      <c r="P144" s="1">
        <f t="shared" si="39"/>
        <v>2237.1324615078988</v>
      </c>
      <c r="S144" s="6">
        <f t="shared" si="33"/>
        <v>0.47935893250556366</v>
      </c>
      <c r="T144" s="6">
        <f t="shared" si="34"/>
        <v>0.52064106749443517</v>
      </c>
      <c r="V144" s="1">
        <f t="shared" si="40"/>
        <v>100997.83290281497</v>
      </c>
      <c r="W144" s="7">
        <f t="shared" si="41"/>
        <v>2.7585060111833302E-4</v>
      </c>
      <c r="X144" s="7">
        <f t="shared" si="42"/>
        <v>2.7585060111811103E-4</v>
      </c>
      <c r="Y144">
        <f>LN(B144/B143)</f>
        <v>1.40106748227704E-4</v>
      </c>
      <c r="Z144">
        <f>LN(C144/C143)</f>
        <v>4.0084748715577028E-4</v>
      </c>
    </row>
    <row r="145" spans="1:26" x14ac:dyDescent="0.3">
      <c r="A145" s="9">
        <v>40389</v>
      </c>
      <c r="B145" s="1">
        <v>21151.279999999999</v>
      </c>
      <c r="C145" s="1">
        <v>23.51435</v>
      </c>
      <c r="D145" s="6">
        <f t="shared" si="31"/>
        <v>7.9011811505769192E-3</v>
      </c>
      <c r="E145" s="5">
        <f t="shared" si="43"/>
        <v>4.011926013789413E-4</v>
      </c>
      <c r="G145" s="25" t="str">
        <f>IF(VLOOKUP(A145,Aux!B:C,2,FALSE)=0,"",VLOOKUP(A145,Aux!B:C,2,FALSE))</f>
        <v/>
      </c>
      <c r="H145" s="25" t="str">
        <f t="shared" si="32"/>
        <v/>
      </c>
      <c r="L145" s="13">
        <f t="shared" si="35"/>
        <v>101401.45853199196</v>
      </c>
      <c r="M145" s="14">
        <f t="shared" si="36"/>
        <v>382.52947006483157</v>
      </c>
      <c r="N145" s="14">
        <f t="shared" si="37"/>
        <v>21.096159112023571</v>
      </c>
      <c r="O145" s="1">
        <f t="shared" si="38"/>
        <v>2.3070349801871837</v>
      </c>
      <c r="P145" s="1">
        <f t="shared" si="39"/>
        <v>2237.1324615078988</v>
      </c>
      <c r="S145" s="6">
        <f t="shared" si="33"/>
        <v>0.48122328359151068</v>
      </c>
      <c r="T145" s="6">
        <f t="shared" si="34"/>
        <v>0.5187767164084881</v>
      </c>
      <c r="V145" s="1">
        <f t="shared" si="40"/>
        <v>101401.45853199184</v>
      </c>
      <c r="W145" s="7">
        <f t="shared" si="41"/>
        <v>3.9884147950327393E-3</v>
      </c>
      <c r="X145" s="7">
        <f t="shared" si="42"/>
        <v>3.9884147950327393E-3</v>
      </c>
      <c r="Y145">
        <f>LN(B145/B144)</f>
        <v>7.8701302706336938E-3</v>
      </c>
      <c r="Z145">
        <f>LN(C145/C144)</f>
        <v>4.0111214514548517E-4</v>
      </c>
    </row>
    <row r="146" spans="1:26" x14ac:dyDescent="0.3">
      <c r="A146" s="11">
        <v>40392</v>
      </c>
      <c r="B146" s="12">
        <v>21470.37</v>
      </c>
      <c r="C146" s="12">
        <v>23.523769999999999</v>
      </c>
      <c r="D146" s="16">
        <f t="shared" si="31"/>
        <v>1.5086084624665652E-2</v>
      </c>
      <c r="E146" s="15">
        <f t="shared" si="43"/>
        <v>4.0060643819628261E-4</v>
      </c>
      <c r="G146" s="25" t="str">
        <f>IF(VLOOKUP(A146,Aux!B:C,2,FALSE)=0,"",VLOOKUP(A146,Aux!B:C,2,FALSE))</f>
        <v/>
      </c>
      <c r="H146" s="25" t="str">
        <f t="shared" si="32"/>
        <v/>
      </c>
      <c r="L146" s="13">
        <f t="shared" si="35"/>
        <v>102158.68411160729</v>
      </c>
      <c r="M146" s="14">
        <f t="shared" si="36"/>
        <v>736.15179182792872</v>
      </c>
      <c r="N146" s="14">
        <f t="shared" si="37"/>
        <v>21.07378778740139</v>
      </c>
      <c r="O146" s="1">
        <f t="shared" si="38"/>
        <v>2.3070349801871837</v>
      </c>
      <c r="P146" s="1">
        <f t="shared" si="39"/>
        <v>2237.1324615078988</v>
      </c>
      <c r="S146" s="6">
        <f t="shared" si="33"/>
        <v>0.48486230082454207</v>
      </c>
      <c r="T146" s="6">
        <f t="shared" si="34"/>
        <v>0.51513769917545671</v>
      </c>
      <c r="V146" s="1">
        <f t="shared" si="40"/>
        <v>102158.68411160717</v>
      </c>
      <c r="W146" s="7">
        <f t="shared" si="41"/>
        <v>7.4398559813628621E-3</v>
      </c>
      <c r="X146" s="7">
        <f t="shared" si="42"/>
        <v>7.4398559813628621E-3</v>
      </c>
      <c r="Y146">
        <f>LN(B146/B145)</f>
        <v>1.4973421335473408E-2</v>
      </c>
      <c r="Z146">
        <f>LN(C146/C145)</f>
        <v>4.0052621686119427E-4</v>
      </c>
    </row>
    <row r="147" spans="1:26" x14ac:dyDescent="0.3">
      <c r="A147" s="9">
        <v>40393</v>
      </c>
      <c r="B147" s="1">
        <v>21336.45</v>
      </c>
      <c r="C147" s="1">
        <v>23.53322</v>
      </c>
      <c r="D147" s="6">
        <f t="shared" si="31"/>
        <v>-6.2374332626777829E-3</v>
      </c>
      <c r="E147" s="5">
        <f t="shared" si="43"/>
        <v>4.0172132273030847E-4</v>
      </c>
      <c r="G147" s="25" t="str">
        <f>IF(VLOOKUP(A147,Aux!B:C,2,FALSE)=0,"",VLOOKUP(A147,Aux!B:C,2,FALSE))</f>
        <v/>
      </c>
      <c r="H147" s="25" t="str">
        <f t="shared" si="32"/>
        <v/>
      </c>
      <c r="L147" s="13">
        <f t="shared" si="35"/>
        <v>101870.86688882187</v>
      </c>
      <c r="M147" s="14">
        <f t="shared" si="36"/>
        <v>-308.95812454666361</v>
      </c>
      <c r="N147" s="14">
        <f t="shared" si="37"/>
        <v>21.140901761252035</v>
      </c>
      <c r="O147" s="1">
        <f t="shared" si="38"/>
        <v>2.3070349801871837</v>
      </c>
      <c r="P147" s="1">
        <f t="shared" si="39"/>
        <v>2237.1324615078988</v>
      </c>
      <c r="S147" s="6">
        <f t="shared" si="33"/>
        <v>0.48319934841367396</v>
      </c>
      <c r="T147" s="6">
        <f t="shared" si="34"/>
        <v>0.51680065158632493</v>
      </c>
      <c r="V147" s="1">
        <f t="shared" si="40"/>
        <v>101870.86688882177</v>
      </c>
      <c r="W147" s="7">
        <f t="shared" si="41"/>
        <v>-2.8213306581389109E-3</v>
      </c>
      <c r="X147" s="7">
        <f t="shared" si="42"/>
        <v>-2.8213306581387995E-3</v>
      </c>
      <c r="Y147">
        <f>LN(B147/B146)</f>
        <v>-6.2569673201465096E-3</v>
      </c>
      <c r="Z147">
        <f>LN(C147/C146)</f>
        <v>4.0164065432316345E-4</v>
      </c>
    </row>
    <row r="148" spans="1:26" x14ac:dyDescent="0.3">
      <c r="A148" s="11">
        <v>40394</v>
      </c>
      <c r="B148" s="12">
        <v>21386.080000000002</v>
      </c>
      <c r="C148" s="12">
        <v>23.542670000000001</v>
      </c>
      <c r="D148" s="16">
        <f t="shared" si="31"/>
        <v>2.3260664262330089E-3</v>
      </c>
      <c r="E148" s="15">
        <f t="shared" si="43"/>
        <v>4.0156000751290222E-4</v>
      </c>
      <c r="G148" s="25" t="str">
        <f>IF(VLOOKUP(A148,Aux!B:C,2,FALSE)=0,"",VLOOKUP(A148,Aux!B:C,2,FALSE))</f>
        <v/>
      </c>
      <c r="H148" s="25" t="str">
        <f t="shared" si="32"/>
        <v/>
      </c>
      <c r="L148" s="13">
        <f t="shared" si="35"/>
        <v>102006.5059366498</v>
      </c>
      <c r="M148" s="14">
        <f t="shared" si="36"/>
        <v>114.49814606669227</v>
      </c>
      <c r="N148" s="14">
        <f t="shared" si="37"/>
        <v>21.140901761252035</v>
      </c>
      <c r="O148" s="1">
        <f t="shared" si="38"/>
        <v>2.3070349801871837</v>
      </c>
      <c r="P148" s="1">
        <f t="shared" si="39"/>
        <v>2237.1324615078988</v>
      </c>
      <c r="S148" s="6">
        <f t="shared" si="33"/>
        <v>0.4836792927670977</v>
      </c>
      <c r="T148" s="6">
        <f t="shared" si="34"/>
        <v>0.51632070723290124</v>
      </c>
      <c r="V148" s="1">
        <f t="shared" si="40"/>
        <v>102006.50593664969</v>
      </c>
      <c r="W148" s="7">
        <f t="shared" si="41"/>
        <v>1.3305946212703262E-3</v>
      </c>
      <c r="X148" s="7">
        <f t="shared" si="42"/>
        <v>1.3305946212701044E-3</v>
      </c>
      <c r="Y148">
        <f>LN(B148/B147)</f>
        <v>2.3233653215450896E-3</v>
      </c>
      <c r="Z148">
        <f>LN(C148/C147)</f>
        <v>4.0147940387049623E-4</v>
      </c>
    </row>
    <row r="149" spans="1:26" x14ac:dyDescent="0.3">
      <c r="A149" s="9">
        <v>40395</v>
      </c>
      <c r="B149" s="1">
        <v>21429.34</v>
      </c>
      <c r="C149" s="1">
        <v>23.552109999999999</v>
      </c>
      <c r="D149" s="6">
        <f t="shared" si="31"/>
        <v>2.0228110995563764E-3</v>
      </c>
      <c r="E149" s="5">
        <f t="shared" si="43"/>
        <v>4.0097406114081302E-4</v>
      </c>
      <c r="G149" s="25" t="str">
        <f>IF(VLOOKUP(A149,Aux!B:C,2,FALSE)=0,"",VLOOKUP(A149,Aux!B:C,2,FALSE))</f>
        <v/>
      </c>
      <c r="H149" s="25" t="str">
        <f t="shared" si="32"/>
        <v/>
      </c>
      <c r="L149" s="13">
        <f t="shared" si="35"/>
        <v>102127.42680032933</v>
      </c>
      <c r="M149" s="14">
        <f t="shared" si="36"/>
        <v>99.802333242893866</v>
      </c>
      <c r="N149" s="14">
        <f t="shared" si="37"/>
        <v>21.118530436629854</v>
      </c>
      <c r="O149" s="1">
        <f t="shared" si="38"/>
        <v>2.3070349801871837</v>
      </c>
      <c r="P149" s="1">
        <f t="shared" si="39"/>
        <v>2237.1324615078988</v>
      </c>
      <c r="S149" s="6">
        <f t="shared" si="33"/>
        <v>0.4840838404651257</v>
      </c>
      <c r="T149" s="6">
        <f t="shared" si="34"/>
        <v>0.51591615953487324</v>
      </c>
      <c r="V149" s="1">
        <f t="shared" si="40"/>
        <v>102127.42680032921</v>
      </c>
      <c r="W149" s="7">
        <f t="shared" si="41"/>
        <v>1.1847209937279933E-3</v>
      </c>
      <c r="X149" s="7">
        <f t="shared" si="42"/>
        <v>1.1847209937279933E-3</v>
      </c>
      <c r="Y149">
        <f>LN(B149/B148)</f>
        <v>2.0207679719609736E-3</v>
      </c>
      <c r="Z149">
        <f>LN(C149/C148)</f>
        <v>4.0089369252506159E-4</v>
      </c>
    </row>
    <row r="150" spans="1:26" x14ac:dyDescent="0.3">
      <c r="A150" s="11">
        <v>40396</v>
      </c>
      <c r="B150" s="12">
        <v>21355.14</v>
      </c>
      <c r="C150" s="12">
        <v>23.56157</v>
      </c>
      <c r="D150" s="16">
        <f t="shared" si="31"/>
        <v>-3.4625424768098823E-3</v>
      </c>
      <c r="E150" s="15">
        <f t="shared" si="43"/>
        <v>4.0166252620266185E-4</v>
      </c>
      <c r="G150" s="25" t="str">
        <f>IF(VLOOKUP(A150,Aux!B:C,2,FALSE)=0,"",VLOOKUP(A150,Aux!B:C,2,FALSE))</f>
        <v/>
      </c>
      <c r="H150" s="25" t="str">
        <f t="shared" si="32"/>
        <v/>
      </c>
      <c r="L150" s="13">
        <f t="shared" si="35"/>
        <v>101977.40807788531</v>
      </c>
      <c r="M150" s="14">
        <f t="shared" si="36"/>
        <v>-171.18199552989071</v>
      </c>
      <c r="N150" s="14">
        <f t="shared" si="37"/>
        <v>21.163273085866265</v>
      </c>
      <c r="O150" s="1">
        <f t="shared" si="38"/>
        <v>2.3070349801871837</v>
      </c>
      <c r="P150" s="1">
        <f t="shared" si="39"/>
        <v>2237.1324615078988</v>
      </c>
      <c r="S150" s="6">
        <f t="shared" si="33"/>
        <v>0.483117348395115</v>
      </c>
      <c r="T150" s="6">
        <f t="shared" si="34"/>
        <v>0.51688265160488389</v>
      </c>
      <c r="V150" s="1">
        <f t="shared" si="40"/>
        <v>101977.40807788519</v>
      </c>
      <c r="W150" s="7">
        <f t="shared" si="41"/>
        <v>-1.470016617183667E-3</v>
      </c>
      <c r="X150" s="7">
        <f t="shared" si="42"/>
        <v>-1.470016617183667E-3</v>
      </c>
      <c r="Y150">
        <f>LN(B150/B149)</f>
        <v>-3.4685509507520204E-3</v>
      </c>
      <c r="Z150">
        <f>LN(C150/C149)</f>
        <v>4.0158188140412376E-4</v>
      </c>
    </row>
    <row r="151" spans="1:26" x14ac:dyDescent="0.3">
      <c r="A151" s="9">
        <v>40399</v>
      </c>
      <c r="B151" s="1">
        <v>21309.22</v>
      </c>
      <c r="C151" s="1">
        <v>23.571020000000001</v>
      </c>
      <c r="D151" s="6">
        <f t="shared" si="31"/>
        <v>-2.1503019881863317E-3</v>
      </c>
      <c r="E151" s="5">
        <f t="shared" si="43"/>
        <v>4.0107683825829632E-4</v>
      </c>
      <c r="G151" s="25" t="str">
        <f>IF(VLOOKUP(A151,Aux!B:C,2,FALSE)=0,"",VLOOKUP(A151,Aux!B:C,2,FALSE))</f>
        <v/>
      </c>
      <c r="H151" s="25" t="str">
        <f t="shared" si="32"/>
        <v/>
      </c>
      <c r="L151" s="13">
        <f t="shared" si="35"/>
        <v>101892.60993335636</v>
      </c>
      <c r="M151" s="14">
        <f t="shared" si="36"/>
        <v>-105.93904629019144</v>
      </c>
      <c r="N151" s="14">
        <f t="shared" si="37"/>
        <v>21.140901761252035</v>
      </c>
      <c r="O151" s="1">
        <f t="shared" si="38"/>
        <v>2.3070349801871837</v>
      </c>
      <c r="P151" s="1">
        <f t="shared" si="39"/>
        <v>2237.1324615078988</v>
      </c>
      <c r="S151" s="6">
        <f t="shared" si="33"/>
        <v>0.48247970066385132</v>
      </c>
      <c r="T151" s="6">
        <f t="shared" si="34"/>
        <v>0.51752029933614763</v>
      </c>
      <c r="V151" s="1">
        <f t="shared" si="40"/>
        <v>101892.60993335626</v>
      </c>
      <c r="W151" s="7">
        <f t="shared" si="41"/>
        <v>-8.3188445507002297E-4</v>
      </c>
      <c r="X151" s="7">
        <f t="shared" si="42"/>
        <v>-8.3188445506991184E-4</v>
      </c>
      <c r="Y151">
        <f>LN(B151/B150)</f>
        <v>-2.1526172070484234E-3</v>
      </c>
      <c r="Z151">
        <f>LN(C151/C150)</f>
        <v>4.0099642844282726E-4</v>
      </c>
    </row>
    <row r="152" spans="1:26" x14ac:dyDescent="0.3">
      <c r="A152" s="11">
        <v>40400</v>
      </c>
      <c r="B152" s="12">
        <v>21117.99</v>
      </c>
      <c r="C152" s="12">
        <v>23.580480000000001</v>
      </c>
      <c r="D152" s="16">
        <f t="shared" si="31"/>
        <v>-8.9740497305861311E-3</v>
      </c>
      <c r="E152" s="15">
        <f t="shared" si="43"/>
        <v>4.0134028989835535E-4</v>
      </c>
      <c r="G152" s="25" t="str">
        <f>IF(VLOOKUP(A152,Aux!B:C,2,FALSE)=0,"",VLOOKUP(A152,Aux!B:C,2,FALSE))</f>
        <v/>
      </c>
      <c r="H152" s="25" t="str">
        <f t="shared" si="32"/>
        <v/>
      </c>
      <c r="L152" s="13">
        <f t="shared" si="35"/>
        <v>101472.59890718103</v>
      </c>
      <c r="M152" s="14">
        <f t="shared" si="36"/>
        <v>-441.17429926119411</v>
      </c>
      <c r="N152" s="14">
        <f t="shared" si="37"/>
        <v>21.163273085866265</v>
      </c>
      <c r="O152" s="1">
        <f t="shared" si="38"/>
        <v>2.3070349801871837</v>
      </c>
      <c r="P152" s="1">
        <f t="shared" si="39"/>
        <v>2237.1324615078988</v>
      </c>
      <c r="S152" s="6">
        <f t="shared" si="33"/>
        <v>0.48012904139577844</v>
      </c>
      <c r="T152" s="6">
        <f t="shared" si="34"/>
        <v>0.5198709586042205</v>
      </c>
      <c r="V152" s="1">
        <f t="shared" si="40"/>
        <v>101472.59890718092</v>
      </c>
      <c r="W152" s="7">
        <f t="shared" si="41"/>
        <v>-4.1306143342276077E-3</v>
      </c>
      <c r="X152" s="7">
        <f t="shared" si="42"/>
        <v>-4.1306143342277196E-3</v>
      </c>
      <c r="Y152">
        <f>LN(B152/B151)</f>
        <v>-9.0145590520949118E-3</v>
      </c>
      <c r="Z152">
        <f>LN(C152/C151)</f>
        <v>4.0125977442622242E-4</v>
      </c>
    </row>
    <row r="153" spans="1:26" x14ac:dyDescent="0.3">
      <c r="A153" s="9">
        <v>40401</v>
      </c>
      <c r="B153" s="1">
        <v>20652</v>
      </c>
      <c r="C153" s="1">
        <v>23.589939999999999</v>
      </c>
      <c r="D153" s="6">
        <f t="shared" si="31"/>
        <v>-2.2066020487745308E-2</v>
      </c>
      <c r="E153" s="5">
        <f t="shared" si="43"/>
        <v>4.0117928048943874E-4</v>
      </c>
      <c r="G153" s="25" t="str">
        <f>IF(VLOOKUP(A153,Aux!B:C,2,FALSE)=0,"",VLOOKUP(A153,Aux!B:C,2,FALSE))</f>
        <v/>
      </c>
      <c r="H153" s="25" t="str">
        <f t="shared" si="32"/>
        <v/>
      </c>
      <c r="L153" s="13">
        <f t="shared" si="35"/>
        <v>100418.70694984945</v>
      </c>
      <c r="M153" s="14">
        <f t="shared" si="36"/>
        <v>-1075.0552304174294</v>
      </c>
      <c r="N153" s="14">
        <f t="shared" si="37"/>
        <v>21.163273085858318</v>
      </c>
      <c r="O153" s="1">
        <f t="shared" si="38"/>
        <v>2.3070349801871837</v>
      </c>
      <c r="P153" s="1">
        <f t="shared" si="39"/>
        <v>2237.1324615078988</v>
      </c>
      <c r="S153" s="6">
        <f t="shared" si="33"/>
        <v>0.47446225766101791</v>
      </c>
      <c r="T153" s="6">
        <f t="shared" si="34"/>
        <v>0.52553774233898121</v>
      </c>
      <c r="V153" s="1">
        <f t="shared" si="40"/>
        <v>100418.70694984935</v>
      </c>
      <c r="W153" s="7">
        <f t="shared" si="41"/>
        <v>-1.0440286426951269E-2</v>
      </c>
      <c r="X153" s="7">
        <f t="shared" si="42"/>
        <v>-1.0440286426951157E-2</v>
      </c>
      <c r="Y153">
        <f>LN(B153/B152)</f>
        <v>-2.2313116837117557E-2</v>
      </c>
      <c r="Z153">
        <f>LN(C153/C152)</f>
        <v>4.0109882959799302E-4</v>
      </c>
    </row>
    <row r="154" spans="1:26" x14ac:dyDescent="0.3">
      <c r="A154" s="11">
        <v>40402</v>
      </c>
      <c r="B154" s="12">
        <v>20736.57</v>
      </c>
      <c r="C154" s="12">
        <v>23.599409999999999</v>
      </c>
      <c r="D154" s="16">
        <f t="shared" si="31"/>
        <v>4.0950029052875259E-3</v>
      </c>
      <c r="E154" s="15">
        <f t="shared" si="43"/>
        <v>4.0144230973027106E-4</v>
      </c>
      <c r="G154" s="25" t="str">
        <f>IF(VLOOKUP(A154,Aux!B:C,2,FALSE)=0,"",VLOOKUP(A154,Aux!B:C,2,FALSE))</f>
        <v/>
      </c>
      <c r="H154" s="25" t="str">
        <f t="shared" si="32"/>
        <v/>
      </c>
      <c r="L154" s="13">
        <f t="shared" si="35"/>
        <v>100634.99854253436</v>
      </c>
      <c r="M154" s="14">
        <f t="shared" si="36"/>
        <v>195.10594827442947</v>
      </c>
      <c r="N154" s="14">
        <f t="shared" si="37"/>
        <v>21.185644410480499</v>
      </c>
      <c r="O154" s="1">
        <f t="shared" si="38"/>
        <v>2.3070349801871837</v>
      </c>
      <c r="P154" s="1">
        <f t="shared" si="39"/>
        <v>2237.1324615078988</v>
      </c>
      <c r="S154" s="6">
        <f t="shared" si="33"/>
        <v>0.47538125952155813</v>
      </c>
      <c r="T154" s="6">
        <f t="shared" si="34"/>
        <v>0.52461874047844093</v>
      </c>
      <c r="V154" s="1">
        <f t="shared" si="40"/>
        <v>100634.99854253427</v>
      </c>
      <c r="W154" s="7">
        <f t="shared" si="41"/>
        <v>2.1515810971513461E-3</v>
      </c>
      <c r="X154" s="7">
        <f t="shared" si="42"/>
        <v>2.1515810971513461E-3</v>
      </c>
      <c r="Y154">
        <f>LN(B154/B153)</f>
        <v>4.0866412005874844E-3</v>
      </c>
      <c r="Z154">
        <f>LN(C154/C153)</f>
        <v>4.0136175332469552E-4</v>
      </c>
    </row>
    <row r="155" spans="1:26" x14ac:dyDescent="0.3">
      <c r="A155" s="9">
        <v>40403</v>
      </c>
      <c r="B155" s="1">
        <v>20779.88</v>
      </c>
      <c r="C155" s="1">
        <v>23.608879999999999</v>
      </c>
      <c r="D155" s="6">
        <f t="shared" ref="D155:D218" si="44">B155/B154-1</f>
        <v>2.0885807054880079E-3</v>
      </c>
      <c r="E155" s="5">
        <f t="shared" si="43"/>
        <v>4.0128121847105014E-4</v>
      </c>
      <c r="G155" s="25" t="str">
        <f>IF(VLOOKUP(A155,Aux!B:C,2,FALSE)=0,"",VLOOKUP(A155,Aux!B:C,2,FALSE))</f>
        <v/>
      </c>
      <c r="H155" s="25" t="str">
        <f t="shared" si="32"/>
        <v/>
      </c>
      <c r="L155" s="13">
        <f t="shared" si="35"/>
        <v>100756.10187193676</v>
      </c>
      <c r="M155" s="14">
        <f t="shared" si="36"/>
        <v>99.917684991909951</v>
      </c>
      <c r="N155" s="14">
        <f t="shared" si="37"/>
        <v>21.185644410480499</v>
      </c>
      <c r="O155" s="1">
        <f t="shared" si="38"/>
        <v>2.3070349801871837</v>
      </c>
      <c r="P155" s="1">
        <f t="shared" si="39"/>
        <v>2237.1324615078988</v>
      </c>
      <c r="S155" s="6">
        <f t="shared" si="33"/>
        <v>0.47580155596953078</v>
      </c>
      <c r="T155" s="6">
        <f t="shared" si="34"/>
        <v>0.52419844403046834</v>
      </c>
      <c r="V155" s="1">
        <f t="shared" si="40"/>
        <v>100756.10187193667</v>
      </c>
      <c r="W155" s="7">
        <f t="shared" si="41"/>
        <v>1.2026682782928118E-3</v>
      </c>
      <c r="X155" s="7">
        <f t="shared" si="42"/>
        <v>1.2026682782928118E-3</v>
      </c>
      <c r="Y155">
        <f>LN(B155/B154)</f>
        <v>2.0864026529713994E-3</v>
      </c>
      <c r="Z155">
        <f>LN(C155/C154)</f>
        <v>4.0120072669540664E-4</v>
      </c>
    </row>
    <row r="156" spans="1:26" x14ac:dyDescent="0.3">
      <c r="A156" s="11">
        <v>40406</v>
      </c>
      <c r="B156" s="12">
        <v>20922.740000000002</v>
      </c>
      <c r="C156" s="12">
        <v>23.618359999999999</v>
      </c>
      <c r="D156" s="16">
        <f t="shared" si="44"/>
        <v>6.8749193931822994E-3</v>
      </c>
      <c r="E156" s="15">
        <f t="shared" si="43"/>
        <v>4.0154382588242221E-4</v>
      </c>
      <c r="G156" s="25" t="str">
        <f>IF(VLOOKUP(A156,Aux!B:C,2,FALSE)=0,"",VLOOKUP(A156,Aux!B:C,2,FALSE))</f>
        <v/>
      </c>
      <c r="H156" s="25" t="str">
        <f t="shared" si="32"/>
        <v/>
      </c>
      <c r="L156" s="13">
        <f t="shared" si="35"/>
        <v>101106.8929049414</v>
      </c>
      <c r="M156" s="14">
        <f t="shared" si="36"/>
        <v>329.58301726954238</v>
      </c>
      <c r="N156" s="14">
        <f t="shared" si="37"/>
        <v>21.20801573509473</v>
      </c>
      <c r="O156" s="1">
        <f t="shared" si="38"/>
        <v>2.3070349801871837</v>
      </c>
      <c r="P156" s="1">
        <f t="shared" si="39"/>
        <v>2237.1324615078988</v>
      </c>
      <c r="S156" s="6">
        <f t="shared" si="33"/>
        <v>0.47741050757779269</v>
      </c>
      <c r="T156" s="6">
        <f t="shared" si="34"/>
        <v>0.52258949242220631</v>
      </c>
      <c r="V156" s="1">
        <f t="shared" si="40"/>
        <v>101106.8929049413</v>
      </c>
      <c r="W156" s="7">
        <f t="shared" si="41"/>
        <v>3.4755393033144345E-3</v>
      </c>
      <c r="X156" s="7">
        <f t="shared" si="42"/>
        <v>3.4755393033142129E-3</v>
      </c>
      <c r="Y156">
        <f>LN(B156/B155)</f>
        <v>6.8513948926688228E-3</v>
      </c>
      <c r="Z156">
        <f>LN(C156/C155)</f>
        <v>4.0146322873517285E-4</v>
      </c>
    </row>
    <row r="157" spans="1:26" x14ac:dyDescent="0.3">
      <c r="A157" s="9">
        <v>40407</v>
      </c>
      <c r="B157" s="1">
        <v>21156.62</v>
      </c>
      <c r="C157" s="1">
        <v>23.627839999999999</v>
      </c>
      <c r="D157" s="6">
        <f t="shared" si="44"/>
        <v>1.1178268238289935E-2</v>
      </c>
      <c r="E157" s="5">
        <f t="shared" si="43"/>
        <v>4.0138265315636801E-4</v>
      </c>
      <c r="G157" s="25" t="str">
        <f>IF(VLOOKUP(A157,Aux!B:C,2,FALSE)=0,"",VLOOKUP(A157,Aux!B:C,2,FALSE))</f>
        <v/>
      </c>
      <c r="H157" s="25" t="str">
        <f t="shared" si="32"/>
        <v/>
      </c>
      <c r="L157" s="13">
        <f t="shared" si="35"/>
        <v>101667.67026184268</v>
      </c>
      <c r="M157" s="14">
        <f t="shared" si="36"/>
        <v>539.56934116617242</v>
      </c>
      <c r="N157" s="14">
        <f t="shared" si="37"/>
        <v>21.20801573509473</v>
      </c>
      <c r="O157" s="1">
        <f t="shared" si="38"/>
        <v>2.3070349801871837</v>
      </c>
      <c r="P157" s="1">
        <f t="shared" si="39"/>
        <v>2237.1324615078988</v>
      </c>
      <c r="S157" s="6">
        <f t="shared" si="33"/>
        <v>0.48008439926695662</v>
      </c>
      <c r="T157" s="6">
        <f t="shared" si="34"/>
        <v>0.51991560073304222</v>
      </c>
      <c r="V157" s="1">
        <f t="shared" si="40"/>
        <v>101667.67026184256</v>
      </c>
      <c r="W157" s="7">
        <f t="shared" si="41"/>
        <v>5.5310565366634579E-3</v>
      </c>
      <c r="X157" s="7">
        <f t="shared" si="42"/>
        <v>5.5310565366634579E-3</v>
      </c>
      <c r="Y157">
        <f>LN(B157/B156)</f>
        <v>1.1116253117702039E-2</v>
      </c>
      <c r="Z157">
        <f>LN(C157/C156)</f>
        <v>4.0130212068807713E-4</v>
      </c>
    </row>
    <row r="158" spans="1:26" x14ac:dyDescent="0.3">
      <c r="A158" s="11">
        <v>40408</v>
      </c>
      <c r="B158" s="12">
        <v>21153.23</v>
      </c>
      <c r="C158" s="12">
        <v>23.637319999999999</v>
      </c>
      <c r="D158" s="16">
        <f t="shared" si="44"/>
        <v>-1.6023353446814603E-4</v>
      </c>
      <c r="E158" s="15">
        <f t="shared" si="43"/>
        <v>4.012216097619703E-4</v>
      </c>
      <c r="G158" s="25" t="str">
        <f>IF(VLOOKUP(A158,Aux!B:C,2,FALSE)=0,"",VLOOKUP(A158,Aux!B:C,2,FALSE))</f>
        <v/>
      </c>
      <c r="H158" s="25" t="str">
        <f t="shared" si="32"/>
        <v/>
      </c>
      <c r="L158" s="13">
        <f t="shared" si="35"/>
        <v>101681.05742899494</v>
      </c>
      <c r="M158" s="14">
        <f t="shared" si="36"/>
        <v>-7.8208485828332099</v>
      </c>
      <c r="N158" s="14">
        <f t="shared" si="37"/>
        <v>21.20801573509473</v>
      </c>
      <c r="O158" s="1">
        <f t="shared" si="38"/>
        <v>2.3070349801871837</v>
      </c>
      <c r="P158" s="1">
        <f t="shared" si="39"/>
        <v>2237.1324615078988</v>
      </c>
      <c r="S158" s="6">
        <f t="shared" si="33"/>
        <v>0.47994427662225492</v>
      </c>
      <c r="T158" s="6">
        <f t="shared" si="34"/>
        <v>0.52005572337774386</v>
      </c>
      <c r="V158" s="1">
        <f t="shared" si="40"/>
        <v>101681.05742899483</v>
      </c>
      <c r="W158" s="7">
        <f t="shared" si="41"/>
        <v>1.3166708563781159E-4</v>
      </c>
      <c r="X158" s="7">
        <f t="shared" si="42"/>
        <v>1.3166708563781159E-4</v>
      </c>
      <c r="Y158">
        <f>LN(B158/B157)</f>
        <v>-1.6024637323241547E-4</v>
      </c>
      <c r="Z158">
        <f>LN(C158/C157)</f>
        <v>4.0114114189481229E-4</v>
      </c>
    </row>
    <row r="159" spans="1:26" x14ac:dyDescent="0.3">
      <c r="A159" s="9">
        <v>40409</v>
      </c>
      <c r="B159" s="1">
        <v>20903.78</v>
      </c>
      <c r="C159" s="1">
        <v>23.646799999999999</v>
      </c>
      <c r="D159" s="6">
        <f t="shared" si="44"/>
        <v>-1.1792525302282475E-2</v>
      </c>
      <c r="E159" s="5">
        <f t="shared" si="43"/>
        <v>4.0106069554424195E-4</v>
      </c>
      <c r="G159" s="25" t="str">
        <f>IF(VLOOKUP(A159,Aux!B:C,2,FALSE)=0,"",VLOOKUP(A159,Aux!B:C,2,FALSE))</f>
        <v/>
      </c>
      <c r="H159" s="25" t="str">
        <f t="shared" si="32"/>
        <v/>
      </c>
      <c r="L159" s="13">
        <f t="shared" si="35"/>
        <v>101126.77556892236</v>
      </c>
      <c r="M159" s="14">
        <f t="shared" si="36"/>
        <v>-575.4898758076946</v>
      </c>
      <c r="N159" s="14">
        <f t="shared" si="37"/>
        <v>21.20801573509473</v>
      </c>
      <c r="O159" s="1">
        <f t="shared" si="38"/>
        <v>2.3070349801871837</v>
      </c>
      <c r="P159" s="1">
        <f t="shared" si="39"/>
        <v>2237.1324615078988</v>
      </c>
      <c r="S159" s="6">
        <f t="shared" si="33"/>
        <v>0.47688410321427949</v>
      </c>
      <c r="T159" s="6">
        <f t="shared" si="34"/>
        <v>0.52311589678571924</v>
      </c>
      <c r="V159" s="1">
        <f t="shared" si="40"/>
        <v>101126.77556892222</v>
      </c>
      <c r="W159" s="7">
        <f t="shared" si="41"/>
        <v>-5.4660930197408661E-3</v>
      </c>
      <c r="X159" s="7">
        <f t="shared" si="42"/>
        <v>-5.4660930197409779E-3</v>
      </c>
      <c r="Y159">
        <f>LN(B159/B158)</f>
        <v>-1.1862608646738639E-2</v>
      </c>
      <c r="Z159">
        <f>LN(C159/C158)</f>
        <v>4.0098029220051568E-4</v>
      </c>
    </row>
    <row r="160" spans="1:26" x14ac:dyDescent="0.3">
      <c r="A160" s="11">
        <v>40410</v>
      </c>
      <c r="B160" s="12">
        <v>20844.580000000002</v>
      </c>
      <c r="C160" s="12">
        <v>23.656279999999999</v>
      </c>
      <c r="D160" s="16">
        <f t="shared" si="44"/>
        <v>-2.8320236818411004E-3</v>
      </c>
      <c r="E160" s="15">
        <f t="shared" si="43"/>
        <v>4.0089991034730765E-4</v>
      </c>
      <c r="G160" s="25" t="str">
        <f>IF(VLOOKUP(A160,Aux!B:C,2,FALSE)=0,"",VLOOKUP(A160,Aux!B:C,2,FALSE))</f>
        <v/>
      </c>
      <c r="H160" s="25" t="str">
        <f t="shared" si="32"/>
        <v/>
      </c>
      <c r="L160" s="13">
        <f t="shared" si="35"/>
        <v>101011.40711383038</v>
      </c>
      <c r="M160" s="14">
        <f t="shared" si="36"/>
        <v>-136.57647082707456</v>
      </c>
      <c r="N160" s="14">
        <f t="shared" si="37"/>
        <v>21.20801573509473</v>
      </c>
      <c r="O160" s="1">
        <f t="shared" si="38"/>
        <v>2.3070349801871837</v>
      </c>
      <c r="P160" s="1">
        <f t="shared" si="39"/>
        <v>2237.1324615078988</v>
      </c>
      <c r="S160" s="6">
        <f t="shared" si="33"/>
        <v>0.47607667867766829</v>
      </c>
      <c r="T160" s="6">
        <f t="shared" si="34"/>
        <v>0.52392332132233022</v>
      </c>
      <c r="V160" s="1">
        <f t="shared" si="40"/>
        <v>101011.40711383024</v>
      </c>
      <c r="W160" s="7">
        <f t="shared" si="41"/>
        <v>-1.1414811995211472E-3</v>
      </c>
      <c r="X160" s="7">
        <f t="shared" si="42"/>
        <v>-1.1414811995212584E-3</v>
      </c>
      <c r="Y160">
        <f>LN(B160/B159)</f>
        <v>-2.8360414483078033E-3</v>
      </c>
      <c r="Z160">
        <f>LN(C160/C159)</f>
        <v>4.0081957144943688E-4</v>
      </c>
    </row>
    <row r="161" spans="1:26" x14ac:dyDescent="0.3">
      <c r="A161" s="9">
        <v>40413</v>
      </c>
      <c r="B161" s="1">
        <v>20639.37</v>
      </c>
      <c r="C161" s="1">
        <v>23.665759999999999</v>
      </c>
      <c r="D161" s="6">
        <f t="shared" si="44"/>
        <v>-9.8447654018456454E-3</v>
      </c>
      <c r="E161" s="5">
        <f t="shared" si="43"/>
        <v>4.0073925401618027E-4</v>
      </c>
      <c r="G161" s="25" t="str">
        <f>IF(VLOOKUP(A161,Aux!B:C,2,FALSE)=0,"",VLOOKUP(A161,Aux!B:C,2,FALSE))</f>
        <v/>
      </c>
      <c r="H161" s="25" t="str">
        <f t="shared" si="32"/>
        <v/>
      </c>
      <c r="L161" s="13">
        <f t="shared" si="35"/>
        <v>100559.18848128126</v>
      </c>
      <c r="M161" s="14">
        <f t="shared" si="36"/>
        <v>-473.42664828421834</v>
      </c>
      <c r="N161" s="14">
        <f t="shared" si="37"/>
        <v>21.20801573509473</v>
      </c>
      <c r="O161" s="1">
        <f t="shared" si="38"/>
        <v>2.3070349801871837</v>
      </c>
      <c r="P161" s="1">
        <f t="shared" si="39"/>
        <v>2237.1324615078988</v>
      </c>
      <c r="S161" s="6">
        <f t="shared" si="33"/>
        <v>0.47350967403530164</v>
      </c>
      <c r="T161" s="6">
        <f t="shared" si="34"/>
        <v>0.52649032596469691</v>
      </c>
      <c r="V161" s="1">
        <f t="shared" si="40"/>
        <v>100559.18848128112</v>
      </c>
      <c r="W161" s="7">
        <f t="shared" si="41"/>
        <v>-4.4869579307010906E-3</v>
      </c>
      <c r="X161" s="7">
        <f t="shared" si="42"/>
        <v>-4.4869579307010906E-3</v>
      </c>
      <c r="Y161">
        <f>LN(B161/B160)</f>
        <v>-9.893545521349658E-3</v>
      </c>
      <c r="Z161">
        <f>LN(C161/C160)</f>
        <v>4.006589794867129E-4</v>
      </c>
    </row>
    <row r="162" spans="1:26" x14ac:dyDescent="0.3">
      <c r="A162" s="11">
        <v>40414</v>
      </c>
      <c r="B162" s="12">
        <v>20350.169999999998</v>
      </c>
      <c r="C162" s="12">
        <v>23.675249999999998</v>
      </c>
      <c r="D162" s="16">
        <f t="shared" si="44"/>
        <v>-1.4012055600534312E-2</v>
      </c>
      <c r="E162" s="15">
        <f t="shared" si="43"/>
        <v>4.0100127779552075E-4</v>
      </c>
      <c r="G162" s="25" t="str">
        <f>IF(VLOOKUP(A162,Aux!B:C,2,FALSE)=0,"",VLOOKUP(A162,Aux!B:C,2,FALSE))</f>
        <v/>
      </c>
      <c r="H162" s="25" t="str">
        <f t="shared" si="32"/>
        <v/>
      </c>
      <c r="L162" s="13">
        <f t="shared" si="35"/>
        <v>99913.224352070843</v>
      </c>
      <c r="M162" s="14">
        <f t="shared" si="36"/>
        <v>-667.19451627013518</v>
      </c>
      <c r="N162" s="14">
        <f t="shared" si="37"/>
        <v>21.230387059708963</v>
      </c>
      <c r="O162" s="1">
        <f t="shared" si="38"/>
        <v>2.3070349801871837</v>
      </c>
      <c r="P162" s="1">
        <f t="shared" si="39"/>
        <v>2237.1324615078988</v>
      </c>
      <c r="S162" s="6">
        <f t="shared" si="33"/>
        <v>0.46989329337746211</v>
      </c>
      <c r="T162" s="6">
        <f t="shared" si="34"/>
        <v>0.53010670662253634</v>
      </c>
      <c r="V162" s="1">
        <f t="shared" si="40"/>
        <v>99913.224352070683</v>
      </c>
      <c r="W162" s="7">
        <f t="shared" si="41"/>
        <v>-6.44444146401824E-3</v>
      </c>
      <c r="X162" s="7">
        <f t="shared" si="42"/>
        <v>-6.4444414640183519E-3</v>
      </c>
      <c r="Y162">
        <f>LN(B162/B161)</f>
        <v>-1.4111151229639032E-2</v>
      </c>
      <c r="Z162">
        <f>LN(C162/C161)</f>
        <v>4.0092089827060084E-4</v>
      </c>
    </row>
    <row r="163" spans="1:26" x14ac:dyDescent="0.3">
      <c r="A163" s="9">
        <v>40415</v>
      </c>
      <c r="B163" s="1">
        <v>20248.740000000002</v>
      </c>
      <c r="C163" s="1">
        <v>23.684750000000001</v>
      </c>
      <c r="D163" s="6">
        <f t="shared" si="44"/>
        <v>-4.9842335469432175E-3</v>
      </c>
      <c r="E163" s="5">
        <f t="shared" si="43"/>
        <v>4.0126292225006743E-4</v>
      </c>
      <c r="G163" s="25" t="str">
        <f>IF(VLOOKUP(A163,Aux!B:C,2,FALSE)=0,"",VLOOKUP(A163,Aux!B:C,2,FALSE))</f>
        <v/>
      </c>
      <c r="H163" s="25" t="str">
        <f t="shared" si="32"/>
        <v/>
      </c>
      <c r="L163" s="13">
        <f t="shared" si="35"/>
        <v>99700.474552414802</v>
      </c>
      <c r="M163" s="14">
        <f t="shared" si="36"/>
        <v>-234.00255804037832</v>
      </c>
      <c r="N163" s="14">
        <f t="shared" si="37"/>
        <v>21.252758384331141</v>
      </c>
      <c r="O163" s="1">
        <f t="shared" si="38"/>
        <v>2.3070349801871837</v>
      </c>
      <c r="P163" s="1">
        <f t="shared" si="39"/>
        <v>2237.1324615078988</v>
      </c>
      <c r="S163" s="6">
        <f t="shared" si="33"/>
        <v>0.46854893815130771</v>
      </c>
      <c r="T163" s="6">
        <f t="shared" si="34"/>
        <v>0.53145106184869062</v>
      </c>
      <c r="V163" s="1">
        <f t="shared" si="40"/>
        <v>99700.474552414642</v>
      </c>
      <c r="W163" s="7">
        <f t="shared" si="41"/>
        <v>-2.1316160301735588E-3</v>
      </c>
      <c r="X163" s="7">
        <f t="shared" si="42"/>
        <v>-2.1316160301735588E-3</v>
      </c>
      <c r="Y163">
        <f>LN(B163/B162)</f>
        <v>-4.9966962676216637E-3</v>
      </c>
      <c r="Z163">
        <f>LN(C163/C162)</f>
        <v>4.0118243781324153E-4</v>
      </c>
    </row>
    <row r="164" spans="1:26" x14ac:dyDescent="0.3">
      <c r="A164" s="11">
        <v>40416</v>
      </c>
      <c r="B164" s="12">
        <v>19975.669999999998</v>
      </c>
      <c r="C164" s="12">
        <v>23.69425</v>
      </c>
      <c r="D164" s="16">
        <f t="shared" si="44"/>
        <v>-1.3485777386642472E-2</v>
      </c>
      <c r="E164" s="15">
        <f t="shared" si="43"/>
        <v>4.0110197489950927E-4</v>
      </c>
      <c r="G164" s="25" t="str">
        <f>IF(VLOOKUP(A164,Aux!B:C,2,FALSE)=0,"",VLOOKUP(A164,Aux!B:C,2,FALSE))</f>
        <v/>
      </c>
      <c r="H164" s="25" t="str">
        <f t="shared" si="32"/>
        <v/>
      </c>
      <c r="L164" s="13">
        <f t="shared" si="35"/>
        <v>99091.745268759405</v>
      </c>
      <c r="M164" s="14">
        <f t="shared" si="36"/>
        <v>-629.98204203972193</v>
      </c>
      <c r="N164" s="14">
        <f t="shared" si="37"/>
        <v>21.252758384323194</v>
      </c>
      <c r="O164" s="1">
        <f t="shared" si="38"/>
        <v>2.3070349801871837</v>
      </c>
      <c r="P164" s="1">
        <f t="shared" si="39"/>
        <v>2237.1324615078988</v>
      </c>
      <c r="S164" s="6">
        <f t="shared" si="33"/>
        <v>0.46506971209038511</v>
      </c>
      <c r="T164" s="6">
        <f t="shared" si="34"/>
        <v>0.53493028790961339</v>
      </c>
      <c r="V164" s="1">
        <f t="shared" si="40"/>
        <v>99091.745268759259</v>
      </c>
      <c r="W164" s="7">
        <f t="shared" si="41"/>
        <v>-6.1242958787411338E-3</v>
      </c>
      <c r="X164" s="7">
        <f t="shared" si="42"/>
        <v>-6.1242958787410227E-3</v>
      </c>
      <c r="Y164">
        <f>LN(B164/B163)</f>
        <v>-1.3577536377213539E-2</v>
      </c>
      <c r="Z164">
        <f>LN(C164/C163)</f>
        <v>4.0102155500604188E-4</v>
      </c>
    </row>
    <row r="165" spans="1:26" x14ac:dyDescent="0.3">
      <c r="A165" s="9">
        <v>40417</v>
      </c>
      <c r="B165" s="1">
        <v>20524.490000000002</v>
      </c>
      <c r="C165" s="1">
        <v>23.703749999999999</v>
      </c>
      <c r="D165" s="6">
        <f t="shared" si="44"/>
        <v>2.7474422635135776E-2</v>
      </c>
      <c r="E165" s="5">
        <f t="shared" si="43"/>
        <v>4.0094115660971319E-4</v>
      </c>
      <c r="G165" s="25" t="str">
        <f>IF(VLOOKUP(A165,Aux!B:C,2,FALSE)=0,"",VLOOKUP(A165,Aux!B:C,2,FALSE))</f>
        <v/>
      </c>
      <c r="H165" s="25" t="str">
        <f t="shared" si="32"/>
        <v/>
      </c>
      <c r="L165" s="13">
        <f t="shared" si="35"/>
        <v>100379.14496497007</v>
      </c>
      <c r="M165" s="14">
        <f t="shared" si="36"/>
        <v>1266.1469378263378</v>
      </c>
      <c r="N165" s="14">
        <f t="shared" si="37"/>
        <v>21.252758384323194</v>
      </c>
      <c r="O165" s="1">
        <f t="shared" si="38"/>
        <v>2.3070349801871837</v>
      </c>
      <c r="P165" s="1">
        <f t="shared" si="39"/>
        <v>2237.1324615078988</v>
      </c>
      <c r="S165" s="6">
        <f t="shared" si="33"/>
        <v>0.47171866623317349</v>
      </c>
      <c r="T165" s="6">
        <f t="shared" si="34"/>
        <v>0.52828133376682485</v>
      </c>
      <c r="V165" s="1">
        <f t="shared" si="40"/>
        <v>100379.14496496991</v>
      </c>
      <c r="W165" s="7">
        <f t="shared" si="41"/>
        <v>1.2908325327259263E-2</v>
      </c>
      <c r="X165" s="7">
        <f t="shared" si="42"/>
        <v>1.2908325327259043E-2</v>
      </c>
      <c r="Y165">
        <f>LN(B165/B164)</f>
        <v>2.7103774265901496E-2</v>
      </c>
      <c r="Z165">
        <f>LN(C165/C164)</f>
        <v>4.0086080118199603E-4</v>
      </c>
    </row>
    <row r="166" spans="1:26" x14ac:dyDescent="0.3">
      <c r="A166" s="11">
        <v>40420</v>
      </c>
      <c r="B166" s="12">
        <v>20125.14</v>
      </c>
      <c r="C166" s="12">
        <v>23.713259999999998</v>
      </c>
      <c r="D166" s="16">
        <f t="shared" si="44"/>
        <v>-1.9457243517378653E-2</v>
      </c>
      <c r="E166" s="15">
        <f t="shared" si="43"/>
        <v>4.0120234140172961E-4</v>
      </c>
      <c r="G166" s="25" t="str">
        <f>IF(VLOOKUP(A166,Aux!B:C,2,FALSE)=0,"",VLOOKUP(A166,Aux!B:C,2,FALSE))</f>
        <v/>
      </c>
      <c r="H166" s="25" t="str">
        <f t="shared" si="32"/>
        <v/>
      </c>
      <c r="L166" s="13">
        <f t="shared" si="35"/>
        <v>99479.105675341256</v>
      </c>
      <c r="M166" s="14">
        <f t="shared" si="36"/>
        <v>-921.31441933775682</v>
      </c>
      <c r="N166" s="14">
        <f t="shared" si="37"/>
        <v>21.275129708937428</v>
      </c>
      <c r="O166" s="1">
        <f t="shared" si="38"/>
        <v>2.3070349801871837</v>
      </c>
      <c r="P166" s="1">
        <f t="shared" si="39"/>
        <v>2237.1324615078988</v>
      </c>
      <c r="S166" s="6">
        <f t="shared" si="33"/>
        <v>0.46672516450530527</v>
      </c>
      <c r="T166" s="6">
        <f t="shared" si="34"/>
        <v>0.53327483549469301</v>
      </c>
      <c r="V166" s="1">
        <f t="shared" si="40"/>
        <v>99479.105675341096</v>
      </c>
      <c r="W166" s="7">
        <f t="shared" si="41"/>
        <v>-9.0068373083069808E-3</v>
      </c>
      <c r="X166" s="7">
        <f t="shared" si="42"/>
        <v>-9.0068373083069808E-3</v>
      </c>
      <c r="Y166">
        <f>LN(B166/B165)</f>
        <v>-1.9649027480961558E-2</v>
      </c>
      <c r="Z166">
        <f>LN(C166/C165)</f>
        <v>4.0112188126216805E-4</v>
      </c>
    </row>
    <row r="167" spans="1:26" x14ac:dyDescent="0.3">
      <c r="A167" s="9">
        <v>40421</v>
      </c>
      <c r="B167" s="1">
        <v>20435.61</v>
      </c>
      <c r="C167" s="1">
        <v>23.722760000000001</v>
      </c>
      <c r="D167" s="6">
        <f t="shared" si="44"/>
        <v>1.5426973427265622E-2</v>
      </c>
      <c r="E167" s="5">
        <f t="shared" si="43"/>
        <v>4.0061973764893288E-4</v>
      </c>
      <c r="G167" s="25" t="str">
        <f>IF(VLOOKUP(A167,Aux!B:C,2,FALSE)=0,"",VLOOKUP(A167,Aux!B:C,2,FALSE))</f>
        <v/>
      </c>
      <c r="H167" s="25" t="str">
        <f t="shared" si="32"/>
        <v/>
      </c>
      <c r="L167" s="13">
        <f t="shared" si="35"/>
        <v>100216.6235840243</v>
      </c>
      <c r="M167" s="14">
        <f t="shared" si="36"/>
        <v>716.26515029871757</v>
      </c>
      <c r="N167" s="14">
        <f t="shared" si="37"/>
        <v>21.252758384331141</v>
      </c>
      <c r="O167" s="1">
        <f t="shared" si="38"/>
        <v>2.3070349801871837</v>
      </c>
      <c r="P167" s="1">
        <f t="shared" si="39"/>
        <v>2237.1324615078988</v>
      </c>
      <c r="S167" s="6">
        <f t="shared" si="33"/>
        <v>0.47043759234150234</v>
      </c>
      <c r="T167" s="6">
        <f t="shared" si="34"/>
        <v>0.52956240765849605</v>
      </c>
      <c r="V167" s="1">
        <f t="shared" si="40"/>
        <v>100216.62358402414</v>
      </c>
      <c r="W167" s="7">
        <f t="shared" si="41"/>
        <v>7.3864500221566213E-3</v>
      </c>
      <c r="X167" s="7">
        <f t="shared" si="42"/>
        <v>7.3864500221566213E-3</v>
      </c>
      <c r="Y167">
        <f>LN(B167/B166)</f>
        <v>1.5309187514814937E-2</v>
      </c>
      <c r="Z167">
        <f>LN(C167/C166)</f>
        <v>4.0053951098804332E-4</v>
      </c>
    </row>
    <row r="168" spans="1:26" x14ac:dyDescent="0.3">
      <c r="A168" s="11">
        <v>40422</v>
      </c>
      <c r="B168" s="12">
        <v>21016.46</v>
      </c>
      <c r="C168" s="12">
        <v>23.73227</v>
      </c>
      <c r="D168" s="16">
        <f t="shared" si="44"/>
        <v>2.8423423621805277E-2</v>
      </c>
      <c r="E168" s="15">
        <f t="shared" si="43"/>
        <v>4.008808418580756E-4</v>
      </c>
      <c r="G168" s="25" t="str">
        <f>IF(VLOOKUP(A168,Aux!B:C,2,FALSE)=0,"",VLOOKUP(A168,Aux!B:C,2,FALSE))</f>
        <v/>
      </c>
      <c r="H168" s="25" t="str">
        <f t="shared" si="32"/>
        <v/>
      </c>
      <c r="L168" s="13">
        <f t="shared" si="35"/>
        <v>101577.93998197497</v>
      </c>
      <c r="M168" s="14">
        <f t="shared" si="36"/>
        <v>1340.0412682417223</v>
      </c>
      <c r="N168" s="14">
        <f t="shared" si="37"/>
        <v>21.275129708937428</v>
      </c>
      <c r="O168" s="1">
        <f t="shared" si="38"/>
        <v>2.3070349801871837</v>
      </c>
      <c r="P168" s="1">
        <f t="shared" si="39"/>
        <v>2237.1324615078988</v>
      </c>
      <c r="S168" s="6">
        <f t="shared" si="33"/>
        <v>0.47732517895429399</v>
      </c>
      <c r="T168" s="6">
        <f t="shared" si="34"/>
        <v>0.52267482104570429</v>
      </c>
      <c r="V168" s="1">
        <f t="shared" si="40"/>
        <v>101577.93998197481</v>
      </c>
      <c r="W168" s="7">
        <f t="shared" si="41"/>
        <v>1.349230648502917E-2</v>
      </c>
      <c r="X168" s="7">
        <f t="shared" si="42"/>
        <v>1.349230648502917E-2</v>
      </c>
      <c r="Y168">
        <f>LN(B168/B167)</f>
        <v>2.8026972911981845E-2</v>
      </c>
      <c r="Z168">
        <f>LN(C168/C167)</f>
        <v>4.0080051060151532E-4</v>
      </c>
    </row>
    <row r="169" spans="1:26" x14ac:dyDescent="0.3">
      <c r="A169" s="9">
        <v>40423</v>
      </c>
      <c r="B169" s="1">
        <v>20887.96</v>
      </c>
      <c r="C169" s="1">
        <v>23.741779999999999</v>
      </c>
      <c r="D169" s="6">
        <f t="shared" si="44"/>
        <v>-6.1142552075849066E-3</v>
      </c>
      <c r="E169" s="5">
        <f t="shared" si="43"/>
        <v>4.0072020080672566E-4</v>
      </c>
      <c r="G169" s="25" t="str">
        <f>IF(VLOOKUP(A169,Aux!B:C,2,FALSE)=0,"",VLOOKUP(A169,Aux!B:C,2,FALSE))</f>
        <v/>
      </c>
      <c r="H169" s="25" t="str">
        <f t="shared" si="32"/>
        <v/>
      </c>
      <c r="L169" s="13">
        <f t="shared" si="35"/>
        <v>101302.76111672986</v>
      </c>
      <c r="M169" s="14">
        <f t="shared" si="36"/>
        <v>-296.45399495405309</v>
      </c>
      <c r="N169" s="14">
        <f t="shared" si="37"/>
        <v>21.275129708937428</v>
      </c>
      <c r="O169" s="1">
        <f t="shared" si="38"/>
        <v>2.3070349801871837</v>
      </c>
      <c r="P169" s="1">
        <f t="shared" si="39"/>
        <v>2237.1324615078988</v>
      </c>
      <c r="S169" s="6">
        <f t="shared" si="33"/>
        <v>0.47569536953906744</v>
      </c>
      <c r="T169" s="6">
        <f t="shared" si="34"/>
        <v>0.52430463046093079</v>
      </c>
      <c r="V169" s="1">
        <f t="shared" si="40"/>
        <v>101302.76111672967</v>
      </c>
      <c r="W169" s="7">
        <f t="shared" si="41"/>
        <v>-2.7127176957153247E-3</v>
      </c>
      <c r="X169" s="7">
        <f t="shared" si="42"/>
        <v>-2.7127176957156586E-3</v>
      </c>
      <c r="Y169">
        <f>LN(B169/B168)</f>
        <v>-6.1330238090776283E-3</v>
      </c>
      <c r="Z169">
        <f>LN(C169/C168)</f>
        <v>4.0063993390938727E-4</v>
      </c>
    </row>
    <row r="170" spans="1:26" x14ac:dyDescent="0.3">
      <c r="A170" s="11">
        <v>40424</v>
      </c>
      <c r="B170" s="12">
        <v>20923.060000000001</v>
      </c>
      <c r="C170" s="12">
        <v>23.751300000000001</v>
      </c>
      <c r="D170" s="16">
        <f t="shared" si="44"/>
        <v>1.6803938728340295E-3</v>
      </c>
      <c r="E170" s="15">
        <f t="shared" si="43"/>
        <v>4.009808868585818E-4</v>
      </c>
      <c r="G170" s="25" t="str">
        <f>IF(VLOOKUP(A170,Aux!B:C,2,FALSE)=0,"",VLOOKUP(A170,Aux!B:C,2,FALSE))</f>
        <v/>
      </c>
      <c r="H170" s="25" t="str">
        <f t="shared" si="32"/>
        <v/>
      </c>
      <c r="L170" s="13">
        <f t="shared" si="35"/>
        <v>101405.035545568</v>
      </c>
      <c r="M170" s="14">
        <f t="shared" si="36"/>
        <v>80.976927804575183</v>
      </c>
      <c r="N170" s="14">
        <f t="shared" si="37"/>
        <v>21.297501033559605</v>
      </c>
      <c r="O170" s="1">
        <f t="shared" si="38"/>
        <v>2.3070349801871837</v>
      </c>
      <c r="P170" s="1">
        <f t="shared" si="39"/>
        <v>2237.1324615078988</v>
      </c>
      <c r="S170" s="6">
        <f t="shared" si="33"/>
        <v>0.47601414518378871</v>
      </c>
      <c r="T170" s="6">
        <f t="shared" si="34"/>
        <v>0.52398585481620952</v>
      </c>
      <c r="V170" s="1">
        <f t="shared" si="40"/>
        <v>101405.03554556782</v>
      </c>
      <c r="W170" s="7">
        <f t="shared" si="41"/>
        <v>1.009082425052512E-3</v>
      </c>
      <c r="X170" s="7">
        <f t="shared" si="42"/>
        <v>1.0090824250527338E-3</v>
      </c>
      <c r="Y170">
        <f>LN(B170/B169)</f>
        <v>1.6789835907153501E-3</v>
      </c>
      <c r="Z170">
        <f>LN(C170/C169)</f>
        <v>4.0090051550696832E-4</v>
      </c>
    </row>
    <row r="171" spans="1:26" x14ac:dyDescent="0.3">
      <c r="A171" s="9">
        <v>40427</v>
      </c>
      <c r="B171" s="1">
        <v>20933.919999999998</v>
      </c>
      <c r="C171" s="1">
        <v>23.760819999999999</v>
      </c>
      <c r="D171" s="6">
        <f t="shared" si="44"/>
        <v>5.1904453746232093E-4</v>
      </c>
      <c r="E171" s="5">
        <f t="shared" si="43"/>
        <v>4.0082016563292022E-4</v>
      </c>
      <c r="G171" s="25" t="str">
        <f>IF(VLOOKUP(A171,Aux!B:C,2,FALSE)=0,"",VLOOKUP(A171,Aux!B:C,2,FALSE))</f>
        <v/>
      </c>
      <c r="H171" s="25" t="str">
        <f t="shared" si="32"/>
        <v/>
      </c>
      <c r="L171" s="13">
        <f t="shared" si="35"/>
        <v>101451.38744648638</v>
      </c>
      <c r="M171" s="14">
        <f t="shared" si="36"/>
        <v>25.054399884825763</v>
      </c>
      <c r="N171" s="14">
        <f t="shared" si="37"/>
        <v>21.297501033551658</v>
      </c>
      <c r="O171" s="1">
        <f t="shared" si="38"/>
        <v>2.3070349801871837</v>
      </c>
      <c r="P171" s="1">
        <f t="shared" si="39"/>
        <v>2237.1324615078988</v>
      </c>
      <c r="S171" s="6">
        <f t="shared" si="33"/>
        <v>0.47604361978701282</v>
      </c>
      <c r="T171" s="6">
        <f t="shared" si="34"/>
        <v>0.52395638021298541</v>
      </c>
      <c r="V171" s="1">
        <f t="shared" si="40"/>
        <v>101451.38744648619</v>
      </c>
      <c r="W171" s="7">
        <f t="shared" si="41"/>
        <v>4.5699220208451468E-4</v>
      </c>
      <c r="X171" s="7">
        <f t="shared" si="42"/>
        <v>4.5699220208429269E-4</v>
      </c>
      <c r="Y171">
        <f>LN(B171/B170)</f>
        <v>5.1890988043969935E-4</v>
      </c>
      <c r="Z171">
        <f>LN(C171/C170)</f>
        <v>4.0073985868870971E-4</v>
      </c>
    </row>
    <row r="172" spans="1:26" x14ac:dyDescent="0.3">
      <c r="A172" s="11">
        <v>40429</v>
      </c>
      <c r="B172" s="12">
        <v>20779.11</v>
      </c>
      <c r="C172" s="12">
        <v>23.770330000000001</v>
      </c>
      <c r="D172" s="16">
        <f t="shared" si="44"/>
        <v>-7.3951749122953547E-3</v>
      </c>
      <c r="E172" s="15">
        <f t="shared" si="43"/>
        <v>4.0023871230032704E-4</v>
      </c>
      <c r="G172" s="25" t="str">
        <f>IF(VLOOKUP(A172,Aux!B:C,2,FALSE)=0,"",VLOOKUP(A172,Aux!B:C,2,FALSE))</f>
        <v/>
      </c>
      <c r="H172" s="25" t="str">
        <f t="shared" si="32"/>
        <v/>
      </c>
      <c r="L172" s="13">
        <f t="shared" si="35"/>
        <v>101115.51049091255</v>
      </c>
      <c r="M172" s="14">
        <f t="shared" si="36"/>
        <v>-357.15208528277253</v>
      </c>
      <c r="N172" s="14">
        <f t="shared" si="37"/>
        <v>21.275129708945375</v>
      </c>
      <c r="O172" s="1">
        <f t="shared" si="38"/>
        <v>2.3070349801871837</v>
      </c>
      <c r="P172" s="1">
        <f t="shared" si="39"/>
        <v>2237.1324615078988</v>
      </c>
      <c r="S172" s="6">
        <f t="shared" si="33"/>
        <v>0.47409278155664952</v>
      </c>
      <c r="T172" s="6">
        <f t="shared" si="34"/>
        <v>0.52590721844334853</v>
      </c>
      <c r="V172" s="1">
        <f t="shared" si="40"/>
        <v>101115.51049091236</v>
      </c>
      <c r="W172" s="7">
        <f t="shared" si="41"/>
        <v>-3.3162107610288064E-3</v>
      </c>
      <c r="X172" s="7">
        <f t="shared" si="42"/>
        <v>-3.3162107610288064E-3</v>
      </c>
      <c r="Y172">
        <f>LN(B172/B171)</f>
        <v>-7.4226547810662541E-3</v>
      </c>
      <c r="Z172">
        <f>LN(C172/C171)</f>
        <v>4.0015863815205199E-4</v>
      </c>
    </row>
    <row r="173" spans="1:26" x14ac:dyDescent="0.3">
      <c r="A173" s="9">
        <v>40430</v>
      </c>
      <c r="B173" s="1">
        <v>20781.29</v>
      </c>
      <c r="C173" s="1">
        <v>23.77985</v>
      </c>
      <c r="D173" s="6">
        <f t="shared" si="44"/>
        <v>1.049130593178127E-4</v>
      </c>
      <c r="E173" s="5">
        <f t="shared" si="43"/>
        <v>4.0049927788121664E-4</v>
      </c>
      <c r="G173" s="25" t="str">
        <f>IF(VLOOKUP(A173,Aux!B:C,2,FALSE)=0,"",VLOOKUP(A173,Aux!B:C,2,FALSE))</f>
        <v/>
      </c>
      <c r="H173" s="25" t="str">
        <f t="shared" si="32"/>
        <v/>
      </c>
      <c r="L173" s="13">
        <f t="shared" si="35"/>
        <v>101141.83732820291</v>
      </c>
      <c r="M173" s="14">
        <f t="shared" si="36"/>
        <v>5.0293362568087314</v>
      </c>
      <c r="N173" s="14">
        <f t="shared" si="37"/>
        <v>21.297501033551658</v>
      </c>
      <c r="O173" s="1">
        <f t="shared" si="38"/>
        <v>2.3070349801871837</v>
      </c>
      <c r="P173" s="1">
        <f t="shared" si="39"/>
        <v>2237.1324615078988</v>
      </c>
      <c r="S173" s="6">
        <f t="shared" si="33"/>
        <v>0.47401910257809216</v>
      </c>
      <c r="T173" s="6">
        <f t="shared" si="34"/>
        <v>0.52598089742190612</v>
      </c>
      <c r="V173" s="1">
        <f t="shared" si="40"/>
        <v>101141.83732820273</v>
      </c>
      <c r="W173" s="7">
        <f t="shared" si="41"/>
        <v>2.6033009651241879E-4</v>
      </c>
      <c r="X173" s="7">
        <f t="shared" si="42"/>
        <v>2.6033009651241879E-4</v>
      </c>
      <c r="Y173">
        <f>LN(B173/B172)</f>
        <v>1.0490755632769197E-4</v>
      </c>
      <c r="Z173">
        <f>LN(C173/C172)</f>
        <v>4.0041909945231254E-4</v>
      </c>
    </row>
    <row r="174" spans="1:26" x14ac:dyDescent="0.3">
      <c r="A174" s="11">
        <v>40431</v>
      </c>
      <c r="B174" s="12">
        <v>20800.16</v>
      </c>
      <c r="C174" s="12">
        <v>23.789390000000001</v>
      </c>
      <c r="D174" s="16">
        <f t="shared" si="44"/>
        <v>9.0802832740410899E-4</v>
      </c>
      <c r="E174" s="15">
        <f t="shared" si="43"/>
        <v>4.0117999062228016E-4</v>
      </c>
      <c r="G174" s="25" t="str">
        <f>IF(VLOOKUP(A174,Aux!B:C,2,FALSE)=0,"",VLOOKUP(A174,Aux!B:C,2,FALSE))</f>
        <v/>
      </c>
      <c r="H174" s="25" t="str">
        <f t="shared" si="32"/>
        <v/>
      </c>
      <c r="L174" s="13">
        <f t="shared" si="35"/>
        <v>101206.71332196181</v>
      </c>
      <c r="M174" s="14">
        <f t="shared" si="36"/>
        <v>43.533750076129806</v>
      </c>
      <c r="N174" s="14">
        <f t="shared" si="37"/>
        <v>21.342243682788069</v>
      </c>
      <c r="O174" s="1">
        <f t="shared" si="38"/>
        <v>2.3070349801871837</v>
      </c>
      <c r="P174" s="1">
        <f t="shared" si="39"/>
        <v>2237.1324615078988</v>
      </c>
      <c r="S174" s="6">
        <f t="shared" si="33"/>
        <v>0.47414539152984392</v>
      </c>
      <c r="T174" s="6">
        <f t="shared" si="34"/>
        <v>0.52585460847015442</v>
      </c>
      <c r="V174" s="1">
        <f t="shared" si="40"/>
        <v>101206.71332196164</v>
      </c>
      <c r="W174" s="7">
        <f t="shared" si="41"/>
        <v>6.412301523624251E-4</v>
      </c>
      <c r="X174" s="7">
        <f t="shared" si="42"/>
        <v>6.412301523624251E-4</v>
      </c>
      <c r="Y174">
        <f>LN(B174/B173)</f>
        <v>9.0761631907371805E-4</v>
      </c>
      <c r="Z174">
        <f>LN(C174/C173)</f>
        <v>4.0109953944605784E-4</v>
      </c>
    </row>
    <row r="175" spans="1:26" x14ac:dyDescent="0.3">
      <c r="A175" s="9">
        <v>40434</v>
      </c>
      <c r="B175" s="1">
        <v>21227.279999999999</v>
      </c>
      <c r="C175" s="1">
        <v>23.798929999999999</v>
      </c>
      <c r="D175" s="6">
        <f t="shared" si="44"/>
        <v>2.0534457427250574E-2</v>
      </c>
      <c r="E175" s="5">
        <f t="shared" si="43"/>
        <v>4.0101910977941024E-4</v>
      </c>
      <c r="G175" s="25" t="str">
        <f>IF(VLOOKUP(A175,Aux!B:C,2,FALSE)=0,"",VLOOKUP(A175,Aux!B:C,2,FALSE))</f>
        <v/>
      </c>
      <c r="H175" s="25" t="str">
        <f t="shared" si="32"/>
        <v/>
      </c>
      <c r="L175" s="13">
        <f t="shared" si="35"/>
        <v>102213.43634638214</v>
      </c>
      <c r="M175" s="14">
        <f t="shared" si="36"/>
        <v>985.38078073754752</v>
      </c>
      <c r="N175" s="14">
        <f t="shared" si="37"/>
        <v>21.342243682780122</v>
      </c>
      <c r="O175" s="1">
        <f t="shared" si="38"/>
        <v>2.3070349801871837</v>
      </c>
      <c r="P175" s="1">
        <f t="shared" si="39"/>
        <v>2237.1324615078988</v>
      </c>
      <c r="S175" s="6">
        <f t="shared" si="33"/>
        <v>0.47911585056460315</v>
      </c>
      <c r="T175" s="6">
        <f t="shared" si="34"/>
        <v>0.52088414943539529</v>
      </c>
      <c r="V175" s="1">
        <f t="shared" si="40"/>
        <v>102213.43634638198</v>
      </c>
      <c r="W175" s="7">
        <f t="shared" si="41"/>
        <v>9.8980484009781565E-3</v>
      </c>
      <c r="X175" s="7">
        <f t="shared" si="42"/>
        <v>9.8980484009781565E-3</v>
      </c>
      <c r="Y175">
        <f>LN(B175/B174)</f>
        <v>2.0326467937563531E-2</v>
      </c>
      <c r="Z175">
        <f>LN(C175/C174)</f>
        <v>4.009387231065494E-4</v>
      </c>
    </row>
    <row r="176" spans="1:26" x14ac:dyDescent="0.3">
      <c r="A176" s="11">
        <v>40435</v>
      </c>
      <c r="B176" s="12">
        <v>21112.34</v>
      </c>
      <c r="C176" s="12">
        <v>23.80846</v>
      </c>
      <c r="D176" s="16">
        <f t="shared" si="44"/>
        <v>-5.4147304788931816E-3</v>
      </c>
      <c r="E176" s="15">
        <f t="shared" si="43"/>
        <v>4.0043817095991585E-4</v>
      </c>
      <c r="G176" s="25" t="str">
        <f>IF(VLOOKUP(A176,Aux!B:C,2,FALSE)=0,"",VLOOKUP(A176,Aux!B:C,2,FALSE))</f>
        <v/>
      </c>
      <c r="H176" s="25" t="str">
        <f t="shared" si="32"/>
        <v/>
      </c>
      <c r="L176" s="13">
        <f t="shared" si="35"/>
        <v>101969.58561811759</v>
      </c>
      <c r="M176" s="14">
        <f t="shared" si="36"/>
        <v>-265.17060062271185</v>
      </c>
      <c r="N176" s="14">
        <f t="shared" si="37"/>
        <v>21.319872358173839</v>
      </c>
      <c r="O176" s="1">
        <f t="shared" si="38"/>
        <v>2.3070349801871837</v>
      </c>
      <c r="P176" s="1">
        <f t="shared" si="39"/>
        <v>2237.1324615078988</v>
      </c>
      <c r="S176" s="6">
        <f t="shared" si="33"/>
        <v>0.47766112413181183</v>
      </c>
      <c r="T176" s="6">
        <f t="shared" si="34"/>
        <v>0.52233887586818661</v>
      </c>
      <c r="V176" s="1">
        <f t="shared" si="40"/>
        <v>101969.58561811743</v>
      </c>
      <c r="W176" s="7">
        <f t="shared" si="41"/>
        <v>-2.3885516224876812E-3</v>
      </c>
      <c r="X176" s="7">
        <f t="shared" si="42"/>
        <v>-2.3885516224876812E-3</v>
      </c>
      <c r="Y176">
        <f>LN(B176/B175)</f>
        <v>-5.4294432665268413E-3</v>
      </c>
      <c r="Z176">
        <f>LN(C176/C175)</f>
        <v>4.0035801699262645E-4</v>
      </c>
    </row>
    <row r="177" spans="1:26" x14ac:dyDescent="0.3">
      <c r="A177" s="9">
        <v>40436</v>
      </c>
      <c r="B177" s="1">
        <v>21224.85</v>
      </c>
      <c r="C177" s="1">
        <v>23.818000000000001</v>
      </c>
      <c r="D177" s="6">
        <f t="shared" si="44"/>
        <v>5.3291108422846012E-3</v>
      </c>
      <c r="E177" s="5">
        <f t="shared" si="43"/>
        <v>4.0069790318231213E-4</v>
      </c>
      <c r="G177" s="25" t="str">
        <f>IF(VLOOKUP(A177,Aux!B:C,2,FALSE)=0,"",VLOOKUP(A177,Aux!B:C,2,FALSE))</f>
        <v/>
      </c>
      <c r="H177" s="25" t="str">
        <f t="shared" si="32"/>
        <v/>
      </c>
      <c r="L177" s="13">
        <f t="shared" si="35"/>
        <v>102250.49236742123</v>
      </c>
      <c r="M177" s="14">
        <f t="shared" si="36"/>
        <v>259.56450562085632</v>
      </c>
      <c r="N177" s="14">
        <f t="shared" si="37"/>
        <v>21.342243682788069</v>
      </c>
      <c r="O177" s="1">
        <f t="shared" si="38"/>
        <v>2.3070349801871837</v>
      </c>
      <c r="P177" s="1">
        <f t="shared" si="39"/>
        <v>2237.1324615078988</v>
      </c>
      <c r="S177" s="6">
        <f t="shared" si="33"/>
        <v>0.47888738983546941</v>
      </c>
      <c r="T177" s="6">
        <f t="shared" si="34"/>
        <v>0.52111261016452914</v>
      </c>
      <c r="V177" s="1">
        <f t="shared" si="40"/>
        <v>102250.49236742107</v>
      </c>
      <c r="W177" s="7">
        <f t="shared" si="41"/>
        <v>2.7510216354422554E-3</v>
      </c>
      <c r="X177" s="7">
        <f t="shared" si="42"/>
        <v>2.7510216354422554E-3</v>
      </c>
      <c r="Y177">
        <f>LN(B177/B176)</f>
        <v>5.3149613782138283E-3</v>
      </c>
      <c r="Z177">
        <f>LN(C177/C176)</f>
        <v>4.0061764521625486E-4</v>
      </c>
    </row>
    <row r="178" spans="1:26" x14ac:dyDescent="0.3">
      <c r="A178" s="11">
        <v>40437</v>
      </c>
      <c r="B178" s="12">
        <v>21107.5</v>
      </c>
      <c r="C178" s="12">
        <v>23.82751</v>
      </c>
      <c r="D178" s="16">
        <f t="shared" si="44"/>
        <v>-5.5288965528613732E-3</v>
      </c>
      <c r="E178" s="15">
        <f t="shared" si="43"/>
        <v>3.9927785708293584E-4</v>
      </c>
      <c r="G178" s="25" t="str">
        <f>IF(VLOOKUP(A178,Aux!B:C,2,FALSE)=0,"",VLOOKUP(A178,Aux!B:C,2,FALSE))</f>
        <v/>
      </c>
      <c r="H178" s="25" t="str">
        <f t="shared" si="32"/>
        <v/>
      </c>
      <c r="L178" s="13">
        <f t="shared" si="35"/>
        <v>102001.03694220522</v>
      </c>
      <c r="M178" s="14">
        <f t="shared" si="36"/>
        <v>-270.73055492496263</v>
      </c>
      <c r="N178" s="14">
        <f t="shared" si="37"/>
        <v>21.275129708937428</v>
      </c>
      <c r="O178" s="1">
        <f t="shared" si="38"/>
        <v>2.3070349801871837</v>
      </c>
      <c r="P178" s="1">
        <f t="shared" si="39"/>
        <v>2237.1324615078988</v>
      </c>
      <c r="S178" s="6">
        <f t="shared" si="33"/>
        <v>0.47740437062313845</v>
      </c>
      <c r="T178" s="6">
        <f t="shared" si="34"/>
        <v>0.52259562937685988</v>
      </c>
      <c r="V178" s="1">
        <f t="shared" si="40"/>
        <v>102001.03694220504</v>
      </c>
      <c r="W178" s="7">
        <f t="shared" si="41"/>
        <v>-2.4426309079726601E-3</v>
      </c>
      <c r="X178" s="7">
        <f t="shared" si="42"/>
        <v>-2.4426309079728825E-3</v>
      </c>
      <c r="Y178">
        <f>LN(B178/B177)</f>
        <v>-5.5442374731115383E-3</v>
      </c>
      <c r="Z178">
        <f>LN(C178/C177)</f>
        <v>3.9919816689100451E-4</v>
      </c>
    </row>
    <row r="179" spans="1:26" x14ac:dyDescent="0.3">
      <c r="A179" s="9">
        <v>40438</v>
      </c>
      <c r="B179" s="1">
        <v>20959.400000000001</v>
      </c>
      <c r="C179" s="1">
        <v>23.837040000000002</v>
      </c>
      <c r="D179" s="6">
        <f t="shared" si="44"/>
        <v>-7.0164633424137923E-3</v>
      </c>
      <c r="E179" s="5">
        <f t="shared" si="43"/>
        <v>3.9995786383051346E-4</v>
      </c>
      <c r="G179" s="25" t="str">
        <f>IF(VLOOKUP(A179,Aux!B:C,2,FALSE)=0,"",VLOOKUP(A179,Aux!B:C,2,FALSE))</f>
        <v/>
      </c>
      <c r="H179" s="25" t="str">
        <f t="shared" si="32"/>
        <v/>
      </c>
      <c r="L179" s="13">
        <f t="shared" si="35"/>
        <v>101680.68493399768</v>
      </c>
      <c r="M179" s="14">
        <f t="shared" si="36"/>
        <v>-341.67188056571854</v>
      </c>
      <c r="N179" s="14">
        <f t="shared" si="37"/>
        <v>21.319872358173839</v>
      </c>
      <c r="O179" s="1">
        <f t="shared" si="38"/>
        <v>2.3070349801871837</v>
      </c>
      <c r="P179" s="1">
        <f t="shared" si="39"/>
        <v>2237.1324615078988</v>
      </c>
      <c r="S179" s="6">
        <f t="shared" si="33"/>
        <v>0.47554822231107657</v>
      </c>
      <c r="T179" s="6">
        <f t="shared" si="34"/>
        <v>0.52445177768892182</v>
      </c>
      <c r="V179" s="1">
        <f t="shared" si="40"/>
        <v>101680.68493399752</v>
      </c>
      <c r="W179" s="7">
        <f t="shared" si="41"/>
        <v>-3.145616301854635E-3</v>
      </c>
      <c r="X179" s="7">
        <f t="shared" si="42"/>
        <v>-3.1456163018545235E-3</v>
      </c>
      <c r="Y179">
        <f>LN(B179/B178)</f>
        <v>-7.0411944726054025E-3</v>
      </c>
      <c r="Z179">
        <f>LN(C179/C178)</f>
        <v>3.9987790200429052E-4</v>
      </c>
    </row>
    <row r="180" spans="1:26" x14ac:dyDescent="0.3">
      <c r="A180" s="11">
        <v>40441</v>
      </c>
      <c r="B180" s="12">
        <v>21276.89</v>
      </c>
      <c r="C180" s="12">
        <v>23.846589999999999</v>
      </c>
      <c r="D180" s="16">
        <f t="shared" si="44"/>
        <v>1.5147857285990884E-2</v>
      </c>
      <c r="E180" s="15">
        <f t="shared" si="43"/>
        <v>4.0063699184123003E-4</v>
      </c>
      <c r="G180" s="25" t="str">
        <f>IF(VLOOKUP(A180,Aux!B:C,2,FALSE)=0,"",VLOOKUP(A180,Aux!B:C,2,FALSE))</f>
        <v/>
      </c>
      <c r="H180" s="25" t="str">
        <f t="shared" si="32"/>
        <v/>
      </c>
      <c r="L180" s="13">
        <f t="shared" si="35"/>
        <v>102434.5100848647</v>
      </c>
      <c r="M180" s="14">
        <f t="shared" si="36"/>
        <v>732.4605358596242</v>
      </c>
      <c r="N180" s="14">
        <f t="shared" si="37"/>
        <v>21.364615007394356</v>
      </c>
      <c r="O180" s="1">
        <f t="shared" si="38"/>
        <v>2.3070349801871837</v>
      </c>
      <c r="P180" s="1">
        <f t="shared" si="39"/>
        <v>2237.1324615078988</v>
      </c>
      <c r="S180" s="6">
        <f t="shared" si="33"/>
        <v>0.47919914352036042</v>
      </c>
      <c r="T180" s="6">
        <f t="shared" si="34"/>
        <v>0.52080085647963792</v>
      </c>
      <c r="V180" s="1">
        <f t="shared" si="40"/>
        <v>102434.51008486454</v>
      </c>
      <c r="W180" s="7">
        <f t="shared" si="41"/>
        <v>7.3863053461483506E-3</v>
      </c>
      <c r="X180" s="7">
        <f t="shared" si="42"/>
        <v>7.3863053461483506E-3</v>
      </c>
      <c r="Y180">
        <f>LN(B180/B179)</f>
        <v>1.5034274087532279E-2</v>
      </c>
      <c r="Z180">
        <f>LN(C180/C179)</f>
        <v>4.0055675827058986E-4</v>
      </c>
    </row>
    <row r="181" spans="1:26" x14ac:dyDescent="0.3">
      <c r="A181" s="9">
        <v>40442</v>
      </c>
      <c r="B181" s="1">
        <v>21092.84</v>
      </c>
      <c r="C181" s="1">
        <v>23.85614</v>
      </c>
      <c r="D181" s="6">
        <f t="shared" si="44"/>
        <v>-8.650230367313938E-3</v>
      </c>
      <c r="E181" s="5">
        <f t="shared" si="43"/>
        <v>4.0047654612251904E-4</v>
      </c>
      <c r="G181" s="25" t="str">
        <f>IF(VLOOKUP(A181,Aux!B:C,2,FALSE)=0,"",VLOOKUP(A181,Aux!B:C,2,FALSE))</f>
        <v/>
      </c>
      <c r="H181" s="25" t="str">
        <f t="shared" si="32"/>
        <v/>
      </c>
      <c r="L181" s="13">
        <f t="shared" si="35"/>
        <v>102031.26491176865</v>
      </c>
      <c r="M181" s="14">
        <f t="shared" si="36"/>
        <v>-424.60978810344949</v>
      </c>
      <c r="N181" s="14">
        <f t="shared" si="37"/>
        <v>21.364615007402303</v>
      </c>
      <c r="O181" s="1">
        <f t="shared" si="38"/>
        <v>2.3070349801871837</v>
      </c>
      <c r="P181" s="1">
        <f t="shared" si="39"/>
        <v>2237.1324615078988</v>
      </c>
      <c r="S181" s="6">
        <f t="shared" si="33"/>
        <v>0.4769314558000603</v>
      </c>
      <c r="T181" s="6">
        <f t="shared" si="34"/>
        <v>0.52306854419993798</v>
      </c>
      <c r="V181" s="1">
        <f t="shared" si="40"/>
        <v>102031.26491176848</v>
      </c>
      <c r="W181" s="7">
        <f t="shared" si="41"/>
        <v>-3.9443833171129298E-3</v>
      </c>
      <c r="X181" s="7">
        <f t="shared" si="42"/>
        <v>-3.9443833171131527E-3</v>
      </c>
      <c r="Y181">
        <f>LN(B181/B180)</f>
        <v>-8.687860774970798E-3</v>
      </c>
      <c r="Z181">
        <f>LN(C181/C180)</f>
        <v>4.0039637679376505E-4</v>
      </c>
    </row>
    <row r="182" spans="1:26" x14ac:dyDescent="0.3">
      <c r="A182" s="11">
        <v>40443</v>
      </c>
      <c r="B182" s="12">
        <v>21226.46</v>
      </c>
      <c r="C182" s="12">
        <v>23.8657</v>
      </c>
      <c r="D182" s="16">
        <f t="shared" si="44"/>
        <v>6.3348510679452907E-3</v>
      </c>
      <c r="E182" s="15">
        <f t="shared" si="43"/>
        <v>4.00735408158992E-4</v>
      </c>
      <c r="G182" s="25" t="str">
        <f>IF(VLOOKUP(A182,Aux!B:C,2,FALSE)=0,"",VLOOKUP(A182,Aux!B:C,2,FALSE))</f>
        <v/>
      </c>
      <c r="H182" s="25" t="str">
        <f t="shared" si="32"/>
        <v/>
      </c>
      <c r="L182" s="13">
        <f t="shared" si="35"/>
        <v>102360.91791215328</v>
      </c>
      <c r="M182" s="14">
        <f t="shared" si="36"/>
        <v>308.26601405260914</v>
      </c>
      <c r="N182" s="14">
        <f t="shared" si="37"/>
        <v>21.386986332016534</v>
      </c>
      <c r="O182" s="1">
        <f t="shared" si="38"/>
        <v>2.3070349801871837</v>
      </c>
      <c r="P182" s="1">
        <f t="shared" si="39"/>
        <v>2237.1324615078988</v>
      </c>
      <c r="S182" s="6">
        <f t="shared" si="33"/>
        <v>0.47840705929943439</v>
      </c>
      <c r="T182" s="6">
        <f t="shared" si="34"/>
        <v>0.52159294070056395</v>
      </c>
      <c r="V182" s="1">
        <f t="shared" si="40"/>
        <v>102360.91791215312</v>
      </c>
      <c r="W182" s="7">
        <f t="shared" si="41"/>
        <v>3.2256936803491316E-3</v>
      </c>
      <c r="X182" s="7">
        <f t="shared" si="42"/>
        <v>3.2256936803491316E-3</v>
      </c>
      <c r="Y182">
        <f>LN(B182/B181)</f>
        <v>6.3148702382423878E-3</v>
      </c>
      <c r="Z182">
        <f>LN(C182/C181)</f>
        <v>4.0065513517008582E-4</v>
      </c>
    </row>
    <row r="183" spans="1:26" x14ac:dyDescent="0.3">
      <c r="A183" s="9">
        <v>40444</v>
      </c>
      <c r="B183" s="1">
        <v>21385.49</v>
      </c>
      <c r="C183" s="1">
        <v>23.875260000000001</v>
      </c>
      <c r="D183" s="6">
        <f t="shared" si="44"/>
        <v>7.4920641501221574E-3</v>
      </c>
      <c r="E183" s="5">
        <f t="shared" si="43"/>
        <v>4.0057488361955329E-4</v>
      </c>
      <c r="G183" s="25" t="str">
        <f>IF(VLOOKUP(A183,Aux!B:C,2,FALSE)=0,"",VLOOKUP(A183,Aux!B:C,2,FALSE))</f>
        <v/>
      </c>
      <c r="H183" s="25" t="str">
        <f t="shared" si="32"/>
        <v/>
      </c>
      <c r="L183" s="13">
        <f t="shared" si="35"/>
        <v>102749.19267138447</v>
      </c>
      <c r="M183" s="14">
        <f t="shared" si="36"/>
        <v>366.88777289917351</v>
      </c>
      <c r="N183" s="14">
        <f t="shared" si="37"/>
        <v>21.386986332016534</v>
      </c>
      <c r="O183" s="1">
        <f t="shared" si="38"/>
        <v>2.3070349801871837</v>
      </c>
      <c r="P183" s="1">
        <f t="shared" si="39"/>
        <v>2237.1324615078988</v>
      </c>
      <c r="S183" s="6">
        <f t="shared" si="33"/>
        <v>0.48016993823235687</v>
      </c>
      <c r="T183" s="6">
        <f t="shared" si="34"/>
        <v>0.51983006176764146</v>
      </c>
      <c r="V183" s="1">
        <f t="shared" si="40"/>
        <v>102749.1926713843</v>
      </c>
      <c r="W183" s="7">
        <f t="shared" si="41"/>
        <v>3.7860173924952204E-3</v>
      </c>
      <c r="X183" s="7">
        <f t="shared" si="42"/>
        <v>3.7860173924949992E-3</v>
      </c>
      <c r="Y183">
        <f>LN(B183/B182)</f>
        <v>7.4641380336067471E-3</v>
      </c>
      <c r="Z183">
        <f>LN(C183/C182)</f>
        <v>4.0049467491987204E-4</v>
      </c>
    </row>
    <row r="184" spans="1:26" x14ac:dyDescent="0.3">
      <c r="A184" s="11">
        <v>40445</v>
      </c>
      <c r="B184" s="12">
        <v>21256.21</v>
      </c>
      <c r="C184" s="12">
        <v>23.884830000000001</v>
      </c>
      <c r="D184" s="16">
        <f t="shared" si="44"/>
        <v>-6.0452203807348504E-3</v>
      </c>
      <c r="E184" s="15">
        <f t="shared" si="43"/>
        <v>4.0083333123908105E-4</v>
      </c>
      <c r="G184" s="25" t="str">
        <f>IF(VLOOKUP(A184,Aux!B:C,2,FALSE)=0,"",VLOOKUP(A184,Aux!B:C,2,FALSE))</f>
        <v/>
      </c>
      <c r="H184" s="25" t="str">
        <f t="shared" si="32"/>
        <v/>
      </c>
      <c r="L184" s="13">
        <f t="shared" si="35"/>
        <v>102472.3485468025</v>
      </c>
      <c r="M184" s="14">
        <f t="shared" si="36"/>
        <v>-298.25348223860482</v>
      </c>
      <c r="N184" s="14">
        <f t="shared" si="37"/>
        <v>21.409357656630768</v>
      </c>
      <c r="O184" s="1">
        <f t="shared" si="38"/>
        <v>2.3070349801871837</v>
      </c>
      <c r="P184" s="1">
        <f t="shared" si="39"/>
        <v>2237.1324615078988</v>
      </c>
      <c r="S184" s="6">
        <f t="shared" si="33"/>
        <v>0.47855661270227418</v>
      </c>
      <c r="T184" s="6">
        <f t="shared" si="34"/>
        <v>0.5214433872977241</v>
      </c>
      <c r="V184" s="1">
        <f t="shared" si="40"/>
        <v>102472.34854680233</v>
      </c>
      <c r="W184" s="7">
        <f t="shared" si="41"/>
        <v>-2.6980042238537194E-3</v>
      </c>
      <c r="X184" s="7">
        <f t="shared" si="42"/>
        <v>-2.6980042238537194E-3</v>
      </c>
      <c r="Y184">
        <f>LN(B184/B183)</f>
        <v>-6.0635667011959575E-3</v>
      </c>
      <c r="Z184">
        <f>LN(C184/C183)</f>
        <v>4.0075301901985779E-4</v>
      </c>
    </row>
    <row r="185" spans="1:26" x14ac:dyDescent="0.3">
      <c r="A185" s="9">
        <v>40448</v>
      </c>
      <c r="B185" s="1">
        <v>21470.89</v>
      </c>
      <c r="C185" s="1">
        <v>23.894410000000001</v>
      </c>
      <c r="D185" s="6">
        <f t="shared" si="44"/>
        <v>1.0099636764973718E-2</v>
      </c>
      <c r="E185" s="5">
        <f t="shared" si="43"/>
        <v>4.0109140404176458E-4</v>
      </c>
      <c r="G185" s="25" t="str">
        <f>IF(VLOOKUP(A185,Aux!B:C,2,FALSE)=0,"",VLOOKUP(A185,Aux!B:C,2,FALSE))</f>
        <v/>
      </c>
      <c r="H185" s="25" t="str">
        <f t="shared" si="32"/>
        <v/>
      </c>
      <c r="L185" s="13">
        <f t="shared" si="35"/>
        <v>102989.05454533033</v>
      </c>
      <c r="M185" s="14">
        <f t="shared" si="36"/>
        <v>495.27426954658529</v>
      </c>
      <c r="N185" s="14">
        <f t="shared" si="37"/>
        <v>21.431728981244998</v>
      </c>
      <c r="O185" s="1">
        <f t="shared" si="38"/>
        <v>2.3070349801871837</v>
      </c>
      <c r="P185" s="1">
        <f t="shared" si="39"/>
        <v>2237.1324615078988</v>
      </c>
      <c r="S185" s="6">
        <f t="shared" si="33"/>
        <v>0.48096464720868864</v>
      </c>
      <c r="T185" s="6">
        <f t="shared" si="34"/>
        <v>0.51903535279130952</v>
      </c>
      <c r="V185" s="1">
        <f t="shared" si="40"/>
        <v>102989.05454533015</v>
      </c>
      <c r="W185" s="7">
        <f t="shared" si="41"/>
        <v>5.0297241239359563E-3</v>
      </c>
      <c r="X185" s="7">
        <f t="shared" si="42"/>
        <v>5.0297241239357351E-3</v>
      </c>
      <c r="Y185">
        <f>LN(B185/B184)</f>
        <v>1.0048976249901162E-2</v>
      </c>
      <c r="Z185">
        <f>LN(C185/C184)</f>
        <v>4.010109883865333E-4</v>
      </c>
    </row>
    <row r="186" spans="1:26" x14ac:dyDescent="0.3">
      <c r="A186" s="11">
        <v>40449</v>
      </c>
      <c r="B186" s="12">
        <v>21595.17</v>
      </c>
      <c r="C186" s="12">
        <v>23.90399</v>
      </c>
      <c r="D186" s="16">
        <f t="shared" si="44"/>
        <v>5.7883022082456659E-3</v>
      </c>
      <c r="E186" s="15">
        <f t="shared" si="43"/>
        <v>4.0093059422674493E-4</v>
      </c>
      <c r="G186" s="25" t="str">
        <f>IF(VLOOKUP(A186,Aux!B:C,2,FALSE)=0,"",VLOOKUP(A186,Aux!B:C,2,FALSE))</f>
        <v/>
      </c>
      <c r="H186" s="25" t="str">
        <f t="shared" si="32"/>
        <v/>
      </c>
      <c r="L186" s="13">
        <f t="shared" si="35"/>
        <v>103297.20458164925</v>
      </c>
      <c r="M186" s="14">
        <f t="shared" si="36"/>
        <v>286.71830733766052</v>
      </c>
      <c r="N186" s="14">
        <f t="shared" si="37"/>
        <v>21.431728981244998</v>
      </c>
      <c r="O186" s="1">
        <f t="shared" si="38"/>
        <v>2.3070349801871837</v>
      </c>
      <c r="P186" s="1">
        <f t="shared" si="39"/>
        <v>2237.1324615078988</v>
      </c>
      <c r="S186" s="6">
        <f t="shared" si="33"/>
        <v>0.48230552602910925</v>
      </c>
      <c r="T186" s="6">
        <f t="shared" si="34"/>
        <v>0.51769447397088886</v>
      </c>
      <c r="V186" s="1">
        <f t="shared" si="40"/>
        <v>103297.20458164906</v>
      </c>
      <c r="W186" s="7">
        <f t="shared" si="41"/>
        <v>2.987598561617445E-3</v>
      </c>
      <c r="X186" s="7">
        <f t="shared" si="42"/>
        <v>2.987598561617445E-3</v>
      </c>
      <c r="Y186">
        <f>LN(B186/B185)</f>
        <v>5.7716143522877983E-3</v>
      </c>
      <c r="Z186">
        <f>LN(C186/C185)</f>
        <v>4.0085024303216878E-4</v>
      </c>
    </row>
    <row r="187" spans="1:26" x14ac:dyDescent="0.3">
      <c r="A187" s="9">
        <v>40450</v>
      </c>
      <c r="B187" s="1">
        <v>21773.42</v>
      </c>
      <c r="C187" s="1">
        <v>23.91356</v>
      </c>
      <c r="D187" s="6">
        <f t="shared" si="44"/>
        <v>8.254160536823818E-3</v>
      </c>
      <c r="E187" s="5">
        <f t="shared" si="43"/>
        <v>4.0035157310547298E-4</v>
      </c>
      <c r="G187" s="25" t="str">
        <f>IF(VLOOKUP(A187,Aux!B:C,2,FALSE)=0,"",VLOOKUP(A187,Aux!B:C,2,FALSE))</f>
        <v/>
      </c>
      <c r="H187" s="25" t="str">
        <f t="shared" si="32"/>
        <v/>
      </c>
      <c r="L187" s="13">
        <f t="shared" si="35"/>
        <v>103729.84292452424</v>
      </c>
      <c r="M187" s="14">
        <f t="shared" si="36"/>
        <v>411.22898521836549</v>
      </c>
      <c r="N187" s="14">
        <f t="shared" si="37"/>
        <v>21.409357656630768</v>
      </c>
      <c r="O187" s="1">
        <f t="shared" si="38"/>
        <v>2.3070349801871837</v>
      </c>
      <c r="P187" s="1">
        <f t="shared" si="39"/>
        <v>2237.1324615078988</v>
      </c>
      <c r="S187" s="6">
        <f t="shared" si="33"/>
        <v>0.48425834033950083</v>
      </c>
      <c r="T187" s="6">
        <f t="shared" si="34"/>
        <v>0.51574165966049734</v>
      </c>
      <c r="V187" s="1">
        <f t="shared" si="40"/>
        <v>103729.84292452405</v>
      </c>
      <c r="W187" s="7">
        <f t="shared" si="41"/>
        <v>4.179540575820641E-3</v>
      </c>
      <c r="X187" s="7">
        <f t="shared" si="42"/>
        <v>4.179540575820641E-3</v>
      </c>
      <c r="Y187">
        <f>LN(B187/B186)</f>
        <v>8.2202812560809926E-3</v>
      </c>
      <c r="Z187">
        <f>LN(C187/C186)</f>
        <v>4.0027145379764297E-4</v>
      </c>
    </row>
    <row r="188" spans="1:26" x14ac:dyDescent="0.3">
      <c r="A188" s="11">
        <v>40451</v>
      </c>
      <c r="B188" s="12">
        <v>21852.36</v>
      </c>
      <c r="C188" s="12">
        <v>23.92313</v>
      </c>
      <c r="D188" s="16">
        <f t="shared" si="44"/>
        <v>3.6255213925970864E-3</v>
      </c>
      <c r="E188" s="15">
        <f t="shared" si="43"/>
        <v>4.0019135586666366E-4</v>
      </c>
      <c r="G188" s="25" t="str">
        <f>IF(VLOOKUP(A188,Aux!B:C,2,FALSE)=0,"",VLOOKUP(A188,Aux!B:C,2,FALSE))</f>
        <v/>
      </c>
      <c r="H188" s="25" t="str">
        <f t="shared" si="32"/>
        <v/>
      </c>
      <c r="L188" s="13">
        <f t="shared" si="35"/>
        <v>103933.36962351686</v>
      </c>
      <c r="M188" s="14">
        <f t="shared" si="36"/>
        <v>182.11734133598165</v>
      </c>
      <c r="N188" s="14">
        <f t="shared" si="37"/>
        <v>21.409357656630768</v>
      </c>
      <c r="O188" s="1">
        <f t="shared" si="38"/>
        <v>2.3070349801871837</v>
      </c>
      <c r="P188" s="1">
        <f t="shared" si="39"/>
        <v>2237.1324615078988</v>
      </c>
      <c r="S188" s="6">
        <f t="shared" si="33"/>
        <v>0.48506229618322755</v>
      </c>
      <c r="T188" s="6">
        <f t="shared" si="34"/>
        <v>0.51493770381677051</v>
      </c>
      <c r="V188" s="1">
        <f t="shared" si="40"/>
        <v>103933.36962351666</v>
      </c>
      <c r="W188" s="7">
        <f t="shared" si="41"/>
        <v>1.9601619532103771E-3</v>
      </c>
      <c r="X188" s="7">
        <f t="shared" si="42"/>
        <v>1.9601619532103771E-3</v>
      </c>
      <c r="Y188">
        <f>LN(B188/B187)</f>
        <v>3.6189650319516701E-3</v>
      </c>
      <c r="Z188">
        <f>LN(C188/C187)</f>
        <v>4.001113006635632E-4</v>
      </c>
    </row>
    <row r="189" spans="1:26" x14ac:dyDescent="0.3">
      <c r="A189" s="9">
        <v>40452</v>
      </c>
      <c r="B189" s="1">
        <v>22078.53</v>
      </c>
      <c r="C189" s="1">
        <v>23.932700000000001</v>
      </c>
      <c r="D189" s="6">
        <f t="shared" si="44"/>
        <v>1.034991186306633E-2</v>
      </c>
      <c r="E189" s="5">
        <f t="shared" si="43"/>
        <v>4.0003126681176226E-4</v>
      </c>
      <c r="G189" s="25" t="str">
        <f>IF(VLOOKUP(A189,Aux!B:C,2,FALSE)=0,"",VLOOKUP(A189,Aux!B:C,2,FALSE))</f>
        <v/>
      </c>
      <c r="H189" s="25" t="str">
        <f t="shared" si="32"/>
        <v/>
      </c>
      <c r="L189" s="13">
        <f t="shared" si="35"/>
        <v>104476.56108264242</v>
      </c>
      <c r="M189" s="14">
        <f t="shared" si="36"/>
        <v>521.78210146893127</v>
      </c>
      <c r="N189" s="14">
        <f t="shared" si="37"/>
        <v>21.409357656630768</v>
      </c>
      <c r="O189" s="1">
        <f t="shared" si="38"/>
        <v>2.3070349801871837</v>
      </c>
      <c r="P189" s="1">
        <f t="shared" si="39"/>
        <v>2237.1324615078988</v>
      </c>
      <c r="S189" s="6">
        <f t="shared" si="33"/>
        <v>0.4875346249272226</v>
      </c>
      <c r="T189" s="6">
        <f t="shared" si="34"/>
        <v>0.51246537507277556</v>
      </c>
      <c r="V189" s="1">
        <f t="shared" si="40"/>
        <v>104476.56108264223</v>
      </c>
      <c r="W189" s="7">
        <f t="shared" si="41"/>
        <v>5.2127332635027411E-3</v>
      </c>
      <c r="X189" s="7">
        <f t="shared" si="42"/>
        <v>5.2127332635029623E-3</v>
      </c>
      <c r="Y189">
        <f>LN(B189/B188)</f>
        <v>1.0296718243303207E-2</v>
      </c>
      <c r="Z189">
        <f>LN(C189/C188)</f>
        <v>3.9995127563648521E-4</v>
      </c>
    </row>
    <row r="190" spans="1:26" x14ac:dyDescent="0.3">
      <c r="A190" s="11">
        <v>40455</v>
      </c>
      <c r="B190" s="12">
        <v>22119.61</v>
      </c>
      <c r="C190" s="12">
        <v>23.942309999999999</v>
      </c>
      <c r="D190" s="16">
        <f t="shared" si="44"/>
        <v>1.8606311199160785E-3</v>
      </c>
      <c r="E190" s="15">
        <f t="shared" si="43"/>
        <v>4.0154265920677723E-4</v>
      </c>
      <c r="G190" s="25" t="str">
        <f>IF(VLOOKUP(A190,Aux!B:C,2,FALSE)=0,"",VLOOKUP(A190,Aux!B:C,2,FALSE))</f>
        <v/>
      </c>
      <c r="H190" s="25" t="str">
        <f t="shared" si="32"/>
        <v/>
      </c>
      <c r="L190" s="13">
        <f t="shared" si="35"/>
        <v>104592.83292258361</v>
      </c>
      <c r="M190" s="14">
        <f t="shared" si="36"/>
        <v>94.772996986093531</v>
      </c>
      <c r="N190" s="14">
        <f t="shared" si="37"/>
        <v>21.498842955087696</v>
      </c>
      <c r="O190" s="1">
        <f t="shared" si="38"/>
        <v>2.3070349801871837</v>
      </c>
      <c r="P190" s="1">
        <f t="shared" si="39"/>
        <v>2237.1324615078988</v>
      </c>
      <c r="S190" s="6">
        <f t="shared" si="33"/>
        <v>0.48789876506996988</v>
      </c>
      <c r="T190" s="6">
        <f t="shared" si="34"/>
        <v>0.51210123493002824</v>
      </c>
      <c r="V190" s="1">
        <f t="shared" si="40"/>
        <v>104592.83292258342</v>
      </c>
      <c r="W190" s="7">
        <f t="shared" si="41"/>
        <v>1.1122799918343949E-3</v>
      </c>
      <c r="X190" s="7">
        <f t="shared" si="42"/>
        <v>1.1122799918343949E-3</v>
      </c>
      <c r="Y190">
        <f>LN(B190/B189)</f>
        <v>1.8589022899782237E-3</v>
      </c>
      <c r="Z190">
        <f>LN(C190/C189)</f>
        <v>4.0146206252781057E-4</v>
      </c>
    </row>
    <row r="191" spans="1:26" x14ac:dyDescent="0.3">
      <c r="A191" s="9">
        <v>40456</v>
      </c>
      <c r="B191" s="1">
        <v>22369.95</v>
      </c>
      <c r="C191" s="1">
        <v>23.951910000000002</v>
      </c>
      <c r="D191" s="6">
        <f t="shared" si="44"/>
        <v>1.1317559396390786E-2</v>
      </c>
      <c r="E191" s="5">
        <f t="shared" si="43"/>
        <v>4.0096381677456883E-4</v>
      </c>
      <c r="G191" s="25" t="str">
        <f>IF(VLOOKUP(A191,Aux!B:C,2,FALSE)=0,"",VLOOKUP(A191,Aux!B:C,2,FALSE))</f>
        <v/>
      </c>
      <c r="H191" s="25" t="str">
        <f t="shared" si="32"/>
        <v/>
      </c>
      <c r="L191" s="13">
        <f t="shared" si="35"/>
        <v>105191.85253115415</v>
      </c>
      <c r="M191" s="14">
        <f t="shared" si="36"/>
        <v>577.54313694005987</v>
      </c>
      <c r="N191" s="14">
        <f t="shared" si="37"/>
        <v>21.476471630481413</v>
      </c>
      <c r="O191" s="1">
        <f t="shared" si="38"/>
        <v>2.3070349801871837</v>
      </c>
      <c r="P191" s="1">
        <f t="shared" si="39"/>
        <v>2237.1324615078988</v>
      </c>
      <c r="S191" s="6">
        <f t="shared" si="33"/>
        <v>0.49061078318545376</v>
      </c>
      <c r="T191" s="6">
        <f t="shared" si="34"/>
        <v>0.50938921681454441</v>
      </c>
      <c r="V191" s="1">
        <f t="shared" si="40"/>
        <v>105191.85253115396</v>
      </c>
      <c r="W191" s="7">
        <f t="shared" si="41"/>
        <v>5.7108195031730672E-3</v>
      </c>
      <c r="X191" s="7">
        <f t="shared" si="42"/>
        <v>5.7108195031732884E-3</v>
      </c>
      <c r="Y191">
        <f>LN(B191/B190)</f>
        <v>1.1253994967566799E-2</v>
      </c>
      <c r="Z191">
        <f>LN(C191/C190)</f>
        <v>4.0088345226484368E-4</v>
      </c>
    </row>
    <row r="192" spans="1:26" x14ac:dyDescent="0.3">
      <c r="A192" s="11">
        <v>40457</v>
      </c>
      <c r="B192" s="12">
        <v>22038.07</v>
      </c>
      <c r="C192" s="12">
        <v>23.96153</v>
      </c>
      <c r="D192" s="16">
        <f t="shared" si="44"/>
        <v>-1.483597415282556E-2</v>
      </c>
      <c r="E192" s="15">
        <f t="shared" si="43"/>
        <v>4.0163811570770314E-4</v>
      </c>
      <c r="G192" s="25" t="str">
        <f>IF(VLOOKUP(A192,Aux!B:C,2,FALSE)=0,"",VLOOKUP(A192,Aux!B:C,2,FALSE))</f>
        <v/>
      </c>
      <c r="H192" s="25" t="str">
        <f t="shared" si="32"/>
        <v/>
      </c>
      <c r="L192" s="13">
        <f t="shared" si="35"/>
        <v>104447.71497620932</v>
      </c>
      <c r="M192" s="14">
        <f t="shared" si="36"/>
        <v>-765.65876922452492</v>
      </c>
      <c r="N192" s="14">
        <f t="shared" si="37"/>
        <v>21.521214279701926</v>
      </c>
      <c r="O192" s="1">
        <f t="shared" si="38"/>
        <v>2.3070349801871837</v>
      </c>
      <c r="P192" s="1">
        <f t="shared" si="39"/>
        <v>2237.1324615078988</v>
      </c>
      <c r="S192" s="6">
        <f t="shared" si="33"/>
        <v>0.48677559291167349</v>
      </c>
      <c r="T192" s="6">
        <f t="shared" si="34"/>
        <v>0.51322440708832473</v>
      </c>
      <c r="V192" s="1">
        <f t="shared" si="40"/>
        <v>104447.71497620913</v>
      </c>
      <c r="W192" s="7">
        <f t="shared" si="41"/>
        <v>-7.0992388423402365E-3</v>
      </c>
      <c r="X192" s="7">
        <f t="shared" si="42"/>
        <v>-7.0992388423402365E-3</v>
      </c>
      <c r="Y192">
        <f>LN(B192/B191)</f>
        <v>-1.4947127970865736E-2</v>
      </c>
      <c r="Z192">
        <f>LN(C192/C191)</f>
        <v>4.0155748070971181E-4</v>
      </c>
    </row>
    <row r="193" spans="1:26" x14ac:dyDescent="0.3">
      <c r="A193" s="9">
        <v>40458</v>
      </c>
      <c r="B193" s="1">
        <v>21952.53</v>
      </c>
      <c r="C193" s="1">
        <v>23.971139999999998</v>
      </c>
      <c r="D193" s="6">
        <f t="shared" si="44"/>
        <v>-3.8814651192232708E-3</v>
      </c>
      <c r="E193" s="5">
        <f t="shared" si="43"/>
        <v>4.010595316743526E-4</v>
      </c>
      <c r="G193" s="25" t="str">
        <f>IF(VLOOKUP(A193,Aux!B:C,2,FALSE)=0,"",VLOOKUP(A193,Aux!B:C,2,FALSE))</f>
        <v/>
      </c>
      <c r="H193" s="25" t="str">
        <f t="shared" si="32"/>
        <v/>
      </c>
      <c r="L193" s="13">
        <f t="shared" si="35"/>
        <v>104271.87004695919</v>
      </c>
      <c r="M193" s="14">
        <f t="shared" si="36"/>
        <v>-197.3437722052137</v>
      </c>
      <c r="N193" s="14">
        <f t="shared" si="37"/>
        <v>21.498842955087696</v>
      </c>
      <c r="O193" s="1">
        <f t="shared" si="38"/>
        <v>2.3070349801871837</v>
      </c>
      <c r="P193" s="1">
        <f t="shared" si="39"/>
        <v>2237.1324615078988</v>
      </c>
      <c r="S193" s="6">
        <f t="shared" si="33"/>
        <v>0.48570390643996592</v>
      </c>
      <c r="T193" s="6">
        <f t="shared" si="34"/>
        <v>0.51429609356003236</v>
      </c>
      <c r="V193" s="1">
        <f t="shared" si="40"/>
        <v>104271.870046959</v>
      </c>
      <c r="W193" s="7">
        <f t="shared" si="41"/>
        <v>-1.6849877392702303E-3</v>
      </c>
      <c r="X193" s="7">
        <f t="shared" si="42"/>
        <v>-1.6849877392702303E-3</v>
      </c>
      <c r="Y193">
        <f>LN(B193/B192)</f>
        <v>-3.8890175543024384E-3</v>
      </c>
      <c r="Z193">
        <f>LN(C193/C192)</f>
        <v>4.0097912879722103E-4</v>
      </c>
    </row>
    <row r="194" spans="1:26" x14ac:dyDescent="0.3">
      <c r="A194" s="11">
        <v>40459</v>
      </c>
      <c r="B194" s="12">
        <v>22267.47</v>
      </c>
      <c r="C194" s="12">
        <v>23.98076</v>
      </c>
      <c r="D194" s="16">
        <f t="shared" si="44"/>
        <v>1.4346410185978709E-2</v>
      </c>
      <c r="E194" s="15">
        <f t="shared" si="43"/>
        <v>4.0131591572212244E-4</v>
      </c>
      <c r="G194" s="25" t="str">
        <f>IF(VLOOKUP(A194,Aux!B:C,2,FALSE)=0,"",VLOOKUP(A194,Aux!B:C,2,FALSE))</f>
        <v/>
      </c>
      <c r="H194" s="25" t="str">
        <f t="shared" si="32"/>
        <v/>
      </c>
      <c r="L194" s="13">
        <f t="shared" si="35"/>
        <v>105019.96885789905</v>
      </c>
      <c r="M194" s="14">
        <f t="shared" si="36"/>
        <v>726.57759666015704</v>
      </c>
      <c r="N194" s="14">
        <f t="shared" si="37"/>
        <v>21.521214279709877</v>
      </c>
      <c r="O194" s="1">
        <f t="shared" si="38"/>
        <v>2.3070349801871837</v>
      </c>
      <c r="P194" s="1">
        <f t="shared" si="39"/>
        <v>2237.1324615078988</v>
      </c>
      <c r="S194" s="6">
        <f t="shared" si="33"/>
        <v>0.48916251612851996</v>
      </c>
      <c r="T194" s="6">
        <f t="shared" si="34"/>
        <v>0.51083748387147832</v>
      </c>
      <c r="V194" s="1">
        <f t="shared" si="40"/>
        <v>105019.96885789887</v>
      </c>
      <c r="W194" s="7">
        <f t="shared" si="41"/>
        <v>7.1488883744110455E-3</v>
      </c>
      <c r="X194" s="7">
        <f t="shared" si="42"/>
        <v>7.1488883744110455E-3</v>
      </c>
      <c r="Y194">
        <f>LN(B194/B193)</f>
        <v>1.4244474229983229E-2</v>
      </c>
      <c r="Z194">
        <f>LN(C194/C193)</f>
        <v>4.0123541002810723E-4</v>
      </c>
    </row>
    <row r="195" spans="1:26" x14ac:dyDescent="0.3">
      <c r="A195" s="9">
        <v>40462</v>
      </c>
      <c r="B195" s="1">
        <v>22291.93</v>
      </c>
      <c r="C195" s="1">
        <v>23.990390000000001</v>
      </c>
      <c r="D195" s="6">
        <f t="shared" si="44"/>
        <v>1.0984633638218E-3</v>
      </c>
      <c r="E195" s="5">
        <f t="shared" si="43"/>
        <v>4.015719268279927E-4</v>
      </c>
      <c r="G195" s="25" t="str">
        <f>IF(VLOOKUP(A195,Aux!B:C,2,FALSE)=0,"",VLOOKUP(A195,Aux!B:C,2,FALSE))</f>
        <v/>
      </c>
      <c r="H195" s="25" t="str">
        <f t="shared" ref="H195:H258" si="45">IF(ISNUMBER(G195),1-G195,"")</f>
        <v/>
      </c>
      <c r="L195" s="13">
        <f t="shared" si="35"/>
        <v>105097.94251911875</v>
      </c>
      <c r="M195" s="14">
        <f t="shared" si="36"/>
        <v>56.430075615376495</v>
      </c>
      <c r="N195" s="14">
        <f t="shared" si="37"/>
        <v>21.543585604324107</v>
      </c>
      <c r="O195" s="1">
        <f t="shared" si="38"/>
        <v>2.3070349801871837</v>
      </c>
      <c r="P195" s="1">
        <f t="shared" si="39"/>
        <v>2237.1324615078988</v>
      </c>
      <c r="S195" s="6">
        <f t="shared" ref="S195:S258" si="46">O195*B195/L195</f>
        <v>0.48933652793943688</v>
      </c>
      <c r="T195" s="6">
        <f t="shared" ref="T195:T258" si="47">P195*C195/L195</f>
        <v>0.5106634720605614</v>
      </c>
      <c r="V195" s="1">
        <f t="shared" si="40"/>
        <v>105097.94251911857</v>
      </c>
      <c r="W195" s="7">
        <f t="shared" si="41"/>
        <v>7.4218960476028794E-4</v>
      </c>
      <c r="X195" s="7">
        <f t="shared" si="42"/>
        <v>7.4218960476028794E-4</v>
      </c>
      <c r="Y195">
        <f>LN(B195/B194)</f>
        <v>1.0978604943872392E-3</v>
      </c>
      <c r="Z195">
        <f>LN(C195/C194)</f>
        <v>4.0149131840111669E-4</v>
      </c>
    </row>
    <row r="196" spans="1:26" x14ac:dyDescent="0.3">
      <c r="A196" s="11">
        <v>40464</v>
      </c>
      <c r="B196" s="12">
        <v>22483.97</v>
      </c>
      <c r="C196" s="12">
        <v>24.000019999999999</v>
      </c>
      <c r="D196" s="16">
        <f t="shared" si="44"/>
        <v>8.6147767375908124E-3</v>
      </c>
      <c r="E196" s="15">
        <f t="shared" si="43"/>
        <v>4.0141073154709161E-4</v>
      </c>
      <c r="G196" s="25" t="str">
        <f>IF(VLOOKUP(A196,Aux!B:C,2,FALSE)=0,"",VLOOKUP(A196,Aux!B:C,2,FALSE))</f>
        <v/>
      </c>
      <c r="H196" s="25" t="str">
        <f t="shared" si="45"/>
        <v/>
      </c>
      <c r="L196" s="13">
        <f t="shared" ref="L196:L259" si="48">L195+M196+N196</f>
        <v>105562.52910231822</v>
      </c>
      <c r="M196" s="14">
        <f t="shared" ref="M196:M259" si="49">O195*(B196-B195)</f>
        <v>443.04299759514879</v>
      </c>
      <c r="N196" s="14">
        <f t="shared" ref="N196:N259" si="50">P195*(C196-C195)</f>
        <v>21.54358560431616</v>
      </c>
      <c r="O196" s="1">
        <f t="shared" ref="O196:O259" si="51">IF(ISNUMBER(G196),L196*G196/B196,O195)</f>
        <v>2.3070349801871837</v>
      </c>
      <c r="P196" s="1">
        <f t="shared" ref="P196:P259" si="52">IF(ISNUMBER(H196),L196*H196/C196,P195)</f>
        <v>2237.1324615078988</v>
      </c>
      <c r="S196" s="6">
        <f t="shared" si="46"/>
        <v>0.4913799027418348</v>
      </c>
      <c r="T196" s="6">
        <f t="shared" si="47"/>
        <v>0.50862009725816337</v>
      </c>
      <c r="V196" s="1">
        <f t="shared" ref="V196:V259" si="53">$O$2*B196+$P$2*C196</f>
        <v>105562.52910231803</v>
      </c>
      <c r="W196" s="7">
        <f t="shared" ref="W196:W259" si="54">LN(L196/L195)</f>
        <v>4.4107689765412929E-3</v>
      </c>
      <c r="X196" s="7">
        <f t="shared" ref="X196:X259" si="55">LN(V196/V195)</f>
        <v>4.4107689765410726E-3</v>
      </c>
      <c r="Y196">
        <f>LN(B196/B195)</f>
        <v>8.5778812943831627E-3</v>
      </c>
      <c r="Z196">
        <f>LN(C196/C195)</f>
        <v>4.0133018781274971E-4</v>
      </c>
    </row>
    <row r="197" spans="1:26" x14ac:dyDescent="0.3">
      <c r="A197" s="9">
        <v>40465</v>
      </c>
      <c r="B197" s="1">
        <v>22491.97</v>
      </c>
      <c r="C197" s="1">
        <v>24.009650000000001</v>
      </c>
      <c r="D197" s="6">
        <f t="shared" si="44"/>
        <v>3.5580904973642191E-4</v>
      </c>
      <c r="E197" s="5">
        <f t="shared" ref="E197:E260" si="56">C197/C196-1</f>
        <v>4.0124966562538056E-4</v>
      </c>
      <c r="G197" s="25" t="str">
        <f>IF(VLOOKUP(A197,Aux!B:C,2,FALSE)=0,"",VLOOKUP(A197,Aux!B:C,2,FALSE))</f>
        <v/>
      </c>
      <c r="H197" s="25" t="str">
        <f t="shared" si="45"/>
        <v/>
      </c>
      <c r="L197" s="13">
        <f t="shared" si="48"/>
        <v>105602.52896776404</v>
      </c>
      <c r="M197" s="14">
        <f t="shared" si="49"/>
        <v>18.456279841497469</v>
      </c>
      <c r="N197" s="14">
        <f t="shared" si="50"/>
        <v>21.543585604324107</v>
      </c>
      <c r="O197" s="1">
        <f t="shared" si="51"/>
        <v>2.3070349801871837</v>
      </c>
      <c r="P197" s="1">
        <f t="shared" si="52"/>
        <v>2237.1324615078988</v>
      </c>
      <c r="S197" s="6">
        <f t="shared" si="46"/>
        <v>0.49136855026606863</v>
      </c>
      <c r="T197" s="6">
        <f t="shared" si="47"/>
        <v>0.50863144973392971</v>
      </c>
      <c r="V197" s="1">
        <f t="shared" si="53"/>
        <v>105602.52896776385</v>
      </c>
      <c r="W197" s="7">
        <f t="shared" si="54"/>
        <v>3.7884928775442538E-4</v>
      </c>
      <c r="X197" s="7">
        <f t="shared" si="55"/>
        <v>3.7884928775442538E-4</v>
      </c>
      <c r="Y197">
        <f>LN(B197/B196)</f>
        <v>3.5574576470763037E-4</v>
      </c>
      <c r="Z197">
        <f>LN(C197/C196)</f>
        <v>4.0116918650572519E-4</v>
      </c>
    </row>
    <row r="198" spans="1:26" x14ac:dyDescent="0.3">
      <c r="A198" s="11">
        <v>40466</v>
      </c>
      <c r="B198" s="12">
        <v>22506.41</v>
      </c>
      <c r="C198" s="12">
        <v>24.019269999999999</v>
      </c>
      <c r="D198" s="16">
        <f t="shared" si="44"/>
        <v>6.420069029080544E-4</v>
      </c>
      <c r="E198" s="15">
        <f t="shared" si="56"/>
        <v>4.0067222970763261E-4</v>
      </c>
      <c r="G198" s="25" t="str">
        <f>IF(VLOOKUP(A198,Aux!B:C,2,FALSE)=0,"",VLOOKUP(A198,Aux!B:C,2,FALSE))</f>
        <v/>
      </c>
      <c r="H198" s="25" t="str">
        <f t="shared" si="45"/>
        <v/>
      </c>
      <c r="L198" s="13">
        <f t="shared" si="48"/>
        <v>105657.36376715763</v>
      </c>
      <c r="M198" s="14">
        <f t="shared" si="49"/>
        <v>33.313585113899912</v>
      </c>
      <c r="N198" s="14">
        <f t="shared" si="50"/>
        <v>21.521214279701926</v>
      </c>
      <c r="O198" s="1">
        <f t="shared" si="51"/>
        <v>2.3070349801871837</v>
      </c>
      <c r="P198" s="1">
        <f t="shared" si="52"/>
        <v>2237.1324615078988</v>
      </c>
      <c r="S198" s="6">
        <f t="shared" si="46"/>
        <v>0.49142883465141235</v>
      </c>
      <c r="T198" s="6">
        <f t="shared" si="47"/>
        <v>0.50857116534858604</v>
      </c>
      <c r="V198" s="1">
        <f t="shared" si="53"/>
        <v>105657.36376715745</v>
      </c>
      <c r="W198" s="7">
        <f t="shared" si="54"/>
        <v>5.1912173120177815E-4</v>
      </c>
      <c r="X198" s="7">
        <f t="shared" si="55"/>
        <v>5.1912173120200009E-4</v>
      </c>
      <c r="Y198">
        <f>LN(B198/B197)</f>
        <v>6.4180090463985498E-4</v>
      </c>
      <c r="Z198">
        <f>LN(C198/C197)</f>
        <v>4.0059198202443307E-4</v>
      </c>
    </row>
    <row r="199" spans="1:26" x14ac:dyDescent="0.3">
      <c r="A199" s="9">
        <v>40469</v>
      </c>
      <c r="B199" s="1">
        <v>22531.01</v>
      </c>
      <c r="C199" s="1">
        <v>24.02891</v>
      </c>
      <c r="D199" s="6">
        <f t="shared" si="44"/>
        <v>1.09302194352634E-3</v>
      </c>
      <c r="E199" s="5">
        <f t="shared" si="56"/>
        <v>4.0134442054240438E-4</v>
      </c>
      <c r="G199" s="25" t="str">
        <f>IF(VLOOKUP(A199,Aux!B:C,2,FALSE)=0,"",VLOOKUP(A199,Aux!B:C,2,FALSE))</f>
        <v/>
      </c>
      <c r="H199" s="25" t="str">
        <f t="shared" si="45"/>
        <v/>
      </c>
      <c r="L199" s="13">
        <f t="shared" si="48"/>
        <v>105735.68278459918</v>
      </c>
      <c r="M199" s="14">
        <f t="shared" si="49"/>
        <v>56.753060512601358</v>
      </c>
      <c r="N199" s="14">
        <f t="shared" si="50"/>
        <v>21.565956928938341</v>
      </c>
      <c r="O199" s="1">
        <f t="shared" si="51"/>
        <v>2.3070349801871837</v>
      </c>
      <c r="P199" s="1">
        <f t="shared" si="52"/>
        <v>2237.1324615078988</v>
      </c>
      <c r="S199" s="6">
        <f t="shared" si="46"/>
        <v>0.49160157517343145</v>
      </c>
      <c r="T199" s="6">
        <f t="shared" si="47"/>
        <v>0.50839842482656683</v>
      </c>
      <c r="V199" s="1">
        <f t="shared" si="53"/>
        <v>105735.68278459899</v>
      </c>
      <c r="W199" s="7">
        <f t="shared" si="54"/>
        <v>7.4098010603967761E-4</v>
      </c>
      <c r="X199" s="7">
        <f t="shared" si="55"/>
        <v>7.4098010603945578E-4</v>
      </c>
      <c r="Y199">
        <f>LN(B199/B198)</f>
        <v>1.092425029961979E-3</v>
      </c>
      <c r="Z199">
        <f>LN(C199/C198)</f>
        <v>4.0126390341313413E-4</v>
      </c>
    </row>
    <row r="200" spans="1:26" x14ac:dyDescent="0.3">
      <c r="A200" s="11">
        <v>40470</v>
      </c>
      <c r="B200" s="12">
        <v>21985.5</v>
      </c>
      <c r="C200" s="12">
        <v>24.03856</v>
      </c>
      <c r="D200" s="16">
        <f t="shared" si="44"/>
        <v>-2.4211520033944223E-2</v>
      </c>
      <c r="E200" s="15">
        <f t="shared" si="56"/>
        <v>4.0159957318075534E-4</v>
      </c>
      <c r="G200" s="25" t="str">
        <f>IF(VLOOKUP(A200,Aux!B:C,2,FALSE)=0,"",VLOOKUP(A200,Aux!B:C,2,FALSE))</f>
        <v/>
      </c>
      <c r="H200" s="25" t="str">
        <f t="shared" si="45"/>
        <v/>
      </c>
      <c r="L200" s="13">
        <f t="shared" si="48"/>
        <v>104498.76046081082</v>
      </c>
      <c r="M200" s="14">
        <f t="shared" si="49"/>
        <v>-1258.510652041907</v>
      </c>
      <c r="N200" s="14">
        <f t="shared" si="50"/>
        <v>21.588328253552572</v>
      </c>
      <c r="O200" s="1">
        <f t="shared" si="51"/>
        <v>2.3070349801871837</v>
      </c>
      <c r="P200" s="1">
        <f t="shared" si="52"/>
        <v>2237.1324615078988</v>
      </c>
      <c r="S200" s="6">
        <f t="shared" si="46"/>
        <v>0.4853772172343313</v>
      </c>
      <c r="T200" s="6">
        <f t="shared" si="47"/>
        <v>0.51462278276566698</v>
      </c>
      <c r="V200" s="1">
        <f t="shared" si="53"/>
        <v>104498.76046081065</v>
      </c>
      <c r="W200" s="7">
        <f t="shared" si="54"/>
        <v>-1.1767211665531067E-2</v>
      </c>
      <c r="X200" s="7">
        <f t="shared" si="55"/>
        <v>-1.1767211665530955E-2</v>
      </c>
      <c r="Y200">
        <f>LN(B200/B199)</f>
        <v>-2.4509437402763404E-2</v>
      </c>
      <c r="Z200">
        <f>LN(C200/C199)</f>
        <v>4.0151895365595484E-4</v>
      </c>
    </row>
    <row r="201" spans="1:26" x14ac:dyDescent="0.3">
      <c r="A201" s="9">
        <v>40471</v>
      </c>
      <c r="B201" s="1">
        <v>22141.23</v>
      </c>
      <c r="C201" s="1">
        <v>24.048200000000001</v>
      </c>
      <c r="D201" s="6">
        <f t="shared" si="44"/>
        <v>7.083304905505905E-3</v>
      </c>
      <c r="E201" s="5">
        <f t="shared" si="56"/>
        <v>4.0102235741246162E-4</v>
      </c>
      <c r="G201" s="25" t="str">
        <f>IF(VLOOKUP(A201,Aux!B:C,2,FALSE)=0,"",VLOOKUP(A201,Aux!B:C,2,FALSE))</f>
        <v/>
      </c>
      <c r="H201" s="25" t="str">
        <f t="shared" si="45"/>
        <v/>
      </c>
      <c r="L201" s="13">
        <f t="shared" si="48"/>
        <v>104879.60097520432</v>
      </c>
      <c r="M201" s="14">
        <f t="shared" si="49"/>
        <v>359.2745574645491</v>
      </c>
      <c r="N201" s="14">
        <f t="shared" si="50"/>
        <v>21.565956928938341</v>
      </c>
      <c r="O201" s="1">
        <f t="shared" si="51"/>
        <v>2.3070349801871837</v>
      </c>
      <c r="P201" s="1">
        <f t="shared" si="52"/>
        <v>2237.1324615078988</v>
      </c>
      <c r="S201" s="6">
        <f t="shared" si="46"/>
        <v>0.48704029801225474</v>
      </c>
      <c r="T201" s="6">
        <f t="shared" si="47"/>
        <v>0.51295970198774343</v>
      </c>
      <c r="V201" s="1">
        <f t="shared" si="53"/>
        <v>104879.60097520413</v>
      </c>
      <c r="W201" s="7">
        <f t="shared" si="54"/>
        <v>3.6378251484803278E-3</v>
      </c>
      <c r="X201" s="7">
        <f t="shared" si="55"/>
        <v>3.6378251484803278E-3</v>
      </c>
      <c r="Y201">
        <f>LN(B201/B200)</f>
        <v>7.0583361395656803E-3</v>
      </c>
      <c r="Z201">
        <f>LN(C201/C200)</f>
        <v>4.0094196943775466E-4</v>
      </c>
    </row>
    <row r="202" spans="1:26" x14ac:dyDescent="0.3">
      <c r="A202" s="11">
        <v>40472</v>
      </c>
      <c r="B202" s="12">
        <v>21890.93</v>
      </c>
      <c r="C202" s="12">
        <v>24.057849999999998</v>
      </c>
      <c r="D202" s="16">
        <f t="shared" si="44"/>
        <v>-1.1304701680981522E-2</v>
      </c>
      <c r="E202" s="15">
        <f t="shared" si="56"/>
        <v>4.0127743448570286E-4</v>
      </c>
      <c r="G202" s="25" t="str">
        <f>IF(VLOOKUP(A202,Aux!B:C,2,FALSE)=0,"",VLOOKUP(A202,Aux!B:C,2,FALSE))</f>
        <v/>
      </c>
      <c r="H202" s="25" t="str">
        <f t="shared" si="45"/>
        <v/>
      </c>
      <c r="L202" s="13">
        <f t="shared" si="48"/>
        <v>104323.73844791701</v>
      </c>
      <c r="M202" s="14">
        <f t="shared" si="49"/>
        <v>-577.4508555408504</v>
      </c>
      <c r="N202" s="14">
        <f t="shared" si="50"/>
        <v>21.588328253544624</v>
      </c>
      <c r="O202" s="1">
        <f t="shared" si="51"/>
        <v>2.3070349801871837</v>
      </c>
      <c r="P202" s="1">
        <f t="shared" si="52"/>
        <v>2237.1324615078988</v>
      </c>
      <c r="S202" s="6">
        <f t="shared" si="46"/>
        <v>0.48410018668993932</v>
      </c>
      <c r="T202" s="6">
        <f t="shared" si="47"/>
        <v>0.51589981331005885</v>
      </c>
      <c r="V202" s="1">
        <f t="shared" si="53"/>
        <v>104323.73844791682</v>
      </c>
      <c r="W202" s="7">
        <f t="shared" si="54"/>
        <v>-5.3141009788273737E-3</v>
      </c>
      <c r="X202" s="7">
        <f t="shared" si="55"/>
        <v>-5.3141009788273737E-3</v>
      </c>
      <c r="Y202">
        <f>LN(B202/B201)</f>
        <v>-1.1369085507552648E-2</v>
      </c>
      <c r="Z202">
        <f>LN(C202/C201)</f>
        <v>4.0119694422788537E-4</v>
      </c>
    </row>
    <row r="203" spans="1:26" x14ac:dyDescent="0.3">
      <c r="A203" s="9">
        <v>40473</v>
      </c>
      <c r="B203" s="1">
        <v>21889.82</v>
      </c>
      <c r="C203" s="1">
        <v>24.067509999999999</v>
      </c>
      <c r="D203" s="6">
        <f t="shared" si="44"/>
        <v>-5.0705931634698054E-5</v>
      </c>
      <c r="E203" s="5">
        <f t="shared" si="56"/>
        <v>4.0153214023708195E-4</v>
      </c>
      <c r="G203" s="25" t="str">
        <f>IF(VLOOKUP(A203,Aux!B:C,2,FALSE)=0,"",VLOOKUP(A203,Aux!B:C,2,FALSE))</f>
        <v/>
      </c>
      <c r="H203" s="25" t="str">
        <f t="shared" si="45"/>
        <v/>
      </c>
      <c r="L203" s="13">
        <f t="shared" si="48"/>
        <v>104342.78833866717</v>
      </c>
      <c r="M203" s="14">
        <f t="shared" si="49"/>
        <v>-2.5608088280091166</v>
      </c>
      <c r="N203" s="14">
        <f t="shared" si="50"/>
        <v>21.610699578166805</v>
      </c>
      <c r="O203" s="1">
        <f t="shared" si="51"/>
        <v>2.3070349801871837</v>
      </c>
      <c r="P203" s="1">
        <f t="shared" si="52"/>
        <v>2237.1324615078988</v>
      </c>
      <c r="S203" s="6">
        <f t="shared" si="46"/>
        <v>0.48398726212002707</v>
      </c>
      <c r="T203" s="6">
        <f t="shared" si="47"/>
        <v>0.51601273787997104</v>
      </c>
      <c r="V203" s="1">
        <f t="shared" si="53"/>
        <v>104342.78833866699</v>
      </c>
      <c r="W203" s="7">
        <f t="shared" si="54"/>
        <v>1.8258693520670035E-4</v>
      </c>
      <c r="X203" s="7">
        <f t="shared" si="55"/>
        <v>1.8258693520670035E-4</v>
      </c>
      <c r="Y203">
        <f>LN(B203/B202)</f>
        <v>-5.0707217223907706E-5</v>
      </c>
      <c r="Z203">
        <f>LN(C203/C202)</f>
        <v>4.0145154778017966E-4</v>
      </c>
    </row>
    <row r="204" spans="1:26" x14ac:dyDescent="0.3">
      <c r="A204" s="11">
        <v>40476</v>
      </c>
      <c r="B204" s="12">
        <v>22014.560000000001</v>
      </c>
      <c r="C204" s="12">
        <v>24.077169999999999</v>
      </c>
      <c r="D204" s="16">
        <f t="shared" si="44"/>
        <v>5.6985393210178259E-3</v>
      </c>
      <c r="E204" s="15">
        <f t="shared" si="56"/>
        <v>4.0137097688952572E-4</v>
      </c>
      <c r="G204" s="25" t="str">
        <f>IF(VLOOKUP(A204,Aux!B:C,2,FALSE)=0,"",VLOOKUP(A204,Aux!B:C,2,FALSE))</f>
        <v/>
      </c>
      <c r="H204" s="25" t="str">
        <f t="shared" si="45"/>
        <v/>
      </c>
      <c r="L204" s="13">
        <f t="shared" si="48"/>
        <v>104652.1785816739</v>
      </c>
      <c r="M204" s="14">
        <f t="shared" si="49"/>
        <v>287.77954342855298</v>
      </c>
      <c r="N204" s="14">
        <f t="shared" si="50"/>
        <v>21.610699578166805</v>
      </c>
      <c r="O204" s="1">
        <f t="shared" si="51"/>
        <v>2.3070349801871837</v>
      </c>
      <c r="P204" s="1">
        <f t="shared" si="52"/>
        <v>2237.1324615078988</v>
      </c>
      <c r="S204" s="6">
        <f t="shared" si="46"/>
        <v>0.48530628489298688</v>
      </c>
      <c r="T204" s="6">
        <f t="shared" si="47"/>
        <v>0.51469371510701123</v>
      </c>
      <c r="V204" s="1">
        <f t="shared" si="53"/>
        <v>104652.17858167371</v>
      </c>
      <c r="W204" s="7">
        <f t="shared" si="54"/>
        <v>2.9607456445070834E-3</v>
      </c>
      <c r="X204" s="7">
        <f t="shared" si="55"/>
        <v>2.9607456445070834E-3</v>
      </c>
      <c r="Y204">
        <f>LN(B204/B203)</f>
        <v>5.6823640669424746E-3</v>
      </c>
      <c r="Z204">
        <f>LN(C204/C203)</f>
        <v>4.0129044910593728E-4</v>
      </c>
    </row>
    <row r="205" spans="1:26" x14ac:dyDescent="0.3">
      <c r="A205" s="9">
        <v>40477</v>
      </c>
      <c r="B205" s="1">
        <v>22373.759999999998</v>
      </c>
      <c r="C205" s="1">
        <v>24.086829999999999</v>
      </c>
      <c r="D205" s="6">
        <f t="shared" si="44"/>
        <v>1.6316474187991759E-2</v>
      </c>
      <c r="E205" s="5">
        <f t="shared" si="56"/>
        <v>4.0120994286296785E-4</v>
      </c>
      <c r="G205" s="25" t="str">
        <f>IF(VLOOKUP(A205,Aux!B:C,2,FALSE)=0,"",VLOOKUP(A205,Aux!B:C,2,FALSE))</f>
        <v/>
      </c>
      <c r="H205" s="25" t="str">
        <f t="shared" si="45"/>
        <v/>
      </c>
      <c r="L205" s="13">
        <f t="shared" si="48"/>
        <v>105502.47624613531</v>
      </c>
      <c r="M205" s="14">
        <f t="shared" si="49"/>
        <v>828.68696488322962</v>
      </c>
      <c r="N205" s="14">
        <f t="shared" si="50"/>
        <v>21.610699578166805</v>
      </c>
      <c r="O205" s="1">
        <f t="shared" si="51"/>
        <v>2.3070349801871837</v>
      </c>
      <c r="P205" s="1">
        <f t="shared" si="52"/>
        <v>2237.1324615078988</v>
      </c>
      <c r="S205" s="6">
        <f t="shared" si="46"/>
        <v>0.48924962517364229</v>
      </c>
      <c r="T205" s="6">
        <f t="shared" si="47"/>
        <v>0.51075037482635566</v>
      </c>
      <c r="V205" s="1">
        <f t="shared" si="53"/>
        <v>105502.47624613511</v>
      </c>
      <c r="W205" s="7">
        <f t="shared" si="54"/>
        <v>8.0921577031704047E-3</v>
      </c>
      <c r="X205" s="7">
        <f t="shared" si="55"/>
        <v>8.0921577031704047E-3</v>
      </c>
      <c r="Y205">
        <f>LN(B205/B204)</f>
        <v>1.6184790995756877E-2</v>
      </c>
      <c r="Z205">
        <f>LN(C205/C204)</f>
        <v>4.0112947967487644E-4</v>
      </c>
    </row>
    <row r="206" spans="1:26" x14ac:dyDescent="0.3">
      <c r="A206" s="11">
        <v>40478</v>
      </c>
      <c r="B206" s="12">
        <v>22235.82</v>
      </c>
      <c r="C206" s="12">
        <v>24.096499999999999</v>
      </c>
      <c r="D206" s="16">
        <f t="shared" si="44"/>
        <v>-6.1652578735088559E-3</v>
      </c>
      <c r="E206" s="15">
        <f t="shared" si="56"/>
        <v>4.0146420263686977E-4</v>
      </c>
      <c r="G206" s="25" t="str">
        <f>IF(VLOOKUP(A206,Aux!B:C,2,FALSE)=0,"",VLOOKUP(A206,Aux!B:C,2,FALSE))</f>
        <v/>
      </c>
      <c r="H206" s="25" t="str">
        <f t="shared" si="45"/>
        <v/>
      </c>
      <c r="L206" s="13">
        <f t="shared" si="48"/>
        <v>105205.87691187108</v>
      </c>
      <c r="M206" s="14">
        <f t="shared" si="49"/>
        <v>-318.23240516701708</v>
      </c>
      <c r="N206" s="14">
        <f t="shared" si="50"/>
        <v>21.633070902781036</v>
      </c>
      <c r="O206" s="1">
        <f t="shared" si="51"/>
        <v>2.3070349801871837</v>
      </c>
      <c r="P206" s="1">
        <f t="shared" si="52"/>
        <v>2237.1324615078988</v>
      </c>
      <c r="S206" s="6">
        <f t="shared" si="46"/>
        <v>0.48760407744253498</v>
      </c>
      <c r="T206" s="6">
        <f t="shared" si="47"/>
        <v>0.51239592255746302</v>
      </c>
      <c r="V206" s="1">
        <f t="shared" si="53"/>
        <v>105205.87691187087</v>
      </c>
      <c r="W206" s="7">
        <f t="shared" si="54"/>
        <v>-2.8152612434698353E-3</v>
      </c>
      <c r="X206" s="7">
        <f t="shared" si="55"/>
        <v>-2.8152612434698353E-3</v>
      </c>
      <c r="Y206">
        <f>LN(B206/B205)</f>
        <v>-6.1843415534695474E-3</v>
      </c>
      <c r="Z206">
        <f>LN(C206/C205)</f>
        <v>4.0138363744584259E-4</v>
      </c>
    </row>
    <row r="207" spans="1:26" x14ac:dyDescent="0.3">
      <c r="A207" s="9">
        <v>40479</v>
      </c>
      <c r="B207" s="1">
        <v>22131.439999999999</v>
      </c>
      <c r="C207" s="1">
        <v>24.106169999999999</v>
      </c>
      <c r="D207" s="6">
        <f t="shared" si="44"/>
        <v>-4.6942276021303408E-3</v>
      </c>
      <c r="E207" s="5">
        <f t="shared" si="56"/>
        <v>4.0130309381036788E-4</v>
      </c>
      <c r="G207" s="25" t="str">
        <f>IF(VLOOKUP(A207,Aux!B:C,2,FALSE)=0,"",VLOOKUP(A207,Aux!B:C,2,FALSE))</f>
        <v/>
      </c>
      <c r="H207" s="25" t="str">
        <f t="shared" si="45"/>
        <v/>
      </c>
      <c r="L207" s="13">
        <f t="shared" si="48"/>
        <v>104986.70167154192</v>
      </c>
      <c r="M207" s="14">
        <f t="shared" si="49"/>
        <v>-240.80831123194059</v>
      </c>
      <c r="N207" s="14">
        <f t="shared" si="50"/>
        <v>21.633070902781036</v>
      </c>
      <c r="O207" s="1">
        <f t="shared" si="51"/>
        <v>2.3070349801871837</v>
      </c>
      <c r="P207" s="1">
        <f t="shared" si="52"/>
        <v>2237.1324615078988</v>
      </c>
      <c r="S207" s="6">
        <f t="shared" si="46"/>
        <v>0.48632831995858206</v>
      </c>
      <c r="T207" s="6">
        <f t="shared" si="47"/>
        <v>0.51367168004141595</v>
      </c>
      <c r="V207" s="1">
        <f t="shared" si="53"/>
        <v>104986.7016715417</v>
      </c>
      <c r="W207" s="7">
        <f t="shared" si="54"/>
        <v>-2.0854715351278801E-3</v>
      </c>
      <c r="X207" s="7">
        <f t="shared" si="55"/>
        <v>-2.0854715351279916E-3</v>
      </c>
      <c r="Y207">
        <f>LN(B207/B206)</f>
        <v>-4.7052800906830739E-3</v>
      </c>
      <c r="Z207">
        <f>LN(C207/C206)</f>
        <v>4.0122259325984356E-4</v>
      </c>
    </row>
    <row r="208" spans="1:26" x14ac:dyDescent="0.3">
      <c r="A208" s="11">
        <v>40480</v>
      </c>
      <c r="B208" s="12">
        <v>22218.87</v>
      </c>
      <c r="C208" s="12">
        <v>24.115839999999999</v>
      </c>
      <c r="D208" s="16">
        <f t="shared" si="44"/>
        <v>3.9504885357664055E-3</v>
      </c>
      <c r="E208" s="15">
        <f t="shared" si="56"/>
        <v>4.0114211423869506E-4</v>
      </c>
      <c r="G208" s="25" t="str">
        <f>IF(VLOOKUP(A208,Aux!B:C,2,FALSE)=0,"",VLOOKUP(A208,Aux!B:C,2,FALSE))</f>
        <v/>
      </c>
      <c r="H208" s="25" t="str">
        <f t="shared" si="45"/>
        <v/>
      </c>
      <c r="L208" s="13">
        <f t="shared" si="48"/>
        <v>105210.03881076246</v>
      </c>
      <c r="M208" s="14">
        <f t="shared" si="49"/>
        <v>201.70406831776614</v>
      </c>
      <c r="N208" s="14">
        <f t="shared" si="50"/>
        <v>21.633070902781036</v>
      </c>
      <c r="O208" s="1">
        <f t="shared" si="51"/>
        <v>2.3070349801871837</v>
      </c>
      <c r="P208" s="1">
        <f t="shared" si="52"/>
        <v>2237.1324615078988</v>
      </c>
      <c r="S208" s="6">
        <f t="shared" si="46"/>
        <v>0.48721311093165376</v>
      </c>
      <c r="T208" s="6">
        <f t="shared" si="47"/>
        <v>0.51278688906834424</v>
      </c>
      <c r="V208" s="1">
        <f t="shared" si="53"/>
        <v>105210.03881076226</v>
      </c>
      <c r="W208" s="7">
        <f t="shared" si="54"/>
        <v>2.1250303192401499E-3</v>
      </c>
      <c r="X208" s="7">
        <f t="shared" si="55"/>
        <v>2.1250303192401499E-3</v>
      </c>
      <c r="Y208">
        <f>LN(B208/B207)</f>
        <v>3.9427058461479715E-3</v>
      </c>
      <c r="Z208">
        <f>LN(C208/C207)</f>
        <v>4.0106167825090967E-4</v>
      </c>
    </row>
    <row r="209" spans="1:26" x14ac:dyDescent="0.3">
      <c r="A209" s="9">
        <v>40483</v>
      </c>
      <c r="B209" s="1">
        <v>22539.78</v>
      </c>
      <c r="C209" s="1">
        <v>24.125520000000002</v>
      </c>
      <c r="D209" s="6">
        <f t="shared" si="44"/>
        <v>1.4443128745971423E-2</v>
      </c>
      <c r="E209" s="5">
        <f t="shared" si="56"/>
        <v>4.0139592898280618E-4</v>
      </c>
      <c r="G209" s="25" t="str">
        <f>IF(VLOOKUP(A209,Aux!B:C,2,FALSE)=0,"",VLOOKUP(A209,Aux!B:C,2,FALSE))</f>
        <v/>
      </c>
      <c r="H209" s="25" t="str">
        <f t="shared" si="45"/>
        <v/>
      </c>
      <c r="L209" s="13">
        <f t="shared" si="48"/>
        <v>105972.04484848173</v>
      </c>
      <c r="M209" s="14">
        <f t="shared" si="49"/>
        <v>740.35059549186883</v>
      </c>
      <c r="N209" s="14">
        <f t="shared" si="50"/>
        <v>21.655442227403217</v>
      </c>
      <c r="O209" s="1">
        <f t="shared" si="51"/>
        <v>2.3070349801871837</v>
      </c>
      <c r="P209" s="1">
        <f t="shared" si="52"/>
        <v>2237.1324615078988</v>
      </c>
      <c r="S209" s="6">
        <f t="shared" si="46"/>
        <v>0.49069602252247646</v>
      </c>
      <c r="T209" s="6">
        <f t="shared" si="47"/>
        <v>0.50930397747752154</v>
      </c>
      <c r="V209" s="1">
        <f t="shared" si="53"/>
        <v>105972.04484848151</v>
      </c>
      <c r="W209" s="7">
        <f t="shared" si="54"/>
        <v>7.2166097765911522E-3</v>
      </c>
      <c r="X209" s="7">
        <f t="shared" si="55"/>
        <v>7.2166097765911522E-3</v>
      </c>
      <c r="Y209">
        <f>LN(B209/B208)</f>
        <v>1.4339820305275891E-2</v>
      </c>
      <c r="Z209">
        <f>LN(C209/C208)</f>
        <v>4.0131539118787882E-4</v>
      </c>
    </row>
    <row r="210" spans="1:26" x14ac:dyDescent="0.3">
      <c r="A210" s="11">
        <v>40485</v>
      </c>
      <c r="B210" s="12">
        <v>22661.77</v>
      </c>
      <c r="C210" s="12">
        <v>24.135200000000001</v>
      </c>
      <c r="D210" s="16">
        <f t="shared" si="44"/>
        <v>5.4122089922794547E-3</v>
      </c>
      <c r="E210" s="15">
        <f t="shared" si="56"/>
        <v>4.0123487493737287E-4</v>
      </c>
      <c r="G210" s="25" t="str">
        <f>IF(VLOOKUP(A210,Aux!B:C,2,FALSE)=0,"",VLOOKUP(A210,Aux!B:C,2,FALSE))</f>
        <v/>
      </c>
      <c r="H210" s="25" t="str">
        <f t="shared" si="45"/>
        <v/>
      </c>
      <c r="L210" s="13">
        <f t="shared" si="48"/>
        <v>106275.13548794216</v>
      </c>
      <c r="M210" s="14">
        <f t="shared" si="49"/>
        <v>281.43519723303825</v>
      </c>
      <c r="N210" s="14">
        <f t="shared" si="50"/>
        <v>21.655442227395266</v>
      </c>
      <c r="O210" s="1">
        <f t="shared" si="51"/>
        <v>2.3070349801871837</v>
      </c>
      <c r="P210" s="1">
        <f t="shared" si="52"/>
        <v>2237.1324615078988</v>
      </c>
      <c r="S210" s="6">
        <f t="shared" si="46"/>
        <v>0.4919447607656855</v>
      </c>
      <c r="T210" s="6">
        <f t="shared" si="47"/>
        <v>0.50805523923431262</v>
      </c>
      <c r="V210" s="1">
        <f t="shared" si="53"/>
        <v>106275.13548794197</v>
      </c>
      <c r="W210" s="7">
        <f t="shared" si="54"/>
        <v>2.8560176394496471E-3</v>
      </c>
      <c r="X210" s="7">
        <f t="shared" si="55"/>
        <v>2.8560176394498682E-3</v>
      </c>
      <c r="Y210">
        <f>LN(B210/B209)</f>
        <v>5.3976156204303249E-3</v>
      </c>
      <c r="Z210">
        <f>LN(C210/C209)</f>
        <v>4.0115440174998644E-4</v>
      </c>
    </row>
    <row r="211" spans="1:26" x14ac:dyDescent="0.3">
      <c r="A211" s="9">
        <v>40486</v>
      </c>
      <c r="B211" s="1">
        <v>23063.66</v>
      </c>
      <c r="C211" s="1">
        <v>24.14489</v>
      </c>
      <c r="D211" s="6">
        <f t="shared" si="44"/>
        <v>1.7734272300883758E-2</v>
      </c>
      <c r="E211" s="5">
        <f t="shared" si="56"/>
        <v>4.0148828267416725E-4</v>
      </c>
      <c r="G211" s="25" t="str">
        <f>IF(VLOOKUP(A211,Aux!B:C,2,FALSE)=0,"",VLOOKUP(A211,Aux!B:C,2,FALSE))</f>
        <v/>
      </c>
      <c r="H211" s="25" t="str">
        <f t="shared" si="45"/>
        <v/>
      </c>
      <c r="L211" s="13">
        <f t="shared" si="48"/>
        <v>107223.98758968159</v>
      </c>
      <c r="M211" s="14">
        <f t="shared" si="49"/>
        <v>927.17428818742587</v>
      </c>
      <c r="N211" s="14">
        <f t="shared" si="50"/>
        <v>21.6778135520095</v>
      </c>
      <c r="O211" s="1">
        <f t="shared" si="51"/>
        <v>2.3070349801871837</v>
      </c>
      <c r="P211" s="1">
        <f t="shared" si="52"/>
        <v>2237.1324615078988</v>
      </c>
      <c r="S211" s="6">
        <f t="shared" si="46"/>
        <v>0.4962384965084467</v>
      </c>
      <c r="T211" s="6">
        <f t="shared" si="47"/>
        <v>0.50376150349155147</v>
      </c>
      <c r="V211" s="1">
        <f t="shared" si="53"/>
        <v>107223.98758968139</v>
      </c>
      <c r="W211" s="7">
        <f t="shared" si="54"/>
        <v>8.888639309504379E-3</v>
      </c>
      <c r="X211" s="7">
        <f t="shared" si="55"/>
        <v>8.8886393095041587E-3</v>
      </c>
      <c r="Y211">
        <f>LN(B211/B210)</f>
        <v>1.7578854880301968E-2</v>
      </c>
      <c r="Z211">
        <f>LN(C211/C210)</f>
        <v>4.0140770781945686E-4</v>
      </c>
    </row>
    <row r="212" spans="1:26" x14ac:dyDescent="0.3">
      <c r="A212" s="11">
        <v>40487</v>
      </c>
      <c r="B212" s="12">
        <v>22976.98</v>
      </c>
      <c r="C212" s="12">
        <v>24.154579999999999</v>
      </c>
      <c r="D212" s="16">
        <f t="shared" si="44"/>
        <v>-3.7582933497979365E-3</v>
      </c>
      <c r="E212" s="15">
        <f t="shared" si="56"/>
        <v>4.0132715452423362E-4</v>
      </c>
      <c r="G212" s="25" t="str">
        <f>IF(VLOOKUP(A212,Aux!B:C,2,FALSE)=0,"",VLOOKUP(A212,Aux!B:C,2,FALSE))</f>
        <v/>
      </c>
      <c r="H212" s="25" t="str">
        <f t="shared" si="45"/>
        <v/>
      </c>
      <c r="L212" s="13">
        <f t="shared" si="48"/>
        <v>107045.69161115098</v>
      </c>
      <c r="M212" s="14">
        <f t="shared" si="49"/>
        <v>-199.97379208262575</v>
      </c>
      <c r="N212" s="14">
        <f t="shared" si="50"/>
        <v>21.6778135520095</v>
      </c>
      <c r="O212" s="1">
        <f t="shared" si="51"/>
        <v>2.3070349801871837</v>
      </c>
      <c r="P212" s="1">
        <f t="shared" si="52"/>
        <v>2237.1324615078988</v>
      </c>
      <c r="S212" s="6">
        <f t="shared" si="46"/>
        <v>0.49519691826195261</v>
      </c>
      <c r="T212" s="6">
        <f t="shared" si="47"/>
        <v>0.50480308173804556</v>
      </c>
      <c r="V212" s="1">
        <f t="shared" si="53"/>
        <v>107045.69161115077</v>
      </c>
      <c r="W212" s="7">
        <f t="shared" si="54"/>
        <v>-1.6642207179921489E-3</v>
      </c>
      <c r="X212" s="7">
        <f t="shared" si="55"/>
        <v>-1.6642207179921489E-3</v>
      </c>
      <c r="Y212">
        <f>LN(B212/B211)</f>
        <v>-3.7653734792855577E-3</v>
      </c>
      <c r="Z212">
        <f>LN(C212/C211)</f>
        <v>4.0124664432165448E-4</v>
      </c>
    </row>
    <row r="213" spans="1:26" x14ac:dyDescent="0.3">
      <c r="A213" s="9">
        <v>40490</v>
      </c>
      <c r="B213" s="1">
        <v>23055.29</v>
      </c>
      <c r="C213" s="1">
        <v>24.164269999999998</v>
      </c>
      <c r="D213" s="6">
        <f t="shared" si="44"/>
        <v>3.4081937661085693E-3</v>
      </c>
      <c r="E213" s="5">
        <f t="shared" si="56"/>
        <v>4.0116615565244373E-4</v>
      </c>
      <c r="G213" s="25" t="str">
        <f>IF(VLOOKUP(A213,Aux!B:C,2,FALSE)=0,"",VLOOKUP(A213,Aux!B:C,2,FALSE))</f>
        <v/>
      </c>
      <c r="H213" s="25" t="str">
        <f t="shared" si="45"/>
        <v/>
      </c>
      <c r="L213" s="13">
        <f t="shared" si="48"/>
        <v>107248.03333400145</v>
      </c>
      <c r="M213" s="14">
        <f t="shared" si="49"/>
        <v>180.66390929846136</v>
      </c>
      <c r="N213" s="14">
        <f t="shared" si="50"/>
        <v>21.6778135520095</v>
      </c>
      <c r="O213" s="1">
        <f t="shared" si="51"/>
        <v>2.3070349801871837</v>
      </c>
      <c r="P213" s="1">
        <f t="shared" si="52"/>
        <v>2237.1324615078988</v>
      </c>
      <c r="S213" s="6">
        <f t="shared" si="46"/>
        <v>0.49594718760681322</v>
      </c>
      <c r="T213" s="6">
        <f t="shared" si="47"/>
        <v>0.50405281239318489</v>
      </c>
      <c r="V213" s="1">
        <f t="shared" si="53"/>
        <v>107248.03333400124</v>
      </c>
      <c r="W213" s="7">
        <f t="shared" si="54"/>
        <v>1.8884527116763605E-3</v>
      </c>
      <c r="X213" s="7">
        <f t="shared" si="55"/>
        <v>1.8884527116763605E-3</v>
      </c>
      <c r="Y213">
        <f>LN(B213/B212)</f>
        <v>3.4023990363767167E-3</v>
      </c>
      <c r="Z213">
        <f>LN(C213/C212)</f>
        <v>4.0108571002421312E-4</v>
      </c>
    </row>
    <row r="214" spans="1:26" x14ac:dyDescent="0.3">
      <c r="A214" s="11">
        <v>40491</v>
      </c>
      <c r="B214" s="12">
        <v>22743.63</v>
      </c>
      <c r="C214" s="12">
        <v>24.173970000000001</v>
      </c>
      <c r="D214" s="16">
        <f t="shared" si="44"/>
        <v>-1.3517938833126797E-2</v>
      </c>
      <c r="E214" s="15">
        <f t="shared" si="56"/>
        <v>4.0141912004809654E-4</v>
      </c>
      <c r="G214" s="25" t="str">
        <f>IF(VLOOKUP(A214,Aux!B:C,2,FALSE)=0,"",VLOOKUP(A214,Aux!B:C,2,FALSE))</f>
        <v/>
      </c>
      <c r="H214" s="25" t="str">
        <f t="shared" si="45"/>
        <v/>
      </c>
      <c r="L214" s="13">
        <f t="shared" si="48"/>
        <v>106550.72299695294</v>
      </c>
      <c r="M214" s="14">
        <f t="shared" si="49"/>
        <v>-719.01052192513737</v>
      </c>
      <c r="N214" s="14">
        <f t="shared" si="50"/>
        <v>21.700184876631681</v>
      </c>
      <c r="O214" s="1">
        <f t="shared" si="51"/>
        <v>2.3070349801871837</v>
      </c>
      <c r="P214" s="1">
        <f t="shared" si="52"/>
        <v>2237.1324615078988</v>
      </c>
      <c r="S214" s="6">
        <f t="shared" si="46"/>
        <v>0.49244480478968822</v>
      </c>
      <c r="T214" s="6">
        <f t="shared" si="47"/>
        <v>0.5075551952103099</v>
      </c>
      <c r="V214" s="1">
        <f t="shared" si="53"/>
        <v>106550.72299695274</v>
      </c>
      <c r="W214" s="7">
        <f t="shared" si="54"/>
        <v>-6.5230763881910722E-3</v>
      </c>
      <c r="X214" s="7">
        <f t="shared" si="55"/>
        <v>-6.5230763881910722E-3</v>
      </c>
      <c r="Y214">
        <f>LN(B214/B213)</f>
        <v>-1.361013800627039E-2</v>
      </c>
      <c r="Z214">
        <f>LN(C214/C213)</f>
        <v>4.0133857294783625E-4</v>
      </c>
    </row>
    <row r="215" spans="1:26" x14ac:dyDescent="0.3">
      <c r="A215" s="9">
        <v>40492</v>
      </c>
      <c r="B215" s="1">
        <v>22763.61</v>
      </c>
      <c r="C215" s="1">
        <v>24.183669999999999</v>
      </c>
      <c r="D215" s="6">
        <f t="shared" si="44"/>
        <v>8.7848773480758702E-4</v>
      </c>
      <c r="E215" s="5">
        <f t="shared" si="56"/>
        <v>4.0125804739554738E-4</v>
      </c>
      <c r="G215" s="25" t="str">
        <f>IF(VLOOKUP(A215,Aux!B:C,2,FALSE)=0,"",VLOOKUP(A215,Aux!B:C,2,FALSE))</f>
        <v/>
      </c>
      <c r="H215" s="25" t="str">
        <f t="shared" si="45"/>
        <v/>
      </c>
      <c r="L215" s="13">
        <f t="shared" si="48"/>
        <v>106618.5177407337</v>
      </c>
      <c r="M215" s="14">
        <f t="shared" si="49"/>
        <v>46.094558904138921</v>
      </c>
      <c r="N215" s="14">
        <f t="shared" si="50"/>
        <v>21.70018487662373</v>
      </c>
      <c r="O215" s="1">
        <f t="shared" si="51"/>
        <v>2.3070349801871837</v>
      </c>
      <c r="P215" s="1">
        <f t="shared" si="52"/>
        <v>2237.1324615078988</v>
      </c>
      <c r="S215" s="6">
        <f t="shared" si="46"/>
        <v>0.49256400912498166</v>
      </c>
      <c r="T215" s="6">
        <f t="shared" si="47"/>
        <v>0.50743599087501645</v>
      </c>
      <c r="V215" s="1">
        <f t="shared" si="53"/>
        <v>106618.5177407335</v>
      </c>
      <c r="W215" s="7">
        <f t="shared" si="54"/>
        <v>6.3606499541724287E-4</v>
      </c>
      <c r="X215" s="7">
        <f t="shared" si="55"/>
        <v>6.3606499541724287E-4</v>
      </c>
      <c r="Y215">
        <f>LN(B215/B214)</f>
        <v>8.7810209029693851E-4</v>
      </c>
      <c r="Z215">
        <f>LN(C215/C214)</f>
        <v>4.0117756491402339E-4</v>
      </c>
    </row>
    <row r="216" spans="1:26" x14ac:dyDescent="0.3">
      <c r="A216" s="11">
        <v>40493</v>
      </c>
      <c r="B216" s="12">
        <v>22542.28</v>
      </c>
      <c r="C216" s="12">
        <v>24.193370000000002</v>
      </c>
      <c r="D216" s="16">
        <f t="shared" si="44"/>
        <v>-9.7229745194195027E-3</v>
      </c>
      <c r="E216" s="15">
        <f t="shared" si="56"/>
        <v>4.0109710395497267E-4</v>
      </c>
      <c r="G216" s="25" t="str">
        <f>IF(VLOOKUP(A216,Aux!B:C,2,FALSE)=0,"",VLOOKUP(A216,Aux!B:C,2,FALSE))</f>
        <v/>
      </c>
      <c r="H216" s="25" t="str">
        <f t="shared" si="45"/>
        <v/>
      </c>
      <c r="L216" s="13">
        <f t="shared" si="48"/>
        <v>106129.60187344551</v>
      </c>
      <c r="M216" s="14">
        <f t="shared" si="49"/>
        <v>-510.61605216483338</v>
      </c>
      <c r="N216" s="14">
        <f t="shared" si="50"/>
        <v>21.700184876631681</v>
      </c>
      <c r="O216" s="1">
        <f t="shared" si="51"/>
        <v>2.3070349801871837</v>
      </c>
      <c r="P216" s="1">
        <f t="shared" si="52"/>
        <v>2237.1324615078988</v>
      </c>
      <c r="S216" s="6">
        <f t="shared" si="46"/>
        <v>0.49002189375202232</v>
      </c>
      <c r="T216" s="6">
        <f t="shared" si="47"/>
        <v>0.50997810624797568</v>
      </c>
      <c r="V216" s="1">
        <f t="shared" si="53"/>
        <v>106129.6018734453</v>
      </c>
      <c r="W216" s="7">
        <f t="shared" si="54"/>
        <v>-4.5962025786490347E-3</v>
      </c>
      <c r="X216" s="7">
        <f t="shared" si="55"/>
        <v>-4.5962025786491457E-3</v>
      </c>
      <c r="Y216">
        <f>LN(B216/B215)</f>
        <v>-9.7705512790978843E-3</v>
      </c>
      <c r="Z216">
        <f>LN(C216/C215)</f>
        <v>4.0101668601445555E-4</v>
      </c>
    </row>
    <row r="217" spans="1:26" x14ac:dyDescent="0.3">
      <c r="A217" s="9">
        <v>40494</v>
      </c>
      <c r="B217" s="1">
        <v>22282.43</v>
      </c>
      <c r="C217" s="1">
        <v>24.20307</v>
      </c>
      <c r="D217" s="6">
        <f t="shared" si="44"/>
        <v>-1.1527227946773744E-2</v>
      </c>
      <c r="E217" s="5">
        <f t="shared" si="56"/>
        <v>4.0093628957027505E-4</v>
      </c>
      <c r="G217" s="25" t="str">
        <f>IF(VLOOKUP(A217,Aux!B:C,2,FALSE)=0,"",VLOOKUP(A217,Aux!B:C,2,FALSE))</f>
        <v/>
      </c>
      <c r="H217" s="25" t="str">
        <f t="shared" si="45"/>
        <v/>
      </c>
      <c r="L217" s="13">
        <f t="shared" si="48"/>
        <v>105551.8190187205</v>
      </c>
      <c r="M217" s="14">
        <f t="shared" si="49"/>
        <v>-599.48303960163628</v>
      </c>
      <c r="N217" s="14">
        <f t="shared" si="50"/>
        <v>21.70018487662373</v>
      </c>
      <c r="O217" s="1">
        <f t="shared" si="51"/>
        <v>2.3070349801871837</v>
      </c>
      <c r="P217" s="1">
        <f t="shared" si="52"/>
        <v>2237.1324615078988</v>
      </c>
      <c r="S217" s="6">
        <f t="shared" si="46"/>
        <v>0.48702472332054231</v>
      </c>
      <c r="T217" s="6">
        <f t="shared" si="47"/>
        <v>0.51297527667945564</v>
      </c>
      <c r="V217" s="1">
        <f t="shared" si="53"/>
        <v>105551.81901872029</v>
      </c>
      <c r="W217" s="7">
        <f t="shared" si="54"/>
        <v>-5.4589985946673887E-3</v>
      </c>
      <c r="X217" s="7">
        <f t="shared" si="55"/>
        <v>-5.4589985946675006E-3</v>
      </c>
      <c r="Y217">
        <f>LN(B217/B216)</f>
        <v>-1.1594181461777632E-2</v>
      </c>
      <c r="Z217">
        <f>LN(C217/C216)</f>
        <v>4.0085593609316038E-4</v>
      </c>
    </row>
    <row r="218" spans="1:26" x14ac:dyDescent="0.3">
      <c r="A218" s="11">
        <v>40498</v>
      </c>
      <c r="B218" s="12">
        <v>21920.43</v>
      </c>
      <c r="C218" s="12">
        <v>24.212779999999999</v>
      </c>
      <c r="D218" s="16">
        <f t="shared" si="44"/>
        <v>-1.6245983943402931E-2</v>
      </c>
      <c r="E218" s="15">
        <f t="shared" si="56"/>
        <v>4.0118877481232218E-4</v>
      </c>
      <c r="G218" s="25" t="str">
        <f>IF(VLOOKUP(A218,Aux!B:C,2,FALSE)=0,"",VLOOKUP(A218,Aux!B:C,2,FALSE))</f>
        <v/>
      </c>
      <c r="H218" s="25" t="str">
        <f t="shared" si="45"/>
        <v/>
      </c>
      <c r="L218" s="13">
        <f t="shared" si="48"/>
        <v>104738.39491209398</v>
      </c>
      <c r="M218" s="14">
        <f t="shared" si="49"/>
        <v>-835.14666282776045</v>
      </c>
      <c r="N218" s="14">
        <f t="shared" si="50"/>
        <v>21.722556201237964</v>
      </c>
      <c r="O218" s="1">
        <f t="shared" si="51"/>
        <v>2.3070349801871837</v>
      </c>
      <c r="P218" s="1">
        <f t="shared" si="52"/>
        <v>2237.1324615078988</v>
      </c>
      <c r="S218" s="6">
        <f t="shared" si="46"/>
        <v>0.48283343308047166</v>
      </c>
      <c r="T218" s="6">
        <f t="shared" si="47"/>
        <v>0.51716656691952623</v>
      </c>
      <c r="V218" s="1">
        <f t="shared" si="53"/>
        <v>104738.39491209376</v>
      </c>
      <c r="W218" s="7">
        <f t="shared" si="54"/>
        <v>-7.7362436257408136E-3</v>
      </c>
      <c r="X218" s="7">
        <f t="shared" si="55"/>
        <v>-7.7362436257409255E-3</v>
      </c>
      <c r="Y218">
        <f>LN(B218/B217)</f>
        <v>-1.6379396863332684E-2</v>
      </c>
      <c r="Z218">
        <f>LN(C218/C217)</f>
        <v>4.0110832011343327E-4</v>
      </c>
    </row>
    <row r="219" spans="1:26" x14ac:dyDescent="0.3">
      <c r="A219" s="9">
        <v>40499</v>
      </c>
      <c r="B219" s="1">
        <v>22020.76</v>
      </c>
      <c r="C219" s="1">
        <v>24.2225</v>
      </c>
      <c r="D219" s="6">
        <f t="shared" ref="D219:D282" si="57">B219/B218-1</f>
        <v>4.5770087539340754E-3</v>
      </c>
      <c r="E219" s="5">
        <f t="shared" si="56"/>
        <v>4.0144089195881527E-4</v>
      </c>
      <c r="G219" s="25" t="str">
        <f>IF(VLOOKUP(A219,Aux!B:C,2,FALSE)=0,"",VLOOKUP(A219,Aux!B:C,2,FALSE))</f>
        <v/>
      </c>
      <c r="H219" s="25" t="str">
        <f t="shared" si="45"/>
        <v/>
      </c>
      <c r="L219" s="13">
        <f t="shared" si="48"/>
        <v>104991.604659182</v>
      </c>
      <c r="M219" s="14">
        <f t="shared" si="49"/>
        <v>231.46481956217576</v>
      </c>
      <c r="N219" s="14">
        <f t="shared" si="50"/>
        <v>21.744927525860145</v>
      </c>
      <c r="O219" s="1">
        <f t="shared" si="51"/>
        <v>2.3070349801871837</v>
      </c>
      <c r="P219" s="1">
        <f t="shared" si="52"/>
        <v>2237.1324615078988</v>
      </c>
      <c r="S219" s="6">
        <f t="shared" si="46"/>
        <v>0.48387357994212532</v>
      </c>
      <c r="T219" s="6">
        <f t="shared" si="47"/>
        <v>0.51612642005787279</v>
      </c>
      <c r="V219" s="1">
        <f t="shared" si="53"/>
        <v>104991.6046591818</v>
      </c>
      <c r="W219" s="7">
        <f t="shared" si="54"/>
        <v>2.4146270980051282E-3</v>
      </c>
      <c r="X219" s="7">
        <f t="shared" si="55"/>
        <v>2.4146270980051282E-3</v>
      </c>
      <c r="Y219">
        <f>LN(B219/B218)</f>
        <v>4.5665661013183064E-3</v>
      </c>
      <c r="Z219">
        <f>LN(C219/C218)</f>
        <v>4.0136033612216381E-4</v>
      </c>
    </row>
    <row r="220" spans="1:26" x14ac:dyDescent="0.3">
      <c r="A220" s="11">
        <v>40500</v>
      </c>
      <c r="B220" s="12">
        <v>22365.27</v>
      </c>
      <c r="C220" s="12">
        <v>24.232220000000002</v>
      </c>
      <c r="D220" s="16">
        <f t="shared" si="57"/>
        <v>1.564478246890677E-2</v>
      </c>
      <c r="E220" s="15">
        <f t="shared" si="56"/>
        <v>4.0127980183712886E-4</v>
      </c>
      <c r="G220" s="25" t="str">
        <f>IF(VLOOKUP(A220,Aux!B:C,2,FALSE)=0,"",VLOOKUP(A220,Aux!B:C,2,FALSE))</f>
        <v/>
      </c>
      <c r="H220" s="25" t="str">
        <f t="shared" si="45"/>
        <v/>
      </c>
      <c r="L220" s="13">
        <f t="shared" si="48"/>
        <v>105808.14620773215</v>
      </c>
      <c r="M220" s="14">
        <f t="shared" si="49"/>
        <v>794.79662102429131</v>
      </c>
      <c r="N220" s="14">
        <f t="shared" si="50"/>
        <v>21.744927525860145</v>
      </c>
      <c r="O220" s="1">
        <f t="shared" si="51"/>
        <v>2.3070349801871837</v>
      </c>
      <c r="P220" s="1">
        <f t="shared" si="52"/>
        <v>2237.1324615078988</v>
      </c>
      <c r="S220" s="6">
        <f t="shared" si="46"/>
        <v>0.48765111270383854</v>
      </c>
      <c r="T220" s="6">
        <f t="shared" si="47"/>
        <v>0.51234888729615968</v>
      </c>
      <c r="V220" s="1">
        <f t="shared" si="53"/>
        <v>105808.14620773196</v>
      </c>
      <c r="W220" s="7">
        <f t="shared" si="54"/>
        <v>7.7471214184372771E-3</v>
      </c>
      <c r="X220" s="7">
        <f t="shared" si="55"/>
        <v>7.7471214184372771E-3</v>
      </c>
      <c r="Y220">
        <f>LN(B220/B219)</f>
        <v>1.5523664469500357E-2</v>
      </c>
      <c r="Z220">
        <f>LN(C220/C219)</f>
        <v>4.0119931062972488E-4</v>
      </c>
    </row>
    <row r="221" spans="1:26" x14ac:dyDescent="0.3">
      <c r="A221" s="9">
        <v>40501</v>
      </c>
      <c r="B221" s="1">
        <v>22428.45</v>
      </c>
      <c r="C221" s="1">
        <v>24.24194</v>
      </c>
      <c r="D221" s="6">
        <f t="shared" si="57"/>
        <v>2.8249155945803128E-3</v>
      </c>
      <c r="E221" s="5">
        <f t="shared" si="56"/>
        <v>4.0111884094806705E-4</v>
      </c>
      <c r="G221" s="25" t="str">
        <f>IF(VLOOKUP(A221,Aux!B:C,2,FALSE)=0,"",VLOOKUP(A221,Aux!B:C,2,FALSE))</f>
        <v/>
      </c>
      <c r="H221" s="25" t="str">
        <f t="shared" si="45"/>
        <v/>
      </c>
      <c r="L221" s="13">
        <f t="shared" si="48"/>
        <v>105975.64960530623</v>
      </c>
      <c r="M221" s="14">
        <f t="shared" si="49"/>
        <v>145.75847004822694</v>
      </c>
      <c r="N221" s="14">
        <f t="shared" si="50"/>
        <v>21.744927525852194</v>
      </c>
      <c r="O221" s="1">
        <f t="shared" si="51"/>
        <v>2.3070349801871837</v>
      </c>
      <c r="P221" s="1">
        <f t="shared" si="52"/>
        <v>2237.1324615078988</v>
      </c>
      <c r="S221" s="6">
        <f t="shared" si="46"/>
        <v>0.48825573510604314</v>
      </c>
      <c r="T221" s="6">
        <f t="shared" si="47"/>
        <v>0.51174426489395497</v>
      </c>
      <c r="V221" s="1">
        <f t="shared" si="53"/>
        <v>105975.64960530604</v>
      </c>
      <c r="W221" s="7">
        <f t="shared" si="54"/>
        <v>1.5818342650651624E-3</v>
      </c>
      <c r="X221" s="7">
        <f t="shared" si="55"/>
        <v>1.5818342650651624E-3</v>
      </c>
      <c r="Y221">
        <f>LN(B221/B220)</f>
        <v>2.8209330190522193E-3</v>
      </c>
      <c r="Z221">
        <f>LN(C221/C220)</f>
        <v>4.0103841429216453E-4</v>
      </c>
    </row>
    <row r="222" spans="1:26" x14ac:dyDescent="0.3">
      <c r="A222" s="11">
        <v>40504</v>
      </c>
      <c r="B222" s="12">
        <v>22068.33</v>
      </c>
      <c r="C222" s="12">
        <v>24.251670000000001</v>
      </c>
      <c r="D222" s="16">
        <f t="shared" si="57"/>
        <v>-1.6056392661998431E-2</v>
      </c>
      <c r="E222" s="15">
        <f t="shared" si="56"/>
        <v>4.0137051737620943E-4</v>
      </c>
      <c r="G222" s="25" t="str">
        <f>IF(VLOOKUP(A222,Aux!B:C,2,FALSE)=0,"",VLOOKUP(A222,Aux!B:C,2,FALSE))</f>
        <v/>
      </c>
      <c r="H222" s="25" t="str">
        <f t="shared" si="45"/>
        <v/>
      </c>
      <c r="L222" s="13">
        <f t="shared" si="48"/>
        <v>105166.6074670917</v>
      </c>
      <c r="M222" s="14">
        <f t="shared" si="49"/>
        <v>-830.80943706500625</v>
      </c>
      <c r="N222" s="14">
        <f t="shared" si="50"/>
        <v>21.767298850474376</v>
      </c>
      <c r="O222" s="1">
        <f t="shared" si="51"/>
        <v>2.3070349801871837</v>
      </c>
      <c r="P222" s="1">
        <f t="shared" si="52"/>
        <v>2237.1324615078988</v>
      </c>
      <c r="S222" s="6">
        <f t="shared" si="46"/>
        <v>0.48411192954232679</v>
      </c>
      <c r="T222" s="6">
        <f t="shared" si="47"/>
        <v>0.51588807045767138</v>
      </c>
      <c r="V222" s="1">
        <f t="shared" si="53"/>
        <v>105166.6074670915</v>
      </c>
      <c r="W222" s="7">
        <f t="shared" si="54"/>
        <v>-7.6635166165313602E-3</v>
      </c>
      <c r="X222" s="7">
        <f t="shared" si="55"/>
        <v>-7.6635166165314721E-3</v>
      </c>
      <c r="Y222">
        <f>LN(B222/B221)</f>
        <v>-1.6186693187994473E-2</v>
      </c>
      <c r="Z222">
        <f>LN(C222/C221)</f>
        <v>4.012899897769822E-4</v>
      </c>
    </row>
    <row r="223" spans="1:26" x14ac:dyDescent="0.3">
      <c r="A223" s="9">
        <v>40505</v>
      </c>
      <c r="B223" s="1">
        <v>21592.74</v>
      </c>
      <c r="C223" s="1">
        <v>24.261410000000001</v>
      </c>
      <c r="D223" s="6">
        <f t="shared" si="57"/>
        <v>-2.1550792470476976E-2</v>
      </c>
      <c r="E223" s="5">
        <f t="shared" si="56"/>
        <v>4.0162182645575584E-4</v>
      </c>
      <c r="G223" s="25" t="str">
        <f>IF(VLOOKUP(A223,Aux!B:C,2,FALSE)=0,"",VLOOKUP(A223,Aux!B:C,2,FALSE))</f>
        <v/>
      </c>
      <c r="H223" s="25" t="str">
        <f t="shared" si="45"/>
        <v/>
      </c>
      <c r="L223" s="13">
        <f t="shared" si="48"/>
        <v>104091.19437103957</v>
      </c>
      <c r="M223" s="14">
        <f t="shared" si="49"/>
        <v>-1097.202766227223</v>
      </c>
      <c r="N223" s="14">
        <f t="shared" si="50"/>
        <v>21.789670175088609</v>
      </c>
      <c r="O223" s="1">
        <f t="shared" si="51"/>
        <v>2.3070349801871837</v>
      </c>
      <c r="P223" s="1">
        <f t="shared" si="52"/>
        <v>2237.1324615078988</v>
      </c>
      <c r="S223" s="6">
        <f t="shared" si="46"/>
        <v>0.4785727246102835</v>
      </c>
      <c r="T223" s="6">
        <f t="shared" si="47"/>
        <v>0.52142727538971456</v>
      </c>
      <c r="V223" s="1">
        <f t="shared" si="53"/>
        <v>104091.19437103937</v>
      </c>
      <c r="W223" s="7">
        <f t="shared" si="54"/>
        <v>-1.0278446532344814E-2</v>
      </c>
      <c r="X223" s="7">
        <f t="shared" si="55"/>
        <v>-1.0278446532344927E-2</v>
      </c>
      <c r="Y223">
        <f>LN(B223/B222)</f>
        <v>-2.1786401996596993E-2</v>
      </c>
      <c r="Z223">
        <f>LN(C223/C222)</f>
        <v>4.015411979973898E-4</v>
      </c>
    </row>
    <row r="224" spans="1:26" x14ac:dyDescent="0.3">
      <c r="A224" s="11">
        <v>40506</v>
      </c>
      <c r="B224" s="12">
        <v>22059.54</v>
      </c>
      <c r="C224" s="12">
        <v>24.271139999999999</v>
      </c>
      <c r="D224" s="16">
        <f t="shared" si="57"/>
        <v>2.1618377287921708E-2</v>
      </c>
      <c r="E224" s="15">
        <f t="shared" si="56"/>
        <v>4.0104841392141211E-4</v>
      </c>
      <c r="G224" s="25" t="str">
        <f>IF(VLOOKUP(A224,Aux!B:C,2,FALSE)=0,"",VLOOKUP(A224,Aux!B:C,2,FALSE))</f>
        <v/>
      </c>
      <c r="H224" s="25" t="str">
        <f t="shared" si="45"/>
        <v/>
      </c>
      <c r="L224" s="13">
        <f t="shared" si="48"/>
        <v>105189.88559864141</v>
      </c>
      <c r="M224" s="14">
        <f t="shared" si="49"/>
        <v>1076.9239287513756</v>
      </c>
      <c r="N224" s="14">
        <f t="shared" si="50"/>
        <v>21.767298850466428</v>
      </c>
      <c r="O224" s="1">
        <f t="shared" si="51"/>
        <v>2.3070349801871837</v>
      </c>
      <c r="P224" s="1">
        <f t="shared" si="52"/>
        <v>2237.1324615078988</v>
      </c>
      <c r="S224" s="6">
        <f t="shared" si="46"/>
        <v>0.48381201421798764</v>
      </c>
      <c r="T224" s="6">
        <f t="shared" si="47"/>
        <v>0.51618798578201042</v>
      </c>
      <c r="V224" s="1">
        <f t="shared" si="53"/>
        <v>105189.88559864121</v>
      </c>
      <c r="W224" s="7">
        <f t="shared" si="54"/>
        <v>1.0499767313134433E-2</v>
      </c>
      <c r="X224" s="7">
        <f t="shared" si="55"/>
        <v>1.0499767313134433E-2</v>
      </c>
      <c r="Y224">
        <f>LN(B224/B223)</f>
        <v>2.1388014305722281E-2</v>
      </c>
      <c r="Z224">
        <f>LN(C224/C223)</f>
        <v>4.0096801550131201E-4</v>
      </c>
    </row>
    <row r="225" spans="1:26" x14ac:dyDescent="0.3">
      <c r="A225" s="9">
        <v>40507</v>
      </c>
      <c r="B225" s="1">
        <v>21948.59</v>
      </c>
      <c r="C225" s="1">
        <v>24.28088</v>
      </c>
      <c r="D225" s="6">
        <f t="shared" si="57"/>
        <v>-5.0295699729006049E-3</v>
      </c>
      <c r="E225" s="5">
        <f t="shared" si="56"/>
        <v>4.0129965053159466E-4</v>
      </c>
      <c r="G225" s="25" t="str">
        <f>IF(VLOOKUP(A225,Aux!B:C,2,FALSE)=0,"",VLOOKUP(A225,Aux!B:C,2,FALSE))</f>
        <v/>
      </c>
      <c r="H225" s="25" t="str">
        <f t="shared" si="45"/>
        <v/>
      </c>
      <c r="L225" s="13">
        <f t="shared" si="48"/>
        <v>104955.70973776473</v>
      </c>
      <c r="M225" s="14">
        <f t="shared" si="49"/>
        <v>-255.96553105176972</v>
      </c>
      <c r="N225" s="14">
        <f t="shared" si="50"/>
        <v>21.789670175088609</v>
      </c>
      <c r="O225" s="1">
        <f t="shared" si="51"/>
        <v>2.3070349801871837</v>
      </c>
      <c r="P225" s="1">
        <f t="shared" si="52"/>
        <v>2237.1324615078988</v>
      </c>
      <c r="S225" s="6">
        <f t="shared" si="46"/>
        <v>0.48245269382964234</v>
      </c>
      <c r="T225" s="6">
        <f t="shared" si="47"/>
        <v>0.51754730617035583</v>
      </c>
      <c r="V225" s="1">
        <f t="shared" si="53"/>
        <v>104955.70973776453</v>
      </c>
      <c r="W225" s="7">
        <f t="shared" si="54"/>
        <v>-2.2287020333050201E-3</v>
      </c>
      <c r="X225" s="7">
        <f t="shared" si="55"/>
        <v>-2.2287020333050201E-3</v>
      </c>
      <c r="Y225">
        <f>LN(B225/B224)</f>
        <v>-5.0422608308788568E-3</v>
      </c>
      <c r="Z225">
        <f>LN(C225/C224)</f>
        <v>4.0121915136230856E-4</v>
      </c>
    </row>
    <row r="226" spans="1:26" x14ac:dyDescent="0.3">
      <c r="A226" s="11">
        <v>40508</v>
      </c>
      <c r="B226" s="12">
        <v>21672.85</v>
      </c>
      <c r="C226" s="12">
        <v>24.29063</v>
      </c>
      <c r="D226" s="16">
        <f t="shared" si="57"/>
        <v>-1.2562993795956934E-2</v>
      </c>
      <c r="E226" s="15">
        <f t="shared" si="56"/>
        <v>4.0155052040957706E-4</v>
      </c>
      <c r="G226" s="25" t="str">
        <f>IF(VLOOKUP(A226,Aux!B:C,2,FALSE)=0,"",VLOOKUP(A226,Aux!B:C,2,FALSE))</f>
        <v/>
      </c>
      <c r="H226" s="25" t="str">
        <f t="shared" si="45"/>
        <v/>
      </c>
      <c r="L226" s="13">
        <f t="shared" si="48"/>
        <v>104341.37995382761</v>
      </c>
      <c r="M226" s="14">
        <f t="shared" si="49"/>
        <v>-636.14182543681773</v>
      </c>
      <c r="N226" s="14">
        <f t="shared" si="50"/>
        <v>21.81204149970284</v>
      </c>
      <c r="O226" s="1">
        <f t="shared" si="51"/>
        <v>2.3070349801871837</v>
      </c>
      <c r="P226" s="1">
        <f t="shared" si="52"/>
        <v>2237.1324615078988</v>
      </c>
      <c r="S226" s="6">
        <f t="shared" si="46"/>
        <v>0.47919649033274669</v>
      </c>
      <c r="T226" s="6">
        <f t="shared" si="47"/>
        <v>0.52080350966725153</v>
      </c>
      <c r="V226" s="1">
        <f t="shared" si="53"/>
        <v>104341.37995382742</v>
      </c>
      <c r="W226" s="7">
        <f t="shared" si="54"/>
        <v>-5.8704260922988194E-3</v>
      </c>
      <c r="X226" s="7">
        <f t="shared" si="55"/>
        <v>-5.8704260922987075E-3</v>
      </c>
      <c r="Y226">
        <f>LN(B226/B225)</f>
        <v>-1.2642575427383515E-2</v>
      </c>
      <c r="Z226">
        <f>LN(C226/C225)</f>
        <v>4.0146992057523822E-4</v>
      </c>
    </row>
    <row r="227" spans="1:26" x14ac:dyDescent="0.3">
      <c r="A227" s="9">
        <v>40511</v>
      </c>
      <c r="B227" s="1">
        <v>21609.23</v>
      </c>
      <c r="C227" s="1">
        <v>24.300370000000001</v>
      </c>
      <c r="D227" s="6">
        <f t="shared" si="57"/>
        <v>-2.9354699543437945E-3</v>
      </c>
      <c r="E227" s="5">
        <f t="shared" si="56"/>
        <v>4.0097766093349918E-4</v>
      </c>
      <c r="G227" s="25" t="str">
        <f>IF(VLOOKUP(A227,Aux!B:C,2,FALSE)=0,"",VLOOKUP(A227,Aux!B:C,2,FALSE))</f>
        <v/>
      </c>
      <c r="H227" s="25" t="str">
        <f t="shared" si="45"/>
        <v/>
      </c>
      <c r="L227" s="13">
        <f t="shared" si="48"/>
        <v>104216.39605856319</v>
      </c>
      <c r="M227" s="14">
        <f t="shared" si="49"/>
        <v>-146.77356543950629</v>
      </c>
      <c r="N227" s="14">
        <f t="shared" si="50"/>
        <v>21.789670175088609</v>
      </c>
      <c r="O227" s="1">
        <f t="shared" si="51"/>
        <v>2.3070349801871837</v>
      </c>
      <c r="P227" s="1">
        <f t="shared" si="52"/>
        <v>2237.1324615078988</v>
      </c>
      <c r="S227" s="6">
        <f t="shared" si="46"/>
        <v>0.47836282380073708</v>
      </c>
      <c r="T227" s="6">
        <f t="shared" si="47"/>
        <v>0.52163717619926109</v>
      </c>
      <c r="V227" s="1">
        <f t="shared" si="53"/>
        <v>104216.396058563</v>
      </c>
      <c r="W227" s="7">
        <f t="shared" si="54"/>
        <v>-1.198554305824016E-3</v>
      </c>
      <c r="X227" s="7">
        <f t="shared" si="55"/>
        <v>-1.198554305824127E-3</v>
      </c>
      <c r="Y227">
        <f>LN(B227/B226)</f>
        <v>-2.9397868965094238E-3</v>
      </c>
      <c r="Z227">
        <f>LN(C227/C226)</f>
        <v>4.0089729087489632E-4</v>
      </c>
    </row>
    <row r="228" spans="1:26" x14ac:dyDescent="0.3">
      <c r="A228" s="11">
        <v>40512</v>
      </c>
      <c r="B228" s="12">
        <v>21494.23</v>
      </c>
      <c r="C228" s="12">
        <v>24.310130000000001</v>
      </c>
      <c r="D228" s="16">
        <f t="shared" si="57"/>
        <v>-5.3217999900968538E-3</v>
      </c>
      <c r="E228" s="15">
        <f t="shared" si="56"/>
        <v>4.0163997502928872E-4</v>
      </c>
      <c r="G228" s="25" t="str">
        <f>IF(VLOOKUP(A228,Aux!B:C,2,FALSE)=0,"",VLOOKUP(A228,Aux!B:C,2,FALSE))</f>
        <v/>
      </c>
      <c r="H228" s="25" t="str">
        <f t="shared" si="45"/>
        <v/>
      </c>
      <c r="L228" s="13">
        <f t="shared" si="48"/>
        <v>103972.92144866598</v>
      </c>
      <c r="M228" s="14">
        <f t="shared" si="49"/>
        <v>-265.30902272152611</v>
      </c>
      <c r="N228" s="14">
        <f t="shared" si="50"/>
        <v>21.834412824317074</v>
      </c>
      <c r="O228" s="1">
        <f t="shared" si="51"/>
        <v>2.3070349801871837</v>
      </c>
      <c r="P228" s="1">
        <f t="shared" si="52"/>
        <v>2237.1324615078988</v>
      </c>
      <c r="S228" s="6">
        <f t="shared" si="46"/>
        <v>0.4769312989504827</v>
      </c>
      <c r="T228" s="6">
        <f t="shared" si="47"/>
        <v>0.52306870104951553</v>
      </c>
      <c r="V228" s="1">
        <f t="shared" si="53"/>
        <v>103972.92144866579</v>
      </c>
      <c r="W228" s="7">
        <f t="shared" si="54"/>
        <v>-2.3389741972598761E-3</v>
      </c>
      <c r="X228" s="7">
        <f t="shared" si="55"/>
        <v>-2.3389741972598761E-3</v>
      </c>
      <c r="Y228">
        <f>LN(B228/B227)</f>
        <v>-5.3360112095999224E-3</v>
      </c>
      <c r="Z228">
        <f>LN(C228/C227)</f>
        <v>4.0155933928482106E-4</v>
      </c>
    </row>
    <row r="229" spans="1:26" x14ac:dyDescent="0.3">
      <c r="A229" s="9">
        <v>40513</v>
      </c>
      <c r="B229" s="1">
        <v>21992.9</v>
      </c>
      <c r="C229" s="1">
        <v>24.319880000000001</v>
      </c>
      <c r="D229" s="6">
        <f t="shared" si="57"/>
        <v>2.3200179769175433E-2</v>
      </c>
      <c r="E229" s="5">
        <f t="shared" si="56"/>
        <v>4.0106737397138659E-4</v>
      </c>
      <c r="G229" s="25" t="str">
        <f>IF(VLOOKUP(A229,Aux!B:C,2,FALSE)=0,"",VLOOKUP(A229,Aux!B:C,2,FALSE))</f>
        <v/>
      </c>
      <c r="H229" s="25" t="str">
        <f t="shared" si="45"/>
        <v/>
      </c>
      <c r="L229" s="13">
        <f t="shared" si="48"/>
        <v>105145.18262373561</v>
      </c>
      <c r="M229" s="14">
        <f t="shared" si="49"/>
        <v>1150.4491335699472</v>
      </c>
      <c r="N229" s="14">
        <f t="shared" si="50"/>
        <v>21.81204149970284</v>
      </c>
      <c r="O229" s="1">
        <f t="shared" si="51"/>
        <v>2.3070349801871837</v>
      </c>
      <c r="P229" s="1">
        <f t="shared" si="52"/>
        <v>2237.1324615078988</v>
      </c>
      <c r="S229" s="6">
        <f t="shared" si="46"/>
        <v>0.48255553273731217</v>
      </c>
      <c r="T229" s="6">
        <f t="shared" si="47"/>
        <v>0.51744446726268623</v>
      </c>
      <c r="V229" s="1">
        <f t="shared" si="53"/>
        <v>105145.18262373544</v>
      </c>
      <c r="W229" s="7">
        <f t="shared" si="54"/>
        <v>1.1211592221153035E-2</v>
      </c>
      <c r="X229" s="7">
        <f t="shared" si="55"/>
        <v>1.1211592221153035E-2</v>
      </c>
      <c r="Y229">
        <f>LN(B229/B228)</f>
        <v>2.2935146975576064E-2</v>
      </c>
      <c r="Z229">
        <f>LN(C229/C228)</f>
        <v>4.009869679502572E-4</v>
      </c>
    </row>
    <row r="230" spans="1:26" x14ac:dyDescent="0.3">
      <c r="A230" s="11">
        <v>40514</v>
      </c>
      <c r="B230" s="12">
        <v>22078.080000000002</v>
      </c>
      <c r="C230" s="12">
        <v>24.329640000000001</v>
      </c>
      <c r="D230" s="16">
        <f t="shared" si="57"/>
        <v>3.8730681265317646E-3</v>
      </c>
      <c r="E230" s="15">
        <f t="shared" si="56"/>
        <v>4.0131776966001453E-4</v>
      </c>
      <c r="G230" s="25" t="str">
        <f>IF(VLOOKUP(A230,Aux!B:C,2,FALSE)=0,"",VLOOKUP(A230,Aux!B:C,2,FALSE))</f>
        <v/>
      </c>
      <c r="H230" s="25" t="str">
        <f t="shared" si="45"/>
        <v/>
      </c>
      <c r="L230" s="13">
        <f t="shared" si="48"/>
        <v>105363.53027617229</v>
      </c>
      <c r="M230" s="14">
        <f t="shared" si="49"/>
        <v>196.51323961234499</v>
      </c>
      <c r="N230" s="14">
        <f t="shared" si="50"/>
        <v>21.834412824317074</v>
      </c>
      <c r="O230" s="1">
        <f t="shared" si="51"/>
        <v>2.3070349801871837</v>
      </c>
      <c r="P230" s="1">
        <f t="shared" si="52"/>
        <v>2237.1324615078988</v>
      </c>
      <c r="S230" s="6">
        <f t="shared" si="46"/>
        <v>0.48342061737931219</v>
      </c>
      <c r="T230" s="6">
        <f t="shared" si="47"/>
        <v>0.51657938262068603</v>
      </c>
      <c r="V230" s="1">
        <f t="shared" si="53"/>
        <v>105363.5302761721</v>
      </c>
      <c r="W230" s="7">
        <f t="shared" si="54"/>
        <v>2.0744768967789597E-3</v>
      </c>
      <c r="X230" s="7">
        <f t="shared" si="55"/>
        <v>2.0744768967787381E-3</v>
      </c>
      <c r="Y230">
        <f>LN(B230/B229)</f>
        <v>3.8655871082826673E-3</v>
      </c>
      <c r="Z230">
        <f>LN(C230/C229)</f>
        <v>4.0123726322228125E-4</v>
      </c>
    </row>
    <row r="231" spans="1:26" x14ac:dyDescent="0.3">
      <c r="A231" s="9">
        <v>40515</v>
      </c>
      <c r="B231" s="1">
        <v>22107.87</v>
      </c>
      <c r="C231" s="1">
        <v>24.339410000000001</v>
      </c>
      <c r="D231" s="6">
        <f t="shared" si="57"/>
        <v>1.3493021132271465E-3</v>
      </c>
      <c r="E231" s="5">
        <f t="shared" si="56"/>
        <v>4.0156779960565103E-4</v>
      </c>
      <c r="G231" s="25" t="str">
        <f>IF(VLOOKUP(A231,Aux!B:C,2,FALSE)=0,"",VLOOKUP(A231,Aux!B:C,2,FALSE))</f>
        <v/>
      </c>
      <c r="H231" s="25" t="str">
        <f t="shared" si="45"/>
        <v/>
      </c>
      <c r="L231" s="13">
        <f t="shared" si="48"/>
        <v>105454.11363238098</v>
      </c>
      <c r="M231" s="14">
        <f t="shared" si="49"/>
        <v>68.726572059769822</v>
      </c>
      <c r="N231" s="14">
        <f t="shared" si="50"/>
        <v>21.856784148931304</v>
      </c>
      <c r="O231" s="1">
        <f t="shared" si="51"/>
        <v>2.3070349801871837</v>
      </c>
      <c r="P231" s="1">
        <f t="shared" si="52"/>
        <v>2237.1324615078988</v>
      </c>
      <c r="S231" s="6">
        <f t="shared" si="46"/>
        <v>0.4836570871500791</v>
      </c>
      <c r="T231" s="6">
        <f t="shared" si="47"/>
        <v>0.51634291284991929</v>
      </c>
      <c r="V231" s="1">
        <f t="shared" si="53"/>
        <v>105454.1136323808</v>
      </c>
      <c r="W231" s="7">
        <f t="shared" si="54"/>
        <v>8.5935275723443376E-4</v>
      </c>
      <c r="X231" s="7">
        <f t="shared" si="55"/>
        <v>8.5935275723465559E-4</v>
      </c>
      <c r="Y231">
        <f>LN(B231/B230)</f>
        <v>1.3483926231567583E-3</v>
      </c>
      <c r="Z231">
        <f>LN(C231/C230)</f>
        <v>4.0148719283547791E-4</v>
      </c>
    </row>
    <row r="232" spans="1:26" x14ac:dyDescent="0.3">
      <c r="A232" s="11">
        <v>40518</v>
      </c>
      <c r="B232" s="12">
        <v>22038.07</v>
      </c>
      <c r="C232" s="12">
        <v>24.34918</v>
      </c>
      <c r="D232" s="16">
        <f t="shared" si="57"/>
        <v>-3.157246718023865E-3</v>
      </c>
      <c r="E232" s="15">
        <f t="shared" si="56"/>
        <v>4.0140660763765545E-4</v>
      </c>
      <c r="G232" s="25" t="str">
        <f>IF(VLOOKUP(A232,Aux!B:C,2,FALSE)=0,"",VLOOKUP(A232,Aux!B:C,2,FALSE))</f>
        <v/>
      </c>
      <c r="H232" s="25" t="str">
        <f t="shared" si="45"/>
        <v/>
      </c>
      <c r="L232" s="13">
        <f t="shared" si="48"/>
        <v>105314.93937491284</v>
      </c>
      <c r="M232" s="14">
        <f t="shared" si="49"/>
        <v>-161.03104161706375</v>
      </c>
      <c r="N232" s="14">
        <f t="shared" si="50"/>
        <v>21.856784148931304</v>
      </c>
      <c r="O232" s="1">
        <f t="shared" si="51"/>
        <v>2.3070349801871837</v>
      </c>
      <c r="P232" s="1">
        <f t="shared" si="52"/>
        <v>2237.1324615078988</v>
      </c>
      <c r="S232" s="6">
        <f t="shared" si="46"/>
        <v>0.48276719986343203</v>
      </c>
      <c r="T232" s="6">
        <f t="shared" si="47"/>
        <v>0.51723280013656636</v>
      </c>
      <c r="V232" s="1">
        <f t="shared" si="53"/>
        <v>105314.93937491268</v>
      </c>
      <c r="W232" s="7">
        <f t="shared" si="54"/>
        <v>-1.3206329459648917E-3</v>
      </c>
      <c r="X232" s="7">
        <f t="shared" si="55"/>
        <v>-1.3206329459647807E-3</v>
      </c>
      <c r="Y232">
        <f>LN(B232/B231)</f>
        <v>-3.1622413370434063E-3</v>
      </c>
      <c r="Z232">
        <f>LN(C232/C231)</f>
        <v>4.0132606555802236E-4</v>
      </c>
    </row>
    <row r="233" spans="1:26" x14ac:dyDescent="0.3">
      <c r="A233" s="9">
        <v>40519</v>
      </c>
      <c r="B233" s="1">
        <v>21922.7</v>
      </c>
      <c r="C233" s="1">
        <v>24.35895</v>
      </c>
      <c r="D233" s="6">
        <f t="shared" si="57"/>
        <v>-5.2350319243018584E-3</v>
      </c>
      <c r="E233" s="5">
        <f t="shared" si="56"/>
        <v>4.0124554502440901E-4</v>
      </c>
      <c r="G233" s="25" t="str">
        <f>IF(VLOOKUP(A233,Aux!B:C,2,FALSE)=0,"",VLOOKUP(A233,Aux!B:C,2,FALSE))</f>
        <v/>
      </c>
      <c r="H233" s="25" t="str">
        <f t="shared" si="45"/>
        <v/>
      </c>
      <c r="L233" s="13">
        <f t="shared" si="48"/>
        <v>105070.63353339757</v>
      </c>
      <c r="M233" s="14">
        <f t="shared" si="49"/>
        <v>-266.16262566419306</v>
      </c>
      <c r="N233" s="14">
        <f t="shared" si="50"/>
        <v>21.856784148931304</v>
      </c>
      <c r="O233" s="1">
        <f t="shared" si="51"/>
        <v>2.3070349801871837</v>
      </c>
      <c r="P233" s="1">
        <f t="shared" si="52"/>
        <v>2237.1324615078988</v>
      </c>
      <c r="S233" s="6">
        <f t="shared" si="46"/>
        <v>0.48135653188075078</v>
      </c>
      <c r="T233" s="6">
        <f t="shared" si="47"/>
        <v>0.51864346811924766</v>
      </c>
      <c r="V233" s="1">
        <f t="shared" si="53"/>
        <v>105070.6335333974</v>
      </c>
      <c r="W233" s="7">
        <f t="shared" si="54"/>
        <v>-2.3224591681812942E-3</v>
      </c>
      <c r="X233" s="7">
        <f t="shared" si="55"/>
        <v>-2.3224591681815167E-3</v>
      </c>
      <c r="Y233">
        <f>LN(B233/B232)</f>
        <v>-5.2487827154745958E-3</v>
      </c>
      <c r="Z233">
        <f>LN(C233/C232)</f>
        <v>4.0116506755747175E-4</v>
      </c>
    </row>
    <row r="234" spans="1:26" x14ac:dyDescent="0.3">
      <c r="A234" s="11">
        <v>40520</v>
      </c>
      <c r="B234" s="12">
        <v>21645.18</v>
      </c>
      <c r="C234" s="12">
        <v>24.36872</v>
      </c>
      <c r="D234" s="16">
        <f t="shared" si="57"/>
        <v>-1.2659024663932872E-2</v>
      </c>
      <c r="E234" s="15">
        <f t="shared" si="56"/>
        <v>4.0108461161092457E-4</v>
      </c>
      <c r="G234" s="25" t="str">
        <f>IF(VLOOKUP(A234,Aux!B:C,2,FALSE)=0,"",VLOOKUP(A234,Aux!B:C,2,FALSE))</f>
        <v/>
      </c>
      <c r="H234" s="25" t="str">
        <f t="shared" si="45"/>
        <v/>
      </c>
      <c r="L234" s="13">
        <f t="shared" si="48"/>
        <v>104452.24196984495</v>
      </c>
      <c r="M234" s="14">
        <f t="shared" si="49"/>
        <v>-640.24834770154825</v>
      </c>
      <c r="N234" s="14">
        <f t="shared" si="50"/>
        <v>21.856784148931304</v>
      </c>
      <c r="O234" s="1">
        <f t="shared" si="51"/>
        <v>2.3070349801871837</v>
      </c>
      <c r="P234" s="1">
        <f t="shared" si="52"/>
        <v>2237.1324615078988</v>
      </c>
      <c r="S234" s="6">
        <f t="shared" si="46"/>
        <v>0.47807674082155605</v>
      </c>
      <c r="T234" s="6">
        <f t="shared" si="47"/>
        <v>0.5219232591784424</v>
      </c>
      <c r="V234" s="1">
        <f t="shared" si="53"/>
        <v>104452.24196984479</v>
      </c>
      <c r="W234" s="7">
        <f t="shared" si="54"/>
        <v>-5.9028720149435212E-3</v>
      </c>
      <c r="X234" s="7">
        <f t="shared" si="55"/>
        <v>-5.9028720149434093E-3</v>
      </c>
      <c r="Y234">
        <f>LN(B234/B233)</f>
        <v>-1.2739832809174598E-2</v>
      </c>
      <c r="Z234">
        <f>LN(C234/C233)</f>
        <v>4.0100419867896358E-4</v>
      </c>
    </row>
    <row r="235" spans="1:26" x14ac:dyDescent="0.3">
      <c r="A235" s="9">
        <v>40521</v>
      </c>
      <c r="B235" s="1">
        <v>21602.92</v>
      </c>
      <c r="C235" s="1">
        <v>24.378499999999999</v>
      </c>
      <c r="D235" s="6">
        <f t="shared" si="57"/>
        <v>-1.9523977162584361E-3</v>
      </c>
      <c r="E235" s="5">
        <f t="shared" si="56"/>
        <v>4.0133416937782052E-4</v>
      </c>
      <c r="G235" s="25" t="str">
        <f>IF(VLOOKUP(A235,Aux!B:C,2,FALSE)=0,"",VLOOKUP(A235,Aux!B:C,2,FALSE))</f>
        <v/>
      </c>
      <c r="H235" s="25" t="str">
        <f t="shared" si="45"/>
        <v/>
      </c>
      <c r="L235" s="13">
        <f t="shared" si="48"/>
        <v>104376.62582705579</v>
      </c>
      <c r="M235" s="14">
        <f t="shared" si="49"/>
        <v>-97.495298262715082</v>
      </c>
      <c r="N235" s="14">
        <f t="shared" si="50"/>
        <v>21.879155473545538</v>
      </c>
      <c r="O235" s="1">
        <f t="shared" si="51"/>
        <v>2.3070349801871837</v>
      </c>
      <c r="P235" s="1">
        <f t="shared" si="52"/>
        <v>2237.1324615078988</v>
      </c>
      <c r="S235" s="6">
        <f t="shared" si="46"/>
        <v>0.47748901364913127</v>
      </c>
      <c r="T235" s="6">
        <f t="shared" si="47"/>
        <v>0.52251098635086712</v>
      </c>
      <c r="V235" s="1">
        <f t="shared" si="53"/>
        <v>104376.62582705563</v>
      </c>
      <c r="W235" s="7">
        <f t="shared" si="54"/>
        <v>-7.2419246334728341E-4</v>
      </c>
      <c r="X235" s="7">
        <f t="shared" si="55"/>
        <v>-7.2419246334728341E-4</v>
      </c>
      <c r="Y235">
        <f>LN(B235/B234)</f>
        <v>-1.9543061290714391E-3</v>
      </c>
      <c r="Z235">
        <f>LN(C235/C234)</f>
        <v>4.0125365636109494E-4</v>
      </c>
    </row>
    <row r="236" spans="1:26" x14ac:dyDescent="0.3">
      <c r="A236" s="11">
        <v>40522</v>
      </c>
      <c r="B236" s="12">
        <v>21734.26</v>
      </c>
      <c r="C236" s="12">
        <v>24.388290000000001</v>
      </c>
      <c r="D236" s="16">
        <f t="shared" si="57"/>
        <v>6.0797336656341905E-3</v>
      </c>
      <c r="E236" s="15">
        <f t="shared" si="56"/>
        <v>4.0158336238915737E-4</v>
      </c>
      <c r="G236" s="25" t="str">
        <f>IF(VLOOKUP(A236,Aux!B:C,2,FALSE)=0,"",VLOOKUP(A236,Aux!B:C,2,FALSE))</f>
        <v/>
      </c>
      <c r="H236" s="25" t="str">
        <f t="shared" si="45"/>
        <v/>
      </c>
      <c r="L236" s="13">
        <f t="shared" si="48"/>
        <v>104701.53332815175</v>
      </c>
      <c r="M236" s="14">
        <f t="shared" si="49"/>
        <v>303.00597429778503</v>
      </c>
      <c r="N236" s="14">
        <f t="shared" si="50"/>
        <v>21.901526798167716</v>
      </c>
      <c r="O236" s="1">
        <f t="shared" si="51"/>
        <v>2.3070349801871837</v>
      </c>
      <c r="P236" s="1">
        <f t="shared" si="52"/>
        <v>2237.1324615078988</v>
      </c>
      <c r="S236" s="6">
        <f t="shared" si="46"/>
        <v>0.47890127770460439</v>
      </c>
      <c r="T236" s="6">
        <f t="shared" si="47"/>
        <v>0.52109872229539389</v>
      </c>
      <c r="V236" s="1">
        <f t="shared" si="53"/>
        <v>104701.53332815156</v>
      </c>
      <c r="W236" s="7">
        <f t="shared" si="54"/>
        <v>3.1080029014092614E-3</v>
      </c>
      <c r="X236" s="7">
        <f t="shared" si="55"/>
        <v>3.1080029014090402E-3</v>
      </c>
      <c r="Y236">
        <f>LN(B236/B235)</f>
        <v>6.0613266537214612E-3</v>
      </c>
      <c r="Z236">
        <f>LN(C236/C235)</f>
        <v>4.0150274937185909E-4</v>
      </c>
    </row>
    <row r="237" spans="1:26" x14ac:dyDescent="0.3">
      <c r="A237" s="9">
        <v>40525</v>
      </c>
      <c r="B237" s="1">
        <v>21987.47</v>
      </c>
      <c r="C237" s="1">
        <v>24.39808</v>
      </c>
      <c r="D237" s="6">
        <f t="shared" si="57"/>
        <v>1.1650270126519313E-2</v>
      </c>
      <c r="E237" s="5">
        <f t="shared" si="56"/>
        <v>4.0142215792893232E-4</v>
      </c>
      <c r="G237" s="25" t="str">
        <f>IF(VLOOKUP(A237,Aux!B:C,2,FALSE)=0,"",VLOOKUP(A237,Aux!B:C,2,FALSE))</f>
        <v/>
      </c>
      <c r="H237" s="25" t="str">
        <f t="shared" si="45"/>
        <v/>
      </c>
      <c r="L237" s="13">
        <f t="shared" si="48"/>
        <v>105307.59918228311</v>
      </c>
      <c r="M237" s="14">
        <f t="shared" si="49"/>
        <v>584.16432733320312</v>
      </c>
      <c r="N237" s="14">
        <f t="shared" si="50"/>
        <v>21.901526798159768</v>
      </c>
      <c r="O237" s="1">
        <f t="shared" si="51"/>
        <v>2.3070349801871837</v>
      </c>
      <c r="P237" s="1">
        <f t="shared" si="52"/>
        <v>2237.1324615078988</v>
      </c>
      <c r="S237" s="6">
        <f t="shared" si="46"/>
        <v>0.48169232619207208</v>
      </c>
      <c r="T237" s="6">
        <f t="shared" si="47"/>
        <v>0.51830767380792631</v>
      </c>
      <c r="V237" s="1">
        <f t="shared" si="53"/>
        <v>105307.59918228294</v>
      </c>
      <c r="W237" s="7">
        <f t="shared" si="54"/>
        <v>5.7718207719927358E-3</v>
      </c>
      <c r="X237" s="7">
        <f t="shared" si="55"/>
        <v>5.771820771992957E-3</v>
      </c>
      <c r="Y237">
        <f>LN(B237/B236)</f>
        <v>1.1582928258816275E-2</v>
      </c>
      <c r="Z237">
        <f>LN(C237/C236)</f>
        <v>4.0134160960969334E-4</v>
      </c>
    </row>
    <row r="238" spans="1:26" x14ac:dyDescent="0.3">
      <c r="A238" s="11">
        <v>40526</v>
      </c>
      <c r="B238" s="12">
        <v>21923.97</v>
      </c>
      <c r="C238" s="12">
        <v>24.407879999999999</v>
      </c>
      <c r="D238" s="16">
        <f t="shared" si="57"/>
        <v>-2.8880084884709278E-3</v>
      </c>
      <c r="E238" s="15">
        <f t="shared" si="56"/>
        <v>4.0167095115672957E-4</v>
      </c>
      <c r="G238" s="25" t="str">
        <f>IF(VLOOKUP(A238,Aux!B:C,2,FALSE)=0,"",VLOOKUP(A238,Aux!B:C,2,FALSE))</f>
        <v/>
      </c>
      <c r="H238" s="25" t="str">
        <f t="shared" si="45"/>
        <v/>
      </c>
      <c r="L238" s="13">
        <f t="shared" si="48"/>
        <v>105183.026359164</v>
      </c>
      <c r="M238" s="14">
        <f t="shared" si="49"/>
        <v>-146.49672124188615</v>
      </c>
      <c r="N238" s="14">
        <f t="shared" si="50"/>
        <v>21.923898122774002</v>
      </c>
      <c r="O238" s="1">
        <f t="shared" si="51"/>
        <v>2.3070349801871837</v>
      </c>
      <c r="P238" s="1">
        <f t="shared" si="52"/>
        <v>2237.1324615078988</v>
      </c>
      <c r="S238" s="6">
        <f t="shared" si="46"/>
        <v>0.48087003621537955</v>
      </c>
      <c r="T238" s="6">
        <f t="shared" si="47"/>
        <v>0.51912996378461884</v>
      </c>
      <c r="V238" s="1">
        <f t="shared" si="53"/>
        <v>105183.02635916384</v>
      </c>
      <c r="W238" s="7">
        <f t="shared" si="54"/>
        <v>-1.1836426191680657E-3</v>
      </c>
      <c r="X238" s="7">
        <f t="shared" si="55"/>
        <v>-1.1836426191678432E-3</v>
      </c>
      <c r="Y238">
        <f>LN(B238/B237)</f>
        <v>-2.8921868316518083E-3</v>
      </c>
      <c r="Z238">
        <f>LN(C238/C237)</f>
        <v>4.015903029755264E-4</v>
      </c>
    </row>
    <row r="239" spans="1:26" x14ac:dyDescent="0.3">
      <c r="A239" s="9">
        <v>40527</v>
      </c>
      <c r="B239" s="1">
        <v>21689.46</v>
      </c>
      <c r="C239" s="1">
        <v>24.417670000000001</v>
      </c>
      <c r="D239" s="6">
        <f t="shared" si="57"/>
        <v>-1.0696511626315908E-2</v>
      </c>
      <c r="E239" s="5">
        <f t="shared" si="56"/>
        <v>4.0109997263182429E-4</v>
      </c>
      <c r="G239" s="25" t="str">
        <f>IF(VLOOKUP(A239,Aux!B:C,2,FALSE)=0,"",VLOOKUP(A239,Aux!B:C,2,FALSE))</f>
        <v/>
      </c>
      <c r="H239" s="25" t="str">
        <f t="shared" si="45"/>
        <v/>
      </c>
      <c r="L239" s="13">
        <f t="shared" si="48"/>
        <v>104663.90511275847</v>
      </c>
      <c r="M239" s="14">
        <f t="shared" si="49"/>
        <v>-541.02277320370115</v>
      </c>
      <c r="N239" s="14">
        <f t="shared" si="50"/>
        <v>21.901526798167716</v>
      </c>
      <c r="O239" s="1">
        <f t="shared" si="51"/>
        <v>2.3070349801871837</v>
      </c>
      <c r="P239" s="1">
        <f t="shared" si="52"/>
        <v>2237.1324615078988</v>
      </c>
      <c r="S239" s="6">
        <f t="shared" si="46"/>
        <v>0.47808595396342679</v>
      </c>
      <c r="T239" s="6">
        <f t="shared" si="47"/>
        <v>0.52191404603657154</v>
      </c>
      <c r="V239" s="1">
        <f t="shared" si="53"/>
        <v>104663.90511275829</v>
      </c>
      <c r="W239" s="7">
        <f t="shared" si="54"/>
        <v>-4.9476282710356791E-3</v>
      </c>
      <c r="X239" s="7">
        <f t="shared" si="55"/>
        <v>-4.947628271035791E-3</v>
      </c>
      <c r="Y239">
        <f>LN(B239/B238)</f>
        <v>-1.0754130556190808E-2</v>
      </c>
      <c r="Z239">
        <f>LN(C239/C238)</f>
        <v>4.0101955354114642E-4</v>
      </c>
    </row>
    <row r="240" spans="1:26" x14ac:dyDescent="0.3">
      <c r="A240" s="11">
        <v>40528</v>
      </c>
      <c r="B240" s="12">
        <v>21571.88</v>
      </c>
      <c r="C240" s="12">
        <v>24.42747</v>
      </c>
      <c r="D240" s="16">
        <f t="shared" si="57"/>
        <v>-5.4210662690541422E-3</v>
      </c>
      <c r="E240" s="15">
        <f t="shared" si="56"/>
        <v>4.0134869543240193E-4</v>
      </c>
      <c r="G240" s="25" t="str">
        <f>IF(VLOOKUP(A240,Aux!B:C,2,FALSE)=0,"",VLOOKUP(A240,Aux!B:C,2,FALSE))</f>
        <v/>
      </c>
      <c r="H240" s="25" t="str">
        <f t="shared" si="45"/>
        <v/>
      </c>
      <c r="L240" s="13">
        <f t="shared" si="48"/>
        <v>104414.56783791083</v>
      </c>
      <c r="M240" s="14">
        <f t="shared" si="49"/>
        <v>-271.26117297040469</v>
      </c>
      <c r="N240" s="14">
        <f t="shared" si="50"/>
        <v>21.923898122774002</v>
      </c>
      <c r="O240" s="1">
        <f t="shared" si="51"/>
        <v>2.3070349801871837</v>
      </c>
      <c r="P240" s="1">
        <f t="shared" si="52"/>
        <v>2237.1324615078988</v>
      </c>
      <c r="S240" s="6">
        <f t="shared" si="46"/>
        <v>0.47662967705480347</v>
      </c>
      <c r="T240" s="6">
        <f t="shared" si="47"/>
        <v>0.52337032294519492</v>
      </c>
      <c r="V240" s="1">
        <f t="shared" si="53"/>
        <v>104414.56783791067</v>
      </c>
      <c r="W240" s="7">
        <f t="shared" si="54"/>
        <v>-2.3851082278348759E-3</v>
      </c>
      <c r="X240" s="7">
        <f t="shared" si="55"/>
        <v>-2.3851082278347644E-3</v>
      </c>
      <c r="Y240">
        <f>LN(B240/B239)</f>
        <v>-5.4358135703465298E-3</v>
      </c>
      <c r="Z240">
        <f>LN(C240/C239)</f>
        <v>4.0126817658810762E-4</v>
      </c>
    </row>
    <row r="241" spans="1:26" x14ac:dyDescent="0.3">
      <c r="A241" s="9">
        <v>40529</v>
      </c>
      <c r="B241" s="1">
        <v>21777.01</v>
      </c>
      <c r="C241" s="1">
        <v>24.437270000000002</v>
      </c>
      <c r="D241" s="6">
        <f t="shared" si="57"/>
        <v>9.5091387491492707E-3</v>
      </c>
      <c r="E241" s="5">
        <f t="shared" si="56"/>
        <v>4.0118767928087884E-4</v>
      </c>
      <c r="G241" s="25" t="str">
        <f>IF(VLOOKUP(A241,Aux!B:C,2,FALSE)=0,"",VLOOKUP(A241,Aux!B:C,2,FALSE))</f>
        <v/>
      </c>
      <c r="H241" s="25" t="str">
        <f t="shared" si="45"/>
        <v/>
      </c>
      <c r="L241" s="13">
        <f t="shared" si="48"/>
        <v>104909.7338215194</v>
      </c>
      <c r="M241" s="14">
        <f t="shared" si="49"/>
        <v>473.24208548579094</v>
      </c>
      <c r="N241" s="14">
        <f t="shared" si="50"/>
        <v>21.923898122781949</v>
      </c>
      <c r="O241" s="1">
        <f t="shared" si="51"/>
        <v>2.3070349801871837</v>
      </c>
      <c r="P241" s="1">
        <f t="shared" si="52"/>
        <v>2237.1324615078988</v>
      </c>
      <c r="S241" s="6">
        <f t="shared" si="46"/>
        <v>0.47889096658427177</v>
      </c>
      <c r="T241" s="6">
        <f t="shared" si="47"/>
        <v>0.52110903341572656</v>
      </c>
      <c r="V241" s="1">
        <f t="shared" si="53"/>
        <v>104909.73382151923</v>
      </c>
      <c r="W241" s="7">
        <f t="shared" si="54"/>
        <v>4.7310981410477234E-3</v>
      </c>
      <c r="X241" s="7">
        <f t="shared" si="55"/>
        <v>4.7310981410477234E-3</v>
      </c>
      <c r="Y241">
        <f>LN(B241/B240)</f>
        <v>9.4642114778221223E-3</v>
      </c>
      <c r="Z241">
        <f>LN(C241/C240)</f>
        <v>4.0110722502132801E-4</v>
      </c>
    </row>
    <row r="242" spans="1:26" x14ac:dyDescent="0.3">
      <c r="A242" s="11">
        <v>40532</v>
      </c>
      <c r="B242" s="12">
        <v>21547.58</v>
      </c>
      <c r="C242" s="12">
        <v>24.44708</v>
      </c>
      <c r="D242" s="16">
        <f t="shared" si="57"/>
        <v>-1.0535422447801479E-2</v>
      </c>
      <c r="E242" s="15">
        <f t="shared" si="56"/>
        <v>4.0143600328512719E-4</v>
      </c>
      <c r="G242" s="25" t="str">
        <f>IF(VLOOKUP(A242,Aux!B:C,2,FALSE)=0,"",VLOOKUP(A242,Aux!B:C,2,FALSE))</f>
        <v/>
      </c>
      <c r="H242" s="25" t="str">
        <f t="shared" si="45"/>
        <v/>
      </c>
      <c r="L242" s="13">
        <f t="shared" si="48"/>
        <v>104402.37705546245</v>
      </c>
      <c r="M242" s="14">
        <f t="shared" si="49"/>
        <v>-529.3030355043378</v>
      </c>
      <c r="N242" s="14">
        <f t="shared" si="50"/>
        <v>21.946269447388232</v>
      </c>
      <c r="O242" s="1">
        <f t="shared" si="51"/>
        <v>2.3070349801871837</v>
      </c>
      <c r="P242" s="1">
        <f t="shared" si="52"/>
        <v>2237.1324615078988</v>
      </c>
      <c r="S242" s="6">
        <f t="shared" si="46"/>
        <v>0.47614836175591485</v>
      </c>
      <c r="T242" s="6">
        <f t="shared" si="47"/>
        <v>0.52385163824408354</v>
      </c>
      <c r="V242" s="1">
        <f t="shared" si="53"/>
        <v>104402.37705546228</v>
      </c>
      <c r="W242" s="7">
        <f t="shared" si="54"/>
        <v>-4.8478586124593099E-3</v>
      </c>
      <c r="X242" s="7">
        <f t="shared" si="55"/>
        <v>-4.8478586124593099E-3</v>
      </c>
      <c r="Y242">
        <f>LN(B242/B241)</f>
        <v>-1.0591312910561458E-2</v>
      </c>
      <c r="Z242">
        <f>LN(C242/C241)</f>
        <v>4.0135544941018978E-4</v>
      </c>
    </row>
    <row r="243" spans="1:26" x14ac:dyDescent="0.3">
      <c r="A243" s="9">
        <v>40533</v>
      </c>
      <c r="B243" s="1">
        <v>21823.93</v>
      </c>
      <c r="C243" s="1">
        <v>24.456890000000001</v>
      </c>
      <c r="D243" s="6">
        <f t="shared" si="57"/>
        <v>1.2825106114004337E-2</v>
      </c>
      <c r="E243" s="5">
        <f t="shared" si="56"/>
        <v>4.0127491708630281E-4</v>
      </c>
      <c r="G243" s="25" t="str">
        <f>IF(VLOOKUP(A243,Aux!B:C,2,FALSE)=0,"",VLOOKUP(A243,Aux!B:C,2,FALSE))</f>
        <v/>
      </c>
      <c r="H243" s="25" t="str">
        <f t="shared" si="45"/>
        <v/>
      </c>
      <c r="L243" s="13">
        <f t="shared" si="48"/>
        <v>105061.87244168457</v>
      </c>
      <c r="M243" s="14">
        <f t="shared" si="49"/>
        <v>637.54911677472489</v>
      </c>
      <c r="N243" s="14">
        <f t="shared" si="50"/>
        <v>21.94626944739618</v>
      </c>
      <c r="O243" s="1">
        <f t="shared" si="51"/>
        <v>2.3070349801871837</v>
      </c>
      <c r="P243" s="1">
        <f t="shared" si="52"/>
        <v>2237.1324615078988</v>
      </c>
      <c r="S243" s="6">
        <f t="shared" si="46"/>
        <v>0.47922779924851294</v>
      </c>
      <c r="T243" s="6">
        <f t="shared" si="47"/>
        <v>0.52077220075148556</v>
      </c>
      <c r="V243" s="1">
        <f t="shared" si="53"/>
        <v>105061.87244168441</v>
      </c>
      <c r="W243" s="7">
        <f t="shared" si="54"/>
        <v>6.2969940407859729E-3</v>
      </c>
      <c r="X243" s="7">
        <f t="shared" si="55"/>
        <v>6.2969940407861932E-3</v>
      </c>
      <c r="Y243">
        <f>LN(B243/B242)</f>
        <v>1.2743560917681921E-2</v>
      </c>
      <c r="Z243">
        <f>LN(C243/C242)</f>
        <v>4.0119442783825252E-4</v>
      </c>
    </row>
    <row r="244" spans="1:26" x14ac:dyDescent="0.3">
      <c r="A244" s="11">
        <v>40534</v>
      </c>
      <c r="B244" s="12">
        <v>21938.2</v>
      </c>
      <c r="C244" s="12">
        <v>24.466709999999999</v>
      </c>
      <c r="D244" s="16">
        <f t="shared" si="57"/>
        <v>5.2359955333434183E-3</v>
      </c>
      <c r="E244" s="15">
        <f t="shared" si="56"/>
        <v>4.0152284284711293E-4</v>
      </c>
      <c r="G244" s="25" t="str">
        <f>IF(VLOOKUP(A244,Aux!B:C,2,FALSE)=0,"",VLOOKUP(A244,Aux!B:C,2,FALSE))</f>
        <v/>
      </c>
      <c r="H244" s="25" t="str">
        <f t="shared" si="45"/>
        <v/>
      </c>
      <c r="L244" s="13">
        <f t="shared" si="48"/>
        <v>105347.46596964255</v>
      </c>
      <c r="M244" s="14">
        <f t="shared" si="49"/>
        <v>263.62488718599047</v>
      </c>
      <c r="N244" s="14">
        <f t="shared" si="50"/>
        <v>21.968640772002466</v>
      </c>
      <c r="O244" s="1">
        <f t="shared" si="51"/>
        <v>2.3070349801871837</v>
      </c>
      <c r="P244" s="1">
        <f t="shared" si="52"/>
        <v>2237.1324615078988</v>
      </c>
      <c r="S244" s="6">
        <f t="shared" si="46"/>
        <v>0.48043106055277246</v>
      </c>
      <c r="T244" s="6">
        <f t="shared" si="47"/>
        <v>0.51956893944722604</v>
      </c>
      <c r="V244" s="1">
        <f t="shared" si="53"/>
        <v>105347.46596964239</v>
      </c>
      <c r="W244" s="7">
        <f t="shared" si="54"/>
        <v>2.7146485560010209E-3</v>
      </c>
      <c r="X244" s="7">
        <f t="shared" si="55"/>
        <v>2.7146485560010209E-3</v>
      </c>
      <c r="Y244">
        <f>LN(B244/B243)</f>
        <v>5.2223353710156703E-3</v>
      </c>
      <c r="Z244">
        <f>LN(C244/C243)</f>
        <v>4.0144225412186999E-4</v>
      </c>
    </row>
    <row r="245" spans="1:26" x14ac:dyDescent="0.3">
      <c r="A245" s="9">
        <v>40535</v>
      </c>
      <c r="B245" s="1">
        <v>21946.240000000002</v>
      </c>
      <c r="C245" s="1">
        <v>24.476520000000001</v>
      </c>
      <c r="D245" s="6">
        <f t="shared" si="57"/>
        <v>3.6648403241845706E-4</v>
      </c>
      <c r="E245" s="5">
        <f t="shared" si="56"/>
        <v>4.0095296833952965E-4</v>
      </c>
      <c r="G245" s="25" t="str">
        <f>IF(VLOOKUP(A245,Aux!B:C,2,FALSE)=0,"",VLOOKUP(A245,Aux!B:C,2,FALSE))</f>
        <v/>
      </c>
      <c r="H245" s="25" t="str">
        <f t="shared" si="45"/>
        <v/>
      </c>
      <c r="L245" s="13">
        <f t="shared" si="48"/>
        <v>105387.96080033065</v>
      </c>
      <c r="M245" s="14">
        <f t="shared" si="49"/>
        <v>18.54856124070697</v>
      </c>
      <c r="N245" s="14">
        <f t="shared" si="50"/>
        <v>21.94626944739618</v>
      </c>
      <c r="O245" s="1">
        <f t="shared" si="51"/>
        <v>2.3070349801871837</v>
      </c>
      <c r="P245" s="1">
        <f t="shared" si="52"/>
        <v>2237.1324615078988</v>
      </c>
      <c r="S245" s="6">
        <f t="shared" si="46"/>
        <v>0.48042245982450332</v>
      </c>
      <c r="T245" s="6">
        <f t="shared" si="47"/>
        <v>0.51957754017549529</v>
      </c>
      <c r="V245" s="1">
        <f t="shared" si="53"/>
        <v>105387.9608003305</v>
      </c>
      <c r="W245" s="7">
        <f t="shared" si="54"/>
        <v>3.8431916082832098E-4</v>
      </c>
      <c r="X245" s="7">
        <f t="shared" si="55"/>
        <v>3.8431916082854291E-4</v>
      </c>
      <c r="Y245">
        <f>LN(B245/B244)</f>
        <v>3.6641689354849653E-4</v>
      </c>
      <c r="Z245">
        <f>LN(C245/C244)</f>
        <v>4.0087260817783219E-4</v>
      </c>
    </row>
    <row r="246" spans="1:26" x14ac:dyDescent="0.3">
      <c r="A246" s="11">
        <v>40539</v>
      </c>
      <c r="B246" s="12">
        <v>21736.880000000001</v>
      </c>
      <c r="C246" s="12">
        <v>24.496169999999999</v>
      </c>
      <c r="D246" s="16">
        <f t="shared" si="57"/>
        <v>-9.5396751334169139E-3</v>
      </c>
      <c r="E246" s="15">
        <f t="shared" si="56"/>
        <v>8.0281020341121945E-4</v>
      </c>
      <c r="G246" s="25" t="str">
        <f>IF(VLOOKUP(A246,Aux!B:C,2,FALSE)=0,"",VLOOKUP(A246,Aux!B:C,2,FALSE))</f>
        <v/>
      </c>
      <c r="H246" s="25" t="str">
        <f t="shared" si="45"/>
        <v/>
      </c>
      <c r="L246" s="13">
        <f t="shared" si="48"/>
        <v>104948.91960974729</v>
      </c>
      <c r="M246" s="14">
        <f t="shared" si="49"/>
        <v>-483.00084345199014</v>
      </c>
      <c r="N246" s="14">
        <f t="shared" si="50"/>
        <v>43.95965286862711</v>
      </c>
      <c r="O246" s="1">
        <f t="shared" si="51"/>
        <v>2.3070349801871837</v>
      </c>
      <c r="P246" s="1">
        <f t="shared" si="52"/>
        <v>2237.1324615078988</v>
      </c>
      <c r="S246" s="6">
        <f t="shared" si="46"/>
        <v>0.4778300025060348</v>
      </c>
      <c r="T246" s="6">
        <f t="shared" si="47"/>
        <v>0.52216999749396376</v>
      </c>
      <c r="V246" s="1">
        <f t="shared" si="53"/>
        <v>104948.91960974713</v>
      </c>
      <c r="W246" s="7">
        <f t="shared" si="54"/>
        <v>-4.174653796820027E-3</v>
      </c>
      <c r="X246" s="7">
        <f t="shared" si="55"/>
        <v>-4.1746537968202499E-3</v>
      </c>
      <c r="Y246">
        <f>LN(B246/B245)</f>
        <v>-9.5854693079887813E-3</v>
      </c>
      <c r="Z246">
        <f>LN(C246/C245)</f>
        <v>8.0248812366761116E-4</v>
      </c>
    </row>
    <row r="247" spans="1:26" x14ac:dyDescent="0.3">
      <c r="A247" s="9">
        <v>40540</v>
      </c>
      <c r="B247" s="1">
        <v>21819.81</v>
      </c>
      <c r="C247" s="1">
        <v>24.506</v>
      </c>
      <c r="D247" s="6">
        <f t="shared" si="57"/>
        <v>3.8151749469104157E-3</v>
      </c>
      <c r="E247" s="5">
        <f t="shared" si="56"/>
        <v>4.0128722163501607E-4</v>
      </c>
      <c r="G247" s="25" t="str">
        <f>IF(VLOOKUP(A247,Aux!B:C,2,FALSE)=0,"",VLOOKUP(A247,Aux!B:C,2,FALSE))</f>
        <v/>
      </c>
      <c r="H247" s="25" t="str">
        <f t="shared" si="45"/>
        <v/>
      </c>
      <c r="L247" s="13">
        <f t="shared" si="48"/>
        <v>105162.23303275084</v>
      </c>
      <c r="M247" s="14">
        <f t="shared" si="49"/>
        <v>191.32241090692381</v>
      </c>
      <c r="N247" s="14">
        <f t="shared" si="50"/>
        <v>21.991012096624644</v>
      </c>
      <c r="O247" s="1">
        <f t="shared" si="51"/>
        <v>2.3070349801871837</v>
      </c>
      <c r="P247" s="1">
        <f t="shared" si="52"/>
        <v>2237.1324615078988</v>
      </c>
      <c r="S247" s="6">
        <f t="shared" si="46"/>
        <v>0.4786800686836018</v>
      </c>
      <c r="T247" s="6">
        <f t="shared" si="47"/>
        <v>0.52131993131639665</v>
      </c>
      <c r="V247" s="1">
        <f t="shared" si="53"/>
        <v>105162.23303275068</v>
      </c>
      <c r="W247" s="7">
        <f t="shared" si="54"/>
        <v>2.0304823766772069E-3</v>
      </c>
      <c r="X247" s="7">
        <f t="shared" si="55"/>
        <v>2.0304823766772069E-3</v>
      </c>
      <c r="Y247">
        <f>LN(B247/B246)</f>
        <v>3.8079156248368409E-3</v>
      </c>
      <c r="Z247">
        <f>LN(C247/C246)</f>
        <v>4.0120672745136388E-4</v>
      </c>
    </row>
    <row r="248" spans="1:26" x14ac:dyDescent="0.3">
      <c r="A248" s="11">
        <v>40541</v>
      </c>
      <c r="B248" s="12">
        <v>22089.63</v>
      </c>
      <c r="C248" s="12">
        <v>24.515840000000001</v>
      </c>
      <c r="D248" s="16">
        <f t="shared" si="57"/>
        <v>1.236582720014523E-2</v>
      </c>
      <c r="E248" s="15">
        <f t="shared" si="56"/>
        <v>4.0153431812628426E-4</v>
      </c>
      <c r="G248" s="25" t="str">
        <f>IF(VLOOKUP(A248,Aux!B:C,2,FALSE)=0,"",VLOOKUP(A248,Aux!B:C,2,FALSE))</f>
        <v/>
      </c>
      <c r="H248" s="25" t="str">
        <f t="shared" si="45"/>
        <v/>
      </c>
      <c r="L248" s="13">
        <f t="shared" si="48"/>
        <v>105806.73059452618</v>
      </c>
      <c r="M248" s="14">
        <f t="shared" si="49"/>
        <v>622.48417835410521</v>
      </c>
      <c r="N248" s="14">
        <f t="shared" si="50"/>
        <v>22.013383421238878</v>
      </c>
      <c r="O248" s="1">
        <f t="shared" si="51"/>
        <v>2.3070349801871837</v>
      </c>
      <c r="P248" s="1">
        <f t="shared" si="52"/>
        <v>2237.1324615078988</v>
      </c>
      <c r="S248" s="6">
        <f t="shared" si="46"/>
        <v>0.48164751734639338</v>
      </c>
      <c r="T248" s="6">
        <f t="shared" si="47"/>
        <v>0.51835248265360523</v>
      </c>
      <c r="V248" s="1">
        <f t="shared" si="53"/>
        <v>105806.73059452602</v>
      </c>
      <c r="W248" s="7">
        <f t="shared" si="54"/>
        <v>6.1098993488346411E-3</v>
      </c>
      <c r="X248" s="7">
        <f t="shared" si="55"/>
        <v>6.1098993488346411E-3</v>
      </c>
      <c r="Y248">
        <f>LN(B248/B247)</f>
        <v>1.2289994871954896E-2</v>
      </c>
      <c r="Z248">
        <f>LN(C248/C247)</f>
        <v>4.0145372479523812E-4</v>
      </c>
    </row>
    <row r="249" spans="1:26" x14ac:dyDescent="0.3">
      <c r="A249" s="9">
        <v>40542</v>
      </c>
      <c r="B249" s="1">
        <v>22239.51</v>
      </c>
      <c r="C249" s="1">
        <v>24.525680000000001</v>
      </c>
      <c r="D249" s="6">
        <f t="shared" si="57"/>
        <v>6.785084222777682E-3</v>
      </c>
      <c r="E249" s="5">
        <f t="shared" si="56"/>
        <v>4.0137315303079291E-4</v>
      </c>
      <c r="G249" s="25">
        <f>IF(VLOOKUP(A249,Aux!B:C,2,FALSE)=0,"",VLOOKUP(A249,Aux!B:C,2,FALSE))</f>
        <v>0.5</v>
      </c>
      <c r="H249" s="25">
        <f t="shared" si="45"/>
        <v>0.5</v>
      </c>
      <c r="L249" s="13">
        <f t="shared" si="48"/>
        <v>106174.52238077785</v>
      </c>
      <c r="M249" s="14">
        <f t="shared" si="49"/>
        <v>345.77840283044907</v>
      </c>
      <c r="N249" s="14">
        <f t="shared" si="50"/>
        <v>22.013383421238878</v>
      </c>
      <c r="O249" s="1">
        <f t="shared" si="51"/>
        <v>2.387069732668972</v>
      </c>
      <c r="P249" s="1">
        <f t="shared" si="52"/>
        <v>2164.5581769960681</v>
      </c>
      <c r="S249" s="6">
        <f t="shared" si="46"/>
        <v>0.5</v>
      </c>
      <c r="T249" s="6">
        <f t="shared" si="47"/>
        <v>0.50000000000000011</v>
      </c>
      <c r="V249" s="1">
        <f t="shared" si="53"/>
        <v>106174.52238077772</v>
      </c>
      <c r="W249" s="7">
        <f t="shared" si="54"/>
        <v>3.4700441680018284E-3</v>
      </c>
      <c r="X249" s="7">
        <f t="shared" si="55"/>
        <v>3.4700441680020496E-3</v>
      </c>
      <c r="Y249">
        <f>LN(B249/B248)</f>
        <v>6.762169134295613E-3</v>
      </c>
      <c r="Z249">
        <f>LN(C249/C248)</f>
        <v>4.0129262437411261E-4</v>
      </c>
    </row>
    <row r="250" spans="1:26" x14ac:dyDescent="0.3">
      <c r="A250" s="11">
        <v>40546</v>
      </c>
      <c r="B250" s="12">
        <v>22437.63</v>
      </c>
      <c r="C250" s="12">
        <v>24.545369999999998</v>
      </c>
      <c r="D250" s="16">
        <f t="shared" si="57"/>
        <v>8.9084696560313148E-3</v>
      </c>
      <c r="E250" s="15">
        <f t="shared" si="56"/>
        <v>8.0283197040809107E-4</v>
      </c>
      <c r="G250" s="25" t="str">
        <f>IF(VLOOKUP(A250,Aux!B:C,2,FALSE)=0,"",VLOOKUP(A250,Aux!B:C,2,FALSE))</f>
        <v/>
      </c>
      <c r="H250" s="25" t="str">
        <f t="shared" si="45"/>
        <v/>
      </c>
      <c r="L250" s="13">
        <f t="shared" si="48"/>
        <v>106690.06878671928</v>
      </c>
      <c r="M250" s="14">
        <f t="shared" si="49"/>
        <v>472.92625543638297</v>
      </c>
      <c r="N250" s="14">
        <f t="shared" si="50"/>
        <v>42.620150505046304</v>
      </c>
      <c r="O250" s="1">
        <f t="shared" si="51"/>
        <v>2.387069732668972</v>
      </c>
      <c r="P250" s="1">
        <f t="shared" si="52"/>
        <v>2164.5581769960681</v>
      </c>
      <c r="S250" s="6">
        <f t="shared" si="46"/>
        <v>0.50201661743133541</v>
      </c>
      <c r="T250" s="6">
        <f t="shared" si="47"/>
        <v>0.4979833825686647</v>
      </c>
      <c r="V250" s="1">
        <f t="shared" si="53"/>
        <v>106675.64128921949</v>
      </c>
      <c r="W250" s="7">
        <f t="shared" si="54"/>
        <v>4.8439001634923515E-3</v>
      </c>
      <c r="X250" s="7">
        <f t="shared" si="55"/>
        <v>4.7086628986432091E-3</v>
      </c>
      <c r="Y250">
        <f>LN(B250/B249)</f>
        <v>8.8690233380151542E-3</v>
      </c>
      <c r="Z250">
        <f>LN(C250/C249)</f>
        <v>8.0250987320349668E-4</v>
      </c>
    </row>
    <row r="251" spans="1:26" x14ac:dyDescent="0.3">
      <c r="A251" s="9">
        <v>40547</v>
      </c>
      <c r="B251" s="1">
        <v>22554.080000000002</v>
      </c>
      <c r="C251" s="1">
        <v>24.555219999999998</v>
      </c>
      <c r="D251" s="6">
        <f t="shared" si="57"/>
        <v>5.1899420749874636E-3</v>
      </c>
      <c r="E251" s="5">
        <f t="shared" si="56"/>
        <v>4.0129767854391041E-4</v>
      </c>
      <c r="G251" s="25" t="str">
        <f>IF(VLOOKUP(A251,Aux!B:C,2,FALSE)=0,"",VLOOKUP(A251,Aux!B:C,2,FALSE))</f>
        <v/>
      </c>
      <c r="H251" s="25" t="str">
        <f t="shared" si="45"/>
        <v/>
      </c>
      <c r="L251" s="13">
        <f t="shared" si="48"/>
        <v>106989.36395513199</v>
      </c>
      <c r="M251" s="14">
        <f t="shared" si="49"/>
        <v>277.97427036930355</v>
      </c>
      <c r="N251" s="14">
        <f t="shared" si="50"/>
        <v>21.320898043411567</v>
      </c>
      <c r="O251" s="1">
        <f t="shared" si="51"/>
        <v>2.387069732668972</v>
      </c>
      <c r="P251" s="1">
        <f t="shared" si="52"/>
        <v>2164.5581769960681</v>
      </c>
      <c r="S251" s="6">
        <f t="shared" si="46"/>
        <v>0.50321041013733536</v>
      </c>
      <c r="T251" s="6">
        <f t="shared" si="47"/>
        <v>0.49678958986266475</v>
      </c>
      <c r="V251" s="1">
        <f t="shared" si="53"/>
        <v>106966.33126740815</v>
      </c>
      <c r="W251" s="7">
        <f t="shared" si="54"/>
        <v>2.8013492950656155E-3</v>
      </c>
      <c r="X251" s="7">
        <f t="shared" si="55"/>
        <v>2.7212832207003626E-3</v>
      </c>
      <c r="Y251">
        <f>LN(B251/B250)</f>
        <v>5.1765207428789116E-3</v>
      </c>
      <c r="Z251">
        <f>LN(C251/C250)</f>
        <v>4.0121718016566287E-4</v>
      </c>
    </row>
    <row r="252" spans="1:26" x14ac:dyDescent="0.3">
      <c r="A252" s="11">
        <v>40548</v>
      </c>
      <c r="B252" s="12">
        <v>22818.78</v>
      </c>
      <c r="C252" s="12">
        <v>24.565069999999999</v>
      </c>
      <c r="D252" s="16">
        <f t="shared" si="57"/>
        <v>1.1736235749806534E-2</v>
      </c>
      <c r="E252" s="15">
        <f t="shared" si="56"/>
        <v>4.0113670331609619E-4</v>
      </c>
      <c r="G252" s="25" t="str">
        <f>IF(VLOOKUP(A252,Aux!B:C,2,FALSE)=0,"",VLOOKUP(A252,Aux!B:C,2,FALSE))</f>
        <v/>
      </c>
      <c r="H252" s="25" t="str">
        <f t="shared" si="45"/>
        <v/>
      </c>
      <c r="L252" s="13">
        <f t="shared" si="48"/>
        <v>107642.54221141287</v>
      </c>
      <c r="M252" s="14">
        <f t="shared" si="49"/>
        <v>631.85735823746995</v>
      </c>
      <c r="N252" s="14">
        <f t="shared" si="50"/>
        <v>21.320898043411567</v>
      </c>
      <c r="O252" s="1">
        <f t="shared" si="51"/>
        <v>2.387069732668972</v>
      </c>
      <c r="P252" s="1">
        <f t="shared" si="52"/>
        <v>2164.5581769960681</v>
      </c>
      <c r="S252" s="6">
        <f t="shared" si="46"/>
        <v>0.50602687334763508</v>
      </c>
      <c r="T252" s="6">
        <f t="shared" si="47"/>
        <v>0.49397312665236504</v>
      </c>
      <c r="V252" s="1">
        <f t="shared" si="53"/>
        <v>107599.03918140953</v>
      </c>
      <c r="W252" s="7">
        <f t="shared" si="54"/>
        <v>6.0865160674238201E-3</v>
      </c>
      <c r="X252" s="7">
        <f t="shared" si="55"/>
        <v>5.8975942535423936E-3</v>
      </c>
      <c r="Y252">
        <f>LN(B252/B251)</f>
        <v>1.166790028278627E-2</v>
      </c>
      <c r="Z252">
        <f>LN(C252/C251)</f>
        <v>4.0105626949797472E-4</v>
      </c>
    </row>
    <row r="253" spans="1:26" x14ac:dyDescent="0.3">
      <c r="A253" s="9">
        <v>40549</v>
      </c>
      <c r="B253" s="1">
        <v>22609.34</v>
      </c>
      <c r="C253" s="1">
        <v>24.574929999999998</v>
      </c>
      <c r="D253" s="6">
        <f t="shared" si="57"/>
        <v>-9.1784048051648526E-3</v>
      </c>
      <c r="E253" s="5">
        <f t="shared" si="56"/>
        <v>4.0138293927105551E-4</v>
      </c>
      <c r="G253" s="25" t="str">
        <f>IF(VLOOKUP(A253,Aux!B:C,2,FALSE)=0,"",VLOOKUP(A253,Aux!B:C,2,FALSE))</f>
        <v/>
      </c>
      <c r="H253" s="25" t="str">
        <f t="shared" si="45"/>
        <v/>
      </c>
      <c r="L253" s="13">
        <f t="shared" si="48"/>
        <v>107163.93687022787</v>
      </c>
      <c r="M253" s="14">
        <f t="shared" si="49"/>
        <v>-499.94788481018639</v>
      </c>
      <c r="N253" s="14">
        <f t="shared" si="50"/>
        <v>21.342543625180706</v>
      </c>
      <c r="O253" s="1">
        <f t="shared" si="51"/>
        <v>2.387069732668972</v>
      </c>
      <c r="P253" s="1">
        <f t="shared" si="52"/>
        <v>2164.5581769960681</v>
      </c>
      <c r="S253" s="6">
        <f t="shared" si="46"/>
        <v>0.5036215798508592</v>
      </c>
      <c r="T253" s="6">
        <f t="shared" si="47"/>
        <v>0.49637842014914085</v>
      </c>
      <c r="V253" s="1">
        <f t="shared" si="53"/>
        <v>107137.91190122961</v>
      </c>
      <c r="W253" s="7">
        <f t="shared" si="54"/>
        <v>-4.4561610545260748E-3</v>
      </c>
      <c r="X253" s="7">
        <f t="shared" si="55"/>
        <v>-4.2948173256945974E-3</v>
      </c>
      <c r="Y253">
        <f>LN(B253/B252)</f>
        <v>-9.2207858890387302E-3</v>
      </c>
      <c r="Z253">
        <f>LN(C253/C252)</f>
        <v>4.0130240668796919E-4</v>
      </c>
    </row>
    <row r="254" spans="1:26" x14ac:dyDescent="0.3">
      <c r="A254" s="11">
        <v>40550</v>
      </c>
      <c r="B254" s="12">
        <v>22380.04</v>
      </c>
      <c r="C254" s="12">
        <v>24.584790000000002</v>
      </c>
      <c r="D254" s="16">
        <f t="shared" si="57"/>
        <v>-1.0141826342564553E-2</v>
      </c>
      <c r="E254" s="15">
        <f t="shared" si="56"/>
        <v>4.0122189564750776E-4</v>
      </c>
      <c r="G254" s="25" t="str">
        <f>IF(VLOOKUP(A254,Aux!B:C,2,FALSE)=0,"",VLOOKUP(A254,Aux!B:C,2,FALSE))</f>
        <v/>
      </c>
      <c r="H254" s="25" t="str">
        <f t="shared" si="45"/>
        <v/>
      </c>
      <c r="L254" s="13">
        <f t="shared" si="48"/>
        <v>106637.92432415206</v>
      </c>
      <c r="M254" s="14">
        <f t="shared" si="49"/>
        <v>-547.35508970099352</v>
      </c>
      <c r="N254" s="14">
        <f t="shared" si="50"/>
        <v>21.342543625188398</v>
      </c>
      <c r="O254" s="1">
        <f t="shared" si="51"/>
        <v>2.387069732668972</v>
      </c>
      <c r="P254" s="1">
        <f t="shared" si="52"/>
        <v>2164.5581769960681</v>
      </c>
      <c r="S254" s="6">
        <f t="shared" si="46"/>
        <v>0.50097295533931707</v>
      </c>
      <c r="T254" s="6">
        <f t="shared" si="47"/>
        <v>0.49902704466068304</v>
      </c>
      <c r="V254" s="1">
        <f t="shared" si="53"/>
        <v>106630.96690634315</v>
      </c>
      <c r="W254" s="7">
        <f t="shared" si="54"/>
        <v>-4.9205708917184491E-3</v>
      </c>
      <c r="X254" s="7">
        <f t="shared" si="55"/>
        <v>-4.7429349682965773E-3</v>
      </c>
      <c r="Y254">
        <f>LN(B254/B253)</f>
        <v>-1.0193605047925755E-2</v>
      </c>
      <c r="Z254">
        <f>LN(C254/C253)</f>
        <v>4.0114142766569223E-4</v>
      </c>
    </row>
    <row r="255" spans="1:26" x14ac:dyDescent="0.3">
      <c r="A255" s="9">
        <v>40553</v>
      </c>
      <c r="B255" s="1">
        <v>22434.14</v>
      </c>
      <c r="C255" s="1">
        <v>24.594660000000001</v>
      </c>
      <c r="D255" s="6">
        <f t="shared" si="57"/>
        <v>2.4173325874305984E-3</v>
      </c>
      <c r="E255" s="5">
        <f t="shared" si="56"/>
        <v>4.0146773675919789E-4</v>
      </c>
      <c r="G255" s="25" t="str">
        <f>IF(VLOOKUP(A255,Aux!B:C,2,FALSE)=0,"",VLOOKUP(A255,Aux!B:C,2,FALSE))</f>
        <v/>
      </c>
      <c r="H255" s="25" t="str">
        <f t="shared" si="45"/>
        <v/>
      </c>
      <c r="L255" s="13">
        <f t="shared" si="48"/>
        <v>106788.42898589639</v>
      </c>
      <c r="M255" s="14">
        <f t="shared" si="49"/>
        <v>129.14047253738792</v>
      </c>
      <c r="N255" s="14">
        <f t="shared" si="50"/>
        <v>21.364189206949849</v>
      </c>
      <c r="O255" s="1">
        <f t="shared" si="51"/>
        <v>2.387069732668972</v>
      </c>
      <c r="P255" s="1">
        <f t="shared" si="52"/>
        <v>2164.5581769960681</v>
      </c>
      <c r="S255" s="6">
        <f t="shared" si="46"/>
        <v>0.50147620937031401</v>
      </c>
      <c r="T255" s="6">
        <f t="shared" si="47"/>
        <v>0.4985237906296861</v>
      </c>
      <c r="V255" s="1">
        <f t="shared" si="53"/>
        <v>106777.85799616636</v>
      </c>
      <c r="W255" s="7">
        <f t="shared" si="54"/>
        <v>1.4103664740361304E-3</v>
      </c>
      <c r="X255" s="7">
        <f t="shared" si="55"/>
        <v>1.3766170455957517E-3</v>
      </c>
      <c r="Y255">
        <f>LN(B255/B254)</f>
        <v>2.4144155390497771E-3</v>
      </c>
      <c r="Z255">
        <f>LN(C255/C254)</f>
        <v>4.0138717014991023E-4</v>
      </c>
    </row>
    <row r="256" spans="1:26" x14ac:dyDescent="0.3">
      <c r="A256" s="11">
        <v>40554</v>
      </c>
      <c r="B256" s="12">
        <v>22554.33</v>
      </c>
      <c r="C256" s="12">
        <v>24.60453</v>
      </c>
      <c r="D256" s="16">
        <f t="shared" si="57"/>
        <v>5.3574596574685884E-3</v>
      </c>
      <c r="E256" s="15">
        <f t="shared" si="56"/>
        <v>4.0130662509674231E-4</v>
      </c>
      <c r="G256" s="25" t="str">
        <f>IF(VLOOKUP(A256,Aux!B:C,2,FALSE)=0,"",VLOOKUP(A256,Aux!B:C,2,FALSE))</f>
        <v/>
      </c>
      <c r="H256" s="25" t="str">
        <f t="shared" si="45"/>
        <v/>
      </c>
      <c r="L256" s="13">
        <f t="shared" si="48"/>
        <v>107096.69508627283</v>
      </c>
      <c r="M256" s="14">
        <f t="shared" si="49"/>
        <v>286.90191116948932</v>
      </c>
      <c r="N256" s="14">
        <f t="shared" si="50"/>
        <v>21.364189206949849</v>
      </c>
      <c r="O256" s="1">
        <f t="shared" si="51"/>
        <v>2.387069732668972</v>
      </c>
      <c r="P256" s="1">
        <f t="shared" si="52"/>
        <v>2164.5581769960681</v>
      </c>
      <c r="S256" s="6">
        <f t="shared" si="46"/>
        <v>0.50271167042323228</v>
      </c>
      <c r="T256" s="6">
        <f t="shared" si="47"/>
        <v>0.49728832957676794</v>
      </c>
      <c r="V256" s="1">
        <f t="shared" si="53"/>
        <v>107077.22102783015</v>
      </c>
      <c r="W256" s="7">
        <f t="shared" si="54"/>
        <v>2.8825409449425693E-3</v>
      </c>
      <c r="X256" s="7">
        <f t="shared" si="55"/>
        <v>2.7996831178345766E-3</v>
      </c>
      <c r="Y256">
        <f>LN(B256/B255)</f>
        <v>5.3431595226703455E-3</v>
      </c>
      <c r="Z256">
        <f>LN(C256/C255)</f>
        <v>4.012261231296641E-4</v>
      </c>
    </row>
    <row r="257" spans="1:26" x14ac:dyDescent="0.3">
      <c r="A257" s="9">
        <v>40555</v>
      </c>
      <c r="B257" s="1">
        <v>22942.14</v>
      </c>
      <c r="C257" s="1">
        <v>24.6144</v>
      </c>
      <c r="D257" s="6">
        <f t="shared" si="57"/>
        <v>1.7194481059734423E-2</v>
      </c>
      <c r="E257" s="5">
        <f t="shared" si="56"/>
        <v>4.011456426926685E-4</v>
      </c>
      <c r="G257" s="25" t="str">
        <f>IF(VLOOKUP(A257,Aux!B:C,2,FALSE)=0,"",VLOOKUP(A257,Aux!B:C,2,FALSE))</f>
        <v/>
      </c>
      <c r="H257" s="25" t="str">
        <f t="shared" si="45"/>
        <v/>
      </c>
      <c r="L257" s="13">
        <f t="shared" si="48"/>
        <v>108043.78878850612</v>
      </c>
      <c r="M257" s="14">
        <f t="shared" si="49"/>
        <v>925.72951302634851</v>
      </c>
      <c r="N257" s="14">
        <f t="shared" si="50"/>
        <v>21.364189206949849</v>
      </c>
      <c r="O257" s="1">
        <f t="shared" si="51"/>
        <v>2.387069732668972</v>
      </c>
      <c r="P257" s="1">
        <f t="shared" si="52"/>
        <v>2164.5581769960681</v>
      </c>
      <c r="S257" s="6">
        <f t="shared" si="46"/>
        <v>0.50687307998662168</v>
      </c>
      <c r="T257" s="6">
        <f t="shared" si="47"/>
        <v>0.49312692001337849</v>
      </c>
      <c r="V257" s="1">
        <f t="shared" si="53"/>
        <v>107993.99276089162</v>
      </c>
      <c r="W257" s="7">
        <f t="shared" si="54"/>
        <v>8.8044779234552825E-3</v>
      </c>
      <c r="X257" s="7">
        <f t="shared" si="55"/>
        <v>8.5253369764384558E-3</v>
      </c>
      <c r="Y257">
        <f>LN(B257/B256)</f>
        <v>1.7048328931500479E-2</v>
      </c>
      <c r="Z257">
        <f>LN(C257/C256)</f>
        <v>4.0106520529003295E-4</v>
      </c>
    </row>
    <row r="258" spans="1:26" x14ac:dyDescent="0.3">
      <c r="A258" s="11">
        <v>40556</v>
      </c>
      <c r="B258" s="12">
        <v>22627.45</v>
      </c>
      <c r="C258" s="12">
        <v>24.624279999999999</v>
      </c>
      <c r="D258" s="16">
        <f t="shared" si="57"/>
        <v>-1.3716680309683316E-2</v>
      </c>
      <c r="E258" s="15">
        <f t="shared" si="56"/>
        <v>4.0139105564218625E-4</v>
      </c>
      <c r="G258" s="25" t="str">
        <f>IF(VLOOKUP(A258,Aux!B:C,2,FALSE)=0,"",VLOOKUP(A258,Aux!B:C,2,FALSE))</f>
        <v/>
      </c>
      <c r="H258" s="25" t="str">
        <f t="shared" si="45"/>
        <v/>
      </c>
      <c r="L258" s="13">
        <f t="shared" si="48"/>
        <v>107313.98764912123</v>
      </c>
      <c r="M258" s="14">
        <f t="shared" si="49"/>
        <v>-751.18697417359567</v>
      </c>
      <c r="N258" s="14">
        <f t="shared" si="50"/>
        <v>21.385834788718991</v>
      </c>
      <c r="O258" s="1">
        <f t="shared" si="51"/>
        <v>2.387069732668972</v>
      </c>
      <c r="P258" s="1">
        <f t="shared" si="52"/>
        <v>2164.5581769960681</v>
      </c>
      <c r="S258" s="6">
        <f t="shared" si="46"/>
        <v>0.50332023071479659</v>
      </c>
      <c r="T258" s="6">
        <f t="shared" si="47"/>
        <v>0.49667976928520374</v>
      </c>
      <c r="V258" s="1">
        <f t="shared" si="53"/>
        <v>107290.0947916962</v>
      </c>
      <c r="W258" s="7">
        <f t="shared" si="54"/>
        <v>-6.7775953589550401E-3</v>
      </c>
      <c r="X258" s="7">
        <f t="shared" si="55"/>
        <v>-6.539270835479667E-3</v>
      </c>
      <c r="Y258">
        <f>LN(B258/B257)</f>
        <v>-1.3811623169338802E-2</v>
      </c>
      <c r="Z258">
        <f>LN(C258/C257)</f>
        <v>4.0131051980260124E-4</v>
      </c>
    </row>
    <row r="259" spans="1:26" x14ac:dyDescent="0.3">
      <c r="A259" s="9">
        <v>40557</v>
      </c>
      <c r="B259" s="1">
        <v>22729.53</v>
      </c>
      <c r="C259" s="1">
        <v>24.634160000000001</v>
      </c>
      <c r="D259" s="6">
        <f t="shared" si="57"/>
        <v>4.5113346841998414E-3</v>
      </c>
      <c r="E259" s="5">
        <f t="shared" si="56"/>
        <v>4.0123000550695842E-4</v>
      </c>
      <c r="G259" s="25" t="str">
        <f>IF(VLOOKUP(A259,Aux!B:C,2,FALSE)=0,"",VLOOKUP(A259,Aux!B:C,2,FALSE))</f>
        <v/>
      </c>
      <c r="H259" s="25" t="str">
        <f t="shared" ref="H259:H322" si="58">IF(ISNUMBER(G259),1-G259,"")</f>
        <v/>
      </c>
      <c r="L259" s="13">
        <f t="shared" si="48"/>
        <v>107579.04556222081</v>
      </c>
      <c r="M259" s="14">
        <f t="shared" si="49"/>
        <v>243.67207831084414</v>
      </c>
      <c r="N259" s="14">
        <f t="shared" si="50"/>
        <v>21.38583478872668</v>
      </c>
      <c r="O259" s="1">
        <f t="shared" si="51"/>
        <v>2.387069732668972</v>
      </c>
      <c r="P259" s="1">
        <f t="shared" si="52"/>
        <v>2164.5581769960681</v>
      </c>
      <c r="S259" s="6">
        <f t="shared" ref="S259:S322" si="59">O259*B259/L259</f>
        <v>0.50434518002309858</v>
      </c>
      <c r="T259" s="6">
        <f t="shared" ref="T259:T322" si="60">P259*C259/L259</f>
        <v>0.49565481997690175</v>
      </c>
      <c r="V259" s="1">
        <f t="shared" si="53"/>
        <v>107547.69979119342</v>
      </c>
      <c r="W259" s="7">
        <f t="shared" si="54"/>
        <v>2.4668835797641213E-3</v>
      </c>
      <c r="X259" s="7">
        <f t="shared" si="55"/>
        <v>2.3981359839943392E-3</v>
      </c>
      <c r="Y259">
        <f>LN(B259/B258)</f>
        <v>4.5011891158093084E-3</v>
      </c>
      <c r="Z259">
        <f>LN(C259/C258)</f>
        <v>4.0114953427256185E-4</v>
      </c>
    </row>
    <row r="260" spans="1:26" x14ac:dyDescent="0.3">
      <c r="A260" s="11">
        <v>40560</v>
      </c>
      <c r="B260" s="12">
        <v>22648.45</v>
      </c>
      <c r="C260" s="12">
        <v>24.64405</v>
      </c>
      <c r="D260" s="16">
        <f t="shared" si="57"/>
        <v>-3.5671657091016495E-3</v>
      </c>
      <c r="E260" s="15">
        <f t="shared" si="56"/>
        <v>4.0147502492460241E-4</v>
      </c>
      <c r="G260" s="25" t="str">
        <f>IF(VLOOKUP(A260,Aux!B:C,2,FALSE)=0,"",VLOOKUP(A260,Aux!B:C,2,FALSE))</f>
        <v/>
      </c>
      <c r="H260" s="25" t="str">
        <f t="shared" si="58"/>
        <v/>
      </c>
      <c r="L260" s="13">
        <f t="shared" ref="L260:L323" si="61">L259+M260+N260</f>
        <v>107406.90942866651</v>
      </c>
      <c r="M260" s="14">
        <f t="shared" ref="M260:M323" si="62">O259*(B260-B259)</f>
        <v>-193.54361392479575</v>
      </c>
      <c r="N260" s="14">
        <f t="shared" ref="N260:N323" si="63">P259*(C260-C259)</f>
        <v>21.40748037048813</v>
      </c>
      <c r="O260" s="1">
        <f t="shared" ref="O260:O323" si="64">IF(ISNUMBER(G260),L260*G260/B260,O259)</f>
        <v>2.387069732668972</v>
      </c>
      <c r="P260" s="1">
        <f t="shared" ref="P260:P323" si="65">IF(ISNUMBER(H260),L260*H260/C260,P259)</f>
        <v>2164.5581769960681</v>
      </c>
      <c r="S260" s="6">
        <f t="shared" si="59"/>
        <v>0.50335150480027924</v>
      </c>
      <c r="T260" s="6">
        <f t="shared" si="60"/>
        <v>0.4966484951997211</v>
      </c>
      <c r="V260" s="1">
        <f t="shared" ref="V260:V323" si="66">$O$2*B260+$P$2*C260</f>
        <v>107382.77063504416</v>
      </c>
      <c r="W260" s="7">
        <f t="shared" ref="W260:W323" si="67">LN(L260/L259)</f>
        <v>-1.6013713114138156E-3</v>
      </c>
      <c r="X260" s="7">
        <f t="shared" ref="X260:X323" si="68">LN(V260/V259)</f>
        <v>-1.5347213282007075E-3</v>
      </c>
      <c r="Y260">
        <f>LN(B260/B259)</f>
        <v>-3.5735432156318377E-3</v>
      </c>
      <c r="Z260">
        <f>LN(C260/C259)</f>
        <v>4.0139445539049914E-4</v>
      </c>
    </row>
    <row r="261" spans="1:26" x14ac:dyDescent="0.3">
      <c r="A261" s="9">
        <v>40561</v>
      </c>
      <c r="B261" s="1">
        <v>22703.43</v>
      </c>
      <c r="C261" s="1">
        <v>24.653939999999999</v>
      </c>
      <c r="D261" s="6">
        <f t="shared" si="57"/>
        <v>2.4275391914236888E-3</v>
      </c>
      <c r="E261" s="5">
        <f t="shared" ref="E261:E324" si="69">C261/C260-1</f>
        <v>4.0131390741371398E-4</v>
      </c>
      <c r="G261" s="25" t="str">
        <f>IF(VLOOKUP(A261,Aux!B:C,2,FALSE)=0,"",VLOOKUP(A261,Aux!B:C,2,FALSE))</f>
        <v/>
      </c>
      <c r="H261" s="25" t="str">
        <f t="shared" si="58"/>
        <v/>
      </c>
      <c r="L261" s="13">
        <f t="shared" si="61"/>
        <v>107559.55800293913</v>
      </c>
      <c r="M261" s="14">
        <f t="shared" si="62"/>
        <v>131.24109390213903</v>
      </c>
      <c r="N261" s="14">
        <f t="shared" si="63"/>
        <v>21.40748037048813</v>
      </c>
      <c r="O261" s="1">
        <f t="shared" si="64"/>
        <v>2.387069732668972</v>
      </c>
      <c r="P261" s="1">
        <f t="shared" si="65"/>
        <v>2164.5581769960681</v>
      </c>
      <c r="S261" s="6">
        <f t="shared" si="59"/>
        <v>0.50385731948887158</v>
      </c>
      <c r="T261" s="6">
        <f t="shared" si="60"/>
        <v>0.49614268051112864</v>
      </c>
      <c r="V261" s="1">
        <f t="shared" si="66"/>
        <v>107531.73665829917</v>
      </c>
      <c r="W261" s="7">
        <f t="shared" si="67"/>
        <v>1.4202084795273584E-3</v>
      </c>
      <c r="X261" s="7">
        <f t="shared" si="68"/>
        <v>1.3862819126333355E-3</v>
      </c>
      <c r="Y261">
        <f>LN(B261/B260)</f>
        <v>2.4245974779487428E-3</v>
      </c>
      <c r="Z261">
        <f>LN(C261/C260)</f>
        <v>4.0123340252533953E-4</v>
      </c>
    </row>
    <row r="262" spans="1:26" x14ac:dyDescent="0.3">
      <c r="A262" s="11">
        <v>40562</v>
      </c>
      <c r="B262" s="12">
        <v>22408.57</v>
      </c>
      <c r="C262" s="12">
        <v>24.66384</v>
      </c>
      <c r="D262" s="16">
        <f t="shared" si="57"/>
        <v>-1.2987464889666511E-2</v>
      </c>
      <c r="E262" s="15">
        <f t="shared" si="69"/>
        <v>4.0155853384904461E-4</v>
      </c>
      <c r="G262" s="25" t="str">
        <f>IF(VLOOKUP(A262,Aux!B:C,2,FALSE)=0,"",VLOOKUP(A262,Aux!B:C,2,FALSE))</f>
        <v/>
      </c>
      <c r="H262" s="25" t="str">
        <f t="shared" si="58"/>
        <v/>
      </c>
      <c r="L262" s="13">
        <f t="shared" si="61"/>
        <v>106877.13574751662</v>
      </c>
      <c r="M262" s="14">
        <f t="shared" si="62"/>
        <v>-703.85138137477452</v>
      </c>
      <c r="N262" s="14">
        <f t="shared" si="63"/>
        <v>21.429125952264961</v>
      </c>
      <c r="O262" s="1">
        <f t="shared" si="64"/>
        <v>2.387069732668972</v>
      </c>
      <c r="P262" s="1">
        <f t="shared" si="65"/>
        <v>2164.5581769960681</v>
      </c>
      <c r="S262" s="6">
        <f t="shared" si="59"/>
        <v>0.50048889152268339</v>
      </c>
      <c r="T262" s="6">
        <f t="shared" si="60"/>
        <v>0.499511108477317</v>
      </c>
      <c r="V262" s="1">
        <f t="shared" si="66"/>
        <v>106873.63193541009</v>
      </c>
      <c r="W262" s="7">
        <f t="shared" si="67"/>
        <v>-6.36481142547176E-3</v>
      </c>
      <c r="X262" s="7">
        <f t="shared" si="68"/>
        <v>-6.1389021551911038E-3</v>
      </c>
      <c r="Y262">
        <f>LN(B262/B261)</f>
        <v>-1.3072539416198653E-2</v>
      </c>
      <c r="Z262">
        <f>LN(C262/C261)</f>
        <v>4.0147793079816447E-4</v>
      </c>
    </row>
    <row r="263" spans="1:26" x14ac:dyDescent="0.3">
      <c r="A263" s="9">
        <v>40563</v>
      </c>
      <c r="B263" s="1">
        <v>22216.09</v>
      </c>
      <c r="C263" s="1">
        <v>24.673729999999999</v>
      </c>
      <c r="D263" s="6">
        <f t="shared" si="57"/>
        <v>-8.58957086507528E-3</v>
      </c>
      <c r="E263" s="5">
        <f t="shared" si="69"/>
        <v>4.0099189744990937E-4</v>
      </c>
      <c r="G263" s="25" t="str">
        <f>IF(VLOOKUP(A263,Aux!B:C,2,FALSE)=0,"",VLOOKUP(A263,Aux!B:C,2,FALSE))</f>
        <v/>
      </c>
      <c r="H263" s="25" t="str">
        <f t="shared" si="58"/>
        <v/>
      </c>
      <c r="L263" s="13">
        <f t="shared" si="61"/>
        <v>106439.08004574297</v>
      </c>
      <c r="M263" s="14">
        <f t="shared" si="62"/>
        <v>-459.4631821441227</v>
      </c>
      <c r="N263" s="14">
        <f t="shared" si="63"/>
        <v>21.40748037048813</v>
      </c>
      <c r="O263" s="1">
        <f t="shared" si="64"/>
        <v>2.387069732668972</v>
      </c>
      <c r="P263" s="1">
        <f t="shared" si="65"/>
        <v>2164.5581769960681</v>
      </c>
      <c r="S263" s="6">
        <f t="shared" si="59"/>
        <v>0.4982320027048262</v>
      </c>
      <c r="T263" s="6">
        <f t="shared" si="60"/>
        <v>0.5017679972951743</v>
      </c>
      <c r="V263" s="1">
        <f t="shared" si="66"/>
        <v>106451.69908246797</v>
      </c>
      <c r="W263" s="7">
        <f t="shared" si="67"/>
        <v>-4.1071075250129884E-3</v>
      </c>
      <c r="X263" s="7">
        <f t="shared" si="68"/>
        <v>-3.9557740389701982E-3</v>
      </c>
      <c r="Y263">
        <f>LN(B263/B262)</f>
        <v>-8.6266738474792288E-3</v>
      </c>
      <c r="Z263">
        <f>LN(C263/C262)</f>
        <v>4.0091152168496828E-4</v>
      </c>
    </row>
    <row r="264" spans="1:26" x14ac:dyDescent="0.3">
      <c r="A264" s="11">
        <v>40564</v>
      </c>
      <c r="B264" s="12">
        <v>22110.28</v>
      </c>
      <c r="C264" s="12">
        <v>24.684080000000002</v>
      </c>
      <c r="D264" s="16">
        <f t="shared" si="57"/>
        <v>-4.7627642848044882E-3</v>
      </c>
      <c r="E264" s="15">
        <f t="shared" si="69"/>
        <v>4.1947447751122802E-4</v>
      </c>
      <c r="G264" s="25" t="str">
        <f>IF(VLOOKUP(A264,Aux!B:C,2,FALSE)=0,"",VLOOKUP(A264,Aux!B:C,2,FALSE))</f>
        <v/>
      </c>
      <c r="H264" s="25" t="str">
        <f t="shared" si="58"/>
        <v/>
      </c>
      <c r="L264" s="13">
        <f t="shared" si="61"/>
        <v>106208.90737446118</v>
      </c>
      <c r="M264" s="14">
        <f t="shared" si="62"/>
        <v>-252.57584841370706</v>
      </c>
      <c r="N264" s="14">
        <f t="shared" si="63"/>
        <v>22.403177131914767</v>
      </c>
      <c r="O264" s="1">
        <f t="shared" si="64"/>
        <v>2.387069732668972</v>
      </c>
      <c r="P264" s="1">
        <f t="shared" si="65"/>
        <v>2164.5581769960681</v>
      </c>
      <c r="S264" s="6">
        <f t="shared" si="59"/>
        <v>0.49693365155103003</v>
      </c>
      <c r="T264" s="6">
        <f t="shared" si="60"/>
        <v>0.50306634844897036</v>
      </c>
      <c r="V264" s="1">
        <f t="shared" si="66"/>
        <v>106230.74603219097</v>
      </c>
      <c r="W264" s="7">
        <f t="shared" si="67"/>
        <v>-2.1648242615932259E-3</v>
      </c>
      <c r="X264" s="7">
        <f t="shared" si="68"/>
        <v>-2.0777749630297221E-3</v>
      </c>
      <c r="Y264">
        <f>LN(B264/B263)</f>
        <v>-4.7741423884800956E-3</v>
      </c>
      <c r="Z264">
        <f>LN(C264/C263)</f>
        <v>4.1938652268826235E-4</v>
      </c>
    </row>
    <row r="265" spans="1:26" x14ac:dyDescent="0.3">
      <c r="A265" s="9">
        <v>40567</v>
      </c>
      <c r="B265" s="1">
        <v>22235.48</v>
      </c>
      <c r="C265" s="1">
        <v>24.694430000000001</v>
      </c>
      <c r="D265" s="6">
        <f t="shared" si="57"/>
        <v>5.6625244004147035E-3</v>
      </c>
      <c r="E265" s="5">
        <f t="shared" si="69"/>
        <v>4.1929859245315448E-4</v>
      </c>
      <c r="G265" s="25" t="str">
        <f>IF(VLOOKUP(A265,Aux!B:C,2,FALSE)=0,"",VLOOKUP(A265,Aux!B:C,2,FALSE))</f>
        <v/>
      </c>
      <c r="H265" s="25" t="str">
        <f t="shared" si="58"/>
        <v/>
      </c>
      <c r="L265" s="13">
        <f t="shared" si="61"/>
        <v>106530.17168212325</v>
      </c>
      <c r="M265" s="14">
        <f t="shared" si="62"/>
        <v>298.86113053015703</v>
      </c>
      <c r="N265" s="14">
        <f t="shared" si="63"/>
        <v>22.403177131907078</v>
      </c>
      <c r="O265" s="1">
        <f t="shared" si="64"/>
        <v>2.387069732668972</v>
      </c>
      <c r="P265" s="1">
        <f t="shared" si="65"/>
        <v>2164.5581769960681</v>
      </c>
      <c r="S265" s="6">
        <f t="shared" si="59"/>
        <v>0.4982404558376694</v>
      </c>
      <c r="T265" s="6">
        <f t="shared" si="60"/>
        <v>0.50175954416233093</v>
      </c>
      <c r="V265" s="1">
        <f t="shared" si="66"/>
        <v>106542.74113268702</v>
      </c>
      <c r="W265" s="7">
        <f t="shared" si="67"/>
        <v>3.0202683334128919E-3</v>
      </c>
      <c r="X265" s="7">
        <f t="shared" si="68"/>
        <v>2.9326522609691768E-3</v>
      </c>
      <c r="Y265">
        <f>LN(B265/B264)</f>
        <v>5.6465525746584033E-3</v>
      </c>
      <c r="Z265">
        <f>LN(C265/C264)</f>
        <v>4.1921071136309131E-4</v>
      </c>
    </row>
    <row r="266" spans="1:26" x14ac:dyDescent="0.3">
      <c r="A266" s="11">
        <v>40569</v>
      </c>
      <c r="B266" s="12">
        <v>22054.63</v>
      </c>
      <c r="C266" s="12">
        <v>24.715129999999998</v>
      </c>
      <c r="D266" s="16">
        <f t="shared" si="57"/>
        <v>-8.1333976149828846E-3</v>
      </c>
      <c r="E266" s="15">
        <f t="shared" si="69"/>
        <v>8.3824570965984613E-4</v>
      </c>
      <c r="G266" s="25" t="str">
        <f>IF(VLOOKUP(A266,Aux!B:C,2,FALSE)=0,"",VLOOKUP(A266,Aux!B:C,2,FALSE))</f>
        <v/>
      </c>
      <c r="H266" s="25" t="str">
        <f t="shared" si="58"/>
        <v/>
      </c>
      <c r="L266" s="13">
        <f t="shared" si="61"/>
        <v>106143.27647523388</v>
      </c>
      <c r="M266" s="14">
        <f t="shared" si="62"/>
        <v>-431.70156115318014</v>
      </c>
      <c r="N266" s="14">
        <f t="shared" si="63"/>
        <v>44.806354263814157</v>
      </c>
      <c r="O266" s="1">
        <f t="shared" si="64"/>
        <v>2.387069732668972</v>
      </c>
      <c r="P266" s="1">
        <f t="shared" si="65"/>
        <v>2164.5581769960681</v>
      </c>
      <c r="S266" s="6">
        <f t="shared" si="59"/>
        <v>0.49598939741130776</v>
      </c>
      <c r="T266" s="6">
        <f t="shared" si="60"/>
        <v>0.50401060258869257</v>
      </c>
      <c r="V266" s="1">
        <f t="shared" si="66"/>
        <v>106171.82249847338</v>
      </c>
      <c r="W266" s="7">
        <f t="shared" si="67"/>
        <v>-3.6384009104103855E-3</v>
      </c>
      <c r="X266" s="7">
        <f t="shared" si="68"/>
        <v>-3.4874810997799614E-3</v>
      </c>
      <c r="Y266">
        <f>LN(B266/B265)</f>
        <v>-8.1666541418233436E-3</v>
      </c>
      <c r="Z266">
        <f>LN(C266/C265)</f>
        <v>8.3789457793437207E-4</v>
      </c>
    </row>
    <row r="267" spans="1:26" x14ac:dyDescent="0.3">
      <c r="A267" s="9">
        <v>40570</v>
      </c>
      <c r="B267" s="1">
        <v>21907.82</v>
      </c>
      <c r="C267" s="1">
        <v>24.7255</v>
      </c>
      <c r="D267" s="6">
        <f t="shared" si="57"/>
        <v>-6.6566521406163925E-3</v>
      </c>
      <c r="E267" s="5">
        <f t="shared" si="69"/>
        <v>4.1958104205819247E-4</v>
      </c>
      <c r="G267" s="25" t="str">
        <f>IF(VLOOKUP(A267,Aux!B:C,2,FALSE)=0,"",VLOOKUP(A267,Aux!B:C,2,FALSE))</f>
        <v/>
      </c>
      <c r="H267" s="25" t="str">
        <f t="shared" si="58"/>
        <v/>
      </c>
      <c r="L267" s="13">
        <f t="shared" si="61"/>
        <v>105815.2772360762</v>
      </c>
      <c r="M267" s="14">
        <f t="shared" si="62"/>
        <v>-350.4457074531349</v>
      </c>
      <c r="N267" s="14">
        <f t="shared" si="63"/>
        <v>22.446468295453052</v>
      </c>
      <c r="O267" s="1">
        <f t="shared" si="64"/>
        <v>2.387069732668972</v>
      </c>
      <c r="P267" s="1">
        <f t="shared" si="65"/>
        <v>2164.5581769960681</v>
      </c>
      <c r="S267" s="6">
        <f t="shared" si="59"/>
        <v>0.49421496967859913</v>
      </c>
      <c r="T267" s="6">
        <f t="shared" si="60"/>
        <v>0.50578503032140132</v>
      </c>
      <c r="V267" s="1">
        <f t="shared" si="66"/>
        <v>105856.32575665793</v>
      </c>
      <c r="W267" s="7">
        <f t="shared" si="67"/>
        <v>-3.0949399798254648E-3</v>
      </c>
      <c r="X267" s="7">
        <f t="shared" si="68"/>
        <v>-2.9759914168205866E-3</v>
      </c>
      <c r="Y267">
        <f>LN(B267/B266)</f>
        <v>-6.6789064639824801E-3</v>
      </c>
      <c r="Z267">
        <f>LN(C267/C266)</f>
        <v>4.1949304254718903E-4</v>
      </c>
    </row>
    <row r="268" spans="1:26" x14ac:dyDescent="0.3">
      <c r="A268" s="11">
        <v>40571</v>
      </c>
      <c r="B268" s="12">
        <v>21488.81</v>
      </c>
      <c r="C268" s="12">
        <v>24.735859999999999</v>
      </c>
      <c r="D268" s="16">
        <f t="shared" si="57"/>
        <v>-1.9126047228797627E-2</v>
      </c>
      <c r="E268" s="15">
        <f t="shared" si="69"/>
        <v>4.190006268831592E-4</v>
      </c>
      <c r="G268" s="25" t="str">
        <f>IF(VLOOKUP(A268,Aux!B:C,2,FALSE)=0,"",VLOOKUP(A268,Aux!B:C,2,FALSE))</f>
        <v/>
      </c>
      <c r="H268" s="25" t="str">
        <f t="shared" si="58"/>
        <v/>
      </c>
      <c r="L268" s="13">
        <f t="shared" si="61"/>
        <v>104837.49597010425</v>
      </c>
      <c r="M268" s="14">
        <f t="shared" si="62"/>
        <v>-1000.2060886856221</v>
      </c>
      <c r="N268" s="14">
        <f t="shared" si="63"/>
        <v>22.424822713676221</v>
      </c>
      <c r="O268" s="1">
        <f t="shared" si="64"/>
        <v>2.387069732668972</v>
      </c>
      <c r="P268" s="1">
        <f t="shared" si="65"/>
        <v>2164.5581769960681</v>
      </c>
      <c r="S268" s="6">
        <f t="shared" si="59"/>
        <v>0.48928379552962459</v>
      </c>
      <c r="T268" s="6">
        <f t="shared" si="60"/>
        <v>0.51071620447037569</v>
      </c>
      <c r="V268" s="1">
        <f t="shared" si="66"/>
        <v>104912.83172191093</v>
      </c>
      <c r="W268" s="7">
        <f t="shared" si="67"/>
        <v>-9.2834124452401447E-3</v>
      </c>
      <c r="X268" s="7">
        <f t="shared" si="68"/>
        <v>-8.952926017863393E-3</v>
      </c>
      <c r="Y268">
        <f>LN(B268/B267)</f>
        <v>-1.9311316182626857E-2</v>
      </c>
      <c r="Z268">
        <f>LN(C268/C267)</f>
        <v>4.1891287063292178E-4</v>
      </c>
    </row>
    <row r="269" spans="1:26" x14ac:dyDescent="0.3">
      <c r="A269" s="9">
        <v>40574</v>
      </c>
      <c r="B269" s="1">
        <v>21462.33</v>
      </c>
      <c r="C269" s="1">
        <v>24.746230000000001</v>
      </c>
      <c r="D269" s="6">
        <f t="shared" si="57"/>
        <v>-1.2322692601405283E-3</v>
      </c>
      <c r="E269" s="5">
        <f t="shared" si="69"/>
        <v>4.1922941025718252E-4</v>
      </c>
      <c r="G269" s="25" t="str">
        <f>IF(VLOOKUP(A269,Aux!B:C,2,FALSE)=0,"",VLOOKUP(A269,Aux!B:C,2,FALSE))</f>
        <v/>
      </c>
      <c r="H269" s="25" t="str">
        <f t="shared" si="58"/>
        <v/>
      </c>
      <c r="L269" s="13">
        <f t="shared" si="61"/>
        <v>104796.73283187863</v>
      </c>
      <c r="M269" s="14">
        <f t="shared" si="62"/>
        <v>-63.20960652107334</v>
      </c>
      <c r="N269" s="14">
        <f t="shared" si="63"/>
        <v>22.446468295453052</v>
      </c>
      <c r="O269" s="1">
        <f t="shared" si="64"/>
        <v>2.387069732668972</v>
      </c>
      <c r="P269" s="1">
        <f t="shared" si="65"/>
        <v>2164.5581769960681</v>
      </c>
      <c r="S269" s="6">
        <f t="shared" si="59"/>
        <v>0.48887094999176084</v>
      </c>
      <c r="T269" s="6">
        <f t="shared" si="60"/>
        <v>0.5111290500082396</v>
      </c>
      <c r="V269" s="1">
        <f t="shared" si="66"/>
        <v>104874.94049926141</v>
      </c>
      <c r="W269" s="7">
        <f t="shared" si="67"/>
        <v>-3.8889773843075944E-4</v>
      </c>
      <c r="X269" s="7">
        <f t="shared" si="68"/>
        <v>-3.6123385705816004E-4</v>
      </c>
      <c r="Y269">
        <f>LN(B269/B268)</f>
        <v>-1.2330291282107934E-3</v>
      </c>
      <c r="Z269">
        <f>LN(C269/C268)</f>
        <v>4.1914155816056772E-4</v>
      </c>
    </row>
    <row r="270" spans="1:26" x14ac:dyDescent="0.3">
      <c r="A270" s="11">
        <v>40575</v>
      </c>
      <c r="B270" s="12">
        <v>21810.38</v>
      </c>
      <c r="C270" s="12">
        <v>24.756609999999998</v>
      </c>
      <c r="D270" s="16">
        <f t="shared" si="57"/>
        <v>1.6216785409598922E-2</v>
      </c>
      <c r="E270" s="15">
        <f t="shared" si="69"/>
        <v>4.1945783256669422E-4</v>
      </c>
      <c r="G270" s="25" t="str">
        <f>IF(VLOOKUP(A270,Aux!B:C,2,FALSE)=0,"",VLOOKUP(A270,Aux!B:C,2,FALSE))</f>
        <v/>
      </c>
      <c r="H270" s="25" t="str">
        <f t="shared" si="58"/>
        <v/>
      </c>
      <c r="L270" s="13">
        <f t="shared" si="61"/>
        <v>105650.02056621129</v>
      </c>
      <c r="M270" s="14">
        <f t="shared" si="62"/>
        <v>830.81962045543401</v>
      </c>
      <c r="N270" s="14">
        <f t="shared" si="63"/>
        <v>22.468113877214503</v>
      </c>
      <c r="O270" s="1">
        <f t="shared" si="64"/>
        <v>2.387069732668972</v>
      </c>
      <c r="P270" s="1">
        <f t="shared" si="65"/>
        <v>2164.5581769960681</v>
      </c>
      <c r="S270" s="6">
        <f t="shared" si="59"/>
        <v>0.49278644411981604</v>
      </c>
      <c r="T270" s="6">
        <f t="shared" si="60"/>
        <v>0.50721355588018424</v>
      </c>
      <c r="V270" s="1">
        <f t="shared" si="66"/>
        <v>105701.12545906601</v>
      </c>
      <c r="W270" s="7">
        <f t="shared" si="67"/>
        <v>8.1093425930157635E-3</v>
      </c>
      <c r="X270" s="7">
        <f t="shared" si="68"/>
        <v>7.8469430546959044E-3</v>
      </c>
      <c r="Y270">
        <f>LN(B270/B269)</f>
        <v>1.6086697861977101E-2</v>
      </c>
      <c r="Z270">
        <f>LN(C270/C269)</f>
        <v>4.1936988472279194E-4</v>
      </c>
    </row>
    <row r="271" spans="1:26" x14ac:dyDescent="0.3">
      <c r="A271" s="9">
        <v>40576</v>
      </c>
      <c r="B271" s="1">
        <v>21556.47</v>
      </c>
      <c r="C271" s="1">
        <v>24.76698</v>
      </c>
      <c r="D271" s="6">
        <f t="shared" si="57"/>
        <v>-1.1641704546183962E-2</v>
      </c>
      <c r="E271" s="5">
        <f t="shared" si="69"/>
        <v>4.1887802893869619E-4</v>
      </c>
      <c r="G271" s="25" t="str">
        <f>IF(VLOOKUP(A271,Aux!B:C,2,FALSE)=0,"",VLOOKUP(A271,Aux!B:C,2,FALSE))</f>
        <v/>
      </c>
      <c r="H271" s="25" t="str">
        <f t="shared" si="58"/>
        <v/>
      </c>
      <c r="L271" s="13">
        <f t="shared" si="61"/>
        <v>105066.36615868476</v>
      </c>
      <c r="M271" s="14">
        <f t="shared" si="62"/>
        <v>-606.10087582197832</v>
      </c>
      <c r="N271" s="14">
        <f t="shared" si="63"/>
        <v>22.446468295453052</v>
      </c>
      <c r="O271" s="1">
        <f t="shared" si="64"/>
        <v>2.387069732668972</v>
      </c>
      <c r="P271" s="1">
        <f t="shared" si="65"/>
        <v>2164.5581769960681</v>
      </c>
      <c r="S271" s="6">
        <f t="shared" si="59"/>
        <v>0.4897551800970259</v>
      </c>
      <c r="T271" s="6">
        <f t="shared" si="60"/>
        <v>0.51024481990297454</v>
      </c>
      <c r="V271" s="1">
        <f t="shared" si="66"/>
        <v>105138.54527087254</v>
      </c>
      <c r="W271" s="7">
        <f t="shared" si="67"/>
        <v>-5.5397295789435478E-3</v>
      </c>
      <c r="X271" s="7">
        <f t="shared" si="68"/>
        <v>-5.3365813121721908E-3</v>
      </c>
      <c r="Y271">
        <f>LN(B271/B270)</f>
        <v>-1.1709999754417628E-2</v>
      </c>
      <c r="Z271">
        <f>LN(C271/C270)</f>
        <v>4.1879032402805107E-4</v>
      </c>
    </row>
    <row r="272" spans="1:26" x14ac:dyDescent="0.3">
      <c r="A272" s="11">
        <v>40577</v>
      </c>
      <c r="B272" s="12">
        <v>21559.119999999999</v>
      </c>
      <c r="C272" s="12">
        <v>24.777370000000001</v>
      </c>
      <c r="D272" s="16">
        <f t="shared" si="57"/>
        <v>1.2293292918541532E-4</v>
      </c>
      <c r="E272" s="15">
        <f t="shared" si="69"/>
        <v>4.1951017039631999E-4</v>
      </c>
      <c r="G272" s="25" t="str">
        <f>IF(VLOOKUP(A272,Aux!B:C,2,FALSE)=0,"",VLOOKUP(A272,Aux!B:C,2,FALSE))</f>
        <v/>
      </c>
      <c r="H272" s="25" t="str">
        <f t="shared" si="58"/>
        <v/>
      </c>
      <c r="L272" s="13">
        <f t="shared" si="61"/>
        <v>105095.18165293531</v>
      </c>
      <c r="M272" s="14">
        <f t="shared" si="62"/>
        <v>6.325734791567565</v>
      </c>
      <c r="N272" s="14">
        <f t="shared" si="63"/>
        <v>22.489759458991333</v>
      </c>
      <c r="O272" s="1">
        <f t="shared" si="64"/>
        <v>2.387069732668972</v>
      </c>
      <c r="P272" s="1">
        <f t="shared" si="65"/>
        <v>2164.5581769960681</v>
      </c>
      <c r="S272" s="6">
        <f t="shared" si="59"/>
        <v>0.48968108723508658</v>
      </c>
      <c r="T272" s="6">
        <f t="shared" si="60"/>
        <v>0.51031891276491381</v>
      </c>
      <c r="V272" s="1">
        <f t="shared" si="66"/>
        <v>105167.90271984509</v>
      </c>
      <c r="W272" s="7">
        <f t="shared" si="67"/>
        <v>2.7422232783474857E-4</v>
      </c>
      <c r="X272" s="7">
        <f t="shared" si="68"/>
        <v>2.7918734250648132E-4</v>
      </c>
      <c r="Y272">
        <f>LN(B272/B271)</f>
        <v>1.2292537355209401E-4</v>
      </c>
      <c r="Z272">
        <f>LN(C272/C271)</f>
        <v>4.1942220060674137E-4</v>
      </c>
    </row>
    <row r="273" spans="1:26" x14ac:dyDescent="0.3">
      <c r="A273" s="9">
        <v>40578</v>
      </c>
      <c r="B273" s="1">
        <v>21106.92</v>
      </c>
      <c r="C273" s="1">
        <v>24.787749999999999</v>
      </c>
      <c r="D273" s="6">
        <f t="shared" si="57"/>
        <v>-2.0974882091662428E-2</v>
      </c>
      <c r="E273" s="5">
        <f t="shared" si="69"/>
        <v>4.1893066132514534E-4</v>
      </c>
      <c r="G273" s="25" t="str">
        <f>IF(VLOOKUP(A273,Aux!B:C,2,FALSE)=0,"",VLOOKUP(A273,Aux!B:C,2,FALSE))</f>
        <v/>
      </c>
      <c r="H273" s="25" t="str">
        <f t="shared" si="58"/>
        <v/>
      </c>
      <c r="L273" s="13">
        <f t="shared" si="61"/>
        <v>104038.21683369961</v>
      </c>
      <c r="M273" s="14">
        <f t="shared" si="62"/>
        <v>-1079.4329331129109</v>
      </c>
      <c r="N273" s="14">
        <f t="shared" si="63"/>
        <v>22.468113877214503</v>
      </c>
      <c r="O273" s="1">
        <f t="shared" si="64"/>
        <v>2.387069732668972</v>
      </c>
      <c r="P273" s="1">
        <f t="shared" si="65"/>
        <v>2164.5581769960681</v>
      </c>
      <c r="S273" s="6">
        <f t="shared" si="59"/>
        <v>0.48428059818058422</v>
      </c>
      <c r="T273" s="6">
        <f t="shared" si="60"/>
        <v>0.51571940181941622</v>
      </c>
      <c r="V273" s="1">
        <f t="shared" si="66"/>
        <v>104147.88293675489</v>
      </c>
      <c r="W273" s="7">
        <f t="shared" si="67"/>
        <v>-1.0108130278780844E-2</v>
      </c>
      <c r="X273" s="7">
        <f t="shared" si="68"/>
        <v>-9.7463060822221368E-3</v>
      </c>
      <c r="Y273">
        <f>LN(B273/B272)</f>
        <v>-2.1197980081737216E-2</v>
      </c>
      <c r="Z273">
        <f>LN(C273/C272)</f>
        <v>4.1884293437579695E-4</v>
      </c>
    </row>
    <row r="274" spans="1:26" x14ac:dyDescent="0.3">
      <c r="A274" s="11">
        <v>40581</v>
      </c>
      <c r="B274" s="12">
        <v>21152.11</v>
      </c>
      <c r="C274" s="12">
        <v>24.79815</v>
      </c>
      <c r="D274" s="16">
        <f t="shared" si="57"/>
        <v>2.1410039930034319E-3</v>
      </c>
      <c r="E274" s="15">
        <f t="shared" si="69"/>
        <v>4.1956208207682977E-4</v>
      </c>
      <c r="G274" s="25" t="str">
        <f>IF(VLOOKUP(A274,Aux!B:C,2,FALSE)=0,"",VLOOKUP(A274,Aux!B:C,2,FALSE))</f>
        <v/>
      </c>
      <c r="H274" s="25" t="str">
        <f t="shared" si="58"/>
        <v/>
      </c>
      <c r="L274" s="13">
        <f t="shared" si="61"/>
        <v>104168.59991995968</v>
      </c>
      <c r="M274" s="14">
        <f t="shared" si="62"/>
        <v>107.8716812193164</v>
      </c>
      <c r="N274" s="14">
        <f t="shared" si="63"/>
        <v>22.511405040760476</v>
      </c>
      <c r="O274" s="1">
        <f t="shared" si="64"/>
        <v>2.387069732668972</v>
      </c>
      <c r="P274" s="1">
        <f t="shared" si="65"/>
        <v>2164.5581769960681</v>
      </c>
      <c r="S274" s="6">
        <f t="shared" si="59"/>
        <v>0.48470999516054775</v>
      </c>
      <c r="T274" s="6">
        <f t="shared" si="60"/>
        <v>0.51529000483945275</v>
      </c>
      <c r="V274" s="1">
        <f t="shared" si="66"/>
        <v>104275.40402510922</v>
      </c>
      <c r="W274" s="7">
        <f t="shared" si="67"/>
        <v>1.2524383719635407E-3</v>
      </c>
      <c r="X274" s="7">
        <f t="shared" si="68"/>
        <v>1.2236742460544027E-3</v>
      </c>
      <c r="Y274">
        <f>LN(B274/B273)</f>
        <v>2.1387153100917316E-3</v>
      </c>
      <c r="Z274">
        <f>LN(C274/C273)</f>
        <v>4.1947409051755897E-4</v>
      </c>
    </row>
    <row r="275" spans="1:26" x14ac:dyDescent="0.3">
      <c r="A275" s="9">
        <v>40582</v>
      </c>
      <c r="B275" s="1">
        <v>21248.28</v>
      </c>
      <c r="C275" s="1">
        <v>24.808540000000001</v>
      </c>
      <c r="D275" s="6">
        <f t="shared" si="57"/>
        <v>4.5465913329685304E-3</v>
      </c>
      <c r="E275" s="5">
        <f t="shared" si="69"/>
        <v>4.1898286767372284E-4</v>
      </c>
      <c r="G275" s="25" t="str">
        <f>IF(VLOOKUP(A275,Aux!B:C,2,FALSE)=0,"",VLOOKUP(A275,Aux!B:C,2,FALSE))</f>
        <v/>
      </c>
      <c r="H275" s="25" t="str">
        <f t="shared" si="58"/>
        <v/>
      </c>
      <c r="L275" s="13">
        <f t="shared" si="61"/>
        <v>104420.65417560944</v>
      </c>
      <c r="M275" s="14">
        <f t="shared" si="62"/>
        <v>229.56449619077088</v>
      </c>
      <c r="N275" s="14">
        <f t="shared" si="63"/>
        <v>22.489759458991333</v>
      </c>
      <c r="O275" s="1">
        <f t="shared" si="64"/>
        <v>2.387069732668972</v>
      </c>
      <c r="P275" s="1">
        <f t="shared" si="65"/>
        <v>2164.5581769960681</v>
      </c>
      <c r="S275" s="6">
        <f t="shared" si="59"/>
        <v>0.48573844379460801</v>
      </c>
      <c r="T275" s="6">
        <f t="shared" si="60"/>
        <v>0.5142615562053926</v>
      </c>
      <c r="V275" s="1">
        <f t="shared" si="66"/>
        <v>104520.51538542889</v>
      </c>
      <c r="W275" s="7">
        <f t="shared" si="67"/>
        <v>2.4167532447791793E-3</v>
      </c>
      <c r="X275" s="7">
        <f t="shared" si="68"/>
        <v>2.3478569275520544E-3</v>
      </c>
      <c r="Y275">
        <f>LN(B275/B274)</f>
        <v>4.5362868084300508E-3</v>
      </c>
      <c r="Z275">
        <f>LN(C275/C274)</f>
        <v>4.1889511886133123E-4</v>
      </c>
    </row>
    <row r="276" spans="1:26" x14ac:dyDescent="0.3">
      <c r="A276" s="11">
        <v>40583</v>
      </c>
      <c r="B276" s="12">
        <v>20742.38</v>
      </c>
      <c r="C276" s="12">
        <v>24.818940000000001</v>
      </c>
      <c r="D276" s="16">
        <f t="shared" si="57"/>
        <v>-2.3808985950862782E-2</v>
      </c>
      <c r="E276" s="15">
        <f t="shared" si="69"/>
        <v>4.1921048155191265E-4</v>
      </c>
      <c r="G276" s="25" t="str">
        <f>IF(VLOOKUP(A276,Aux!B:C,2,FALSE)=0,"",VLOOKUP(A276,Aux!B:C,2,FALSE))</f>
        <v/>
      </c>
      <c r="H276" s="25" t="str">
        <f t="shared" si="58"/>
        <v/>
      </c>
      <c r="L276" s="13">
        <f t="shared" si="61"/>
        <v>103235.54700289297</v>
      </c>
      <c r="M276" s="14">
        <f t="shared" si="62"/>
        <v>-1207.6185777572277</v>
      </c>
      <c r="N276" s="14">
        <f t="shared" si="63"/>
        <v>22.511405040760476</v>
      </c>
      <c r="O276" s="1">
        <f t="shared" si="64"/>
        <v>2.387069732668972</v>
      </c>
      <c r="P276" s="1">
        <f t="shared" si="65"/>
        <v>2164.5581769960681</v>
      </c>
      <c r="S276" s="6">
        <f t="shared" si="59"/>
        <v>0.4796168463187464</v>
      </c>
      <c r="T276" s="6">
        <f t="shared" si="60"/>
        <v>0.52038315368125421</v>
      </c>
      <c r="V276" s="1">
        <f t="shared" si="66"/>
        <v>103376.65256655189</v>
      </c>
      <c r="W276" s="7">
        <f t="shared" si="67"/>
        <v>-1.1414251371095814E-2</v>
      </c>
      <c r="X276" s="7">
        <f t="shared" si="68"/>
        <v>-1.100423226491596E-2</v>
      </c>
      <c r="Y276">
        <f>LN(B276/B275)</f>
        <v>-2.4097000602047336E-2</v>
      </c>
      <c r="Z276">
        <f>LN(C276/C275)</f>
        <v>4.1912263738726343E-4</v>
      </c>
    </row>
    <row r="277" spans="1:26" x14ac:dyDescent="0.3">
      <c r="A277" s="9">
        <v>40584</v>
      </c>
      <c r="B277" s="1">
        <v>20834.47</v>
      </c>
      <c r="C277" s="1">
        <v>24.829350000000002</v>
      </c>
      <c r="D277" s="6">
        <f t="shared" si="57"/>
        <v>4.4397026763562941E-3</v>
      </c>
      <c r="E277" s="5">
        <f t="shared" si="69"/>
        <v>4.1943773585817468E-4</v>
      </c>
      <c r="G277" s="25" t="str">
        <f>IF(VLOOKUP(A277,Aux!B:C,2,FALSE)=0,"",VLOOKUP(A277,Aux!B:C,2,FALSE))</f>
        <v/>
      </c>
      <c r="H277" s="25" t="str">
        <f t="shared" si="58"/>
        <v/>
      </c>
      <c r="L277" s="13">
        <f t="shared" si="61"/>
        <v>103477.90530519698</v>
      </c>
      <c r="M277" s="14">
        <f t="shared" si="62"/>
        <v>219.82525168148598</v>
      </c>
      <c r="N277" s="14">
        <f t="shared" si="63"/>
        <v>22.533050622529615</v>
      </c>
      <c r="O277" s="1">
        <f t="shared" si="64"/>
        <v>2.387069732668972</v>
      </c>
      <c r="P277" s="1">
        <f t="shared" si="65"/>
        <v>2164.5581769960681</v>
      </c>
      <c r="S277" s="6">
        <f t="shared" si="59"/>
        <v>0.48061789216274325</v>
      </c>
      <c r="T277" s="6">
        <f t="shared" si="60"/>
        <v>0.51938210783725736</v>
      </c>
      <c r="V277" s="1">
        <f t="shared" si="66"/>
        <v>103612.39596680162</v>
      </c>
      <c r="W277" s="7">
        <f t="shared" si="67"/>
        <v>2.3448731627970076E-3</v>
      </c>
      <c r="X277" s="7">
        <f t="shared" si="68"/>
        <v>2.2778355072439376E-3</v>
      </c>
      <c r="Y277">
        <f>LN(B277/B276)</f>
        <v>4.4298762699093728E-3</v>
      </c>
      <c r="Z277">
        <f>LN(C277/C276)</f>
        <v>4.19349796440258E-4</v>
      </c>
    </row>
    <row r="278" spans="1:26" x14ac:dyDescent="0.3">
      <c r="A278" s="11">
        <v>40585</v>
      </c>
      <c r="B278" s="12">
        <v>21221.55</v>
      </c>
      <c r="C278" s="12">
        <v>24.839759999999998</v>
      </c>
      <c r="D278" s="16">
        <f t="shared" si="57"/>
        <v>1.85788263392348E-2</v>
      </c>
      <c r="E278" s="15">
        <f t="shared" si="69"/>
        <v>4.1926188160368305E-4</v>
      </c>
      <c r="G278" s="25" t="str">
        <f>IF(VLOOKUP(A278,Aux!B:C,2,FALSE)=0,"",VLOOKUP(A278,Aux!B:C,2,FALSE))</f>
        <v/>
      </c>
      <c r="H278" s="25" t="str">
        <f t="shared" si="58"/>
        <v/>
      </c>
      <c r="L278" s="13">
        <f t="shared" si="61"/>
        <v>104424.42530794101</v>
      </c>
      <c r="M278" s="14">
        <f t="shared" si="62"/>
        <v>923.98695212150119</v>
      </c>
      <c r="N278" s="14">
        <f t="shared" si="63"/>
        <v>22.533050622521927</v>
      </c>
      <c r="O278" s="1">
        <f t="shared" si="64"/>
        <v>2.387069732668972</v>
      </c>
      <c r="P278" s="1">
        <f t="shared" si="65"/>
        <v>2164.5581769960681</v>
      </c>
      <c r="S278" s="6">
        <f t="shared" si="59"/>
        <v>0.48510987286677421</v>
      </c>
      <c r="T278" s="6">
        <f t="shared" si="60"/>
        <v>0.51489012713322635</v>
      </c>
      <c r="V278" s="1">
        <f t="shared" si="66"/>
        <v>104528.69161585676</v>
      </c>
      <c r="W278" s="7">
        <f t="shared" si="67"/>
        <v>9.1054923685299476E-3</v>
      </c>
      <c r="X278" s="7">
        <f t="shared" si="68"/>
        <v>8.8046197803691006E-3</v>
      </c>
      <c r="Y278">
        <f>LN(B278/B277)</f>
        <v>1.8408348230160902E-2</v>
      </c>
      <c r="Z278">
        <f>LN(C278/C277)</f>
        <v>4.1917401589930262E-4</v>
      </c>
    </row>
    <row r="279" spans="1:26" x14ac:dyDescent="0.3">
      <c r="A279" s="9">
        <v>40588</v>
      </c>
      <c r="B279" s="1">
        <v>21475.93</v>
      </c>
      <c r="C279" s="1">
        <v>24.850180000000002</v>
      </c>
      <c r="D279" s="6">
        <f t="shared" si="57"/>
        <v>1.1986871835469204E-2</v>
      </c>
      <c r="E279" s="5">
        <f t="shared" si="69"/>
        <v>4.1948875512498596E-4</v>
      </c>
      <c r="G279" s="25" t="str">
        <f>IF(VLOOKUP(A279,Aux!B:C,2,FALSE)=0,"",VLOOKUP(A279,Aux!B:C,2,FALSE))</f>
        <v/>
      </c>
      <c r="H279" s="25" t="str">
        <f t="shared" si="58"/>
        <v/>
      </c>
      <c r="L279" s="13">
        <f t="shared" si="61"/>
        <v>105054.20280274165</v>
      </c>
      <c r="M279" s="14">
        <f t="shared" si="62"/>
        <v>607.22279859633556</v>
      </c>
      <c r="N279" s="14">
        <f t="shared" si="63"/>
        <v>22.554696204306445</v>
      </c>
      <c r="O279" s="1">
        <f t="shared" si="64"/>
        <v>2.387069732668972</v>
      </c>
      <c r="P279" s="1">
        <f t="shared" si="65"/>
        <v>2164.5581769960681</v>
      </c>
      <c r="S279" s="6">
        <f t="shared" si="59"/>
        <v>0.48798183334155648</v>
      </c>
      <c r="T279" s="6">
        <f t="shared" si="60"/>
        <v>0.51201816665844402</v>
      </c>
      <c r="V279" s="1">
        <f t="shared" si="66"/>
        <v>105138.8660943657</v>
      </c>
      <c r="W279" s="7">
        <f t="shared" si="67"/>
        <v>6.012827159495384E-3</v>
      </c>
      <c r="X279" s="7">
        <f t="shared" si="68"/>
        <v>5.8204159742920245E-3</v>
      </c>
      <c r="Y279">
        <f>LN(B279/B278)</f>
        <v>1.1915598286534618E-2</v>
      </c>
      <c r="Z279">
        <f>LN(C279/C278)</f>
        <v>4.1940079431533508E-4</v>
      </c>
    </row>
    <row r="280" spans="1:26" x14ac:dyDescent="0.3">
      <c r="A280" s="11">
        <v>40589</v>
      </c>
      <c r="B280" s="12">
        <v>21531.68</v>
      </c>
      <c r="C280" s="12">
        <v>24.860600000000002</v>
      </c>
      <c r="D280" s="16">
        <f t="shared" si="57"/>
        <v>2.595929489433102E-3</v>
      </c>
      <c r="E280" s="15">
        <f t="shared" si="69"/>
        <v>4.1931285809604368E-4</v>
      </c>
      <c r="G280" s="25" t="str">
        <f>IF(VLOOKUP(A280,Aux!B:C,2,FALSE)=0,"",VLOOKUP(A280,Aux!B:C,2,FALSE))</f>
        <v/>
      </c>
      <c r="H280" s="25" t="str">
        <f t="shared" si="58"/>
        <v/>
      </c>
      <c r="L280" s="13">
        <f t="shared" si="61"/>
        <v>105209.83663654226</v>
      </c>
      <c r="M280" s="14">
        <f t="shared" si="62"/>
        <v>133.0791375962952</v>
      </c>
      <c r="N280" s="14">
        <f t="shared" si="63"/>
        <v>22.554696204298757</v>
      </c>
      <c r="O280" s="1">
        <f t="shared" si="64"/>
        <v>2.387069732668972</v>
      </c>
      <c r="P280" s="1">
        <f t="shared" si="65"/>
        <v>2164.5581769960681</v>
      </c>
      <c r="S280" s="6">
        <f t="shared" si="59"/>
        <v>0.48852486863060157</v>
      </c>
      <c r="T280" s="6">
        <f t="shared" si="60"/>
        <v>0.51147513136939904</v>
      </c>
      <c r="V280" s="1">
        <f t="shared" si="66"/>
        <v>105290.79421476006</v>
      </c>
      <c r="W280" s="7">
        <f t="shared" si="67"/>
        <v>1.4803659497652488E-3</v>
      </c>
      <c r="X280" s="7">
        <f t="shared" si="68"/>
        <v>1.4439803454481986E-3</v>
      </c>
      <c r="Y280">
        <f>LN(B280/B279)</f>
        <v>2.5925658843396222E-3</v>
      </c>
      <c r="Z280">
        <f>LN(C280/C279)</f>
        <v>4.1922497102682183E-4</v>
      </c>
    </row>
    <row r="281" spans="1:26" x14ac:dyDescent="0.3">
      <c r="A281" s="9">
        <v>40590</v>
      </c>
      <c r="B281" s="1">
        <v>21902.21</v>
      </c>
      <c r="C281" s="1">
        <v>24.871030000000001</v>
      </c>
      <c r="D281" s="6">
        <f t="shared" si="57"/>
        <v>1.7208596821056243E-2</v>
      </c>
      <c r="E281" s="5">
        <f t="shared" si="69"/>
        <v>4.1953935142347021E-4</v>
      </c>
      <c r="G281" s="25" t="str">
        <f>IF(VLOOKUP(A281,Aux!B:C,2,FALSE)=0,"",VLOOKUP(A281,Aux!B:C,2,FALSE))</f>
        <v/>
      </c>
      <c r="H281" s="25" t="str">
        <f t="shared" si="58"/>
        <v/>
      </c>
      <c r="L281" s="13">
        <f t="shared" si="61"/>
        <v>106116.89392637416</v>
      </c>
      <c r="M281" s="14">
        <f t="shared" si="62"/>
        <v>884.48094804583138</v>
      </c>
      <c r="N281" s="14">
        <f t="shared" si="63"/>
        <v>22.5763417860679</v>
      </c>
      <c r="O281" s="1">
        <f t="shared" si="64"/>
        <v>2.387069732668972</v>
      </c>
      <c r="P281" s="1">
        <f t="shared" si="65"/>
        <v>2164.5581769960681</v>
      </c>
      <c r="S281" s="6">
        <f t="shared" si="59"/>
        <v>0.4926840641023093</v>
      </c>
      <c r="T281" s="6">
        <f t="shared" si="60"/>
        <v>0.50731593589769108</v>
      </c>
      <c r="V281" s="1">
        <f t="shared" si="66"/>
        <v>106168.95317754234</v>
      </c>
      <c r="W281" s="7">
        <f t="shared" si="67"/>
        <v>8.5844593130163949E-3</v>
      </c>
      <c r="X281" s="7">
        <f t="shared" si="68"/>
        <v>8.3057321493654277E-3</v>
      </c>
      <c r="Y281">
        <f>LN(B281/B280)</f>
        <v>1.706220598612699E-2</v>
      </c>
      <c r="Z281">
        <f>LN(C281/C280)</f>
        <v>4.1945136939686189E-4</v>
      </c>
    </row>
    <row r="282" spans="1:26" x14ac:dyDescent="0.3">
      <c r="A282" s="11">
        <v>40591</v>
      </c>
      <c r="B282" s="12">
        <v>21929.39</v>
      </c>
      <c r="C282" s="12">
        <v>24.88147</v>
      </c>
      <c r="D282" s="16">
        <f t="shared" si="57"/>
        <v>1.2409706600384762E-3</v>
      </c>
      <c r="E282" s="15">
        <f t="shared" si="69"/>
        <v>4.1976548619016008E-4</v>
      </c>
      <c r="G282" s="25" t="str">
        <f>IF(VLOOKUP(A282,Aux!B:C,2,FALSE)=0,"",VLOOKUP(A282,Aux!B:C,2,FALSE))</f>
        <v/>
      </c>
      <c r="H282" s="25" t="str">
        <f t="shared" si="58"/>
        <v/>
      </c>
      <c r="L282" s="13">
        <f t="shared" si="61"/>
        <v>106204.37246907594</v>
      </c>
      <c r="M282" s="14">
        <f t="shared" si="62"/>
        <v>64.880555333943349</v>
      </c>
      <c r="N282" s="14">
        <f t="shared" si="63"/>
        <v>22.597987367837039</v>
      </c>
      <c r="O282" s="1">
        <f t="shared" si="64"/>
        <v>2.387069732668972</v>
      </c>
      <c r="P282" s="1">
        <f t="shared" si="65"/>
        <v>2164.5581769960681</v>
      </c>
      <c r="S282" s="6">
        <f t="shared" si="59"/>
        <v>0.49288915237586622</v>
      </c>
      <c r="T282" s="6">
        <f t="shared" si="60"/>
        <v>0.50711084762413416</v>
      </c>
      <c r="V282" s="1">
        <f t="shared" si="66"/>
        <v>106255.01405120196</v>
      </c>
      <c r="W282" s="7">
        <f t="shared" si="67"/>
        <v>8.2402059046446949E-4</v>
      </c>
      <c r="X282" s="7">
        <f t="shared" si="68"/>
        <v>8.1027465488883168E-4</v>
      </c>
      <c r="Y282">
        <f>LN(B282/B281)</f>
        <v>1.2402012923916086E-3</v>
      </c>
      <c r="Z282">
        <f>LN(C282/C281)</f>
        <v>4.1967740930535743E-4</v>
      </c>
    </row>
    <row r="283" spans="1:26" x14ac:dyDescent="0.3">
      <c r="A283" s="9">
        <v>40592</v>
      </c>
      <c r="B283" s="1">
        <v>22009.02</v>
      </c>
      <c r="C283" s="1">
        <v>24.891909999999999</v>
      </c>
      <c r="D283" s="6">
        <f t="shared" ref="D283:D346" si="70">B283/B282-1</f>
        <v>3.6311999558584773E-3</v>
      </c>
      <c r="E283" s="5">
        <f t="shared" si="69"/>
        <v>4.1958935705954659E-4</v>
      </c>
      <c r="G283" s="25" t="str">
        <f>IF(VLOOKUP(A283,Aux!B:C,2,FALSE)=0,"",VLOOKUP(A283,Aux!B:C,2,FALSE))</f>
        <v/>
      </c>
      <c r="H283" s="25" t="str">
        <f t="shared" si="58"/>
        <v/>
      </c>
      <c r="L283" s="13">
        <f t="shared" si="61"/>
        <v>106417.05281925621</v>
      </c>
      <c r="M283" s="14">
        <f t="shared" si="62"/>
        <v>190.08236281243268</v>
      </c>
      <c r="N283" s="14">
        <f t="shared" si="63"/>
        <v>22.597987367837039</v>
      </c>
      <c r="O283" s="1">
        <f t="shared" si="64"/>
        <v>2.387069732668972</v>
      </c>
      <c r="P283" s="1">
        <f t="shared" si="65"/>
        <v>2164.5581769960681</v>
      </c>
      <c r="S283" s="6">
        <f t="shared" si="59"/>
        <v>0.49369028831250866</v>
      </c>
      <c r="T283" s="6">
        <f t="shared" si="60"/>
        <v>0.50630971168749184</v>
      </c>
      <c r="V283" s="1">
        <f t="shared" si="66"/>
        <v>106462.07890957242</v>
      </c>
      <c r="W283" s="7">
        <f t="shared" si="67"/>
        <v>2.0005549377221997E-3</v>
      </c>
      <c r="X283" s="7">
        <f t="shared" si="68"/>
        <v>1.9468574047408801E-3</v>
      </c>
      <c r="Y283">
        <f>LN(B283/B282)</f>
        <v>3.6246230658254748E-3</v>
      </c>
      <c r="Z283">
        <f>LN(C283/C282)</f>
        <v>4.1950135406115487E-4</v>
      </c>
    </row>
    <row r="284" spans="1:26" x14ac:dyDescent="0.3">
      <c r="A284" s="11">
        <v>40595</v>
      </c>
      <c r="B284" s="12">
        <v>21770.81</v>
      </c>
      <c r="C284" s="12">
        <v>24.902360000000002</v>
      </c>
      <c r="D284" s="16">
        <f t="shared" si="70"/>
        <v>-1.0823289723940421E-2</v>
      </c>
      <c r="E284" s="15">
        <f t="shared" si="69"/>
        <v>4.198151126211247E-4</v>
      </c>
      <c r="G284" s="25" t="str">
        <f>IF(VLOOKUP(A284,Aux!B:C,2,FALSE)=0,"",VLOOKUP(A284,Aux!B:C,2,FALSE))</f>
        <v/>
      </c>
      <c r="H284" s="25" t="str">
        <f t="shared" si="58"/>
        <v/>
      </c>
      <c r="L284" s="13">
        <f t="shared" si="61"/>
        <v>105871.04857118675</v>
      </c>
      <c r="M284" s="14">
        <f t="shared" si="62"/>
        <v>-568.62388101907379</v>
      </c>
      <c r="N284" s="14">
        <f t="shared" si="63"/>
        <v>22.619632949613869</v>
      </c>
      <c r="O284" s="1">
        <f t="shared" si="64"/>
        <v>2.387069732668972</v>
      </c>
      <c r="P284" s="1">
        <f t="shared" si="65"/>
        <v>2164.5581769960681</v>
      </c>
      <c r="S284" s="6">
        <f t="shared" si="59"/>
        <v>0.49086546613112902</v>
      </c>
      <c r="T284" s="6">
        <f t="shared" si="60"/>
        <v>0.50913453386887142</v>
      </c>
      <c r="V284" s="1">
        <f t="shared" si="66"/>
        <v>105935.89814116478</v>
      </c>
      <c r="W284" s="7">
        <f t="shared" si="67"/>
        <v>-5.1440042891482511E-3</v>
      </c>
      <c r="X284" s="7">
        <f t="shared" si="68"/>
        <v>-4.9546784968553985E-3</v>
      </c>
      <c r="Y284">
        <f>LN(B284/B283)</f>
        <v>-1.0882287611171246E-2</v>
      </c>
      <c r="Z284">
        <f>LN(C284/C283)</f>
        <v>4.1972701491236941E-4</v>
      </c>
    </row>
    <row r="285" spans="1:26" x14ac:dyDescent="0.3">
      <c r="A285" s="9">
        <v>40596</v>
      </c>
      <c r="B285" s="1">
        <v>21533.68</v>
      </c>
      <c r="C285" s="1">
        <v>24.91282</v>
      </c>
      <c r="D285" s="6">
        <f t="shared" si="70"/>
        <v>-1.0892107367617476E-2</v>
      </c>
      <c r="E285" s="5">
        <f t="shared" si="69"/>
        <v>4.200405102166016E-4</v>
      </c>
      <c r="G285" s="25" t="str">
        <f>IF(VLOOKUP(A285,Aux!B:C,2,FALSE)=0,"",VLOOKUP(A285,Aux!B:C,2,FALSE))</f>
        <v/>
      </c>
      <c r="H285" s="25" t="str">
        <f t="shared" si="58"/>
        <v/>
      </c>
      <c r="L285" s="13">
        <f t="shared" si="61"/>
        <v>105327.64400401033</v>
      </c>
      <c r="M285" s="14">
        <f t="shared" si="62"/>
        <v>-566.04584570779582</v>
      </c>
      <c r="N285" s="14">
        <f t="shared" si="63"/>
        <v>22.64127853137532</v>
      </c>
      <c r="O285" s="1">
        <f t="shared" si="64"/>
        <v>2.387069732668972</v>
      </c>
      <c r="P285" s="1">
        <f t="shared" si="65"/>
        <v>2164.5581769960681</v>
      </c>
      <c r="S285" s="6">
        <f t="shared" si="59"/>
        <v>0.4880237875540257</v>
      </c>
      <c r="T285" s="6">
        <f t="shared" si="60"/>
        <v>0.51197621244597469</v>
      </c>
      <c r="V285" s="1">
        <f t="shared" si="66"/>
        <v>105412.23134186037</v>
      </c>
      <c r="W285" s="7">
        <f t="shared" si="67"/>
        <v>-5.1459197941518273E-3</v>
      </c>
      <c r="X285" s="7">
        <f t="shared" si="68"/>
        <v>-4.9555004080205243E-3</v>
      </c>
      <c r="Y285">
        <f>LN(B285/B284)</f>
        <v>-1.0951860658045938E-2</v>
      </c>
      <c r="Z285">
        <f>LN(C285/C284)</f>
        <v>4.1995231789685713E-4</v>
      </c>
    </row>
    <row r="286" spans="1:26" x14ac:dyDescent="0.3">
      <c r="A286" s="11">
        <v>40597</v>
      </c>
      <c r="B286" s="12">
        <v>21732.55</v>
      </c>
      <c r="C286" s="12">
        <v>24.923279999999998</v>
      </c>
      <c r="D286" s="16">
        <f t="shared" si="70"/>
        <v>9.2353002366525327E-3</v>
      </c>
      <c r="E286" s="15">
        <f t="shared" si="69"/>
        <v>4.1986415026484813E-4</v>
      </c>
      <c r="G286" s="25" t="str">
        <f>IF(VLOOKUP(A286,Aux!B:C,2,FALSE)=0,"",VLOOKUP(A286,Aux!B:C,2,FALSE))</f>
        <v/>
      </c>
      <c r="H286" s="25" t="str">
        <f t="shared" si="58"/>
        <v/>
      </c>
      <c r="L286" s="13">
        <f t="shared" si="61"/>
        <v>105825.00184027759</v>
      </c>
      <c r="M286" s="14">
        <f t="shared" si="62"/>
        <v>474.71655773587605</v>
      </c>
      <c r="N286" s="14">
        <f t="shared" si="63"/>
        <v>22.64127853137532</v>
      </c>
      <c r="O286" s="1">
        <f t="shared" si="64"/>
        <v>2.387069732668972</v>
      </c>
      <c r="P286" s="1">
        <f t="shared" si="65"/>
        <v>2164.5581769960681</v>
      </c>
      <c r="S286" s="6">
        <f t="shared" si="59"/>
        <v>0.49021603039528933</v>
      </c>
      <c r="T286" s="6">
        <f t="shared" si="60"/>
        <v>0.50978396960471106</v>
      </c>
      <c r="V286" s="1">
        <f t="shared" si="66"/>
        <v>105894.43179391755</v>
      </c>
      <c r="W286" s="7">
        <f t="shared" si="67"/>
        <v>4.7108929568929463E-3</v>
      </c>
      <c r="X286" s="7">
        <f t="shared" si="68"/>
        <v>4.5639951142356638E-3</v>
      </c>
      <c r="Y286">
        <f>LN(B286/B285)</f>
        <v>9.1929156080845058E-3</v>
      </c>
      <c r="Z286">
        <f>LN(C286/C285)</f>
        <v>4.1977603197678663E-4</v>
      </c>
    </row>
    <row r="287" spans="1:26" x14ac:dyDescent="0.3">
      <c r="A287" s="9">
        <v>40598</v>
      </c>
      <c r="B287" s="1">
        <v>21659.279999999999</v>
      </c>
      <c r="C287" s="1">
        <v>24.93375</v>
      </c>
      <c r="D287" s="6">
        <f t="shared" si="70"/>
        <v>-3.3714405350500076E-3</v>
      </c>
      <c r="E287" s="5">
        <f t="shared" si="69"/>
        <v>4.2008916964375587E-4</v>
      </c>
      <c r="G287" s="25" t="str">
        <f>IF(VLOOKUP(A287,Aux!B:C,2,FALSE)=0,"",VLOOKUP(A287,Aux!B:C,2,FALSE))</f>
        <v/>
      </c>
      <c r="H287" s="25" t="str">
        <f t="shared" si="58"/>
        <v/>
      </c>
      <c r="L287" s="13">
        <f t="shared" si="61"/>
        <v>105672.76416507807</v>
      </c>
      <c r="M287" s="14">
        <f t="shared" si="62"/>
        <v>-174.90059931265662</v>
      </c>
      <c r="N287" s="14">
        <f t="shared" si="63"/>
        <v>22.662924113152155</v>
      </c>
      <c r="O287" s="1">
        <f t="shared" si="64"/>
        <v>2.387069732668972</v>
      </c>
      <c r="P287" s="1">
        <f t="shared" si="65"/>
        <v>2164.5581769960681</v>
      </c>
      <c r="S287" s="6">
        <f t="shared" si="59"/>
        <v>0.48926714587152403</v>
      </c>
      <c r="T287" s="6">
        <f t="shared" si="60"/>
        <v>0.51073285412847647</v>
      </c>
      <c r="V287" s="1">
        <f t="shared" si="66"/>
        <v>105748.81811779123</v>
      </c>
      <c r="W287" s="7">
        <f t="shared" si="67"/>
        <v>-1.4396152202219884E-3</v>
      </c>
      <c r="X287" s="7">
        <f t="shared" si="68"/>
        <v>-1.3760297024655759E-3</v>
      </c>
      <c r="Y287">
        <f>LN(B287/B286)</f>
        <v>-3.377136647029363E-3</v>
      </c>
      <c r="Z287">
        <f>LN(C287/C286)</f>
        <v>4.200009568924795E-4</v>
      </c>
    </row>
    <row r="288" spans="1:26" x14ac:dyDescent="0.3">
      <c r="A288" s="11">
        <v>40599</v>
      </c>
      <c r="B288" s="12">
        <v>21701.31</v>
      </c>
      <c r="C288" s="12">
        <v>24.944220000000001</v>
      </c>
      <c r="D288" s="16">
        <f t="shared" si="70"/>
        <v>1.9405077177081509E-3</v>
      </c>
      <c r="E288" s="15">
        <f t="shared" si="69"/>
        <v>4.1991276883757145E-4</v>
      </c>
      <c r="G288" s="25" t="str">
        <f>IF(VLOOKUP(A288,Aux!B:C,2,FALSE)=0,"",VLOOKUP(A288,Aux!B:C,2,FALSE))</f>
        <v/>
      </c>
      <c r="H288" s="25" t="str">
        <f t="shared" si="58"/>
        <v/>
      </c>
      <c r="L288" s="13">
        <f t="shared" si="61"/>
        <v>105795.7556300553</v>
      </c>
      <c r="M288" s="14">
        <f t="shared" si="62"/>
        <v>100.3285408640828</v>
      </c>
      <c r="N288" s="14">
        <f t="shared" si="63"/>
        <v>22.662924113152155</v>
      </c>
      <c r="O288" s="1">
        <f t="shared" si="64"/>
        <v>2.387069732668972</v>
      </c>
      <c r="P288" s="1">
        <f t="shared" si="65"/>
        <v>2164.5581769960681</v>
      </c>
      <c r="S288" s="6">
        <f t="shared" si="59"/>
        <v>0.48964667771180431</v>
      </c>
      <c r="T288" s="6">
        <f t="shared" si="60"/>
        <v>0.5103533222881963</v>
      </c>
      <c r="V288" s="1">
        <f t="shared" si="66"/>
        <v>105869.2055748805</v>
      </c>
      <c r="W288" s="7">
        <f t="shared" si="67"/>
        <v>1.1632131247179421E-3</v>
      </c>
      <c r="X288" s="7">
        <f t="shared" si="68"/>
        <v>1.137780874953768E-3</v>
      </c>
      <c r="Y288">
        <f>LN(B288/B287)</f>
        <v>1.9386273647735361E-3</v>
      </c>
      <c r="Z288">
        <f>LN(C288/C287)</f>
        <v>4.1982463014370047E-4</v>
      </c>
    </row>
    <row r="289" spans="1:26" x14ac:dyDescent="0.3">
      <c r="A289" s="9">
        <v>40602</v>
      </c>
      <c r="B289" s="1">
        <v>21891.84</v>
      </c>
      <c r="C289" s="1">
        <v>24.954689999999999</v>
      </c>
      <c r="D289" s="6">
        <f t="shared" si="70"/>
        <v>8.7796543157994122E-3</v>
      </c>
      <c r="E289" s="5">
        <f t="shared" si="69"/>
        <v>4.1973651611471041E-4</v>
      </c>
      <c r="G289" s="25" t="str">
        <f>IF(VLOOKUP(A289,Aux!B:C,2,FALSE)=0,"",VLOOKUP(A289,Aux!B:C,2,FALSE))</f>
        <v/>
      </c>
      <c r="H289" s="25" t="str">
        <f t="shared" si="58"/>
        <v/>
      </c>
      <c r="L289" s="13">
        <f t="shared" si="61"/>
        <v>106273.22695033386</v>
      </c>
      <c r="M289" s="14">
        <f t="shared" si="62"/>
        <v>454.80839616541647</v>
      </c>
      <c r="N289" s="14">
        <f t="shared" si="63"/>
        <v>22.662924113144463</v>
      </c>
      <c r="O289" s="1">
        <f t="shared" si="64"/>
        <v>2.387069732668972</v>
      </c>
      <c r="P289" s="1">
        <f t="shared" si="65"/>
        <v>2164.5581769960681</v>
      </c>
      <c r="S289" s="6">
        <f t="shared" si="59"/>
        <v>0.4917263750808476</v>
      </c>
      <c r="T289" s="6">
        <f t="shared" si="60"/>
        <v>0.50827362491915296</v>
      </c>
      <c r="V289" s="1">
        <f t="shared" si="66"/>
        <v>106332.18772652754</v>
      </c>
      <c r="W289" s="7">
        <f t="shared" si="67"/>
        <v>4.5029888036625821E-3</v>
      </c>
      <c r="X289" s="7">
        <f t="shared" si="68"/>
        <v>4.3636177791942588E-3</v>
      </c>
      <c r="Y289">
        <f>LN(B289/B288)</f>
        <v>8.7413372611864493E-3</v>
      </c>
      <c r="Z289">
        <f>LN(C289/C288)</f>
        <v>4.1964845138502382E-4</v>
      </c>
    </row>
    <row r="290" spans="1:26" x14ac:dyDescent="0.3">
      <c r="A290" s="11">
        <v>40603</v>
      </c>
      <c r="B290" s="12">
        <v>21593.38</v>
      </c>
      <c r="C290" s="12">
        <v>24.965160000000001</v>
      </c>
      <c r="D290" s="16">
        <f t="shared" si="70"/>
        <v>-1.3633390340875851E-2</v>
      </c>
      <c r="E290" s="15">
        <f t="shared" si="69"/>
        <v>4.1956041128954347E-4</v>
      </c>
      <c r="G290" s="25" t="str">
        <f>IF(VLOOKUP(A290,Aux!B:C,2,FALSE)=0,"",VLOOKUP(A290,Aux!B:C,2,FALSE))</f>
        <v/>
      </c>
      <c r="H290" s="25" t="str">
        <f t="shared" si="58"/>
        <v/>
      </c>
      <c r="L290" s="13">
        <f t="shared" si="61"/>
        <v>105583.44504203463</v>
      </c>
      <c r="M290" s="14">
        <f t="shared" si="62"/>
        <v>-712.44483241237936</v>
      </c>
      <c r="N290" s="14">
        <f t="shared" si="63"/>
        <v>22.662924113152155</v>
      </c>
      <c r="O290" s="1">
        <f t="shared" si="64"/>
        <v>2.387069732668972</v>
      </c>
      <c r="P290" s="1">
        <f t="shared" si="65"/>
        <v>2164.5581769960681</v>
      </c>
      <c r="S290" s="6">
        <f t="shared" si="59"/>
        <v>0.48819115348527031</v>
      </c>
      <c r="T290" s="6">
        <f t="shared" si="60"/>
        <v>0.51180884651473035</v>
      </c>
      <c r="V290" s="1">
        <f t="shared" si="66"/>
        <v>105667.05284321288</v>
      </c>
      <c r="W290" s="7">
        <f t="shared" si="67"/>
        <v>-6.5118019578507729E-3</v>
      </c>
      <c r="X290" s="7">
        <f t="shared" si="68"/>
        <v>-6.2749004568595059E-3</v>
      </c>
      <c r="Y290">
        <f>LN(B290/B289)</f>
        <v>-1.3727178415489925E-2</v>
      </c>
      <c r="Z290">
        <f>LN(C290/C289)</f>
        <v>4.1947242043097633E-4</v>
      </c>
    </row>
    <row r="291" spans="1:26" x14ac:dyDescent="0.3">
      <c r="A291" s="9">
        <v>40604</v>
      </c>
      <c r="B291" s="1">
        <v>21905.4</v>
      </c>
      <c r="C291" s="1">
        <v>24.975650000000002</v>
      </c>
      <c r="D291" s="6">
        <f t="shared" si="70"/>
        <v>1.4449798966164717E-2</v>
      </c>
      <c r="E291" s="5">
        <f t="shared" si="69"/>
        <v>4.2018557061118678E-4</v>
      </c>
      <c r="G291" s="25" t="str">
        <f>IF(VLOOKUP(A291,Aux!B:C,2,FALSE)=0,"",VLOOKUP(A291,Aux!B:C,2,FALSE))</f>
        <v/>
      </c>
      <c r="H291" s="25" t="str">
        <f t="shared" si="58"/>
        <v/>
      </c>
      <c r="L291" s="13">
        <f t="shared" si="61"/>
        <v>106350.96475529869</v>
      </c>
      <c r="M291" s="14">
        <f t="shared" si="62"/>
        <v>744.81349798737369</v>
      </c>
      <c r="N291" s="14">
        <f t="shared" si="63"/>
        <v>22.706215276690436</v>
      </c>
      <c r="O291" s="1">
        <f t="shared" si="64"/>
        <v>2.387069732668972</v>
      </c>
      <c r="P291" s="1">
        <f t="shared" si="65"/>
        <v>2164.5581769960681</v>
      </c>
      <c r="S291" s="6">
        <f t="shared" si="59"/>
        <v>0.4916713021110764</v>
      </c>
      <c r="T291" s="6">
        <f t="shared" si="60"/>
        <v>0.50832869788892421</v>
      </c>
      <c r="V291" s="1">
        <f t="shared" si="66"/>
        <v>106410.3614172521</v>
      </c>
      <c r="W291" s="7">
        <f t="shared" si="67"/>
        <v>7.2430245699629152E-3</v>
      </c>
      <c r="X291" s="7">
        <f t="shared" si="68"/>
        <v>7.0098140372189637E-3</v>
      </c>
      <c r="Y291">
        <f>LN(B291/B290)</f>
        <v>1.4346395536627149E-2</v>
      </c>
      <c r="Z291">
        <f>LN(C291/C290)</f>
        <v>4.2009731737527057E-4</v>
      </c>
    </row>
    <row r="292" spans="1:26" x14ac:dyDescent="0.3">
      <c r="A292" s="11">
        <v>40605</v>
      </c>
      <c r="B292" s="12">
        <v>22126.44</v>
      </c>
      <c r="C292" s="12">
        <v>24.986129999999999</v>
      </c>
      <c r="D292" s="16">
        <f t="shared" si="70"/>
        <v>1.0090662576350828E-2</v>
      </c>
      <c r="E292" s="15">
        <f t="shared" si="69"/>
        <v>4.1960869887258667E-4</v>
      </c>
      <c r="G292" s="25" t="str">
        <f>IF(VLOOKUP(A292,Aux!B:C,2,FALSE)=0,"",VLOOKUP(A292,Aux!B:C,2,FALSE))</f>
        <v/>
      </c>
      <c r="H292" s="25" t="str">
        <f t="shared" si="58"/>
        <v/>
      </c>
      <c r="L292" s="13">
        <f t="shared" si="61"/>
        <v>106901.28721870274</v>
      </c>
      <c r="M292" s="14">
        <f t="shared" si="62"/>
        <v>527.63789370914299</v>
      </c>
      <c r="N292" s="14">
        <f t="shared" si="63"/>
        <v>22.684569694913606</v>
      </c>
      <c r="O292" s="1">
        <f t="shared" si="64"/>
        <v>2.387069732668972</v>
      </c>
      <c r="P292" s="1">
        <f t="shared" si="65"/>
        <v>2164.5581769960681</v>
      </c>
      <c r="S292" s="6">
        <f t="shared" si="59"/>
        <v>0.4940759516549158</v>
      </c>
      <c r="T292" s="6">
        <f t="shared" si="60"/>
        <v>0.50592404834508486</v>
      </c>
      <c r="V292" s="1">
        <f t="shared" si="66"/>
        <v>106943.75357746927</v>
      </c>
      <c r="W292" s="7">
        <f t="shared" si="67"/>
        <v>5.1612461763447326E-3</v>
      </c>
      <c r="X292" s="7">
        <f t="shared" si="68"/>
        <v>5.0000748426794403E-3</v>
      </c>
      <c r="Y292">
        <f>LN(B292/B291)</f>
        <v>1.0040091751618128E-2</v>
      </c>
      <c r="Z292">
        <f>LN(C292/C291)</f>
        <v>4.1952068776179299E-4</v>
      </c>
    </row>
    <row r="293" spans="1:26" x14ac:dyDescent="0.3">
      <c r="A293" s="9">
        <v>40606</v>
      </c>
      <c r="B293" s="1">
        <v>22107.22</v>
      </c>
      <c r="C293" s="1">
        <v>24.997050000000002</v>
      </c>
      <c r="D293" s="6">
        <f t="shared" si="70"/>
        <v>-8.686440294958242E-4</v>
      </c>
      <c r="E293" s="5">
        <f t="shared" si="69"/>
        <v>4.3704247116305162E-4</v>
      </c>
      <c r="G293" s="25" t="str">
        <f>IF(VLOOKUP(A293,Aux!B:C,2,FALSE)=0,"",VLOOKUP(A293,Aux!B:C,2,FALSE))</f>
        <v/>
      </c>
      <c r="H293" s="25" t="str">
        <f t="shared" si="58"/>
        <v/>
      </c>
      <c r="L293" s="13">
        <f t="shared" si="61"/>
        <v>106879.04471373365</v>
      </c>
      <c r="M293" s="14">
        <f t="shared" si="62"/>
        <v>-45.879480261891736</v>
      </c>
      <c r="N293" s="14">
        <f t="shared" si="63"/>
        <v>23.63697529280196</v>
      </c>
      <c r="O293" s="1">
        <f t="shared" si="64"/>
        <v>2.387069732668972</v>
      </c>
      <c r="P293" s="1">
        <f t="shared" si="65"/>
        <v>2164.5581769960681</v>
      </c>
      <c r="S293" s="6">
        <f t="shared" si="59"/>
        <v>0.49374950793018435</v>
      </c>
      <c r="T293" s="6">
        <f t="shared" si="60"/>
        <v>0.50625049206981643</v>
      </c>
      <c r="V293" s="1">
        <f t="shared" si="66"/>
        <v>106923.84185162974</v>
      </c>
      <c r="W293" s="7">
        <f t="shared" si="67"/>
        <v>-2.080874779105535E-4</v>
      </c>
      <c r="X293" s="7">
        <f t="shared" si="68"/>
        <v>-1.8620610436204151E-4</v>
      </c>
      <c r="Y293">
        <f>LN(B293/B292)</f>
        <v>-8.6902151933951084E-4</v>
      </c>
      <c r="Z293">
        <f>LN(C293/C292)</f>
        <v>4.3694699591906294E-4</v>
      </c>
    </row>
    <row r="294" spans="1:26" x14ac:dyDescent="0.3">
      <c r="A294" s="11">
        <v>40611</v>
      </c>
      <c r="B294" s="12">
        <v>21808.46</v>
      </c>
      <c r="C294" s="12">
        <v>25.00798</v>
      </c>
      <c r="D294" s="16">
        <f t="shared" si="70"/>
        <v>-1.3514137010442795E-2</v>
      </c>
      <c r="E294" s="15">
        <f t="shared" si="69"/>
        <v>4.3725159568830385E-4</v>
      </c>
      <c r="G294" s="25" t="str">
        <f>IF(VLOOKUP(A294,Aux!B:C,2,FALSE)=0,"",VLOOKUP(A294,Aux!B:C,2,FALSE))</f>
        <v/>
      </c>
      <c r="H294" s="25" t="str">
        <f t="shared" si="58"/>
        <v/>
      </c>
      <c r="L294" s="13">
        <f t="shared" si="61"/>
        <v>106189.54238127601</v>
      </c>
      <c r="M294" s="14">
        <f t="shared" si="62"/>
        <v>-713.16095333218698</v>
      </c>
      <c r="N294" s="14">
        <f t="shared" si="63"/>
        <v>23.658620874563411</v>
      </c>
      <c r="O294" s="1">
        <f t="shared" si="64"/>
        <v>2.387069732668972</v>
      </c>
      <c r="P294" s="1">
        <f t="shared" si="65"/>
        <v>2164.5581769960681</v>
      </c>
      <c r="S294" s="6">
        <f t="shared" si="59"/>
        <v>0.49023956234037985</v>
      </c>
      <c r="T294" s="6">
        <f t="shared" si="60"/>
        <v>0.50976043765962098</v>
      </c>
      <c r="V294" s="1">
        <f t="shared" si="66"/>
        <v>106259.04393875328</v>
      </c>
      <c r="W294" s="7">
        <f t="shared" si="67"/>
        <v>-6.4721388423597346E-3</v>
      </c>
      <c r="X294" s="7">
        <f t="shared" si="68"/>
        <v>-6.2368990400249128E-3</v>
      </c>
      <c r="Y294">
        <f>LN(B294/B293)</f>
        <v>-1.3606284093961469E-2</v>
      </c>
      <c r="Z294">
        <f>LN(C294/C293)</f>
        <v>4.3715602906609508E-4</v>
      </c>
    </row>
    <row r="295" spans="1:26" x14ac:dyDescent="0.3">
      <c r="A295" s="9">
        <v>40612</v>
      </c>
      <c r="B295" s="1">
        <v>21357.42</v>
      </c>
      <c r="C295" s="1">
        <v>25.018910000000002</v>
      </c>
      <c r="D295" s="6">
        <f t="shared" si="70"/>
        <v>-2.0681882168663068E-2</v>
      </c>
      <c r="E295" s="5">
        <f t="shared" si="69"/>
        <v>4.3706049029168526E-4</v>
      </c>
      <c r="G295" s="25" t="str">
        <f>IF(VLOOKUP(A295,Aux!B:C,2,FALSE)=0,"",VLOOKUP(A295,Aux!B:C,2,FALSE))</f>
        <v/>
      </c>
      <c r="H295" s="25" t="str">
        <f t="shared" si="58"/>
        <v/>
      </c>
      <c r="L295" s="13">
        <f t="shared" si="61"/>
        <v>105136.53706992757</v>
      </c>
      <c r="M295" s="14">
        <f t="shared" si="62"/>
        <v>-1076.6639322230153</v>
      </c>
      <c r="N295" s="14">
        <f t="shared" si="63"/>
        <v>23.658620874571099</v>
      </c>
      <c r="O295" s="1">
        <f t="shared" si="64"/>
        <v>2.387069732668972</v>
      </c>
      <c r="P295" s="1">
        <f t="shared" si="65"/>
        <v>2164.5581769960681</v>
      </c>
      <c r="S295" s="6">
        <f t="shared" si="59"/>
        <v>0.48490897903542746</v>
      </c>
      <c r="T295" s="6">
        <f t="shared" si="60"/>
        <v>0.51509102096457338</v>
      </c>
      <c r="V295" s="1">
        <f t="shared" si="66"/>
        <v>105242.93073909395</v>
      </c>
      <c r="W295" s="7">
        <f t="shared" si="67"/>
        <v>-9.9657744955056454E-3</v>
      </c>
      <c r="X295" s="7">
        <f t="shared" si="68"/>
        <v>-9.6086196733093671E-3</v>
      </c>
      <c r="Y295">
        <f>LN(B295/B294)</f>
        <v>-2.0898747628673428E-2</v>
      </c>
      <c r="Z295">
        <f>LN(C295/C294)</f>
        <v>4.3696500717585013E-4</v>
      </c>
    </row>
    <row r="296" spans="1:26" x14ac:dyDescent="0.3">
      <c r="A296" s="11">
        <v>40613</v>
      </c>
      <c r="B296" s="12">
        <v>21565.43</v>
      </c>
      <c r="C296" s="12">
        <v>25.02984</v>
      </c>
      <c r="D296" s="16">
        <f t="shared" si="70"/>
        <v>9.7394722770822728E-3</v>
      </c>
      <c r="E296" s="15">
        <f t="shared" si="69"/>
        <v>4.3686955187083321E-4</v>
      </c>
      <c r="G296" s="25" t="str">
        <f>IF(VLOOKUP(A296,Aux!B:C,2,FALSE)=0,"",VLOOKUP(A296,Aux!B:C,2,FALSE))</f>
        <v/>
      </c>
      <c r="H296" s="25" t="str">
        <f t="shared" si="58"/>
        <v/>
      </c>
      <c r="L296" s="13">
        <f t="shared" si="61"/>
        <v>105656.7300658946</v>
      </c>
      <c r="M296" s="14">
        <f t="shared" si="62"/>
        <v>496.53437509247772</v>
      </c>
      <c r="N296" s="14">
        <f t="shared" si="63"/>
        <v>23.658620874563411</v>
      </c>
      <c r="O296" s="1">
        <f t="shared" si="64"/>
        <v>2.387069732668972</v>
      </c>
      <c r="P296" s="1">
        <f t="shared" si="65"/>
        <v>2164.5581769960681</v>
      </c>
      <c r="S296" s="6">
        <f t="shared" si="59"/>
        <v>0.48722107141576493</v>
      </c>
      <c r="T296" s="6">
        <f t="shared" si="60"/>
        <v>0.51277892858423602</v>
      </c>
      <c r="V296" s="1">
        <f t="shared" si="66"/>
        <v>105747.26894312695</v>
      </c>
      <c r="W296" s="7">
        <f t="shared" si="67"/>
        <v>4.9355850784665338E-3</v>
      </c>
      <c r="X296" s="7">
        <f t="shared" si="68"/>
        <v>4.7806880636681055E-3</v>
      </c>
      <c r="Y296">
        <f>LN(B296/B295)</f>
        <v>9.692349338285923E-3</v>
      </c>
      <c r="Z296">
        <f>LN(C296/C295)</f>
        <v>4.3677415215196764E-4</v>
      </c>
    </row>
    <row r="297" spans="1:26" x14ac:dyDescent="0.3">
      <c r="A297" s="9">
        <v>40616</v>
      </c>
      <c r="B297" s="1">
        <v>21699.81</v>
      </c>
      <c r="C297" s="1">
        <v>25.040780000000002</v>
      </c>
      <c r="D297" s="6">
        <f t="shared" si="70"/>
        <v>6.2312692118822177E-3</v>
      </c>
      <c r="E297" s="5">
        <f t="shared" si="69"/>
        <v>4.3707830333716835E-4</v>
      </c>
      <c r="G297" s="25" t="str">
        <f>IF(VLOOKUP(A297,Aux!B:C,2,FALSE)=0,"",VLOOKUP(A297,Aux!B:C,2,FALSE))</f>
        <v/>
      </c>
      <c r="H297" s="25" t="str">
        <f t="shared" si="58"/>
        <v/>
      </c>
      <c r="L297" s="13">
        <f t="shared" si="61"/>
        <v>106001.18476302701</v>
      </c>
      <c r="M297" s="14">
        <f t="shared" si="62"/>
        <v>320.7744306760589</v>
      </c>
      <c r="N297" s="14">
        <f t="shared" si="63"/>
        <v>23.680266456340242</v>
      </c>
      <c r="O297" s="1">
        <f t="shared" si="64"/>
        <v>2.387069732668972</v>
      </c>
      <c r="P297" s="1">
        <f t="shared" si="65"/>
        <v>2164.5581769960681</v>
      </c>
      <c r="S297" s="6">
        <f t="shared" si="59"/>
        <v>0.48866396891192915</v>
      </c>
      <c r="T297" s="6">
        <f t="shared" si="60"/>
        <v>0.51133603108807169</v>
      </c>
      <c r="V297" s="1">
        <f t="shared" si="66"/>
        <v>106081.76253289342</v>
      </c>
      <c r="W297" s="7">
        <f t="shared" si="67"/>
        <v>3.2548275031816037E-3</v>
      </c>
      <c r="X297" s="7">
        <f t="shared" si="68"/>
        <v>3.1581494326158302E-3</v>
      </c>
      <c r="Y297">
        <f>LN(B297/B296)</f>
        <v>6.2119351295661764E-3</v>
      </c>
      <c r="Z297">
        <f>LN(C297/C296)</f>
        <v>4.369828124391975E-4</v>
      </c>
    </row>
    <row r="298" spans="1:26" x14ac:dyDescent="0.3">
      <c r="A298" s="11">
        <v>40617</v>
      </c>
      <c r="B298" s="12">
        <v>21633.56</v>
      </c>
      <c r="C298" s="12">
        <v>25.051729999999999</v>
      </c>
      <c r="D298" s="16">
        <f t="shared" si="70"/>
        <v>-3.0530221232352162E-3</v>
      </c>
      <c r="E298" s="15">
        <f t="shared" si="69"/>
        <v>4.3728669793829944E-4</v>
      </c>
      <c r="G298" s="25" t="str">
        <f>IF(VLOOKUP(A298,Aux!B:C,2,FALSE)=0,"",VLOOKUP(A298,Aux!B:C,2,FALSE))</f>
        <v/>
      </c>
      <c r="H298" s="25" t="str">
        <f t="shared" si="58"/>
        <v/>
      </c>
      <c r="L298" s="13">
        <f t="shared" si="61"/>
        <v>105866.74330527578</v>
      </c>
      <c r="M298" s="14">
        <f t="shared" si="62"/>
        <v>-158.14336978931939</v>
      </c>
      <c r="N298" s="14">
        <f t="shared" si="63"/>
        <v>23.701912038101693</v>
      </c>
      <c r="O298" s="1">
        <f t="shared" si="64"/>
        <v>2.387069732668972</v>
      </c>
      <c r="P298" s="1">
        <f t="shared" si="65"/>
        <v>2164.5581769960681</v>
      </c>
      <c r="S298" s="6">
        <f t="shared" si="59"/>
        <v>0.48779073270410778</v>
      </c>
      <c r="T298" s="6">
        <f t="shared" si="60"/>
        <v>0.51220926729589311</v>
      </c>
      <c r="V298" s="1">
        <f t="shared" si="66"/>
        <v>105953.41806590953</v>
      </c>
      <c r="W298" s="7">
        <f t="shared" si="67"/>
        <v>-1.2691064383517122E-3</v>
      </c>
      <c r="X298" s="7">
        <f t="shared" si="68"/>
        <v>-1.2105961123617828E-3</v>
      </c>
      <c r="Y298">
        <f>LN(B298/B297)</f>
        <v>-3.0576921027337159E-3</v>
      </c>
      <c r="Z298">
        <f>LN(C298/C297)</f>
        <v>4.3719111597366852E-4</v>
      </c>
    </row>
    <row r="299" spans="1:26" x14ac:dyDescent="0.3">
      <c r="A299" s="9">
        <v>40618</v>
      </c>
      <c r="B299" s="1">
        <v>21264.58</v>
      </c>
      <c r="C299" s="1">
        <v>25.06268</v>
      </c>
      <c r="D299" s="6">
        <f t="shared" si="70"/>
        <v>-1.7055907580629359E-2</v>
      </c>
      <c r="E299" s="5">
        <f t="shared" si="69"/>
        <v>4.3709556186333209E-4</v>
      </c>
      <c r="G299" s="25" t="str">
        <f>IF(VLOOKUP(A299,Aux!B:C,2,FALSE)=0,"",VLOOKUP(A299,Aux!B:C,2,FALSE))</f>
        <v/>
      </c>
      <c r="H299" s="25" t="str">
        <f t="shared" si="58"/>
        <v/>
      </c>
      <c r="L299" s="13">
        <f t="shared" si="61"/>
        <v>105009.6642273537</v>
      </c>
      <c r="M299" s="14">
        <f t="shared" si="62"/>
        <v>-880.78098996019628</v>
      </c>
      <c r="N299" s="14">
        <f t="shared" si="63"/>
        <v>23.701912038109381</v>
      </c>
      <c r="O299" s="1">
        <f t="shared" si="64"/>
        <v>2.387069732668972</v>
      </c>
      <c r="P299" s="1">
        <f t="shared" si="65"/>
        <v>2164.5581769960681</v>
      </c>
      <c r="S299" s="6">
        <f t="shared" si="59"/>
        <v>0.48338441675252608</v>
      </c>
      <c r="T299" s="6">
        <f t="shared" si="60"/>
        <v>0.5166155832474747</v>
      </c>
      <c r="V299" s="1">
        <f t="shared" si="66"/>
        <v>105126.66489937357</v>
      </c>
      <c r="W299" s="7">
        <f t="shared" si="67"/>
        <v>-8.1287784383520575E-3</v>
      </c>
      <c r="X299" s="7">
        <f t="shared" si="68"/>
        <v>-7.8335898179984539E-3</v>
      </c>
      <c r="Y299">
        <f>LN(B299/B298)</f>
        <v>-1.7203034898598157E-2</v>
      </c>
      <c r="Z299">
        <f>LN(C299/C298)</f>
        <v>4.3700006342518074E-4</v>
      </c>
    </row>
    <row r="300" spans="1:26" x14ac:dyDescent="0.3">
      <c r="A300" s="11">
        <v>40619</v>
      </c>
      <c r="B300" s="12">
        <v>21391.08</v>
      </c>
      <c r="C300" s="12">
        <v>25.073640000000001</v>
      </c>
      <c r="D300" s="16">
        <f t="shared" si="70"/>
        <v>5.9488595589474169E-3</v>
      </c>
      <c r="E300" s="15">
        <f t="shared" si="69"/>
        <v>4.3730359243299155E-4</v>
      </c>
      <c r="G300" s="25" t="str">
        <f>IF(VLOOKUP(A300,Aux!B:C,2,FALSE)=0,"",VLOOKUP(A300,Aux!B:C,2,FALSE))</f>
        <v/>
      </c>
      <c r="H300" s="25" t="str">
        <f t="shared" si="58"/>
        <v/>
      </c>
      <c r="L300" s="13">
        <f t="shared" si="61"/>
        <v>105335.35210615619</v>
      </c>
      <c r="M300" s="14">
        <f t="shared" si="62"/>
        <v>301.96432118262499</v>
      </c>
      <c r="N300" s="14">
        <f t="shared" si="63"/>
        <v>23.723557619878523</v>
      </c>
      <c r="O300" s="1">
        <f t="shared" si="64"/>
        <v>2.387069732668972</v>
      </c>
      <c r="P300" s="1">
        <f t="shared" si="65"/>
        <v>2164.5581769960681</v>
      </c>
      <c r="S300" s="6">
        <f t="shared" si="59"/>
        <v>0.48475652851704232</v>
      </c>
      <c r="T300" s="6">
        <f t="shared" si="60"/>
        <v>0.51524347148295868</v>
      </c>
      <c r="V300" s="1">
        <f t="shared" si="66"/>
        <v>105443.02379614538</v>
      </c>
      <c r="W300" s="7">
        <f t="shared" si="67"/>
        <v>3.0967041173294808E-3</v>
      </c>
      <c r="X300" s="7">
        <f t="shared" si="68"/>
        <v>3.0047927292812943E-3</v>
      </c>
      <c r="Y300">
        <f>LN(B300/B299)</f>
        <v>5.9312349569015845E-3</v>
      </c>
      <c r="Z300">
        <f>LN(C300/C299)</f>
        <v>4.3720800308370941E-4</v>
      </c>
    </row>
    <row r="301" spans="1:26" x14ac:dyDescent="0.3">
      <c r="A301" s="9">
        <v>40620</v>
      </c>
      <c r="B301" s="1">
        <v>21582</v>
      </c>
      <c r="C301" s="1">
        <v>25.084599999999998</v>
      </c>
      <c r="D301" s="6">
        <f t="shared" si="70"/>
        <v>8.9252155571386549E-3</v>
      </c>
      <c r="E301" s="5">
        <f t="shared" si="69"/>
        <v>4.3711244159183593E-4</v>
      </c>
      <c r="G301" s="25" t="str">
        <f>IF(VLOOKUP(A301,Aux!B:C,2,FALSE)=0,"",VLOOKUP(A301,Aux!B:C,2,FALSE))</f>
        <v/>
      </c>
      <c r="H301" s="25" t="str">
        <f t="shared" si="58"/>
        <v/>
      </c>
      <c r="L301" s="13">
        <f t="shared" si="61"/>
        <v>105814.81501713723</v>
      </c>
      <c r="M301" s="14">
        <f t="shared" si="62"/>
        <v>455.73935336115596</v>
      </c>
      <c r="N301" s="14">
        <f t="shared" si="63"/>
        <v>23.723557619870835</v>
      </c>
      <c r="O301" s="1">
        <f t="shared" si="64"/>
        <v>2.387069732668972</v>
      </c>
      <c r="P301" s="1">
        <f t="shared" si="65"/>
        <v>2164.5581769960681</v>
      </c>
      <c r="S301" s="6">
        <f t="shared" si="59"/>
        <v>0.48686697568878423</v>
      </c>
      <c r="T301" s="6">
        <f t="shared" si="60"/>
        <v>0.51313302431121666</v>
      </c>
      <c r="V301" s="1">
        <f t="shared" si="66"/>
        <v>105908.00188634083</v>
      </c>
      <c r="W301" s="7">
        <f t="shared" si="67"/>
        <v>4.5414478385671139E-3</v>
      </c>
      <c r="X301" s="7">
        <f t="shared" si="68"/>
        <v>4.4000623027933413E-3</v>
      </c>
      <c r="Y301">
        <f>LN(B301/B300)</f>
        <v>8.8856212382588066E-3</v>
      </c>
      <c r="Z301">
        <f>LN(C301/C300)</f>
        <v>4.3701693577871133E-4</v>
      </c>
    </row>
    <row r="302" spans="1:26" x14ac:dyDescent="0.3">
      <c r="A302" s="11">
        <v>40623</v>
      </c>
      <c r="B302" s="12">
        <v>21621.439999999999</v>
      </c>
      <c r="C302" s="12">
        <v>25.095569999999999</v>
      </c>
      <c r="D302" s="16">
        <f t="shared" si="70"/>
        <v>1.8274487999259126E-3</v>
      </c>
      <c r="E302" s="15">
        <f t="shared" si="69"/>
        <v>4.3732010875197069E-4</v>
      </c>
      <c r="G302" s="25" t="str">
        <f>IF(VLOOKUP(A302,Aux!B:C,2,FALSE)=0,"",VLOOKUP(A302,Aux!B:C,2,FALSE))</f>
        <v/>
      </c>
      <c r="H302" s="25" t="str">
        <f t="shared" si="58"/>
        <v/>
      </c>
      <c r="L302" s="13">
        <f t="shared" si="61"/>
        <v>105932.70625059534</v>
      </c>
      <c r="M302" s="14">
        <f t="shared" si="62"/>
        <v>94.146030256461131</v>
      </c>
      <c r="N302" s="14">
        <f t="shared" si="63"/>
        <v>23.745203201647666</v>
      </c>
      <c r="O302" s="1">
        <f t="shared" si="64"/>
        <v>2.387069732668972</v>
      </c>
      <c r="P302" s="1">
        <f t="shared" si="65"/>
        <v>2164.5581769960681</v>
      </c>
      <c r="S302" s="6">
        <f t="shared" si="59"/>
        <v>0.48721388159974588</v>
      </c>
      <c r="T302" s="6">
        <f t="shared" si="60"/>
        <v>0.51278611840025501</v>
      </c>
      <c r="V302" s="1">
        <f t="shared" si="66"/>
        <v>106023.53268906215</v>
      </c>
      <c r="W302" s="7">
        <f t="shared" si="67"/>
        <v>1.113507680594387E-3</v>
      </c>
      <c r="X302" s="7">
        <f t="shared" si="68"/>
        <v>1.0902654425342917E-3</v>
      </c>
      <c r="Y302">
        <f>LN(B302/B301)</f>
        <v>1.8257810468808181E-3</v>
      </c>
      <c r="Z302">
        <f>LN(C302/C301)</f>
        <v>4.3722451218306376E-4</v>
      </c>
    </row>
    <row r="303" spans="1:26" x14ac:dyDescent="0.3">
      <c r="A303" s="9">
        <v>40624</v>
      </c>
      <c r="B303" s="1">
        <v>21916.66</v>
      </c>
      <c r="C303" s="1">
        <v>25.106539999999999</v>
      </c>
      <c r="D303" s="6">
        <f t="shared" si="70"/>
        <v>1.3654039693933528E-2</v>
      </c>
      <c r="E303" s="5">
        <f t="shared" si="69"/>
        <v>4.3712894347480713E-4</v>
      </c>
      <c r="G303" s="25" t="str">
        <f>IF(VLOOKUP(A303,Aux!B:C,2,FALSE)=0,"",VLOOKUP(A303,Aux!B:C,2,FALSE))</f>
        <v/>
      </c>
      <c r="H303" s="25" t="str">
        <f t="shared" si="58"/>
        <v/>
      </c>
      <c r="L303" s="13">
        <f t="shared" si="61"/>
        <v>106661.16218027551</v>
      </c>
      <c r="M303" s="14">
        <f t="shared" si="62"/>
        <v>704.71072647853669</v>
      </c>
      <c r="N303" s="14">
        <f t="shared" si="63"/>
        <v>23.745203201647666</v>
      </c>
      <c r="O303" s="1">
        <f t="shared" si="64"/>
        <v>2.387069732668972</v>
      </c>
      <c r="P303" s="1">
        <f t="shared" si="65"/>
        <v>2164.5581769960681</v>
      </c>
      <c r="S303" s="6">
        <f t="shared" si="59"/>
        <v>0.49049339663834529</v>
      </c>
      <c r="T303" s="6">
        <f t="shared" si="60"/>
        <v>0.50950660336165565</v>
      </c>
      <c r="V303" s="1">
        <f t="shared" si="66"/>
        <v>106729.15689901577</v>
      </c>
      <c r="W303" s="7">
        <f t="shared" si="67"/>
        <v>6.8530554151036314E-3</v>
      </c>
      <c r="X303" s="7">
        <f t="shared" si="68"/>
        <v>6.6333055403469425E-3</v>
      </c>
      <c r="Y303">
        <f>LN(B303/B302)</f>
        <v>1.3561663218785915E-2</v>
      </c>
      <c r="Z303">
        <f>LN(C303/C302)</f>
        <v>4.3703343045151973E-4</v>
      </c>
    </row>
    <row r="304" spans="1:26" x14ac:dyDescent="0.3">
      <c r="A304" s="11">
        <v>40625</v>
      </c>
      <c r="B304" s="12">
        <v>21997.35</v>
      </c>
      <c r="C304" s="12">
        <v>25.117509999999999</v>
      </c>
      <c r="D304" s="16">
        <f t="shared" si="70"/>
        <v>3.681674123703127E-3</v>
      </c>
      <c r="E304" s="15">
        <f t="shared" si="69"/>
        <v>4.3693794525245799E-4</v>
      </c>
      <c r="G304" s="25" t="str">
        <f>IF(VLOOKUP(A304,Aux!B:C,2,FALSE)=0,"",VLOOKUP(A304,Aux!B:C,2,FALSE))</f>
        <v/>
      </c>
      <c r="H304" s="25" t="str">
        <f t="shared" si="58"/>
        <v/>
      </c>
      <c r="L304" s="13">
        <f t="shared" si="61"/>
        <v>106877.52004020622</v>
      </c>
      <c r="M304" s="14">
        <f t="shared" si="62"/>
        <v>192.61265672905623</v>
      </c>
      <c r="N304" s="14">
        <f t="shared" si="63"/>
        <v>23.745203201647666</v>
      </c>
      <c r="O304" s="1">
        <f t="shared" si="64"/>
        <v>2.387069732668972</v>
      </c>
      <c r="P304" s="1">
        <f t="shared" si="65"/>
        <v>2164.5581769960681</v>
      </c>
      <c r="S304" s="6">
        <f t="shared" si="59"/>
        <v>0.49130264590881589</v>
      </c>
      <c r="T304" s="6">
        <f t="shared" si="60"/>
        <v>0.50869735409118499</v>
      </c>
      <c r="V304" s="1">
        <f t="shared" si="66"/>
        <v>106939.85289466981</v>
      </c>
      <c r="W304" s="7">
        <f t="shared" si="67"/>
        <v>2.0264050683189805E-3</v>
      </c>
      <c r="X304" s="7">
        <f t="shared" si="68"/>
        <v>1.9721724189079E-3</v>
      </c>
      <c r="Y304">
        <f>LN(B304/B303)</f>
        <v>3.6749133504214247E-3</v>
      </c>
      <c r="Z304">
        <f>LN(C304/C303)</f>
        <v>4.3684251566531714E-4</v>
      </c>
    </row>
    <row r="305" spans="1:26" x14ac:dyDescent="0.3">
      <c r="A305" s="9">
        <v>40626</v>
      </c>
      <c r="B305" s="1">
        <v>21931.96</v>
      </c>
      <c r="C305" s="1">
        <v>25.128499999999999</v>
      </c>
      <c r="D305" s="6">
        <f t="shared" si="70"/>
        <v>-2.9726307941637664E-3</v>
      </c>
      <c r="E305" s="5">
        <f t="shared" si="69"/>
        <v>4.3754337113832698E-4</v>
      </c>
      <c r="G305" s="25" t="str">
        <f>IF(VLOOKUP(A305,Aux!B:C,2,FALSE)=0,"",VLOOKUP(A305,Aux!B:C,2,FALSE))</f>
        <v/>
      </c>
      <c r="H305" s="25" t="str">
        <f t="shared" si="58"/>
        <v/>
      </c>
      <c r="L305" s="13">
        <f t="shared" si="61"/>
        <v>106745.21804475218</v>
      </c>
      <c r="M305" s="14">
        <f t="shared" si="62"/>
        <v>-156.09048981922268</v>
      </c>
      <c r="N305" s="14">
        <f t="shared" si="63"/>
        <v>23.788494365185947</v>
      </c>
      <c r="O305" s="1">
        <f t="shared" si="64"/>
        <v>2.387069732668972</v>
      </c>
      <c r="P305" s="1">
        <f t="shared" si="65"/>
        <v>2164.5581769960681</v>
      </c>
      <c r="S305" s="6">
        <f t="shared" si="59"/>
        <v>0.49044930398809916</v>
      </c>
      <c r="T305" s="6">
        <f t="shared" si="60"/>
        <v>0.50955069601190184</v>
      </c>
      <c r="V305" s="1">
        <f t="shared" si="66"/>
        <v>106813.58196306734</v>
      </c>
      <c r="W305" s="7">
        <f t="shared" si="67"/>
        <v>-1.238651030835947E-3</v>
      </c>
      <c r="X305" s="7">
        <f t="shared" si="68"/>
        <v>-1.1814635528501715E-3</v>
      </c>
      <c r="Y305">
        <f>LN(B305/B304)</f>
        <v>-2.9770578365681268E-3</v>
      </c>
      <c r="Z305">
        <f>LN(C305/C304)</f>
        <v>4.3744767695006771E-4</v>
      </c>
    </row>
    <row r="306" spans="1:26" x14ac:dyDescent="0.3">
      <c r="A306" s="11">
        <v>40627</v>
      </c>
      <c r="B306" s="12">
        <v>21990.17</v>
      </c>
      <c r="C306" s="12">
        <v>25.139489999999999</v>
      </c>
      <c r="D306" s="16">
        <f t="shared" si="70"/>
        <v>2.6541175526491045E-3</v>
      </c>
      <c r="E306" s="15">
        <f t="shared" si="69"/>
        <v>4.3735201066508189E-4</v>
      </c>
      <c r="G306" s="25" t="str">
        <f>IF(VLOOKUP(A306,Aux!B:C,2,FALSE)=0,"",VLOOKUP(A306,Aux!B:C,2,FALSE))</f>
        <v/>
      </c>
      <c r="H306" s="25" t="str">
        <f t="shared" si="58"/>
        <v/>
      </c>
      <c r="L306" s="13">
        <f t="shared" si="61"/>
        <v>106907.95786825602</v>
      </c>
      <c r="M306" s="14">
        <f t="shared" si="62"/>
        <v>138.95132913865879</v>
      </c>
      <c r="N306" s="14">
        <f t="shared" si="63"/>
        <v>23.788494365185947</v>
      </c>
      <c r="O306" s="1">
        <f t="shared" si="64"/>
        <v>2.387069732668972</v>
      </c>
      <c r="P306" s="1">
        <f t="shared" si="65"/>
        <v>2164.5581769960681</v>
      </c>
      <c r="S306" s="6">
        <f t="shared" si="59"/>
        <v>0.49100244986375902</v>
      </c>
      <c r="T306" s="6">
        <f t="shared" si="60"/>
        <v>0.50899755013624193</v>
      </c>
      <c r="V306" s="1">
        <f t="shared" si="66"/>
        <v>106972.460555016</v>
      </c>
      <c r="W306" s="7">
        <f t="shared" si="67"/>
        <v>1.5234021612986794E-3</v>
      </c>
      <c r="X306" s="7">
        <f t="shared" si="68"/>
        <v>1.4863329647406629E-3</v>
      </c>
      <c r="Y306">
        <f>LN(B306/B305)</f>
        <v>2.6506016024468648E-3</v>
      </c>
      <c r="Z306">
        <f>LN(C306/C305)</f>
        <v>4.3725640015041694E-4</v>
      </c>
    </row>
    <row r="307" spans="1:26" x14ac:dyDescent="0.3">
      <c r="A307" s="9">
        <v>40630</v>
      </c>
      <c r="B307" s="1">
        <v>21839.81</v>
      </c>
      <c r="C307" s="1">
        <v>25.150490000000001</v>
      </c>
      <c r="D307" s="6">
        <f t="shared" si="70"/>
        <v>-6.8376006188217708E-3</v>
      </c>
      <c r="E307" s="5">
        <f t="shared" si="69"/>
        <v>4.3755859804650576E-4</v>
      </c>
      <c r="G307" s="25" t="str">
        <f>IF(VLOOKUP(A307,Aux!B:C,2,FALSE)=0,"",VLOOKUP(A307,Aux!B:C,2,FALSE))</f>
        <v/>
      </c>
      <c r="H307" s="25" t="str">
        <f t="shared" si="58"/>
        <v/>
      </c>
      <c r="L307" s="13">
        <f t="shared" si="61"/>
        <v>106572.84820319888</v>
      </c>
      <c r="M307" s="14">
        <f t="shared" si="62"/>
        <v>-358.91980500409932</v>
      </c>
      <c r="N307" s="14">
        <f t="shared" si="63"/>
        <v>23.810139946962778</v>
      </c>
      <c r="O307" s="1">
        <f t="shared" si="64"/>
        <v>2.387069732668972</v>
      </c>
      <c r="P307" s="1">
        <f t="shared" si="65"/>
        <v>2164.5581769960681</v>
      </c>
      <c r="S307" s="6">
        <f t="shared" si="59"/>
        <v>0.48917853184181226</v>
      </c>
      <c r="T307" s="6">
        <f t="shared" si="60"/>
        <v>0.51082146815818874</v>
      </c>
      <c r="V307" s="1">
        <f t="shared" si="66"/>
        <v>106650.18323247167</v>
      </c>
      <c r="W307" s="7">
        <f t="shared" si="67"/>
        <v>-3.1394854316970323E-3</v>
      </c>
      <c r="X307" s="7">
        <f t="shared" si="68"/>
        <v>-3.0172603552477448E-3</v>
      </c>
      <c r="Y307">
        <f>LN(B307/B306)</f>
        <v>-6.8610841183458626E-3</v>
      </c>
      <c r="Z307">
        <f>LN(C307/C306)</f>
        <v>4.3746289719861174E-4</v>
      </c>
    </row>
    <row r="308" spans="1:26" x14ac:dyDescent="0.3">
      <c r="A308" s="11">
        <v>40631</v>
      </c>
      <c r="B308" s="12">
        <v>21939.38</v>
      </c>
      <c r="C308" s="12">
        <v>25.1615</v>
      </c>
      <c r="D308" s="16">
        <f t="shared" si="70"/>
        <v>4.5591055966145433E-3</v>
      </c>
      <c r="E308" s="15">
        <f t="shared" si="69"/>
        <v>4.3776483082424988E-4</v>
      </c>
      <c r="G308" s="25" t="str">
        <f>IF(VLOOKUP(A308,Aux!B:C,2,FALSE)=0,"",VLOOKUP(A308,Aux!B:C,2,FALSE))</f>
        <v/>
      </c>
      <c r="H308" s="25" t="str">
        <f t="shared" si="58"/>
        <v/>
      </c>
      <c r="L308" s="13">
        <f t="shared" si="61"/>
        <v>106834.36052200946</v>
      </c>
      <c r="M308" s="14">
        <f t="shared" si="62"/>
        <v>237.68053328184885</v>
      </c>
      <c r="N308" s="14">
        <f t="shared" si="63"/>
        <v>23.831785528724229</v>
      </c>
      <c r="O308" s="1">
        <f t="shared" si="64"/>
        <v>2.387069732668972</v>
      </c>
      <c r="P308" s="1">
        <f t="shared" si="65"/>
        <v>2164.5581769960681</v>
      </c>
      <c r="S308" s="6">
        <f t="shared" si="59"/>
        <v>0.49020586350337941</v>
      </c>
      <c r="T308" s="6">
        <f t="shared" si="60"/>
        <v>0.50979413649662153</v>
      </c>
      <c r="V308" s="1">
        <f t="shared" si="66"/>
        <v>106904.5255338501</v>
      </c>
      <c r="W308" s="7">
        <f t="shared" si="67"/>
        <v>2.4508305157267957E-3</v>
      </c>
      <c r="X308" s="7">
        <f t="shared" si="68"/>
        <v>2.3819884197961265E-3</v>
      </c>
      <c r="Y308">
        <f>LN(B308/B307)</f>
        <v>4.5487443547555621E-3</v>
      </c>
      <c r="Z308">
        <f>LN(C308/C307)</f>
        <v>4.3766903975565093E-4</v>
      </c>
    </row>
    <row r="309" spans="1:26" x14ac:dyDescent="0.3">
      <c r="A309" s="9">
        <v>40632</v>
      </c>
      <c r="B309" s="1">
        <v>22142.67</v>
      </c>
      <c r="C309" s="1">
        <v>25.172509999999999</v>
      </c>
      <c r="D309" s="6">
        <f t="shared" si="70"/>
        <v>9.2659865502122685E-3</v>
      </c>
      <c r="E309" s="5">
        <f t="shared" si="69"/>
        <v>4.3757327663285217E-4</v>
      </c>
      <c r="G309" s="25" t="str">
        <f>IF(VLOOKUP(A309,Aux!B:C,2,FALSE)=0,"",VLOOKUP(A309,Aux!B:C,2,FALSE))</f>
        <v/>
      </c>
      <c r="H309" s="25" t="str">
        <f t="shared" si="58"/>
        <v/>
      </c>
      <c r="L309" s="13">
        <f t="shared" si="61"/>
        <v>107343.45971349246</v>
      </c>
      <c r="M309" s="14">
        <f t="shared" si="62"/>
        <v>485.26740595426872</v>
      </c>
      <c r="N309" s="14">
        <f t="shared" si="63"/>
        <v>23.831785528724229</v>
      </c>
      <c r="O309" s="1">
        <f t="shared" si="64"/>
        <v>2.387069732668972</v>
      </c>
      <c r="P309" s="1">
        <f t="shared" si="65"/>
        <v>2164.5581769960681</v>
      </c>
      <c r="S309" s="6">
        <f t="shared" si="59"/>
        <v>0.49240165631473082</v>
      </c>
      <c r="T309" s="6">
        <f t="shared" si="60"/>
        <v>0.50759834368527013</v>
      </c>
      <c r="V309" s="1">
        <f t="shared" si="66"/>
        <v>107398.15350337353</v>
      </c>
      <c r="W309" s="7">
        <f t="shared" si="67"/>
        <v>4.7539950658403666E-3</v>
      </c>
      <c r="X309" s="7">
        <f t="shared" si="68"/>
        <v>4.6068378123980255E-3</v>
      </c>
      <c r="Y309">
        <f>LN(B309/B308)</f>
        <v>9.2233206553965618E-3</v>
      </c>
      <c r="Z309">
        <f>LN(C309/C308)</f>
        <v>4.3747756936491798E-4</v>
      </c>
    </row>
    <row r="310" spans="1:26" x14ac:dyDescent="0.3">
      <c r="A310" s="11">
        <v>40633</v>
      </c>
      <c r="B310" s="12">
        <v>22385.5</v>
      </c>
      <c r="C310" s="12">
        <v>25.183530000000001</v>
      </c>
      <c r="D310" s="16">
        <f t="shared" si="70"/>
        <v>1.0966608814564793E-2</v>
      </c>
      <c r="E310" s="15">
        <f t="shared" si="69"/>
        <v>4.3777914876197421E-4</v>
      </c>
      <c r="G310" s="25" t="str">
        <f>IF(VLOOKUP(A310,Aux!B:C,2,FALSE)=0,"",VLOOKUP(A310,Aux!B:C,2,FALSE))</f>
        <v/>
      </c>
      <c r="H310" s="25" t="str">
        <f t="shared" si="58"/>
        <v/>
      </c>
      <c r="L310" s="13">
        <f t="shared" si="61"/>
        <v>107946.96528778697</v>
      </c>
      <c r="M310" s="14">
        <f t="shared" si="62"/>
        <v>579.6521431840107</v>
      </c>
      <c r="N310" s="14">
        <f t="shared" si="63"/>
        <v>23.853431110501059</v>
      </c>
      <c r="O310" s="1">
        <f t="shared" si="64"/>
        <v>2.387069732668972</v>
      </c>
      <c r="P310" s="1">
        <f t="shared" si="65"/>
        <v>2164.5581769960681</v>
      </c>
      <c r="S310" s="6">
        <f t="shared" si="59"/>
        <v>0.49501854320963434</v>
      </c>
      <c r="T310" s="6">
        <f t="shared" si="60"/>
        <v>0.50498145679036655</v>
      </c>
      <c r="V310" s="1">
        <f t="shared" si="66"/>
        <v>107983.02400733822</v>
      </c>
      <c r="W310" s="7">
        <f t="shared" si="67"/>
        <v>5.6064467807587677E-3</v>
      </c>
      <c r="X310" s="7">
        <f t="shared" si="68"/>
        <v>5.4310404311569823E-3</v>
      </c>
      <c r="Y310">
        <f>LN(B310/B309)</f>
        <v>1.0906911614133217E-2</v>
      </c>
      <c r="Z310">
        <f>LN(C310/C309)</f>
        <v>4.3768335142812593E-4</v>
      </c>
    </row>
    <row r="311" spans="1:26" x14ac:dyDescent="0.3">
      <c r="A311" s="9">
        <v>40634</v>
      </c>
      <c r="B311" s="1">
        <v>22584.59</v>
      </c>
      <c r="C311" s="1">
        <v>25.194559999999999</v>
      </c>
      <c r="D311" s="6">
        <f t="shared" si="70"/>
        <v>8.8937035134351028E-3</v>
      </c>
      <c r="E311" s="5">
        <f t="shared" si="69"/>
        <v>4.3798466696287619E-4</v>
      </c>
      <c r="G311" s="25" t="str">
        <f>IF(VLOOKUP(A311,Aux!B:C,2,FALSE)=0,"",VLOOKUP(A311,Aux!B:C,2,FALSE))</f>
        <v/>
      </c>
      <c r="H311" s="25" t="str">
        <f t="shared" si="58"/>
        <v/>
      </c>
      <c r="L311" s="13">
        <f t="shared" si="61"/>
        <v>108446.08207755629</v>
      </c>
      <c r="M311" s="14">
        <f t="shared" si="62"/>
        <v>475.24171307706598</v>
      </c>
      <c r="N311" s="14">
        <f t="shared" si="63"/>
        <v>23.875076692262514</v>
      </c>
      <c r="O311" s="1">
        <f t="shared" si="64"/>
        <v>2.387069732668972</v>
      </c>
      <c r="P311" s="1">
        <f t="shared" si="65"/>
        <v>2164.5581769960681</v>
      </c>
      <c r="S311" s="6">
        <f t="shared" si="59"/>
        <v>0.49712253482042218</v>
      </c>
      <c r="T311" s="6">
        <f t="shared" si="60"/>
        <v>0.50287746517957876</v>
      </c>
      <c r="V311" s="1">
        <f t="shared" si="66"/>
        <v>108467.00717259411</v>
      </c>
      <c r="W311" s="7">
        <f t="shared" si="67"/>
        <v>4.613065724264117E-3</v>
      </c>
      <c r="X311" s="7">
        <f t="shared" si="68"/>
        <v>4.4720157277181464E-3</v>
      </c>
      <c r="Y311">
        <f>LN(B311/B310)</f>
        <v>8.8543874705422979E-3</v>
      </c>
      <c r="Z311">
        <f>LN(C311/C310)</f>
        <v>4.3788877967571493E-4</v>
      </c>
    </row>
    <row r="312" spans="1:26" x14ac:dyDescent="0.3">
      <c r="A312" s="11">
        <v>40637</v>
      </c>
      <c r="B312" s="12">
        <v>22625.97</v>
      </c>
      <c r="C312" s="12">
        <v>25.205590000000001</v>
      </c>
      <c r="D312" s="16">
        <f t="shared" si="70"/>
        <v>1.8322227678253533E-3</v>
      </c>
      <c r="E312" s="15">
        <f t="shared" si="69"/>
        <v>4.3779292037648965E-4</v>
      </c>
      <c r="G312" s="25" t="str">
        <f>IF(VLOOKUP(A312,Aux!B:C,2,FALSE)=0,"",VLOOKUP(A312,Aux!B:C,2,FALSE))</f>
        <v/>
      </c>
      <c r="H312" s="25" t="str">
        <f t="shared" si="58"/>
        <v/>
      </c>
      <c r="L312" s="13">
        <f t="shared" si="61"/>
        <v>108568.73409978641</v>
      </c>
      <c r="M312" s="14">
        <f t="shared" si="62"/>
        <v>98.776945537844497</v>
      </c>
      <c r="N312" s="14">
        <f t="shared" si="63"/>
        <v>23.875076692270202</v>
      </c>
      <c r="O312" s="1">
        <f t="shared" si="64"/>
        <v>2.387069732668972</v>
      </c>
      <c r="P312" s="1">
        <f t="shared" si="65"/>
        <v>2164.5581769960681</v>
      </c>
      <c r="S312" s="6">
        <f t="shared" si="59"/>
        <v>0.49747073692169397</v>
      </c>
      <c r="T312" s="6">
        <f t="shared" si="60"/>
        <v>0.50252926307830703</v>
      </c>
      <c r="V312" s="1">
        <f t="shared" si="66"/>
        <v>108587.1478511247</v>
      </c>
      <c r="W312" s="7">
        <f t="shared" si="67"/>
        <v>1.1303563272779165E-3</v>
      </c>
      <c r="X312" s="7">
        <f t="shared" si="68"/>
        <v>1.1070112045224296E-3</v>
      </c>
      <c r="Y312">
        <f>LN(B312/B311)</f>
        <v>1.8305462951584504E-3</v>
      </c>
      <c r="Z312">
        <f>LN(C312/C311)</f>
        <v>4.3769711701625912E-4</v>
      </c>
    </row>
    <row r="313" spans="1:26" x14ac:dyDescent="0.3">
      <c r="A313" s="9">
        <v>40638</v>
      </c>
      <c r="B313" s="1">
        <v>22636.89</v>
      </c>
      <c r="C313" s="1">
        <v>25.216629999999999</v>
      </c>
      <c r="D313" s="6">
        <f t="shared" si="70"/>
        <v>4.8263124188707707E-4</v>
      </c>
      <c r="E313" s="5">
        <f t="shared" si="69"/>
        <v>4.3799807899747023E-4</v>
      </c>
      <c r="G313" s="25" t="str">
        <f>IF(VLOOKUP(A313,Aux!B:C,2,FALSE)=0,"",VLOOKUP(A313,Aux!B:C,2,FALSE))</f>
        <v/>
      </c>
      <c r="H313" s="25" t="str">
        <f t="shared" si="58"/>
        <v/>
      </c>
      <c r="L313" s="13">
        <f t="shared" si="61"/>
        <v>108618.69762354119</v>
      </c>
      <c r="M313" s="14">
        <f t="shared" si="62"/>
        <v>26.066801480741006</v>
      </c>
      <c r="N313" s="14">
        <f t="shared" si="63"/>
        <v>23.896722274031653</v>
      </c>
      <c r="O313" s="1">
        <f t="shared" si="64"/>
        <v>2.387069732668972</v>
      </c>
      <c r="P313" s="1">
        <f t="shared" si="65"/>
        <v>2164.5581769960681</v>
      </c>
      <c r="S313" s="6">
        <f t="shared" si="59"/>
        <v>0.49748188979431857</v>
      </c>
      <c r="T313" s="6">
        <f t="shared" si="60"/>
        <v>0.50251811020568238</v>
      </c>
      <c r="V313" s="1">
        <f t="shared" si="66"/>
        <v>108637.03861548338</v>
      </c>
      <c r="W313" s="7">
        <f t="shared" si="67"/>
        <v>4.6009591107286916E-4</v>
      </c>
      <c r="X313" s="7">
        <f t="shared" si="68"/>
        <v>4.5934816051065798E-4</v>
      </c>
      <c r="Y313">
        <f>LN(B313/B312)</f>
        <v>4.825148128892626E-4</v>
      </c>
      <c r="Z313">
        <f>LN(C313/C312)</f>
        <v>4.3790218583852534E-4</v>
      </c>
    </row>
    <row r="314" spans="1:26" x14ac:dyDescent="0.3">
      <c r="A314" s="11">
        <v>40639</v>
      </c>
      <c r="B314" s="12">
        <v>22427.73</v>
      </c>
      <c r="C314" s="12">
        <v>25.22766</v>
      </c>
      <c r="D314" s="16">
        <f t="shared" si="70"/>
        <v>-9.2397851471646142E-3</v>
      </c>
      <c r="E314" s="15">
        <f t="shared" si="69"/>
        <v>4.374097569739277E-4</v>
      </c>
      <c r="G314" s="25" t="str">
        <f>IF(VLOOKUP(A314,Aux!B:C,2,FALSE)=0,"",VLOOKUP(A314,Aux!B:C,2,FALSE))</f>
        <v/>
      </c>
      <c r="H314" s="25" t="str">
        <f t="shared" si="58"/>
        <v/>
      </c>
      <c r="L314" s="13">
        <f t="shared" si="61"/>
        <v>108143.29319494842</v>
      </c>
      <c r="M314" s="14">
        <f t="shared" si="62"/>
        <v>-499.27950528504186</v>
      </c>
      <c r="N314" s="14">
        <f t="shared" si="63"/>
        <v>23.875076692270202</v>
      </c>
      <c r="O314" s="1">
        <f t="shared" si="64"/>
        <v>2.387069732668972</v>
      </c>
      <c r="P314" s="1">
        <f t="shared" si="65"/>
        <v>2164.5581769960681</v>
      </c>
      <c r="S314" s="6">
        <f t="shared" si="59"/>
        <v>0.49505201731708204</v>
      </c>
      <c r="T314" s="6">
        <f t="shared" si="60"/>
        <v>0.50494798268291885</v>
      </c>
      <c r="V314" s="1">
        <f t="shared" si="66"/>
        <v>108179.17475007786</v>
      </c>
      <c r="W314" s="7">
        <f t="shared" si="67"/>
        <v>-4.3864257664190326E-3</v>
      </c>
      <c r="X314" s="7">
        <f t="shared" si="68"/>
        <v>-4.2235268195077681E-3</v>
      </c>
      <c r="Y314">
        <f>LN(B314/B313)</f>
        <v>-9.2827367423501221E-3</v>
      </c>
      <c r="Z314">
        <f>LN(C314/C313)</f>
        <v>4.373141212131733E-4</v>
      </c>
    </row>
    <row r="315" spans="1:26" x14ac:dyDescent="0.3">
      <c r="A315" s="9">
        <v>40640</v>
      </c>
      <c r="B315" s="1">
        <v>22402.22</v>
      </c>
      <c r="C315" s="1">
        <v>25.238679999999999</v>
      </c>
      <c r="D315" s="6">
        <f t="shared" si="70"/>
        <v>-1.1374312068139769E-3</v>
      </c>
      <c r="E315" s="5">
        <f t="shared" si="69"/>
        <v>4.3682212301887624E-4</v>
      </c>
      <c r="G315" s="25" t="str">
        <f>IF(VLOOKUP(A315,Aux!B:C,2,FALSE)=0,"",VLOOKUP(A315,Aux!B:C,2,FALSE))</f>
        <v/>
      </c>
      <c r="H315" s="25" t="str">
        <f t="shared" si="58"/>
        <v/>
      </c>
      <c r="L315" s="13">
        <f t="shared" si="61"/>
        <v>108106.25247717852</v>
      </c>
      <c r="M315" s="14">
        <f t="shared" si="62"/>
        <v>-60.894148880381657</v>
      </c>
      <c r="N315" s="14">
        <f t="shared" si="63"/>
        <v>23.853431110493371</v>
      </c>
      <c r="O315" s="1">
        <f t="shared" si="64"/>
        <v>2.387069732668972</v>
      </c>
      <c r="P315" s="1">
        <f t="shared" si="65"/>
        <v>2164.5581769960681</v>
      </c>
      <c r="S315" s="6">
        <f t="shared" si="59"/>
        <v>0.49465835769194139</v>
      </c>
      <c r="T315" s="6">
        <f t="shared" si="60"/>
        <v>0.50534164230805956</v>
      </c>
      <c r="V315" s="1">
        <f t="shared" si="66"/>
        <v>108144.9754874591</v>
      </c>
      <c r="W315" s="7">
        <f t="shared" si="67"/>
        <v>-3.4257383539947089E-4</v>
      </c>
      <c r="X315" s="7">
        <f t="shared" si="68"/>
        <v>-3.1618534376422598E-4</v>
      </c>
      <c r="Y315">
        <f>LN(B315/B314)</f>
        <v>-1.1380785726250355E-3</v>
      </c>
      <c r="Z315">
        <f>LN(C315/C314)</f>
        <v>4.3672674401006012E-4</v>
      </c>
    </row>
    <row r="316" spans="1:26" x14ac:dyDescent="0.3">
      <c r="A316" s="11">
        <v>40641</v>
      </c>
      <c r="B316" s="12">
        <v>22218.48</v>
      </c>
      <c r="C316" s="12">
        <v>25.24972</v>
      </c>
      <c r="D316" s="16">
        <f t="shared" si="70"/>
        <v>-8.2018657079522272E-3</v>
      </c>
      <c r="E316" s="15">
        <f t="shared" si="69"/>
        <v>4.374238272366604E-4</v>
      </c>
      <c r="G316" s="25" t="str">
        <f>IF(VLOOKUP(A316,Aux!B:C,2,FALSE)=0,"",VLOOKUP(A316,Aux!B:C,2,FALSE))</f>
        <v/>
      </c>
      <c r="H316" s="25" t="str">
        <f t="shared" si="58"/>
        <v/>
      </c>
      <c r="L316" s="13">
        <f t="shared" si="61"/>
        <v>107691.54900677197</v>
      </c>
      <c r="M316" s="14">
        <f t="shared" si="62"/>
        <v>-438.60019268060074</v>
      </c>
      <c r="N316" s="14">
        <f t="shared" si="63"/>
        <v>23.896722274039345</v>
      </c>
      <c r="O316" s="1">
        <f t="shared" si="64"/>
        <v>2.387069732668972</v>
      </c>
      <c r="P316" s="1">
        <f t="shared" si="65"/>
        <v>2164.5581769960681</v>
      </c>
      <c r="S316" s="6">
        <f t="shared" si="59"/>
        <v>0.49249046562210536</v>
      </c>
      <c r="T316" s="6">
        <f t="shared" si="60"/>
        <v>0.50750953437789559</v>
      </c>
      <c r="V316" s="1">
        <f t="shared" si="66"/>
        <v>107745.77882257456</v>
      </c>
      <c r="W316" s="7">
        <f t="shared" si="67"/>
        <v>-3.8434495445113332E-3</v>
      </c>
      <c r="X316" s="7">
        <f t="shared" si="68"/>
        <v>-3.6981400256748992E-3</v>
      </c>
      <c r="Y316">
        <f>LN(B316/B315)</f>
        <v>-8.2356860621177249E-3</v>
      </c>
      <c r="Z316">
        <f>LN(C316/C315)</f>
        <v>4.3732818532402778E-4</v>
      </c>
    </row>
    <row r="317" spans="1:26" x14ac:dyDescent="0.3">
      <c r="A317" s="9">
        <v>40644</v>
      </c>
      <c r="B317" s="1">
        <v>22069.34</v>
      </c>
      <c r="C317" s="1">
        <v>25.260760000000001</v>
      </c>
      <c r="D317" s="6">
        <f t="shared" si="70"/>
        <v>-6.7124303732748469E-3</v>
      </c>
      <c r="E317" s="5">
        <f t="shared" si="69"/>
        <v>4.3723257129202331E-4</v>
      </c>
      <c r="G317" s="25" t="str">
        <f>IF(VLOOKUP(A317,Aux!B:C,2,FALSE)=0,"",VLOOKUP(A317,Aux!B:C,2,FALSE))</f>
        <v/>
      </c>
      <c r="H317" s="25" t="str">
        <f t="shared" si="58"/>
        <v/>
      </c>
      <c r="L317" s="13">
        <f t="shared" si="61"/>
        <v>107359.43814911577</v>
      </c>
      <c r="M317" s="14">
        <f t="shared" si="62"/>
        <v>-356.00757993024911</v>
      </c>
      <c r="N317" s="14">
        <f t="shared" si="63"/>
        <v>23.896722274039345</v>
      </c>
      <c r="O317" s="1">
        <f t="shared" si="64"/>
        <v>2.387069732668972</v>
      </c>
      <c r="P317" s="1">
        <f t="shared" si="65"/>
        <v>2164.5581769960681</v>
      </c>
      <c r="S317" s="6">
        <f t="shared" si="59"/>
        <v>0.49069792504697962</v>
      </c>
      <c r="T317" s="6">
        <f t="shared" si="60"/>
        <v>0.50930207495302127</v>
      </c>
      <c r="V317" s="1">
        <f t="shared" si="66"/>
        <v>107426.4055680045</v>
      </c>
      <c r="W317" s="7">
        <f t="shared" si="67"/>
        <v>-3.0886733055622327E-3</v>
      </c>
      <c r="X317" s="7">
        <f t="shared" si="68"/>
        <v>-2.9685388007462308E-3</v>
      </c>
      <c r="Y317">
        <f>LN(B317/B316)</f>
        <v>-6.7350600576693165E-3</v>
      </c>
      <c r="Z317">
        <f>LN(C317/C316)</f>
        <v>4.371370129844457E-4</v>
      </c>
    </row>
    <row r="318" spans="1:26" x14ac:dyDescent="0.3">
      <c r="A318" s="11">
        <v>40645</v>
      </c>
      <c r="B318" s="12">
        <v>21690.22</v>
      </c>
      <c r="C318" s="12">
        <v>25.271799999999999</v>
      </c>
      <c r="D318" s="16">
        <f t="shared" si="70"/>
        <v>-1.7178583500911171E-2</v>
      </c>
      <c r="E318" s="15">
        <f t="shared" si="69"/>
        <v>4.3704148252055042E-4</v>
      </c>
      <c r="G318" s="25" t="str">
        <f>IF(VLOOKUP(A318,Aux!B:C,2,FALSE)=0,"",VLOOKUP(A318,Aux!B:C,2,FALSE))</f>
        <v/>
      </c>
      <c r="H318" s="25" t="str">
        <f t="shared" si="58"/>
        <v/>
      </c>
      <c r="L318" s="13">
        <f t="shared" si="61"/>
        <v>106478.34899434034</v>
      </c>
      <c r="M318" s="14">
        <f t="shared" si="62"/>
        <v>-904.98587704945828</v>
      </c>
      <c r="N318" s="14">
        <f t="shared" si="63"/>
        <v>23.896722274031653</v>
      </c>
      <c r="O318" s="1">
        <f t="shared" si="64"/>
        <v>2.387069732668972</v>
      </c>
      <c r="P318" s="1">
        <f t="shared" si="65"/>
        <v>2164.5581769960681</v>
      </c>
      <c r="S318" s="6">
        <f t="shared" si="59"/>
        <v>0.4862591141386241</v>
      </c>
      <c r="T318" s="6">
        <f t="shared" si="60"/>
        <v>0.51374088586137667</v>
      </c>
      <c r="V318" s="1">
        <f t="shared" si="66"/>
        <v>106576.46040869097</v>
      </c>
      <c r="W318" s="7">
        <f t="shared" si="67"/>
        <v>-8.2407712200262412E-3</v>
      </c>
      <c r="X318" s="7">
        <f t="shared" si="68"/>
        <v>-7.9433480901905437E-3</v>
      </c>
      <c r="Y318">
        <f>LN(B318/B317)</f>
        <v>-1.7327847262925945E-2</v>
      </c>
      <c r="Z318">
        <f>LN(C318/C317)</f>
        <v>4.3694600770845124E-4</v>
      </c>
    </row>
    <row r="319" spans="1:26" x14ac:dyDescent="0.3">
      <c r="A319" s="9">
        <v>40646</v>
      </c>
      <c r="B319" s="1">
        <v>21543.56</v>
      </c>
      <c r="C319" s="1">
        <v>25.282830000000001</v>
      </c>
      <c r="D319" s="6">
        <f t="shared" si="70"/>
        <v>-6.7615727272475334E-3</v>
      </c>
      <c r="E319" s="5">
        <f t="shared" si="69"/>
        <v>4.3645486273247158E-4</v>
      </c>
      <c r="G319" s="25" t="str">
        <f>IF(VLOOKUP(A319,Aux!B:C,2,FALSE)=0,"",VLOOKUP(A319,Aux!B:C,2,FALSE))</f>
        <v/>
      </c>
      <c r="H319" s="25" t="str">
        <f t="shared" si="58"/>
        <v/>
      </c>
      <c r="L319" s="13">
        <f t="shared" si="61"/>
        <v>106152.13642403939</v>
      </c>
      <c r="M319" s="14">
        <f t="shared" si="62"/>
        <v>-350.08764699323109</v>
      </c>
      <c r="N319" s="14">
        <f t="shared" si="63"/>
        <v>23.875076692270202</v>
      </c>
      <c r="O319" s="1">
        <f t="shared" si="64"/>
        <v>2.387069732668972</v>
      </c>
      <c r="P319" s="1">
        <f t="shared" si="65"/>
        <v>2164.5581769960681</v>
      </c>
      <c r="S319" s="6">
        <f t="shared" si="59"/>
        <v>0.484455440486942</v>
      </c>
      <c r="T319" s="6">
        <f t="shared" si="60"/>
        <v>0.51554455951305878</v>
      </c>
      <c r="V319" s="1">
        <f t="shared" si="66"/>
        <v>106262.78622954716</v>
      </c>
      <c r="W319" s="7">
        <f t="shared" si="67"/>
        <v>-3.0683542446370247E-3</v>
      </c>
      <c r="X319" s="7">
        <f t="shared" si="68"/>
        <v>-2.9475241168690773E-3</v>
      </c>
      <c r="Y319">
        <f>LN(B319/B318)</f>
        <v>-6.7845357293286968E-3</v>
      </c>
      <c r="Z319">
        <f>LN(C319/C318)</f>
        <v>4.3635964401364459E-4</v>
      </c>
    </row>
    <row r="320" spans="1:26" x14ac:dyDescent="0.3">
      <c r="A320" s="11">
        <v>40647</v>
      </c>
      <c r="B320" s="12">
        <v>21486.81</v>
      </c>
      <c r="C320" s="12">
        <v>25.293890000000001</v>
      </c>
      <c r="D320" s="16">
        <f t="shared" si="70"/>
        <v>-2.6341978763027019E-3</v>
      </c>
      <c r="E320" s="15">
        <f t="shared" si="69"/>
        <v>4.3745102901859845E-4</v>
      </c>
      <c r="G320" s="25" t="str">
        <f>IF(VLOOKUP(A320,Aux!B:C,2,FALSE)=0,"",VLOOKUP(A320,Aux!B:C,2,FALSE))</f>
        <v/>
      </c>
      <c r="H320" s="25" t="str">
        <f t="shared" si="58"/>
        <v/>
      </c>
      <c r="L320" s="13">
        <f t="shared" si="61"/>
        <v>106040.610230148</v>
      </c>
      <c r="M320" s="14">
        <f t="shared" si="62"/>
        <v>-135.46620732896417</v>
      </c>
      <c r="N320" s="14">
        <f t="shared" si="63"/>
        <v>23.940013437577626</v>
      </c>
      <c r="O320" s="1">
        <f t="shared" si="64"/>
        <v>2.387069732668972</v>
      </c>
      <c r="P320" s="1">
        <f t="shared" si="65"/>
        <v>2164.5581769960681</v>
      </c>
      <c r="S320" s="6">
        <f t="shared" si="59"/>
        <v>0.4836874636169039</v>
      </c>
      <c r="T320" s="6">
        <f t="shared" si="60"/>
        <v>0.51631253638309682</v>
      </c>
      <c r="V320" s="1">
        <f t="shared" si="66"/>
        <v>106156.60467944581</v>
      </c>
      <c r="W320" s="7">
        <f t="shared" si="67"/>
        <v>-1.0511782887906913E-3</v>
      </c>
      <c r="X320" s="7">
        <f t="shared" si="68"/>
        <v>-9.997350853022302E-4</v>
      </c>
      <c r="Y320">
        <f>LN(B320/B319)</f>
        <v>-2.6376734804896369E-3</v>
      </c>
      <c r="Z320">
        <f>LN(C320/C319)</f>
        <v>4.3735537521209111E-4</v>
      </c>
    </row>
    <row r="321" spans="1:26" x14ac:dyDescent="0.3">
      <c r="A321" s="9">
        <v>40648</v>
      </c>
      <c r="B321" s="1">
        <v>21607.46</v>
      </c>
      <c r="C321" s="1">
        <v>25.304960000000001</v>
      </c>
      <c r="D321" s="6">
        <f t="shared" si="70"/>
        <v>5.6150726887795877E-3</v>
      </c>
      <c r="E321" s="5">
        <f t="shared" si="69"/>
        <v>4.3765510168669586E-4</v>
      </c>
      <c r="G321" s="25" t="str">
        <f>IF(VLOOKUP(A321,Aux!B:C,2,FALSE)=0,"",VLOOKUP(A321,Aux!B:C,2,FALSE))</f>
        <v/>
      </c>
      <c r="H321" s="25" t="str">
        <f t="shared" si="58"/>
        <v/>
      </c>
      <c r="L321" s="13">
        <f t="shared" si="61"/>
        <v>106352.57185241385</v>
      </c>
      <c r="M321" s="14">
        <f t="shared" si="62"/>
        <v>287.99996324650624</v>
      </c>
      <c r="N321" s="14">
        <f t="shared" si="63"/>
        <v>23.961659019346769</v>
      </c>
      <c r="O321" s="1">
        <f t="shared" si="64"/>
        <v>2.387069732668972</v>
      </c>
      <c r="P321" s="1">
        <f t="shared" si="65"/>
        <v>2164.5581769960681</v>
      </c>
      <c r="S321" s="6">
        <f t="shared" si="59"/>
        <v>0.48497664764921095</v>
      </c>
      <c r="T321" s="6">
        <f t="shared" si="60"/>
        <v>0.51502335235078978</v>
      </c>
      <c r="V321" s="1">
        <f t="shared" si="66"/>
        <v>106459.71350615428</v>
      </c>
      <c r="W321" s="7">
        <f t="shared" si="67"/>
        <v>2.9375881423725162E-3</v>
      </c>
      <c r="X321" s="7">
        <f t="shared" si="68"/>
        <v>2.8512301843905585E-3</v>
      </c>
      <c r="Y321">
        <f>LN(B321/B320)</f>
        <v>5.5993669333400751E-3</v>
      </c>
      <c r="Z321">
        <f>LN(C321/C320)</f>
        <v>4.3755935862662022E-4</v>
      </c>
    </row>
    <row r="322" spans="1:26" x14ac:dyDescent="0.3">
      <c r="A322" s="11">
        <v>40651</v>
      </c>
      <c r="B322" s="12">
        <v>21297.38</v>
      </c>
      <c r="C322" s="12">
        <v>25.316040000000001</v>
      </c>
      <c r="D322" s="16">
        <f t="shared" si="70"/>
        <v>-1.4350599283765808E-2</v>
      </c>
      <c r="E322" s="15">
        <f t="shared" si="69"/>
        <v>4.3785882293434497E-4</v>
      </c>
      <c r="G322" s="25" t="str">
        <f>IF(VLOOKUP(A322,Aux!B:C,2,FALSE)=0,"",VLOOKUP(A322,Aux!B:C,2,FALSE))</f>
        <v/>
      </c>
      <c r="H322" s="25" t="str">
        <f t="shared" si="58"/>
        <v/>
      </c>
      <c r="L322" s="13">
        <f t="shared" si="61"/>
        <v>105636.37257430897</v>
      </c>
      <c r="M322" s="14">
        <f t="shared" si="62"/>
        <v>-740.18258270599028</v>
      </c>
      <c r="N322" s="14">
        <f t="shared" si="63"/>
        <v>23.983304601115908</v>
      </c>
      <c r="O322" s="1">
        <f t="shared" si="64"/>
        <v>2.387069732668972</v>
      </c>
      <c r="P322" s="1">
        <f t="shared" si="65"/>
        <v>2164.5581769960681</v>
      </c>
      <c r="S322" s="6">
        <f t="shared" si="59"/>
        <v>0.48125782762360325</v>
      </c>
      <c r="T322" s="6">
        <f t="shared" si="60"/>
        <v>0.51874217237639764</v>
      </c>
      <c r="V322" s="1">
        <f t="shared" si="66"/>
        <v>105769.13552717135</v>
      </c>
      <c r="W322" s="7">
        <f t="shared" si="67"/>
        <v>-6.7569750392559962E-3</v>
      </c>
      <c r="X322" s="7">
        <f t="shared" si="68"/>
        <v>-6.5078844788429239E-3</v>
      </c>
      <c r="Y322">
        <f>LN(B322/B321)</f>
        <v>-1.4454564979025841E-2</v>
      </c>
      <c r="Z322">
        <f>LN(C322/C321)</f>
        <v>4.3776299073289705E-4</v>
      </c>
    </row>
    <row r="323" spans="1:26" x14ac:dyDescent="0.3">
      <c r="A323" s="9">
        <v>40652</v>
      </c>
      <c r="B323" s="1">
        <v>21510.75</v>
      </c>
      <c r="C323" s="1">
        <v>25.32715</v>
      </c>
      <c r="D323" s="6">
        <f t="shared" si="70"/>
        <v>1.0018603227251344E-2</v>
      </c>
      <c r="E323" s="5">
        <f t="shared" si="69"/>
        <v>4.388522059530775E-4</v>
      </c>
      <c r="G323" s="25" t="str">
        <f>IF(VLOOKUP(A323,Aux!B:C,2,FALSE)=0,"",VLOOKUP(A323,Aux!B:C,2,FALSE))</f>
        <v/>
      </c>
      <c r="H323" s="25" t="str">
        <f t="shared" ref="H323:H386" si="71">IF(ISNUMBER(G323),1-G323,"")</f>
        <v/>
      </c>
      <c r="L323" s="13">
        <f t="shared" si="61"/>
        <v>106169.74988451497</v>
      </c>
      <c r="M323" s="14">
        <f t="shared" si="62"/>
        <v>509.32906885957613</v>
      </c>
      <c r="N323" s="14">
        <f t="shared" si="63"/>
        <v>24.048241346423332</v>
      </c>
      <c r="O323" s="1">
        <f t="shared" si="64"/>
        <v>2.387069732668972</v>
      </c>
      <c r="P323" s="1">
        <f t="shared" si="65"/>
        <v>2164.5581769960681</v>
      </c>
      <c r="S323" s="6">
        <f t="shared" ref="S323:S386" si="72">O323*B323/L323</f>
        <v>0.4836373854875044</v>
      </c>
      <c r="T323" s="6">
        <f t="shared" ref="T323:T386" si="73">P323*C323/L323</f>
        <v>0.51636261451249643</v>
      </c>
      <c r="V323" s="1">
        <f t="shared" si="66"/>
        <v>106286.24212254124</v>
      </c>
      <c r="W323" s="7">
        <f t="shared" si="67"/>
        <v>5.0364779968517038E-3</v>
      </c>
      <c r="X323" s="7">
        <f t="shared" si="68"/>
        <v>4.8770998038027234E-3</v>
      </c>
      <c r="Y323">
        <f>LN(B323/B322)</f>
        <v>9.9687497204222243E-3</v>
      </c>
      <c r="Z323">
        <f>LN(C323/C322)</f>
        <v>4.3875593848750584E-4</v>
      </c>
    </row>
    <row r="324" spans="1:26" x14ac:dyDescent="0.3">
      <c r="A324" s="11">
        <v>40653</v>
      </c>
      <c r="B324" s="12">
        <v>21821.88</v>
      </c>
      <c r="C324" s="12">
        <v>25.338239999999999</v>
      </c>
      <c r="D324" s="16">
        <f t="shared" si="70"/>
        <v>1.4463930825285187E-2</v>
      </c>
      <c r="E324" s="15">
        <f t="shared" si="69"/>
        <v>4.3787003275141956E-4</v>
      </c>
      <c r="G324" s="25" t="str">
        <f>IF(VLOOKUP(A324,Aux!B:C,2,FALSE)=0,"",VLOOKUP(A324,Aux!B:C,2,FALSE))</f>
        <v/>
      </c>
      <c r="H324" s="25" t="str">
        <f t="shared" si="71"/>
        <v/>
      </c>
      <c r="L324" s="13">
        <f t="shared" ref="L324:L387" si="74">L323+M324+N324</f>
        <v>106936.44384062316</v>
      </c>
      <c r="M324" s="14">
        <f t="shared" ref="M324:M387" si="75">O323*(B324-B323)</f>
        <v>742.68900592529974</v>
      </c>
      <c r="N324" s="14">
        <f t="shared" ref="N324:N387" si="76">P323*(C324-C323)</f>
        <v>24.00495018288505</v>
      </c>
      <c r="O324" s="1">
        <f t="shared" ref="O324:O387" si="77">IF(ISNUMBER(G324),L324*G324/B324,O323)</f>
        <v>2.387069732668972</v>
      </c>
      <c r="P324" s="1">
        <f t="shared" ref="P324:P387" si="78">IF(ISNUMBER(H324),L324*H324/C324,P323)</f>
        <v>2164.5581769960681</v>
      </c>
      <c r="S324" s="6">
        <f t="shared" si="72"/>
        <v>0.48711503194896999</v>
      </c>
      <c r="T324" s="6">
        <f t="shared" si="73"/>
        <v>0.51288496805103068</v>
      </c>
      <c r="V324" s="1">
        <f t="shared" ref="V324:V387" si="79">$O$2*B324+$P$2*C324</f>
        <v>107028.83971492501</v>
      </c>
      <c r="W324" s="7">
        <f t="shared" ref="W324:W387" si="80">LN(L324/L323)</f>
        <v>7.1954479654908936E-3</v>
      </c>
      <c r="X324" s="7">
        <f t="shared" ref="X324:X387" si="81">LN(V324/V323)</f>
        <v>6.9624762190846094E-3</v>
      </c>
      <c r="Y324">
        <f>LN(B324/B323)</f>
        <v>1.4360326004850803E-2</v>
      </c>
      <c r="Z324">
        <f>LN(C324/C323)</f>
        <v>4.3777419564373975E-4</v>
      </c>
    </row>
    <row r="325" spans="1:26" x14ac:dyDescent="0.3">
      <c r="A325" s="9">
        <v>40658</v>
      </c>
      <c r="B325" s="1">
        <v>21817.98</v>
      </c>
      <c r="C325" s="1">
        <v>25.349309999999999</v>
      </c>
      <c r="D325" s="6">
        <f t="shared" si="70"/>
        <v>-1.7871970700977791E-4</v>
      </c>
      <c r="E325" s="5">
        <f t="shared" ref="E325:E388" si="82">C325/C324-1</f>
        <v>4.368890656967217E-4</v>
      </c>
      <c r="G325" s="25" t="str">
        <f>IF(VLOOKUP(A325,Aux!B:C,2,FALSE)=0,"",VLOOKUP(A325,Aux!B:C,2,FALSE))</f>
        <v/>
      </c>
      <c r="H325" s="25" t="str">
        <f t="shared" si="71"/>
        <v/>
      </c>
      <c r="L325" s="13">
        <f t="shared" si="74"/>
        <v>106951.09592768509</v>
      </c>
      <c r="M325" s="14">
        <f t="shared" si="75"/>
        <v>-9.309571957412464</v>
      </c>
      <c r="N325" s="14">
        <f t="shared" si="76"/>
        <v>23.961659019346769</v>
      </c>
      <c r="O325" s="1">
        <f t="shared" si="77"/>
        <v>2.387069732668972</v>
      </c>
      <c r="P325" s="1">
        <f t="shared" si="78"/>
        <v>2164.5581769960681</v>
      </c>
      <c r="S325" s="6">
        <f t="shared" si="72"/>
        <v>0.4869612530309323</v>
      </c>
      <c r="T325" s="6">
        <f t="shared" si="73"/>
        <v>0.51303874696906848</v>
      </c>
      <c r="V325" s="1">
        <f t="shared" si="79"/>
        <v>107044.60733485116</v>
      </c>
      <c r="W325" s="7">
        <f t="shared" si="80"/>
        <v>1.370073927703273E-4</v>
      </c>
      <c r="X325" s="7">
        <f t="shared" si="81"/>
        <v>1.4731037568607881E-4</v>
      </c>
      <c r="Y325">
        <f>LN(B325/B324)</f>
        <v>-1.7873567927968268E-4</v>
      </c>
      <c r="Z325">
        <f>LN(C325/C324)</f>
        <v>4.3679365745639222E-4</v>
      </c>
    </row>
    <row r="326" spans="1:26" x14ac:dyDescent="0.3">
      <c r="A326" s="11">
        <v>40659</v>
      </c>
      <c r="B326" s="12">
        <v>21894.17</v>
      </c>
      <c r="C326" s="12">
        <v>25.360600000000002</v>
      </c>
      <c r="D326" s="16">
        <f t="shared" si="70"/>
        <v>3.4920739683508284E-3</v>
      </c>
      <c r="E326" s="15">
        <f t="shared" si="82"/>
        <v>4.4537701420677145E-4</v>
      </c>
      <c r="G326" s="25" t="str">
        <f>IF(VLOOKUP(A326,Aux!B:C,2,FALSE)=0,"",VLOOKUP(A326,Aux!B:C,2,FALSE))</f>
        <v/>
      </c>
      <c r="H326" s="25" t="str">
        <f t="shared" si="71"/>
        <v/>
      </c>
      <c r="L326" s="13">
        <f t="shared" si="74"/>
        <v>107157.40463243543</v>
      </c>
      <c r="M326" s="14">
        <f t="shared" si="75"/>
        <v>181.87084293204586</v>
      </c>
      <c r="N326" s="14">
        <f t="shared" si="76"/>
        <v>24.437861818290944</v>
      </c>
      <c r="O326" s="1">
        <f t="shared" si="77"/>
        <v>2.387069732668972</v>
      </c>
      <c r="P326" s="1">
        <f t="shared" si="78"/>
        <v>2164.5581769960681</v>
      </c>
      <c r="S326" s="6">
        <f t="shared" si="72"/>
        <v>0.48772094385990367</v>
      </c>
      <c r="T326" s="6">
        <f t="shared" si="73"/>
        <v>0.51227905614009706</v>
      </c>
      <c r="V326" s="1">
        <f t="shared" si="79"/>
        <v>107245.63755548204</v>
      </c>
      <c r="W326" s="7">
        <f t="shared" si="80"/>
        <v>1.9271422485426773E-3</v>
      </c>
      <c r="X326" s="7">
        <f t="shared" si="81"/>
        <v>1.8762429405728169E-3</v>
      </c>
      <c r="Y326">
        <f>LN(B326/B325)</f>
        <v>3.4859908357697108E-3</v>
      </c>
      <c r="Z326">
        <f>LN(C326/C325)</f>
        <v>4.452778633029762E-4</v>
      </c>
    </row>
    <row r="327" spans="1:26" x14ac:dyDescent="0.3">
      <c r="A327" s="9">
        <v>40660</v>
      </c>
      <c r="B327" s="1">
        <v>21640.61</v>
      </c>
      <c r="C327" s="1">
        <v>25.37191</v>
      </c>
      <c r="D327" s="6">
        <f t="shared" si="70"/>
        <v>-1.1581165214301192E-2</v>
      </c>
      <c r="E327" s="5">
        <f t="shared" si="82"/>
        <v>4.4596736670254877E-4</v>
      </c>
      <c r="G327" s="25" t="str">
        <f>IF(VLOOKUP(A327,Aux!B:C,2,FALSE)=0,"",VLOOKUP(A327,Aux!B:C,2,FALSE))</f>
        <v/>
      </c>
      <c r="H327" s="25" t="str">
        <f t="shared" si="71"/>
        <v/>
      </c>
      <c r="L327" s="13">
        <f t="shared" si="74"/>
        <v>106576.62038400171</v>
      </c>
      <c r="M327" s="14">
        <f t="shared" si="75"/>
        <v>-605.26540141553903</v>
      </c>
      <c r="N327" s="14">
        <f t="shared" si="76"/>
        <v>24.481152981821538</v>
      </c>
      <c r="O327" s="1">
        <f t="shared" si="77"/>
        <v>2.387069732668972</v>
      </c>
      <c r="P327" s="1">
        <f t="shared" si="78"/>
        <v>2164.5581769960681</v>
      </c>
      <c r="S327" s="6">
        <f t="shared" si="72"/>
        <v>0.48469959866777546</v>
      </c>
      <c r="T327" s="6">
        <f t="shared" si="73"/>
        <v>0.51530040133222532</v>
      </c>
      <c r="V327" s="1">
        <f t="shared" si="79"/>
        <v>106685.96773404544</v>
      </c>
      <c r="W327" s="7">
        <f t="shared" si="80"/>
        <v>-5.4346581258478844E-3</v>
      </c>
      <c r="X327" s="7">
        <f t="shared" si="81"/>
        <v>-5.2322432441828824E-3</v>
      </c>
      <c r="Y327">
        <f>LN(B327/B326)</f>
        <v>-1.1648749215876279E-2</v>
      </c>
      <c r="Z327">
        <f>LN(C327/C326)</f>
        <v>4.4586795281226937E-4</v>
      </c>
    </row>
    <row r="328" spans="1:26" x14ac:dyDescent="0.3">
      <c r="A328" s="11">
        <v>40661</v>
      </c>
      <c r="B328" s="12">
        <v>21418.35</v>
      </c>
      <c r="C328" s="12">
        <v>25.383230000000001</v>
      </c>
      <c r="D328" s="16">
        <f t="shared" si="70"/>
        <v>-1.0270505313852207E-2</v>
      </c>
      <c r="E328" s="15">
        <f t="shared" si="82"/>
        <v>4.461627051333128E-4</v>
      </c>
      <c r="G328" s="25" t="str">
        <f>IF(VLOOKUP(A328,Aux!B:C,2,FALSE)=0,"",VLOOKUP(A328,Aux!B:C,2,FALSE))</f>
        <v/>
      </c>
      <c r="H328" s="25" t="str">
        <f t="shared" si="71"/>
        <v/>
      </c>
      <c r="L328" s="13">
        <f t="shared" si="74"/>
        <v>106070.5730637823</v>
      </c>
      <c r="M328" s="14">
        <f t="shared" si="75"/>
        <v>-530.55011878301059</v>
      </c>
      <c r="N328" s="14">
        <f t="shared" si="76"/>
        <v>24.502798563598368</v>
      </c>
      <c r="O328" s="1">
        <f t="shared" si="77"/>
        <v>2.387069732668972</v>
      </c>
      <c r="P328" s="1">
        <f t="shared" si="78"/>
        <v>2164.5581769960681</v>
      </c>
      <c r="S328" s="6">
        <f t="shared" si="72"/>
        <v>0.48201017051135148</v>
      </c>
      <c r="T328" s="6">
        <f t="shared" si="73"/>
        <v>0.51798982948864924</v>
      </c>
      <c r="V328" s="1">
        <f t="shared" si="79"/>
        <v>106198.53047881331</v>
      </c>
      <c r="W328" s="7">
        <f t="shared" si="80"/>
        <v>-4.7595105047235596E-3</v>
      </c>
      <c r="X328" s="7">
        <f t="shared" si="81"/>
        <v>-4.5793668505205798E-3</v>
      </c>
      <c r="Y328">
        <f>LN(B328/B327)</f>
        <v>-1.0323610880480335E-2</v>
      </c>
      <c r="Z328">
        <f>LN(C328/C327)</f>
        <v>4.4606320414823918E-4</v>
      </c>
    </row>
    <row r="329" spans="1:26" x14ac:dyDescent="0.3">
      <c r="A329" s="9">
        <v>40662</v>
      </c>
      <c r="B329" s="1">
        <v>21561.98</v>
      </c>
      <c r="C329" s="1">
        <v>25.394539999999999</v>
      </c>
      <c r="D329" s="6">
        <f t="shared" si="70"/>
        <v>6.7059320629274666E-3</v>
      </c>
      <c r="E329" s="5">
        <f t="shared" si="82"/>
        <v>4.455697718532825E-4</v>
      </c>
      <c r="G329" s="25" t="str">
        <f>IF(VLOOKUP(A329,Aux!B:C,2,FALSE)=0,"",VLOOKUP(A329,Aux!B:C,2,FALSE))</f>
        <v/>
      </c>
      <c r="H329" s="25" t="str">
        <f t="shared" si="71"/>
        <v/>
      </c>
      <c r="L329" s="13">
        <f t="shared" si="74"/>
        <v>106437.90904246738</v>
      </c>
      <c r="M329" s="14">
        <f t="shared" si="75"/>
        <v>342.85482570324689</v>
      </c>
      <c r="N329" s="14">
        <f t="shared" si="76"/>
        <v>24.481152981821538</v>
      </c>
      <c r="O329" s="1">
        <f t="shared" si="77"/>
        <v>2.387069732668972</v>
      </c>
      <c r="P329" s="1">
        <f t="shared" si="78"/>
        <v>2164.5581769960681</v>
      </c>
      <c r="S329" s="6">
        <f t="shared" si="72"/>
        <v>0.48356784060722069</v>
      </c>
      <c r="T329" s="6">
        <f t="shared" si="73"/>
        <v>0.51643215939277998</v>
      </c>
      <c r="V329" s="1">
        <f t="shared" si="79"/>
        <v>106555.19188115724</v>
      </c>
      <c r="W329" s="7">
        <f t="shared" si="80"/>
        <v>3.4571452480987282E-3</v>
      </c>
      <c r="X329" s="7">
        <f t="shared" si="81"/>
        <v>3.3528131259067018E-3</v>
      </c>
      <c r="Y329">
        <f>LN(B329/B328)</f>
        <v>6.6835473185032582E-3</v>
      </c>
      <c r="Z329">
        <f>LN(C329/C328)</f>
        <v>4.4547053511931946E-4</v>
      </c>
    </row>
    <row r="330" spans="1:26" x14ac:dyDescent="0.3">
      <c r="A330" s="11">
        <v>40665</v>
      </c>
      <c r="B330" s="12">
        <v>21419.19</v>
      </c>
      <c r="C330" s="12">
        <v>25.405889999999999</v>
      </c>
      <c r="D330" s="16">
        <f t="shared" si="70"/>
        <v>-6.6223046306508326E-3</v>
      </c>
      <c r="E330" s="15">
        <f t="shared" si="82"/>
        <v>4.4694646959553275E-4</v>
      </c>
      <c r="G330" s="25" t="str">
        <f>IF(VLOOKUP(A330,Aux!B:C,2,FALSE)=0,"",VLOOKUP(A330,Aux!B:C,2,FALSE))</f>
        <v/>
      </c>
      <c r="H330" s="25" t="str">
        <f t="shared" si="71"/>
        <v/>
      </c>
      <c r="L330" s="13">
        <f t="shared" si="74"/>
        <v>106121.62709064849</v>
      </c>
      <c r="M330" s="14">
        <f t="shared" si="75"/>
        <v>-340.8496871278046</v>
      </c>
      <c r="N330" s="14">
        <f t="shared" si="76"/>
        <v>24.567735308905792</v>
      </c>
      <c r="O330" s="1">
        <f t="shared" si="77"/>
        <v>2.387069732668972</v>
      </c>
      <c r="P330" s="1">
        <f t="shared" si="78"/>
        <v>2164.5581769960681</v>
      </c>
      <c r="S330" s="6">
        <f t="shared" si="72"/>
        <v>0.48179717508111453</v>
      </c>
      <c r="T330" s="6">
        <f t="shared" si="73"/>
        <v>0.51820282491888614</v>
      </c>
      <c r="V330" s="1">
        <f t="shared" si="79"/>
        <v>106251.16180977444</v>
      </c>
      <c r="W330" s="7">
        <f t="shared" si="80"/>
        <v>-2.975939738997139E-3</v>
      </c>
      <c r="X330" s="7">
        <f t="shared" si="81"/>
        <v>-2.8573421137261198E-3</v>
      </c>
      <c r="Y330">
        <f>LN(B330/B329)</f>
        <v>-6.6443293802131735E-3</v>
      </c>
      <c r="Z330">
        <f>LN(C330/C329)</f>
        <v>4.4684661877306467E-4</v>
      </c>
    </row>
    <row r="331" spans="1:26" x14ac:dyDescent="0.3">
      <c r="A331" s="9">
        <v>40666</v>
      </c>
      <c r="B331" s="1">
        <v>21076.49</v>
      </c>
      <c r="C331" s="1">
        <v>25.41722</v>
      </c>
      <c r="D331" s="6">
        <f t="shared" si="70"/>
        <v>-1.5999671322771691E-2</v>
      </c>
      <c r="E331" s="5">
        <f t="shared" si="82"/>
        <v>4.4595957866477853E-4</v>
      </c>
      <c r="G331" s="25" t="str">
        <f>IF(VLOOKUP(A331,Aux!B:C,2,FALSE)=0,"",VLOOKUP(A331,Aux!B:C,2,FALSE))</f>
        <v/>
      </c>
      <c r="H331" s="25" t="str">
        <f t="shared" si="71"/>
        <v/>
      </c>
      <c r="L331" s="13">
        <f t="shared" si="74"/>
        <v>105328.1027374082</v>
      </c>
      <c r="M331" s="14">
        <f t="shared" si="75"/>
        <v>-818.04879738564978</v>
      </c>
      <c r="N331" s="14">
        <f t="shared" si="76"/>
        <v>24.524444145367511</v>
      </c>
      <c r="O331" s="1">
        <f t="shared" si="77"/>
        <v>2.387069732668972</v>
      </c>
      <c r="P331" s="1">
        <f t="shared" si="78"/>
        <v>2164.5581769960681</v>
      </c>
      <c r="S331" s="6">
        <f t="shared" si="72"/>
        <v>0.47766028289078694</v>
      </c>
      <c r="T331" s="6">
        <f t="shared" si="73"/>
        <v>0.52233971710921379</v>
      </c>
      <c r="V331" s="1">
        <f t="shared" si="79"/>
        <v>105485.88763285318</v>
      </c>
      <c r="W331" s="7">
        <f t="shared" si="80"/>
        <v>-7.5055955765922742E-3</v>
      </c>
      <c r="X331" s="7">
        <f t="shared" si="81"/>
        <v>-7.2285649696298441E-3</v>
      </c>
      <c r="Y331">
        <f>LN(B331/B330)</f>
        <v>-1.6129047908365928E-2</v>
      </c>
      <c r="Z331">
        <f>LN(C331/C330)</f>
        <v>4.4586016824613124E-4</v>
      </c>
    </row>
    <row r="332" spans="1:26" x14ac:dyDescent="0.3">
      <c r="A332" s="11">
        <v>40667</v>
      </c>
      <c r="B332" s="12">
        <v>20913.3</v>
      </c>
      <c r="C332" s="12">
        <v>25.428570000000001</v>
      </c>
      <c r="D332" s="16">
        <f t="shared" si="70"/>
        <v>-7.7427503346146898E-3</v>
      </c>
      <c r="E332" s="15">
        <f t="shared" si="82"/>
        <v>4.4654765548712838E-4</v>
      </c>
      <c r="G332" s="25" t="str">
        <f>IF(VLOOKUP(A332,Aux!B:C,2,FALSE)=0,"",VLOOKUP(A332,Aux!B:C,2,FALSE))</f>
        <v/>
      </c>
      <c r="H332" s="25" t="str">
        <f t="shared" si="71"/>
        <v/>
      </c>
      <c r="L332" s="13">
        <f t="shared" si="74"/>
        <v>104963.12456304286</v>
      </c>
      <c r="M332" s="14">
        <f t="shared" si="75"/>
        <v>-389.54590967425509</v>
      </c>
      <c r="N332" s="14">
        <f t="shared" si="76"/>
        <v>24.567735308905792</v>
      </c>
      <c r="O332" s="1">
        <f t="shared" si="77"/>
        <v>2.387069732668972</v>
      </c>
      <c r="P332" s="1">
        <f t="shared" si="78"/>
        <v>2164.5581769960681</v>
      </c>
      <c r="S332" s="6">
        <f t="shared" si="72"/>
        <v>0.4756099406153082</v>
      </c>
      <c r="T332" s="6">
        <f t="shared" si="73"/>
        <v>0.52439005938469241</v>
      </c>
      <c r="V332" s="1">
        <f t="shared" si="79"/>
        <v>105134.79404787454</v>
      </c>
      <c r="W332" s="7">
        <f t="shared" si="80"/>
        <v>-3.4711722930166676E-3</v>
      </c>
      <c r="X332" s="7">
        <f t="shared" si="81"/>
        <v>-3.3338977670534444E-3</v>
      </c>
      <c r="Y332">
        <f>LN(B332/B331)</f>
        <v>-7.7728810565270588E-3</v>
      </c>
      <c r="Z332">
        <f>LN(C332/C331)</f>
        <v>4.4644798275413078E-4</v>
      </c>
    </row>
    <row r="333" spans="1:26" x14ac:dyDescent="0.3">
      <c r="A333" s="9">
        <v>40668</v>
      </c>
      <c r="B333" s="1">
        <v>20904.03</v>
      </c>
      <c r="C333" s="1">
        <v>25.439920000000001</v>
      </c>
      <c r="D333" s="6">
        <f t="shared" si="70"/>
        <v>-4.4325859620431007E-4</v>
      </c>
      <c r="E333" s="5">
        <f t="shared" si="82"/>
        <v>4.4634833968260068E-4</v>
      </c>
      <c r="G333" s="25" t="str">
        <f>IF(VLOOKUP(A333,Aux!B:C,2,FALSE)=0,"",VLOOKUP(A333,Aux!B:C,2,FALSE))</f>
        <v/>
      </c>
      <c r="H333" s="25" t="str">
        <f t="shared" si="71"/>
        <v/>
      </c>
      <c r="L333" s="13">
        <f t="shared" si="74"/>
        <v>104965.56416192993</v>
      </c>
      <c r="M333" s="14">
        <f t="shared" si="75"/>
        <v>-22.128136421842413</v>
      </c>
      <c r="N333" s="14">
        <f t="shared" si="76"/>
        <v>24.567735308905792</v>
      </c>
      <c r="O333" s="1">
        <f t="shared" si="77"/>
        <v>2.387069732668972</v>
      </c>
      <c r="P333" s="1">
        <f t="shared" si="78"/>
        <v>2164.5581769960681</v>
      </c>
      <c r="S333" s="6">
        <f t="shared" si="72"/>
        <v>0.4753880732429982</v>
      </c>
      <c r="T333" s="6">
        <f t="shared" si="73"/>
        <v>0.52461192675700241</v>
      </c>
      <c r="V333" s="1">
        <f t="shared" si="79"/>
        <v>105138.79928704632</v>
      </c>
      <c r="W333" s="7">
        <f t="shared" si="80"/>
        <v>2.3242167633167962E-5</v>
      </c>
      <c r="X333" s="7">
        <f t="shared" si="81"/>
        <v>3.8095503184659487E-5</v>
      </c>
      <c r="Y333">
        <f>LN(B333/B332)</f>
        <v>-4.4335686433573347E-4</v>
      </c>
      <c r="Z333">
        <f>LN(C333/C332)</f>
        <v>4.4624875589403584E-4</v>
      </c>
    </row>
    <row r="334" spans="1:26" x14ac:dyDescent="0.3">
      <c r="A334" s="11">
        <v>40669</v>
      </c>
      <c r="B334" s="12">
        <v>21149.87</v>
      </c>
      <c r="C334" s="12">
        <v>25.451270000000001</v>
      </c>
      <c r="D334" s="16">
        <f t="shared" si="70"/>
        <v>1.1760411748356736E-2</v>
      </c>
      <c r="E334" s="15">
        <f t="shared" si="82"/>
        <v>4.4614920172714179E-4</v>
      </c>
      <c r="G334" s="25" t="str">
        <f>IF(VLOOKUP(A334,Aux!B:C,2,FALSE)=0,"",VLOOKUP(A334,Aux!B:C,2,FALSE))</f>
        <v/>
      </c>
      <c r="H334" s="25" t="str">
        <f t="shared" si="71"/>
        <v/>
      </c>
      <c r="L334" s="13">
        <f t="shared" si="74"/>
        <v>105576.96912031819</v>
      </c>
      <c r="M334" s="14">
        <f t="shared" si="75"/>
        <v>586.83722307934045</v>
      </c>
      <c r="N334" s="14">
        <f t="shared" si="76"/>
        <v>24.567735308905792</v>
      </c>
      <c r="O334" s="1">
        <f t="shared" si="77"/>
        <v>2.387069732668972</v>
      </c>
      <c r="P334" s="1">
        <f t="shared" si="78"/>
        <v>2164.5581769960681</v>
      </c>
      <c r="S334" s="6">
        <f t="shared" si="72"/>
        <v>0.47819344453190488</v>
      </c>
      <c r="T334" s="6">
        <f t="shared" si="73"/>
        <v>0.52180655546809551</v>
      </c>
      <c r="V334" s="1">
        <f t="shared" si="79"/>
        <v>105731.35222001365</v>
      </c>
      <c r="W334" s="7">
        <f t="shared" si="80"/>
        <v>5.8079160301668358E-3</v>
      </c>
      <c r="X334" s="7">
        <f t="shared" si="81"/>
        <v>5.620088840454532E-3</v>
      </c>
      <c r="Y334">
        <f>LN(B334/B333)</f>
        <v>1.1691795551979075E-2</v>
      </c>
      <c r="Z334">
        <f>LN(C334/C333)</f>
        <v>4.4604970676400649E-4</v>
      </c>
    </row>
    <row r="335" spans="1:26" x14ac:dyDescent="0.3">
      <c r="A335" s="9">
        <v>40672</v>
      </c>
      <c r="B335" s="1">
        <v>21243.33</v>
      </c>
      <c r="C335" s="1">
        <v>25.462630000000001</v>
      </c>
      <c r="D335" s="6">
        <f t="shared" si="70"/>
        <v>4.418939690882473E-3</v>
      </c>
      <c r="E335" s="5">
        <f t="shared" si="82"/>
        <v>4.4634314908442718E-4</v>
      </c>
      <c r="G335" s="25" t="str">
        <f>IF(VLOOKUP(A335,Aux!B:C,2,FALSE)=0,"",VLOOKUP(A335,Aux!B:C,2,FALSE))</f>
        <v/>
      </c>
      <c r="H335" s="25" t="str">
        <f t="shared" si="71"/>
        <v/>
      </c>
      <c r="L335" s="13">
        <f t="shared" si="74"/>
        <v>105824.65403842411</v>
      </c>
      <c r="M335" s="14">
        <f t="shared" si="75"/>
        <v>223.09553721524873</v>
      </c>
      <c r="N335" s="14">
        <f t="shared" si="76"/>
        <v>24.589380890674931</v>
      </c>
      <c r="O335" s="1">
        <f t="shared" si="77"/>
        <v>2.387069732668972</v>
      </c>
      <c r="P335" s="1">
        <f t="shared" si="78"/>
        <v>2164.5581769960681</v>
      </c>
      <c r="S335" s="6">
        <f t="shared" si="72"/>
        <v>0.47918238452909662</v>
      </c>
      <c r="T335" s="6">
        <f t="shared" si="73"/>
        <v>0.52081761547090388</v>
      </c>
      <c r="V335" s="1">
        <f t="shared" si="79"/>
        <v>105972.38153402468</v>
      </c>
      <c r="W335" s="7">
        <f t="shared" si="80"/>
        <v>2.3432651815939172E-3</v>
      </c>
      <c r="X335" s="7">
        <f t="shared" si="81"/>
        <v>2.2770445648770178E-3</v>
      </c>
      <c r="Y335">
        <f>LN(B335/B334)</f>
        <v>4.4092048448158743E-3</v>
      </c>
      <c r="Z335">
        <f>LN(C335/C334)</f>
        <v>4.4624356761163009E-4</v>
      </c>
    </row>
    <row r="336" spans="1:26" x14ac:dyDescent="0.3">
      <c r="A336" s="11">
        <v>40673</v>
      </c>
      <c r="B336" s="12">
        <v>21306.57</v>
      </c>
      <c r="C336" s="12">
        <v>25.473980000000001</v>
      </c>
      <c r="D336" s="16">
        <f t="shared" si="70"/>
        <v>2.9769344071761683E-3</v>
      </c>
      <c r="E336" s="15">
        <f t="shared" si="82"/>
        <v>4.4575128335133662E-4</v>
      </c>
      <c r="G336" s="25" t="str">
        <f>IF(VLOOKUP(A336,Aux!B:C,2,FALSE)=0,"",VLOOKUP(A336,Aux!B:C,2,FALSE))</f>
        <v/>
      </c>
      <c r="H336" s="25" t="str">
        <f t="shared" si="71"/>
        <v/>
      </c>
      <c r="L336" s="13">
        <f t="shared" si="74"/>
        <v>106000.18006362701</v>
      </c>
      <c r="M336" s="14">
        <f t="shared" si="75"/>
        <v>150.95828989398092</v>
      </c>
      <c r="N336" s="14">
        <f t="shared" si="76"/>
        <v>24.567735308905792</v>
      </c>
      <c r="O336" s="1">
        <f t="shared" si="77"/>
        <v>2.387069732668972</v>
      </c>
      <c r="P336" s="1">
        <f t="shared" si="78"/>
        <v>2164.5581769960681</v>
      </c>
      <c r="S336" s="6">
        <f t="shared" si="72"/>
        <v>0.47981303733129199</v>
      </c>
      <c r="T336" s="6">
        <f t="shared" si="73"/>
        <v>0.52018696266870834</v>
      </c>
      <c r="V336" s="1">
        <f t="shared" si="79"/>
        <v>106143.66987960984</v>
      </c>
      <c r="W336" s="7">
        <f t="shared" si="80"/>
        <v>1.6572756081352944E-3</v>
      </c>
      <c r="X336" s="7">
        <f t="shared" si="81"/>
        <v>1.6150440447626005E-3</v>
      </c>
      <c r="Y336">
        <f>LN(B336/B335)</f>
        <v>2.9725121123577625E-3</v>
      </c>
      <c r="Z336">
        <f>LN(C336/C335)</f>
        <v>4.4565196576089815E-4</v>
      </c>
    </row>
    <row r="337" spans="1:26" x14ac:dyDescent="0.3">
      <c r="A337" s="9">
        <v>40674</v>
      </c>
      <c r="B337" s="1">
        <v>20977.1</v>
      </c>
      <c r="C337" s="1">
        <v>25.485340000000001</v>
      </c>
      <c r="D337" s="6">
        <f t="shared" si="70"/>
        <v>-1.5463305449915254E-2</v>
      </c>
      <c r="E337" s="5">
        <f t="shared" si="82"/>
        <v>4.459452350986659E-4</v>
      </c>
      <c r="G337" s="25" t="str">
        <f>IF(VLOOKUP(A337,Aux!B:C,2,FALSE)=0,"",VLOOKUP(A337,Aux!B:C,2,FALSE))</f>
        <v/>
      </c>
      <c r="H337" s="25" t="str">
        <f t="shared" si="71"/>
        <v/>
      </c>
      <c r="L337" s="13">
        <f t="shared" si="74"/>
        <v>105238.30157969522</v>
      </c>
      <c r="M337" s="14">
        <f t="shared" si="75"/>
        <v>-786.46786482244897</v>
      </c>
      <c r="N337" s="14">
        <f t="shared" si="76"/>
        <v>24.589380890674931</v>
      </c>
      <c r="O337" s="1">
        <f t="shared" si="77"/>
        <v>2.387069732668972</v>
      </c>
      <c r="P337" s="1">
        <f t="shared" si="78"/>
        <v>2164.5581769960681</v>
      </c>
      <c r="S337" s="6">
        <f t="shared" si="72"/>
        <v>0.47581346085531634</v>
      </c>
      <c r="T337" s="6">
        <f t="shared" si="73"/>
        <v>0.52418653914468405</v>
      </c>
      <c r="V337" s="1">
        <f t="shared" si="79"/>
        <v>105408.98488945028</v>
      </c>
      <c r="W337" s="7">
        <f t="shared" si="80"/>
        <v>-7.2134753255972796E-3</v>
      </c>
      <c r="X337" s="7">
        <f t="shared" si="81"/>
        <v>-6.9456745370506286E-3</v>
      </c>
      <c r="Y337">
        <f>LN(B337/B336)</f>
        <v>-1.5584109327276635E-2</v>
      </c>
      <c r="Z337">
        <f>LN(C337/C336)</f>
        <v>4.4584583107371516E-4</v>
      </c>
    </row>
    <row r="338" spans="1:26" x14ac:dyDescent="0.3">
      <c r="A338" s="11">
        <v>40675</v>
      </c>
      <c r="B338" s="12">
        <v>21002.32</v>
      </c>
      <c r="C338" s="12">
        <v>25.496700000000001</v>
      </c>
      <c r="D338" s="16">
        <f t="shared" si="70"/>
        <v>1.2022634205872684E-3</v>
      </c>
      <c r="E338" s="15">
        <f t="shared" si="82"/>
        <v>4.4574645659034573E-4</v>
      </c>
      <c r="G338" s="25" t="str">
        <f>IF(VLOOKUP(A338,Aux!B:C,2,FALSE)=0,"",VLOOKUP(A338,Aux!B:C,2,FALSE))</f>
        <v/>
      </c>
      <c r="H338" s="25" t="str">
        <f t="shared" si="71"/>
        <v/>
      </c>
      <c r="L338" s="13">
        <f t="shared" si="74"/>
        <v>105323.09285924381</v>
      </c>
      <c r="M338" s="14">
        <f t="shared" si="75"/>
        <v>60.201898657914256</v>
      </c>
      <c r="N338" s="14">
        <f t="shared" si="76"/>
        <v>24.589380890674931</v>
      </c>
      <c r="O338" s="1">
        <f t="shared" si="77"/>
        <v>2.387069732668972</v>
      </c>
      <c r="P338" s="1">
        <f t="shared" si="78"/>
        <v>2164.5581769960681</v>
      </c>
      <c r="S338" s="6">
        <f t="shared" si="72"/>
        <v>0.47600199563858636</v>
      </c>
      <c r="T338" s="6">
        <f t="shared" si="73"/>
        <v>0.52399800436141397</v>
      </c>
      <c r="V338" s="1">
        <f t="shared" si="79"/>
        <v>105492.58213641334</v>
      </c>
      <c r="W338" s="7">
        <f t="shared" si="80"/>
        <v>8.0538300344921553E-4</v>
      </c>
      <c r="X338" s="7">
        <f t="shared" si="81"/>
        <v>7.9276083644271348E-4</v>
      </c>
      <c r="Y338">
        <f>LN(B338/B337)</f>
        <v>1.2015412806646842E-3</v>
      </c>
      <c r="Z338">
        <f>LN(C338/C337)</f>
        <v>4.4564714115047187E-4</v>
      </c>
    </row>
    <row r="339" spans="1:26" x14ac:dyDescent="0.3">
      <c r="A339" s="9">
        <v>40676</v>
      </c>
      <c r="B339" s="1">
        <v>20723.61</v>
      </c>
      <c r="C339" s="1">
        <v>25.508050000000001</v>
      </c>
      <c r="D339" s="6">
        <f t="shared" si="70"/>
        <v>-1.3270438694391817E-2</v>
      </c>
      <c r="E339" s="5">
        <f t="shared" si="82"/>
        <v>4.4515564759350923E-4</v>
      </c>
      <c r="G339" s="25" t="str">
        <f>IF(VLOOKUP(A339,Aux!B:C,2,FALSE)=0,"",VLOOKUP(A339,Aux!B:C,2,FALSE))</f>
        <v/>
      </c>
      <c r="H339" s="25" t="str">
        <f t="shared" si="71"/>
        <v/>
      </c>
      <c r="L339" s="13">
        <f t="shared" si="74"/>
        <v>104682.36038936056</v>
      </c>
      <c r="M339" s="14">
        <f t="shared" si="75"/>
        <v>-665.30020519216714</v>
      </c>
      <c r="N339" s="14">
        <f t="shared" si="76"/>
        <v>24.567735308905792</v>
      </c>
      <c r="O339" s="1">
        <f t="shared" si="77"/>
        <v>2.387069732668972</v>
      </c>
      <c r="P339" s="1">
        <f t="shared" si="78"/>
        <v>2164.5581769960681</v>
      </c>
      <c r="S339" s="6">
        <f t="shared" si="72"/>
        <v>0.47256005690586061</v>
      </c>
      <c r="T339" s="6">
        <f t="shared" si="73"/>
        <v>0.52743994309413966</v>
      </c>
      <c r="V339" s="1">
        <f t="shared" si="79"/>
        <v>104874.97987052349</v>
      </c>
      <c r="W339" s="7">
        <f t="shared" si="80"/>
        <v>-6.1020744759393095E-3</v>
      </c>
      <c r="X339" s="7">
        <f t="shared" si="81"/>
        <v>-5.8716660914061979E-3</v>
      </c>
      <c r="Y339">
        <f>LN(B339/B338)</f>
        <v>-1.335927779724445E-2</v>
      </c>
      <c r="Z339">
        <f>LN(C339/C338)</f>
        <v>4.4505659521294457E-4</v>
      </c>
    </row>
    <row r="340" spans="1:26" x14ac:dyDescent="0.3">
      <c r="A340" s="11">
        <v>40679</v>
      </c>
      <c r="B340" s="12">
        <v>20667.54</v>
      </c>
      <c r="C340" s="12">
        <v>25.519400000000001</v>
      </c>
      <c r="D340" s="16">
        <f t="shared" si="70"/>
        <v>-2.705609688659405E-3</v>
      </c>
      <c r="E340" s="15">
        <f t="shared" si="82"/>
        <v>4.4495757221740817E-4</v>
      </c>
      <c r="G340" s="25" t="str">
        <f>IF(VLOOKUP(A340,Aux!B:C,2,FALSE)=0,"",VLOOKUP(A340,Aux!B:C,2,FALSE))</f>
        <v/>
      </c>
      <c r="H340" s="25" t="str">
        <f t="shared" si="71"/>
        <v/>
      </c>
      <c r="L340" s="13">
        <f t="shared" si="74"/>
        <v>104573.08512475873</v>
      </c>
      <c r="M340" s="14">
        <f t="shared" si="75"/>
        <v>-133.84299991074857</v>
      </c>
      <c r="N340" s="14">
        <f t="shared" si="76"/>
        <v>24.567735308905792</v>
      </c>
      <c r="O340" s="1">
        <f t="shared" si="77"/>
        <v>2.387069732668972</v>
      </c>
      <c r="P340" s="1">
        <f t="shared" si="78"/>
        <v>2164.5581769960681</v>
      </c>
      <c r="S340" s="6">
        <f t="shared" si="72"/>
        <v>0.47177396673214117</v>
      </c>
      <c r="T340" s="6">
        <f t="shared" si="73"/>
        <v>0.52822603326785911</v>
      </c>
      <c r="V340" s="1">
        <f t="shared" si="79"/>
        <v>104771.01587262251</v>
      </c>
      <c r="W340" s="7">
        <f t="shared" si="80"/>
        <v>-1.0444198884916967E-3</v>
      </c>
      <c r="X340" s="7">
        <f t="shared" si="81"/>
        <v>-9.9180531499981931E-4</v>
      </c>
      <c r="Y340">
        <f>LN(B340/B339)</f>
        <v>-2.7092764659585912E-3</v>
      </c>
      <c r="Z340">
        <f>LN(C340/C339)</f>
        <v>4.4485860795238246E-4</v>
      </c>
    </row>
    <row r="341" spans="1:26" x14ac:dyDescent="0.3">
      <c r="A341" s="9">
        <v>40680</v>
      </c>
      <c r="B341" s="1">
        <v>20856.419999999998</v>
      </c>
      <c r="C341" s="1">
        <v>25.530760000000001</v>
      </c>
      <c r="D341" s="6">
        <f t="shared" si="70"/>
        <v>9.1389686435829898E-3</v>
      </c>
      <c r="E341" s="5">
        <f t="shared" si="82"/>
        <v>4.4515153177582256E-4</v>
      </c>
      <c r="G341" s="25" t="str">
        <f>IF(VLOOKUP(A341,Aux!B:C,2,FALSE)=0,"",VLOOKUP(A341,Aux!B:C,2,FALSE))</f>
        <v/>
      </c>
      <c r="H341" s="25" t="str">
        <f t="shared" si="71"/>
        <v/>
      </c>
      <c r="L341" s="13">
        <f t="shared" si="74"/>
        <v>105048.5442367559</v>
      </c>
      <c r="M341" s="14">
        <f t="shared" si="75"/>
        <v>450.86973110650916</v>
      </c>
      <c r="N341" s="14">
        <f t="shared" si="76"/>
        <v>24.589380890674931</v>
      </c>
      <c r="O341" s="1">
        <f t="shared" si="77"/>
        <v>2.387069732668972</v>
      </c>
      <c r="P341" s="1">
        <f t="shared" si="78"/>
        <v>2164.5581769960681</v>
      </c>
      <c r="S341" s="6">
        <f t="shared" si="72"/>
        <v>0.47393068866928717</v>
      </c>
      <c r="T341" s="6">
        <f t="shared" si="73"/>
        <v>0.52606931133071322</v>
      </c>
      <c r="V341" s="1">
        <f t="shared" si="79"/>
        <v>105232.18246444297</v>
      </c>
      <c r="W341" s="7">
        <f t="shared" si="80"/>
        <v>4.5363632445914234E-3</v>
      </c>
      <c r="X341" s="7">
        <f t="shared" si="81"/>
        <v>4.392002948387614E-3</v>
      </c>
      <c r="Y341">
        <f>LN(B341/B340)</f>
        <v>9.0974609695390687E-3</v>
      </c>
      <c r="Z341">
        <f>LN(C341/C340)</f>
        <v>4.4505248122661366E-4</v>
      </c>
    </row>
    <row r="342" spans="1:26" x14ac:dyDescent="0.3">
      <c r="A342" s="11">
        <v>40681</v>
      </c>
      <c r="B342" s="12">
        <v>20632.3</v>
      </c>
      <c r="C342" s="12">
        <v>25.54213</v>
      </c>
      <c r="D342" s="16">
        <f t="shared" si="70"/>
        <v>-1.0745851876784229E-2</v>
      </c>
      <c r="E342" s="15">
        <f t="shared" si="82"/>
        <v>4.4534514444527495E-4</v>
      </c>
      <c r="G342" s="25" t="str">
        <f>IF(VLOOKUP(A342,Aux!B:C,2,FALSE)=0,"",VLOOKUP(A342,Aux!B:C,2,FALSE))</f>
        <v/>
      </c>
      <c r="H342" s="25" t="str">
        <f t="shared" si="71"/>
        <v/>
      </c>
      <c r="L342" s="13">
        <f t="shared" si="74"/>
        <v>104538.16519474257</v>
      </c>
      <c r="M342" s="14">
        <f t="shared" si="75"/>
        <v>-534.99006848576755</v>
      </c>
      <c r="N342" s="14">
        <f t="shared" si="76"/>
        <v>24.611026472444074</v>
      </c>
      <c r="O342" s="1">
        <f t="shared" si="77"/>
        <v>2.387069732668972</v>
      </c>
      <c r="P342" s="1">
        <f t="shared" si="78"/>
        <v>2164.5581769960681</v>
      </c>
      <c r="S342" s="6">
        <f t="shared" si="72"/>
        <v>0.4711268726937915</v>
      </c>
      <c r="T342" s="6">
        <f t="shared" si="73"/>
        <v>0.52887312730620895</v>
      </c>
      <c r="V342" s="1">
        <f t="shared" si="79"/>
        <v>104740.56598077077</v>
      </c>
      <c r="W342" s="7">
        <f t="shared" si="80"/>
        <v>-4.8703474782220198E-3</v>
      </c>
      <c r="X342" s="7">
        <f t="shared" si="81"/>
        <v>-4.6826779726203086E-3</v>
      </c>
      <c r="Y342">
        <f>LN(B342/B341)</f>
        <v>-1.0804005525277792E-2</v>
      </c>
      <c r="Z342">
        <f>LN(C342/C341)</f>
        <v>4.4524600772871263E-4</v>
      </c>
    </row>
    <row r="343" spans="1:26" x14ac:dyDescent="0.3">
      <c r="A343" s="9">
        <v>40682</v>
      </c>
      <c r="B343" s="1">
        <v>20538.55</v>
      </c>
      <c r="C343" s="1">
        <v>25.553509999999999</v>
      </c>
      <c r="D343" s="6">
        <f t="shared" si="70"/>
        <v>-4.543846299249199E-3</v>
      </c>
      <c r="E343" s="5">
        <f t="shared" si="82"/>
        <v>4.4553841046135467E-4</v>
      </c>
      <c r="G343" s="25" t="str">
        <f>IF(VLOOKUP(A343,Aux!B:C,2,FALSE)=0,"",VLOOKUP(A343,Aux!B:C,2,FALSE))</f>
        <v/>
      </c>
      <c r="H343" s="25" t="str">
        <f t="shared" si="71"/>
        <v/>
      </c>
      <c r="L343" s="13">
        <f t="shared" si="74"/>
        <v>104339.01007935907</v>
      </c>
      <c r="M343" s="14">
        <f t="shared" si="75"/>
        <v>-223.78778743771613</v>
      </c>
      <c r="N343" s="14">
        <f t="shared" si="76"/>
        <v>24.632672054213216</v>
      </c>
      <c r="O343" s="1">
        <f t="shared" si="77"/>
        <v>2.387069732668972</v>
      </c>
      <c r="P343" s="1">
        <f t="shared" si="78"/>
        <v>2164.5581769960681</v>
      </c>
      <c r="S343" s="6">
        <f t="shared" si="72"/>
        <v>0.46988131304503439</v>
      </c>
      <c r="T343" s="6">
        <f t="shared" si="73"/>
        <v>0.530118686954966</v>
      </c>
      <c r="V343" s="1">
        <f t="shared" si="79"/>
        <v>104549.74001879018</v>
      </c>
      <c r="W343" s="7">
        <f t="shared" si="80"/>
        <v>-1.9069118056708747E-3</v>
      </c>
      <c r="X343" s="7">
        <f t="shared" si="81"/>
        <v>-1.8235533074445439E-3</v>
      </c>
      <c r="Y343">
        <f>LN(B343/B342)</f>
        <v>-4.554200947370456E-3</v>
      </c>
      <c r="Z343">
        <f>LN(C343/C342)</f>
        <v>4.454391876943651E-4</v>
      </c>
    </row>
    <row r="344" spans="1:26" x14ac:dyDescent="0.3">
      <c r="A344" s="11">
        <v>40683</v>
      </c>
      <c r="B344" s="12">
        <v>20602.47</v>
      </c>
      <c r="C344" s="12">
        <v>25.564900000000002</v>
      </c>
      <c r="D344" s="16">
        <f t="shared" si="70"/>
        <v>3.112196333236783E-3</v>
      </c>
      <c r="E344" s="15">
        <f t="shared" si="82"/>
        <v>4.4573133006009513E-4</v>
      </c>
      <c r="G344" s="25" t="str">
        <f>IF(VLOOKUP(A344,Aux!B:C,2,FALSE)=0,"",VLOOKUP(A344,Aux!B:C,2,FALSE))</f>
        <v/>
      </c>
      <c r="H344" s="25" t="str">
        <f t="shared" si="71"/>
        <v/>
      </c>
      <c r="L344" s="13">
        <f t="shared" si="74"/>
        <v>104516.24589430726</v>
      </c>
      <c r="M344" s="14">
        <f t="shared" si="75"/>
        <v>152.58149731220522</v>
      </c>
      <c r="N344" s="14">
        <f t="shared" si="76"/>
        <v>24.654317635990047</v>
      </c>
      <c r="O344" s="1">
        <f t="shared" si="77"/>
        <v>2.387069732668972</v>
      </c>
      <c r="P344" s="1">
        <f t="shared" si="78"/>
        <v>2164.5581769960681</v>
      </c>
      <c r="S344" s="6">
        <f t="shared" si="72"/>
        <v>0.47054438412334143</v>
      </c>
      <c r="T344" s="6">
        <f t="shared" si="73"/>
        <v>0.52945561587665901</v>
      </c>
      <c r="V344" s="1">
        <f t="shared" si="79"/>
        <v>104722.68663346034</v>
      </c>
      <c r="W344" s="7">
        <f t="shared" si="80"/>
        <v>1.6972123269424647E-3</v>
      </c>
      <c r="X344" s="7">
        <f t="shared" si="81"/>
        <v>1.6528374694090341E-3</v>
      </c>
      <c r="Y344">
        <f>LN(B344/B343)</f>
        <v>3.1073634748350308E-3</v>
      </c>
      <c r="Z344">
        <f>LN(C344/C343)</f>
        <v>4.4563202135970009E-4</v>
      </c>
    </row>
    <row r="345" spans="1:26" x14ac:dyDescent="0.3">
      <c r="A345" s="9">
        <v>40686</v>
      </c>
      <c r="B345" s="1">
        <v>20505.25</v>
      </c>
      <c r="C345" s="1">
        <v>25.576309999999999</v>
      </c>
      <c r="D345" s="6">
        <f t="shared" si="70"/>
        <v>-4.7188516716685225E-3</v>
      </c>
      <c r="E345" s="5">
        <f t="shared" si="82"/>
        <v>4.4631506479575478E-4</v>
      </c>
      <c r="G345" s="25" t="str">
        <f>IF(VLOOKUP(A345,Aux!B:C,2,FALSE)=0,"",VLOOKUP(A345,Aux!B:C,2,FALSE))</f>
        <v/>
      </c>
      <c r="H345" s="25" t="str">
        <f t="shared" si="71"/>
        <v/>
      </c>
      <c r="L345" s="13">
        <f t="shared" si="74"/>
        <v>104308.87258369669</v>
      </c>
      <c r="M345" s="14">
        <f t="shared" si="75"/>
        <v>-232.07091941008025</v>
      </c>
      <c r="N345" s="14">
        <f t="shared" si="76"/>
        <v>24.697608799520641</v>
      </c>
      <c r="O345" s="1">
        <f t="shared" si="77"/>
        <v>2.387069732668972</v>
      </c>
      <c r="P345" s="1">
        <f t="shared" si="78"/>
        <v>2164.5581769960681</v>
      </c>
      <c r="S345" s="6">
        <f t="shared" si="72"/>
        <v>0.4692550156415059</v>
      </c>
      <c r="T345" s="6">
        <f t="shared" si="73"/>
        <v>0.5307449843584946</v>
      </c>
      <c r="V345" s="1">
        <f t="shared" si="79"/>
        <v>104523.92237407234</v>
      </c>
      <c r="W345" s="7">
        <f t="shared" si="80"/>
        <v>-1.9860961199366727E-3</v>
      </c>
      <c r="X345" s="7">
        <f t="shared" si="81"/>
        <v>-1.8998092261915444E-3</v>
      </c>
      <c r="Y345">
        <f>LN(B345/B344)</f>
        <v>-4.7300206024216461E-3</v>
      </c>
      <c r="Z345">
        <f>LN(C345/C344)</f>
        <v>4.4621549585220101E-4</v>
      </c>
    </row>
    <row r="346" spans="1:26" x14ac:dyDescent="0.3">
      <c r="A346" s="11">
        <v>40687</v>
      </c>
      <c r="B346" s="12">
        <v>20782.349999999999</v>
      </c>
      <c r="C346" s="12">
        <v>25.587720000000001</v>
      </c>
      <c r="D346" s="16">
        <f t="shared" si="70"/>
        <v>1.351361236756432E-2</v>
      </c>
      <c r="E346" s="15">
        <f t="shared" si="82"/>
        <v>4.461159565238848E-4</v>
      </c>
      <c r="G346" s="25" t="str">
        <f>IF(VLOOKUP(A346,Aux!B:C,2,FALSE)=0,"",VLOOKUP(A346,Aux!B:C,2,FALSE))</f>
        <v/>
      </c>
      <c r="H346" s="25" t="str">
        <f t="shared" si="71"/>
        <v/>
      </c>
      <c r="L346" s="13">
        <f t="shared" si="74"/>
        <v>104995.02721541878</v>
      </c>
      <c r="M346" s="14">
        <f t="shared" si="75"/>
        <v>661.45702292256863</v>
      </c>
      <c r="N346" s="14">
        <f t="shared" si="76"/>
        <v>24.697608799528329</v>
      </c>
      <c r="O346" s="1">
        <f t="shared" si="77"/>
        <v>2.387069732668972</v>
      </c>
      <c r="P346" s="1">
        <f t="shared" si="78"/>
        <v>2164.5581769960681</v>
      </c>
      <c r="S346" s="6">
        <f t="shared" si="72"/>
        <v>0.47248826896296864</v>
      </c>
      <c r="T346" s="6">
        <f t="shared" si="73"/>
        <v>0.52751173103703186</v>
      </c>
      <c r="V346" s="1">
        <f t="shared" si="79"/>
        <v>105188.72744846801</v>
      </c>
      <c r="W346" s="7">
        <f t="shared" si="80"/>
        <v>6.5565628776440062E-3</v>
      </c>
      <c r="X346" s="7">
        <f t="shared" si="81"/>
        <v>6.3401735844921953E-3</v>
      </c>
      <c r="Y346">
        <f>LN(B346/B345)</f>
        <v>1.3423117868132727E-2</v>
      </c>
      <c r="Z346">
        <f>LN(C346/C345)</f>
        <v>4.4601647638590379E-4</v>
      </c>
    </row>
    <row r="347" spans="1:26" x14ac:dyDescent="0.3">
      <c r="A347" s="9">
        <v>40688</v>
      </c>
      <c r="B347" s="1">
        <v>20761.27</v>
      </c>
      <c r="C347" s="1">
        <v>25.599129999999999</v>
      </c>
      <c r="D347" s="6">
        <f t="shared" ref="D347:D410" si="83">B347/B346-1</f>
        <v>-1.0143222494086723E-3</v>
      </c>
      <c r="E347" s="5">
        <f t="shared" si="82"/>
        <v>4.4591702582330583E-4</v>
      </c>
      <c r="G347" s="25" t="str">
        <f>IF(VLOOKUP(A347,Aux!B:C,2,FALSE)=0,"",VLOOKUP(A347,Aux!B:C,2,FALSE))</f>
        <v/>
      </c>
      <c r="H347" s="25" t="str">
        <f t="shared" si="71"/>
        <v/>
      </c>
      <c r="L347" s="13">
        <f t="shared" si="74"/>
        <v>104969.40539425364</v>
      </c>
      <c r="M347" s="14">
        <f t="shared" si="75"/>
        <v>-50.319429964657417</v>
      </c>
      <c r="N347" s="14">
        <f t="shared" si="76"/>
        <v>24.697608799520641</v>
      </c>
      <c r="O347" s="1">
        <f t="shared" si="77"/>
        <v>2.387069732668972</v>
      </c>
      <c r="P347" s="1">
        <f t="shared" si="78"/>
        <v>2164.5581769960681</v>
      </c>
      <c r="S347" s="6">
        <f t="shared" si="72"/>
        <v>0.47212422555535732</v>
      </c>
      <c r="T347" s="6">
        <f t="shared" si="73"/>
        <v>0.52787577444464329</v>
      </c>
      <c r="V347" s="1">
        <f t="shared" si="79"/>
        <v>105165.62083247147</v>
      </c>
      <c r="W347" s="7">
        <f t="shared" si="80"/>
        <v>-2.4405868150018841E-4</v>
      </c>
      <c r="X347" s="7">
        <f t="shared" si="81"/>
        <v>-2.1969230755925469E-4</v>
      </c>
      <c r="Y347">
        <f>LN(B347/B346)</f>
        <v>-1.0148370223480318E-3</v>
      </c>
      <c r="Z347">
        <f>LN(C347/C346)</f>
        <v>4.458176343721421E-4</v>
      </c>
    </row>
    <row r="348" spans="1:26" x14ac:dyDescent="0.3">
      <c r="A348" s="11">
        <v>40689</v>
      </c>
      <c r="B348" s="12">
        <v>21007.919999999998</v>
      </c>
      <c r="C348" s="12">
        <v>25.61055</v>
      </c>
      <c r="D348" s="16">
        <f t="shared" si="83"/>
        <v>1.1880294413588288E-2</v>
      </c>
      <c r="E348" s="15">
        <f t="shared" si="82"/>
        <v>4.4610891073260106E-4</v>
      </c>
      <c r="G348" s="25" t="str">
        <f>IF(VLOOKUP(A348,Aux!B:C,2,FALSE)=0,"",VLOOKUP(A348,Aux!B:C,2,FALSE))</f>
        <v/>
      </c>
      <c r="H348" s="25" t="str">
        <f t="shared" si="71"/>
        <v/>
      </c>
      <c r="L348" s="13">
        <f t="shared" si="74"/>
        <v>105582.89539819774</v>
      </c>
      <c r="M348" s="14">
        <f t="shared" si="75"/>
        <v>588.77074956279671</v>
      </c>
      <c r="N348" s="14">
        <f t="shared" si="76"/>
        <v>24.719254381297471</v>
      </c>
      <c r="O348" s="1">
        <f t="shared" si="77"/>
        <v>2.387069732668972</v>
      </c>
      <c r="P348" s="1">
        <f t="shared" si="78"/>
        <v>2164.5581769960681</v>
      </c>
      <c r="S348" s="6">
        <f t="shared" si="72"/>
        <v>0.47495732892344172</v>
      </c>
      <c r="T348" s="6">
        <f t="shared" si="73"/>
        <v>0.52504267107655878</v>
      </c>
      <c r="V348" s="1">
        <f t="shared" si="79"/>
        <v>105760.19906304506</v>
      </c>
      <c r="W348" s="7">
        <f t="shared" si="80"/>
        <v>5.8274522555197246E-3</v>
      </c>
      <c r="X348" s="7">
        <f t="shared" si="81"/>
        <v>5.6378095934511169E-3</v>
      </c>
      <c r="Y348">
        <f>LN(B348/B347)</f>
        <v>1.1810277716334392E-2</v>
      </c>
      <c r="Z348">
        <f>LN(C348/C347)</f>
        <v>4.4600943373643357E-4</v>
      </c>
    </row>
    <row r="349" spans="1:26" x14ac:dyDescent="0.3">
      <c r="A349" s="9">
        <v>40690</v>
      </c>
      <c r="B349" s="1">
        <v>21064.46</v>
      </c>
      <c r="C349" s="1">
        <v>25.621960000000001</v>
      </c>
      <c r="D349" s="6">
        <f t="shared" si="83"/>
        <v>2.6913659229472753E-3</v>
      </c>
      <c r="E349" s="5">
        <f t="shared" si="82"/>
        <v>4.4551952222815494E-4</v>
      </c>
      <c r="G349" s="25" t="str">
        <f>IF(VLOOKUP(A349,Aux!B:C,2,FALSE)=0,"",VLOOKUP(A349,Aux!B:C,2,FALSE))</f>
        <v/>
      </c>
      <c r="H349" s="25" t="str">
        <f t="shared" si="71"/>
        <v/>
      </c>
      <c r="L349" s="13">
        <f t="shared" si="74"/>
        <v>105742.55792968237</v>
      </c>
      <c r="M349" s="14">
        <f t="shared" si="75"/>
        <v>134.96492268510576</v>
      </c>
      <c r="N349" s="14">
        <f t="shared" si="76"/>
        <v>24.697608799528329</v>
      </c>
      <c r="O349" s="1">
        <f t="shared" si="77"/>
        <v>2.387069732668972</v>
      </c>
      <c r="P349" s="1">
        <f t="shared" si="78"/>
        <v>2164.5581769960681</v>
      </c>
      <c r="S349" s="6">
        <f t="shared" si="72"/>
        <v>0.47551653643988301</v>
      </c>
      <c r="T349" s="6">
        <f t="shared" si="73"/>
        <v>0.52448346356011755</v>
      </c>
      <c r="V349" s="1">
        <f t="shared" si="79"/>
        <v>105916.16450221065</v>
      </c>
      <c r="W349" s="7">
        <f t="shared" si="80"/>
        <v>1.5110585057320765E-3</v>
      </c>
      <c r="X349" s="7">
        <f t="shared" si="81"/>
        <v>1.4736219459057689E-3</v>
      </c>
      <c r="Y349">
        <f>LN(B349/B348)</f>
        <v>2.6877506828516004E-3</v>
      </c>
      <c r="Z349">
        <f>LN(C349/C348)</f>
        <v>4.454203078726728E-4</v>
      </c>
    </row>
    <row r="350" spans="1:26" x14ac:dyDescent="0.3">
      <c r="A350" s="11">
        <v>40693</v>
      </c>
      <c r="B350" s="12">
        <v>20942.310000000001</v>
      </c>
      <c r="C350" s="12">
        <v>25.633379999999999</v>
      </c>
      <c r="D350" s="16">
        <f t="shared" si="83"/>
        <v>-5.7988669066284526E-3</v>
      </c>
      <c r="E350" s="15">
        <f t="shared" si="82"/>
        <v>4.4571141317839569E-4</v>
      </c>
      <c r="G350" s="25" t="str">
        <f>IF(VLOOKUP(A350,Aux!B:C,2,FALSE)=0,"",VLOOKUP(A350,Aux!B:C,2,FALSE))</f>
        <v/>
      </c>
      <c r="H350" s="25" t="str">
        <f t="shared" si="71"/>
        <v/>
      </c>
      <c r="L350" s="13">
        <f t="shared" si="74"/>
        <v>105475.69661621815</v>
      </c>
      <c r="M350" s="14">
        <f t="shared" si="75"/>
        <v>-291.58056784550973</v>
      </c>
      <c r="N350" s="14">
        <f t="shared" si="76"/>
        <v>24.71925438128978</v>
      </c>
      <c r="O350" s="1">
        <f t="shared" si="77"/>
        <v>2.387069732668972</v>
      </c>
      <c r="P350" s="1">
        <f t="shared" si="78"/>
        <v>2164.5581769960681</v>
      </c>
      <c r="S350" s="6">
        <f t="shared" si="72"/>
        <v>0.4739551947693329</v>
      </c>
      <c r="T350" s="6">
        <f t="shared" si="73"/>
        <v>0.52604480523066766</v>
      </c>
      <c r="V350" s="1">
        <f t="shared" si="79"/>
        <v>105659.9082320912</v>
      </c>
      <c r="W350" s="7">
        <f t="shared" si="80"/>
        <v>-2.5268787116243022E-3</v>
      </c>
      <c r="X350" s="7">
        <f t="shared" si="81"/>
        <v>-2.4223570474018749E-3</v>
      </c>
      <c r="Y350">
        <f>LN(B350/B349)</f>
        <v>-5.8157456185615516E-3</v>
      </c>
      <c r="Z350">
        <f>LN(C350/C349)</f>
        <v>4.4561211335142543E-4</v>
      </c>
    </row>
    <row r="351" spans="1:26" x14ac:dyDescent="0.3">
      <c r="A351" s="9">
        <v>40694</v>
      </c>
      <c r="B351" s="1">
        <v>21071.64</v>
      </c>
      <c r="C351" s="1">
        <v>25.6448</v>
      </c>
      <c r="D351" s="6">
        <f t="shared" si="83"/>
        <v>6.1755365095825798E-3</v>
      </c>
      <c r="E351" s="5">
        <f t="shared" si="82"/>
        <v>4.4551284301963534E-4</v>
      </c>
      <c r="G351" s="25" t="str">
        <f>IF(VLOOKUP(A351,Aux!B:C,2,FALSE)=0,"",VLOOKUP(A351,Aux!B:C,2,FALSE))</f>
        <v/>
      </c>
      <c r="H351" s="25" t="str">
        <f t="shared" si="71"/>
        <v/>
      </c>
      <c r="L351" s="13">
        <f t="shared" si="74"/>
        <v>105809.13559912553</v>
      </c>
      <c r="M351" s="14">
        <f t="shared" si="75"/>
        <v>308.71972852607365</v>
      </c>
      <c r="N351" s="14">
        <f t="shared" si="76"/>
        <v>24.719254381297471</v>
      </c>
      <c r="O351" s="1">
        <f t="shared" si="77"/>
        <v>2.387069732668972</v>
      </c>
      <c r="P351" s="1">
        <f t="shared" si="78"/>
        <v>2164.5581769960681</v>
      </c>
      <c r="S351" s="6">
        <f t="shared" si="72"/>
        <v>0.47537931178517751</v>
      </c>
      <c r="T351" s="6">
        <f t="shared" si="73"/>
        <v>0.52462068821482299</v>
      </c>
      <c r="V351" s="1">
        <f t="shared" si="79"/>
        <v>105983.82511878923</v>
      </c>
      <c r="W351" s="7">
        <f t="shared" si="80"/>
        <v>3.1563009632793512E-3</v>
      </c>
      <c r="X351" s="7">
        <f t="shared" si="81"/>
        <v>3.0609660345854305E-3</v>
      </c>
      <c r="Y351">
        <f>LN(B351/B350)</f>
        <v>6.1565460281623914E-3</v>
      </c>
      <c r="Z351">
        <f>LN(C351/C350)</f>
        <v>4.4541363163852352E-4</v>
      </c>
    </row>
    <row r="352" spans="1:26" x14ac:dyDescent="0.3">
      <c r="A352" s="11">
        <v>40695</v>
      </c>
      <c r="B352" s="12">
        <v>20793</v>
      </c>
      <c r="C352" s="12">
        <v>25.656199999999998</v>
      </c>
      <c r="D352" s="16">
        <f t="shared" si="83"/>
        <v>-1.3223460537480691E-2</v>
      </c>
      <c r="E352" s="15">
        <f t="shared" si="82"/>
        <v>4.4453456451210016E-4</v>
      </c>
      <c r="G352" s="25" t="str">
        <f>IF(VLOOKUP(A352,Aux!B:C,2,FALSE)=0,"",VLOOKUP(A352,Aux!B:C,2,FALSE))</f>
        <v/>
      </c>
      <c r="H352" s="25" t="str">
        <f t="shared" si="71"/>
        <v/>
      </c>
      <c r="L352" s="13">
        <f t="shared" si="74"/>
        <v>105168.6784520324</v>
      </c>
      <c r="M352" s="14">
        <f t="shared" si="75"/>
        <v>-665.13311031088097</v>
      </c>
      <c r="N352" s="14">
        <f t="shared" si="76"/>
        <v>24.675963217751498</v>
      </c>
      <c r="O352" s="1">
        <f t="shared" si="77"/>
        <v>2.387069732668972</v>
      </c>
      <c r="P352" s="1">
        <f t="shared" si="78"/>
        <v>2164.5581769960681</v>
      </c>
      <c r="S352" s="6">
        <f t="shared" si="72"/>
        <v>0.47194983983776345</v>
      </c>
      <c r="T352" s="6">
        <f t="shared" si="73"/>
        <v>0.52805016016223705</v>
      </c>
      <c r="V352" s="1">
        <f t="shared" si="79"/>
        <v>105366.49620197105</v>
      </c>
      <c r="W352" s="7">
        <f t="shared" si="80"/>
        <v>-6.0713408877245915E-3</v>
      </c>
      <c r="X352" s="7">
        <f t="shared" si="81"/>
        <v>-5.8417765211624976E-3</v>
      </c>
      <c r="Y352">
        <f>LN(B352/B351)</f>
        <v>-1.3311668968569723E-2</v>
      </c>
      <c r="Z352">
        <f>LN(C352/C351)</f>
        <v>4.4443578829445496E-4</v>
      </c>
    </row>
    <row r="353" spans="1:26" x14ac:dyDescent="0.3">
      <c r="A353" s="9">
        <v>40696</v>
      </c>
      <c r="B353" s="1">
        <v>20953.11</v>
      </c>
      <c r="C353" s="1">
        <v>25.667660000000001</v>
      </c>
      <c r="D353" s="6">
        <f t="shared" si="83"/>
        <v>7.700187563122185E-3</v>
      </c>
      <c r="E353" s="5">
        <f t="shared" si="82"/>
        <v>4.4667565734601844E-4</v>
      </c>
      <c r="G353" s="25" t="str">
        <f>IF(VLOOKUP(A353,Aux!B:C,2,FALSE)=0,"",VLOOKUP(A353,Aux!B:C,2,FALSE))</f>
        <v/>
      </c>
      <c r="H353" s="25" t="str">
        <f t="shared" si="71"/>
        <v/>
      </c>
      <c r="L353" s="13">
        <f t="shared" si="74"/>
        <v>105575.67802363842</v>
      </c>
      <c r="M353" s="14">
        <f t="shared" si="75"/>
        <v>382.19373489763052</v>
      </c>
      <c r="N353" s="14">
        <f t="shared" si="76"/>
        <v>24.805836708381726</v>
      </c>
      <c r="O353" s="1">
        <f t="shared" si="77"/>
        <v>2.387069732668972</v>
      </c>
      <c r="P353" s="1">
        <f t="shared" si="78"/>
        <v>2164.5581769960681</v>
      </c>
      <c r="S353" s="6">
        <f t="shared" si="72"/>
        <v>0.47375054200537409</v>
      </c>
      <c r="T353" s="6">
        <f t="shared" si="73"/>
        <v>0.5262494579946263</v>
      </c>
      <c r="V353" s="1">
        <f t="shared" si="79"/>
        <v>105761.51311065772</v>
      </c>
      <c r="W353" s="7">
        <f t="shared" si="80"/>
        <v>3.8625003716483038E-3</v>
      </c>
      <c r="X353" s="7">
        <f t="shared" si="81"/>
        <v>3.7419702947303489E-3</v>
      </c>
      <c r="Y353">
        <f>LN(B353/B352)</f>
        <v>7.6706924341241661E-3</v>
      </c>
      <c r="Z353">
        <f>LN(C353/C352)</f>
        <v>4.4657592747141873E-4</v>
      </c>
    </row>
    <row r="354" spans="1:26" x14ac:dyDescent="0.3">
      <c r="A354" s="11">
        <v>40697</v>
      </c>
      <c r="B354" s="12">
        <v>20957.439999999999</v>
      </c>
      <c r="C354" s="12">
        <v>25.679110000000001</v>
      </c>
      <c r="D354" s="16">
        <f t="shared" si="83"/>
        <v>2.0665190036228687E-4</v>
      </c>
      <c r="E354" s="15">
        <f t="shared" si="82"/>
        <v>4.4608663197198695E-4</v>
      </c>
      <c r="G354" s="25" t="str">
        <f>IF(VLOOKUP(A354,Aux!B:C,2,FALSE)=0,"",VLOOKUP(A354,Aux!B:C,2,FALSE))</f>
        <v/>
      </c>
      <c r="H354" s="25" t="str">
        <f t="shared" si="71"/>
        <v/>
      </c>
      <c r="L354" s="13">
        <f t="shared" si="74"/>
        <v>105610.79822670747</v>
      </c>
      <c r="M354" s="14">
        <f t="shared" si="75"/>
        <v>10.336011942452133</v>
      </c>
      <c r="N354" s="14">
        <f t="shared" si="76"/>
        <v>24.784191126604895</v>
      </c>
      <c r="O354" s="1">
        <f t="shared" si="77"/>
        <v>2.387069732668972</v>
      </c>
      <c r="P354" s="1">
        <f t="shared" si="78"/>
        <v>2164.5581769960681</v>
      </c>
      <c r="S354" s="6">
        <f t="shared" si="72"/>
        <v>0.47369086815191719</v>
      </c>
      <c r="T354" s="6">
        <f t="shared" si="73"/>
        <v>0.52630913184808337</v>
      </c>
      <c r="V354" s="1">
        <f t="shared" si="79"/>
        <v>105797.11773880618</v>
      </c>
      <c r="W354" s="7">
        <f t="shared" si="80"/>
        <v>3.3259898092311539E-4</v>
      </c>
      <c r="X354" s="7">
        <f t="shared" si="81"/>
        <v>3.3659348561342116E-4</v>
      </c>
      <c r="Y354">
        <f>LN(B354/B353)</f>
        <v>2.0663055079955968E-4</v>
      </c>
      <c r="Z354">
        <f>LN(C354/C353)</f>
        <v>4.4598716490989331E-4</v>
      </c>
    </row>
    <row r="355" spans="1:26" x14ac:dyDescent="0.3">
      <c r="A355" s="9">
        <v>40700</v>
      </c>
      <c r="B355" s="1">
        <v>20614.47</v>
      </c>
      <c r="C355" s="1">
        <v>25.690560000000001</v>
      </c>
      <c r="D355" s="6">
        <f t="shared" si="83"/>
        <v>-1.6365071306418955E-2</v>
      </c>
      <c r="E355" s="5">
        <f t="shared" si="82"/>
        <v>4.4588772741738225E-4</v>
      </c>
      <c r="G355" s="25" t="str">
        <f>IF(VLOOKUP(A355,Aux!B:C,2,FALSE)=0,"",VLOOKUP(A355,Aux!B:C,2,FALSE))</f>
        <v/>
      </c>
      <c r="H355" s="25" t="str">
        <f t="shared" si="71"/>
        <v/>
      </c>
      <c r="L355" s="13">
        <f t="shared" si="74"/>
        <v>104816.88911162059</v>
      </c>
      <c r="M355" s="14">
        <f t="shared" si="75"/>
        <v>-818.69330621347149</v>
      </c>
      <c r="N355" s="14">
        <f t="shared" si="76"/>
        <v>24.784191126604895</v>
      </c>
      <c r="O355" s="1">
        <f t="shared" si="77"/>
        <v>2.387069732668972</v>
      </c>
      <c r="P355" s="1">
        <f t="shared" si="78"/>
        <v>2164.5581769960681</v>
      </c>
      <c r="S355" s="6">
        <f t="shared" si="72"/>
        <v>0.46946801998302251</v>
      </c>
      <c r="T355" s="6">
        <f t="shared" si="73"/>
        <v>0.5305319800169781</v>
      </c>
      <c r="V355" s="1">
        <f t="shared" si="79"/>
        <v>105031.48911833567</v>
      </c>
      <c r="W355" s="7">
        <f t="shared" si="80"/>
        <v>-7.5457074311088062E-3</v>
      </c>
      <c r="X355" s="7">
        <f t="shared" si="81"/>
        <v>-7.2630749460503609E-3</v>
      </c>
      <c r="Y355">
        <f>LN(B355/B354)</f>
        <v>-1.6500458195388291E-2</v>
      </c>
      <c r="Z355">
        <f>LN(C355/C354)</f>
        <v>4.457883490246246E-4</v>
      </c>
    </row>
    <row r="356" spans="1:26" x14ac:dyDescent="0.3">
      <c r="A356" s="11">
        <v>40701</v>
      </c>
      <c r="B356" s="12">
        <v>20669.14</v>
      </c>
      <c r="C356" s="12">
        <v>25.702030000000001</v>
      </c>
      <c r="D356" s="16">
        <f t="shared" si="83"/>
        <v>2.6520206437516958E-3</v>
      </c>
      <c r="E356" s="15">
        <f t="shared" si="82"/>
        <v>4.464674962321169E-4</v>
      </c>
      <c r="G356" s="25" t="str">
        <f>IF(VLOOKUP(A356,Aux!B:C,2,FALSE)=0,"",VLOOKUP(A356,Aux!B:C,2,FALSE))</f>
        <v/>
      </c>
      <c r="H356" s="25" t="str">
        <f t="shared" si="71"/>
        <v/>
      </c>
      <c r="L356" s="13">
        <f t="shared" si="74"/>
        <v>104972.21769619574</v>
      </c>
      <c r="M356" s="14">
        <f t="shared" si="75"/>
        <v>130.50110228500853</v>
      </c>
      <c r="N356" s="14">
        <f t="shared" si="76"/>
        <v>24.827482290143177</v>
      </c>
      <c r="O356" s="1">
        <f t="shared" si="77"/>
        <v>2.387069732668972</v>
      </c>
      <c r="P356" s="1">
        <f t="shared" si="78"/>
        <v>2164.5581769960681</v>
      </c>
      <c r="S356" s="6">
        <f t="shared" si="72"/>
        <v>0.47001653939607702</v>
      </c>
      <c r="T356" s="6">
        <f t="shared" si="73"/>
        <v>0.52998346060392365</v>
      </c>
      <c r="V356" s="1">
        <f t="shared" si="79"/>
        <v>105183.27463003597</v>
      </c>
      <c r="W356" s="7">
        <f t="shared" si="80"/>
        <v>1.4808072289570129E-3</v>
      </c>
      <c r="X356" s="7">
        <f t="shared" si="81"/>
        <v>1.4440996947301693E-3</v>
      </c>
      <c r="Y356">
        <f>LN(B356/B355)</f>
        <v>2.6485102420730363E-3</v>
      </c>
      <c r="Z356">
        <f>LN(C356/C355)</f>
        <v>4.4636785927485979E-4</v>
      </c>
    </row>
    <row r="357" spans="1:26" x14ac:dyDescent="0.3">
      <c r="A357" s="9">
        <v>40702</v>
      </c>
      <c r="B357" s="1">
        <v>20628.61</v>
      </c>
      <c r="C357" s="1">
        <v>25.71349</v>
      </c>
      <c r="D357" s="6">
        <f t="shared" si="83"/>
        <v>-1.9608943574817017E-3</v>
      </c>
      <c r="E357" s="5">
        <f t="shared" si="82"/>
        <v>4.4587917763694307E-4</v>
      </c>
      <c r="G357" s="25" t="str">
        <f>IF(VLOOKUP(A357,Aux!B:C,2,FALSE)=0,"",VLOOKUP(A357,Aux!B:C,2,FALSE))</f>
        <v/>
      </c>
      <c r="H357" s="25" t="str">
        <f t="shared" si="71"/>
        <v/>
      </c>
      <c r="L357" s="13">
        <f t="shared" si="74"/>
        <v>104900.27559663904</v>
      </c>
      <c r="M357" s="14">
        <f t="shared" si="75"/>
        <v>-96.747936265070663</v>
      </c>
      <c r="N357" s="14">
        <f t="shared" si="76"/>
        <v>24.805836708374034</v>
      </c>
      <c r="O357" s="1">
        <f t="shared" si="77"/>
        <v>2.387069732668972</v>
      </c>
      <c r="P357" s="1">
        <f t="shared" si="78"/>
        <v>2164.5581769960681</v>
      </c>
      <c r="S357" s="6">
        <f t="shared" si="72"/>
        <v>0.4694165985547723</v>
      </c>
      <c r="T357" s="6">
        <f t="shared" si="73"/>
        <v>0.53058340144522842</v>
      </c>
      <c r="V357" s="1">
        <f t="shared" si="79"/>
        <v>105115.40804029789</v>
      </c>
      <c r="W357" s="7">
        <f t="shared" si="80"/>
        <v>-6.8557914613580047E-4</v>
      </c>
      <c r="X357" s="7">
        <f t="shared" si="81"/>
        <v>-6.4543050134522543E-4</v>
      </c>
      <c r="Y357">
        <f>LN(B357/B356)</f>
        <v>-1.9628194278069875E-3</v>
      </c>
      <c r="Z357">
        <f>LN(C357/C356)</f>
        <v>4.4577980305469201E-4</v>
      </c>
    </row>
    <row r="358" spans="1:26" x14ac:dyDescent="0.3">
      <c r="A358" s="11">
        <v>40703</v>
      </c>
      <c r="B358" s="12">
        <v>20717.759999999998</v>
      </c>
      <c r="C358" s="12">
        <v>25.72495</v>
      </c>
      <c r="D358" s="16">
        <f t="shared" si="83"/>
        <v>4.3216678195960867E-3</v>
      </c>
      <c r="E358" s="15">
        <f t="shared" si="82"/>
        <v>4.4568045800086331E-4</v>
      </c>
      <c r="G358" s="25" t="str">
        <f>IF(VLOOKUP(A358,Aux!B:C,2,FALSE)=0,"",VLOOKUP(A358,Aux!B:C,2,FALSE))</f>
        <v/>
      </c>
      <c r="H358" s="25" t="str">
        <f t="shared" si="71"/>
        <v/>
      </c>
      <c r="L358" s="13">
        <f t="shared" si="74"/>
        <v>105137.88870001484</v>
      </c>
      <c r="M358" s="14">
        <f t="shared" si="75"/>
        <v>212.80726666743365</v>
      </c>
      <c r="N358" s="14">
        <f t="shared" si="76"/>
        <v>24.805836708374034</v>
      </c>
      <c r="O358" s="1">
        <f t="shared" si="77"/>
        <v>2.387069732668972</v>
      </c>
      <c r="P358" s="1">
        <f t="shared" si="78"/>
        <v>2164.5581769960681</v>
      </c>
      <c r="S358" s="6">
        <f t="shared" si="72"/>
        <v>0.47037978825889187</v>
      </c>
      <c r="T358" s="6">
        <f t="shared" si="73"/>
        <v>0.52962021174110896</v>
      </c>
      <c r="V358" s="1">
        <f t="shared" si="79"/>
        <v>105346.71774679044</v>
      </c>
      <c r="W358" s="7">
        <f t="shared" si="80"/>
        <v>2.2625717144105157E-3</v>
      </c>
      <c r="X358" s="7">
        <f t="shared" si="81"/>
        <v>2.1981133067287568E-3</v>
      </c>
      <c r="Y358">
        <f>LN(B358/B357)</f>
        <v>4.3123562313127396E-3</v>
      </c>
      <c r="Z358">
        <f>LN(C358/C357)</f>
        <v>4.455811719643435E-4</v>
      </c>
    </row>
    <row r="359" spans="1:26" x14ac:dyDescent="0.3">
      <c r="A359" s="9">
        <v>40704</v>
      </c>
      <c r="B359" s="1">
        <v>20523.490000000002</v>
      </c>
      <c r="C359" s="1">
        <v>25.73659</v>
      </c>
      <c r="D359" s="6">
        <f t="shared" si="83"/>
        <v>-9.3769789784222679E-3</v>
      </c>
      <c r="E359" s="5">
        <f t="shared" si="82"/>
        <v>4.5247901356471054E-4</v>
      </c>
      <c r="G359" s="25" t="str">
        <f>IF(VLOOKUP(A359,Aux!B:C,2,FALSE)=0,"",VLOOKUP(A359,Aux!B:C,2,FALSE))</f>
        <v/>
      </c>
      <c r="H359" s="25" t="str">
        <f t="shared" si="71"/>
        <v/>
      </c>
      <c r="L359" s="13">
        <f t="shared" si="74"/>
        <v>104699.34812022948</v>
      </c>
      <c r="M359" s="14">
        <f t="shared" si="75"/>
        <v>-463.73603696559354</v>
      </c>
      <c r="N359" s="14">
        <f t="shared" si="76"/>
        <v>25.195457180233959</v>
      </c>
      <c r="O359" s="1">
        <f t="shared" si="77"/>
        <v>2.387069732668972</v>
      </c>
      <c r="P359" s="1">
        <f t="shared" si="78"/>
        <v>2164.5581769960681</v>
      </c>
      <c r="S359" s="6">
        <f t="shared" si="72"/>
        <v>0.46792079098216022</v>
      </c>
      <c r="T359" s="6">
        <f t="shared" si="73"/>
        <v>0.53207920901784067</v>
      </c>
      <c r="V359" s="1">
        <f t="shared" si="79"/>
        <v>104924.57028304144</v>
      </c>
      <c r="W359" s="7">
        <f t="shared" si="80"/>
        <v>-4.1798226559413842E-3</v>
      </c>
      <c r="X359" s="7">
        <f t="shared" si="81"/>
        <v>-4.0152703193409829E-3</v>
      </c>
      <c r="Y359">
        <f>LN(B359/B358)</f>
        <v>-9.4212196254117222E-3</v>
      </c>
      <c r="Z359">
        <f>LN(C359/C358)</f>
        <v>4.5237667580514757E-4</v>
      </c>
    </row>
    <row r="360" spans="1:26" x14ac:dyDescent="0.3">
      <c r="A360" s="11">
        <v>40707</v>
      </c>
      <c r="B360" s="12">
        <v>20328.95</v>
      </c>
      <c r="C360" s="12">
        <v>25.748249999999999</v>
      </c>
      <c r="D360" s="16">
        <f t="shared" si="83"/>
        <v>-9.4788946714229327E-3</v>
      </c>
      <c r="E360" s="15">
        <f t="shared" si="82"/>
        <v>4.5305147263086099E-4</v>
      </c>
      <c r="G360" s="25" t="str">
        <f>IF(VLOOKUP(A360,Aux!B:C,2,FALSE)=0,"",VLOOKUP(A360,Aux!B:C,2,FALSE))</f>
        <v/>
      </c>
      <c r="H360" s="25" t="str">
        <f t="shared" si="71"/>
        <v/>
      </c>
      <c r="L360" s="13">
        <f t="shared" si="74"/>
        <v>104260.20632277984</v>
      </c>
      <c r="M360" s="14">
        <f t="shared" si="75"/>
        <v>-464.38054579342389</v>
      </c>
      <c r="N360" s="14">
        <f t="shared" si="76"/>
        <v>25.23874834377224</v>
      </c>
      <c r="O360" s="1">
        <f t="shared" si="77"/>
        <v>2.387069732668972</v>
      </c>
      <c r="P360" s="1">
        <f t="shared" si="78"/>
        <v>2164.5581769960681</v>
      </c>
      <c r="S360" s="6">
        <f t="shared" si="72"/>
        <v>0.46543760993247052</v>
      </c>
      <c r="T360" s="6">
        <f t="shared" si="73"/>
        <v>0.53456239006753015</v>
      </c>
      <c r="V360" s="1">
        <f t="shared" si="79"/>
        <v>104501.84466249699</v>
      </c>
      <c r="W360" s="7">
        <f t="shared" si="80"/>
        <v>-4.2031334257198677E-3</v>
      </c>
      <c r="X360" s="7">
        <f t="shared" si="81"/>
        <v>-4.0369902217067613E-3</v>
      </c>
      <c r="Y360">
        <f>LN(B360/B359)</f>
        <v>-9.5241053183151726E-3</v>
      </c>
      <c r="Z360">
        <f>LN(C360/C359)</f>
        <v>4.5294887579902868E-4</v>
      </c>
    </row>
    <row r="361" spans="1:26" x14ac:dyDescent="0.3">
      <c r="A361" s="9">
        <v>40708</v>
      </c>
      <c r="B361" s="1">
        <v>20465.84</v>
      </c>
      <c r="C361" s="1">
        <v>25.759889999999999</v>
      </c>
      <c r="D361" s="6">
        <f t="shared" si="83"/>
        <v>6.7337467011330254E-3</v>
      </c>
      <c r="E361" s="5">
        <f t="shared" si="82"/>
        <v>4.5206955812537863E-4</v>
      </c>
      <c r="G361" s="25" t="str">
        <f>IF(VLOOKUP(A361,Aux!B:C,2,FALSE)=0,"",VLOOKUP(A361,Aux!B:C,2,FALSE))</f>
        <v/>
      </c>
      <c r="H361" s="25" t="str">
        <f t="shared" si="71"/>
        <v/>
      </c>
      <c r="L361" s="13">
        <f t="shared" si="74"/>
        <v>104612.16775566513</v>
      </c>
      <c r="M361" s="14">
        <f t="shared" si="75"/>
        <v>326.76597570505419</v>
      </c>
      <c r="N361" s="14">
        <f t="shared" si="76"/>
        <v>25.195457180233959</v>
      </c>
      <c r="O361" s="1">
        <f t="shared" si="77"/>
        <v>2.387069732668972</v>
      </c>
      <c r="P361" s="1">
        <f t="shared" si="78"/>
        <v>2164.5581769960681</v>
      </c>
      <c r="S361" s="6">
        <f t="shared" si="72"/>
        <v>0.46699526704913702</v>
      </c>
      <c r="T361" s="6">
        <f t="shared" si="73"/>
        <v>0.5330047329508637</v>
      </c>
      <c r="V361" s="1">
        <f t="shared" si="79"/>
        <v>104843.69490278678</v>
      </c>
      <c r="W361" s="7">
        <f t="shared" si="80"/>
        <v>3.3701131378401647E-3</v>
      </c>
      <c r="X361" s="7">
        <f t="shared" si="81"/>
        <v>3.2658975667688569E-3</v>
      </c>
      <c r="Y361">
        <f>LN(B361/B360)</f>
        <v>6.7111762944300681E-3</v>
      </c>
      <c r="Z361">
        <f>LN(C361/C360)</f>
        <v>4.5196740546826498E-4</v>
      </c>
    </row>
    <row r="362" spans="1:26" x14ac:dyDescent="0.3">
      <c r="A362" s="11">
        <v>40709</v>
      </c>
      <c r="B362" s="12">
        <v>20340.82</v>
      </c>
      <c r="C362" s="12">
        <v>25.771529999999998</v>
      </c>
      <c r="D362" s="16">
        <f t="shared" si="83"/>
        <v>-6.1087157917779633E-3</v>
      </c>
      <c r="E362" s="15">
        <f t="shared" si="82"/>
        <v>4.5186528358631683E-4</v>
      </c>
      <c r="G362" s="25" t="str">
        <f>IF(VLOOKUP(A362,Aux!B:C,2,FALSE)=0,"",VLOOKUP(A362,Aux!B:C,2,FALSE))</f>
        <v/>
      </c>
      <c r="H362" s="25" t="str">
        <f t="shared" si="71"/>
        <v/>
      </c>
      <c r="L362" s="13">
        <f t="shared" si="74"/>
        <v>104338.93175486708</v>
      </c>
      <c r="M362" s="14">
        <f t="shared" si="75"/>
        <v>-298.43145797827594</v>
      </c>
      <c r="N362" s="14">
        <f t="shared" si="76"/>
        <v>25.195457180233959</v>
      </c>
      <c r="O362" s="1">
        <f t="shared" si="77"/>
        <v>2.387069732668972</v>
      </c>
      <c r="P362" s="1">
        <f t="shared" si="78"/>
        <v>2164.5581769960681</v>
      </c>
      <c r="S362" s="6">
        <f t="shared" si="72"/>
        <v>0.46535799191180377</v>
      </c>
      <c r="T362" s="6">
        <f t="shared" si="73"/>
        <v>0.53464200808819695</v>
      </c>
      <c r="V362" s="1">
        <f t="shared" si="79"/>
        <v>104581.30961141572</v>
      </c>
      <c r="W362" s="7">
        <f t="shared" si="80"/>
        <v>-2.6153119766236118E-3</v>
      </c>
      <c r="X362" s="7">
        <f t="shared" si="81"/>
        <v>-2.5057698269623724E-3</v>
      </c>
      <c r="Y362">
        <f>LN(B362/B361)</f>
        <v>-6.1274503310404637E-3</v>
      </c>
      <c r="Z362">
        <f>LN(C362/C361)</f>
        <v>4.517632232129305E-4</v>
      </c>
    </row>
    <row r="363" spans="1:26" x14ac:dyDescent="0.3">
      <c r="A363" s="9">
        <v>40710</v>
      </c>
      <c r="B363" s="1">
        <v>20177.7</v>
      </c>
      <c r="C363" s="1">
        <v>25.783239999999999</v>
      </c>
      <c r="D363" s="6">
        <f t="shared" si="83"/>
        <v>-8.0193423863934576E-3</v>
      </c>
      <c r="E363" s="5">
        <f t="shared" si="82"/>
        <v>4.5437736913567228E-4</v>
      </c>
      <c r="G363" s="25" t="str">
        <f>IF(VLOOKUP(A363,Aux!B:C,2,FALSE)=0,"",VLOOKUP(A363,Aux!B:C,2,FALSE))</f>
        <v/>
      </c>
      <c r="H363" s="25" t="str">
        <f t="shared" si="71"/>
        <v/>
      </c>
      <c r="L363" s="13">
        <f t="shared" si="74"/>
        <v>103974.89991632674</v>
      </c>
      <c r="M363" s="14">
        <f t="shared" si="75"/>
        <v>-389.37881479296027</v>
      </c>
      <c r="N363" s="14">
        <f t="shared" si="76"/>
        <v>25.346976252625637</v>
      </c>
      <c r="O363" s="1">
        <f t="shared" si="77"/>
        <v>2.387069732668972</v>
      </c>
      <c r="P363" s="1">
        <f t="shared" si="78"/>
        <v>2164.5581769960681</v>
      </c>
      <c r="S363" s="6">
        <f t="shared" si="72"/>
        <v>0.46324234967896782</v>
      </c>
      <c r="T363" s="6">
        <f t="shared" si="73"/>
        <v>0.53675765032103284</v>
      </c>
      <c r="V363" s="1">
        <f t="shared" si="79"/>
        <v>104231.18288657186</v>
      </c>
      <c r="W363" s="7">
        <f t="shared" si="80"/>
        <v>-3.4950363706755683E-3</v>
      </c>
      <c r="X363" s="7">
        <f t="shared" si="81"/>
        <v>-3.3535067637248421E-3</v>
      </c>
      <c r="Y363">
        <f>LN(B363/B362)</f>
        <v>-8.0516702607405146E-3</v>
      </c>
      <c r="Z363">
        <f>LN(C363/C362)</f>
        <v>4.5427417099829631E-4</v>
      </c>
    </row>
    <row r="364" spans="1:26" x14ac:dyDescent="0.3">
      <c r="A364" s="11">
        <v>40711</v>
      </c>
      <c r="B364" s="12">
        <v>20177.150000000001</v>
      </c>
      <c r="C364" s="12">
        <v>25.79496</v>
      </c>
      <c r="D364" s="16">
        <f t="shared" si="83"/>
        <v>-2.7257814319781026E-5</v>
      </c>
      <c r="E364" s="15">
        <f t="shared" si="82"/>
        <v>4.5455885296030729E-4</v>
      </c>
      <c r="G364" s="25" t="str">
        <f>IF(VLOOKUP(A364,Aux!B:C,2,FALSE)=0,"",VLOOKUP(A364,Aux!B:C,2,FALSE))</f>
        <v/>
      </c>
      <c r="H364" s="25" t="str">
        <f t="shared" si="71"/>
        <v/>
      </c>
      <c r="L364" s="13">
        <f t="shared" si="74"/>
        <v>103998.95564980817</v>
      </c>
      <c r="M364" s="14">
        <f t="shared" si="75"/>
        <v>-1.3128883529661979</v>
      </c>
      <c r="N364" s="14">
        <f t="shared" si="76"/>
        <v>25.368621834394776</v>
      </c>
      <c r="O364" s="1">
        <f t="shared" si="77"/>
        <v>2.387069732668972</v>
      </c>
      <c r="P364" s="1">
        <f t="shared" si="78"/>
        <v>2164.5581769960681</v>
      </c>
      <c r="S364" s="6">
        <f t="shared" si="72"/>
        <v>0.46312257421799019</v>
      </c>
      <c r="T364" s="6">
        <f t="shared" si="73"/>
        <v>0.53687742578201059</v>
      </c>
      <c r="V364" s="1">
        <f t="shared" si="79"/>
        <v>104256.13320978162</v>
      </c>
      <c r="W364" s="7">
        <f t="shared" si="80"/>
        <v>2.3133420807364006E-4</v>
      </c>
      <c r="X364" s="7">
        <f t="shared" si="81"/>
        <v>2.3934619904968351E-4</v>
      </c>
      <c r="Y364">
        <f>LN(B364/B363)</f>
        <v>-2.7258185820752657E-5</v>
      </c>
      <c r="Z364">
        <f>LN(C364/C363)</f>
        <v>4.5445557238178724E-4</v>
      </c>
    </row>
    <row r="365" spans="1:26" x14ac:dyDescent="0.3">
      <c r="A365" s="9">
        <v>40714</v>
      </c>
      <c r="B365" s="1">
        <v>20223.75</v>
      </c>
      <c r="C365" s="1">
        <v>25.80668</v>
      </c>
      <c r="D365" s="6">
        <f t="shared" si="83"/>
        <v>2.3095432209205846E-3</v>
      </c>
      <c r="E365" s="5">
        <f t="shared" si="82"/>
        <v>4.5435232308954632E-4</v>
      </c>
      <c r="G365" s="25" t="str">
        <f>IF(VLOOKUP(A365,Aux!B:C,2,FALSE)=0,"",VLOOKUP(A365,Aux!B:C,2,FALSE))</f>
        <v/>
      </c>
      <c r="H365" s="25" t="str">
        <f t="shared" si="71"/>
        <v/>
      </c>
      <c r="L365" s="13">
        <f t="shared" si="74"/>
        <v>104135.56172118493</v>
      </c>
      <c r="M365" s="14">
        <f t="shared" si="75"/>
        <v>111.23744954237063</v>
      </c>
      <c r="N365" s="14">
        <f t="shared" si="76"/>
        <v>25.368621834394776</v>
      </c>
      <c r="O365" s="1">
        <f t="shared" si="77"/>
        <v>2.387069732668972</v>
      </c>
      <c r="P365" s="1">
        <f t="shared" si="78"/>
        <v>2164.5581769960681</v>
      </c>
      <c r="S365" s="6">
        <f t="shared" si="72"/>
        <v>0.46358324388087635</v>
      </c>
      <c r="T365" s="6">
        <f t="shared" si="73"/>
        <v>0.53641675611912454</v>
      </c>
      <c r="V365" s="1">
        <f t="shared" si="79"/>
        <v>104389.86023230721</v>
      </c>
      <c r="W365" s="7">
        <f t="shared" si="80"/>
        <v>1.3126711774465139E-3</v>
      </c>
      <c r="X365" s="7">
        <f t="shared" si="81"/>
        <v>1.2818558231637712E-3</v>
      </c>
      <c r="Y365">
        <f>LN(B365/B364)</f>
        <v>2.3068803252362523E-3</v>
      </c>
      <c r="Z365">
        <f>LN(C365/C364)</f>
        <v>4.5424913632704492E-4</v>
      </c>
    </row>
    <row r="366" spans="1:26" x14ac:dyDescent="0.3">
      <c r="A366" s="11">
        <v>40715</v>
      </c>
      <c r="B366" s="12">
        <v>20322.88</v>
      </c>
      <c r="C366" s="12">
        <v>25.8184</v>
      </c>
      <c r="D366" s="16">
        <f t="shared" si="83"/>
        <v>4.9016626491131809E-3</v>
      </c>
      <c r="E366" s="15">
        <f t="shared" si="82"/>
        <v>4.5414598080806279E-4</v>
      </c>
      <c r="G366" s="25" t="str">
        <f>IF(VLOOKUP(A366,Aux!B:C,2,FALSE)=0,"",VLOOKUP(A366,Aux!B:C,2,FALSE))</f>
        <v/>
      </c>
      <c r="H366" s="25" t="str">
        <f t="shared" si="71"/>
        <v/>
      </c>
      <c r="L366" s="13">
        <f t="shared" si="74"/>
        <v>104397.5605656188</v>
      </c>
      <c r="M366" s="14">
        <f t="shared" si="75"/>
        <v>236.63022259947763</v>
      </c>
      <c r="N366" s="14">
        <f t="shared" si="76"/>
        <v>25.368621834394776</v>
      </c>
      <c r="O366" s="1">
        <f t="shared" si="77"/>
        <v>2.387069732668972</v>
      </c>
      <c r="P366" s="1">
        <f t="shared" si="78"/>
        <v>2164.5581769960681</v>
      </c>
      <c r="S366" s="6">
        <f t="shared" si="72"/>
        <v>0.46468644924103797</v>
      </c>
      <c r="T366" s="6">
        <f t="shared" si="73"/>
        <v>0.53531355075896292</v>
      </c>
      <c r="V366" s="1">
        <f t="shared" si="79"/>
        <v>104644.77580234205</v>
      </c>
      <c r="W366" s="7">
        <f t="shared" si="80"/>
        <v>2.5127805062067025E-3</v>
      </c>
      <c r="X366" s="7">
        <f t="shared" si="81"/>
        <v>2.4389804602431048E-3</v>
      </c>
      <c r="Y366">
        <f>LN(B366/B365)</f>
        <v>4.8896886132652854E-3</v>
      </c>
      <c r="Z366">
        <f>LN(C366/C365)</f>
        <v>4.5404288773380995E-4</v>
      </c>
    </row>
    <row r="367" spans="1:26" x14ac:dyDescent="0.3">
      <c r="A367" s="9">
        <v>40716</v>
      </c>
      <c r="B367" s="1">
        <v>20304.13</v>
      </c>
      <c r="C367" s="1">
        <v>25.83014</v>
      </c>
      <c r="D367" s="6">
        <f t="shared" si="83"/>
        <v>-9.2260545749422995E-4</v>
      </c>
      <c r="E367" s="5">
        <f t="shared" si="82"/>
        <v>4.5471446720157793E-4</v>
      </c>
      <c r="G367" s="25" t="str">
        <f>IF(VLOOKUP(A367,Aux!B:C,2,FALSE)=0,"",VLOOKUP(A367,Aux!B:C,2,FALSE))</f>
        <v/>
      </c>
      <c r="H367" s="25" t="str">
        <f t="shared" si="71"/>
        <v/>
      </c>
      <c r="L367" s="13">
        <f t="shared" si="74"/>
        <v>104378.2149211292</v>
      </c>
      <c r="M367" s="14">
        <f t="shared" si="75"/>
        <v>-44.757557487543224</v>
      </c>
      <c r="N367" s="14">
        <f t="shared" si="76"/>
        <v>25.411912997933062</v>
      </c>
      <c r="O367" s="1">
        <f t="shared" si="77"/>
        <v>2.387069732668972</v>
      </c>
      <c r="P367" s="1">
        <f t="shared" si="78"/>
        <v>2164.5581769960681</v>
      </c>
      <c r="S367" s="6">
        <f t="shared" si="72"/>
        <v>0.46434377334196819</v>
      </c>
      <c r="T367" s="6">
        <f t="shared" si="73"/>
        <v>0.53565622665803259</v>
      </c>
      <c r="V367" s="1">
        <f t="shared" si="79"/>
        <v>104627.78283156164</v>
      </c>
      <c r="W367" s="7">
        <f t="shared" si="80"/>
        <v>-1.8532460961877929E-4</v>
      </c>
      <c r="X367" s="7">
        <f t="shared" si="81"/>
        <v>-1.6240037326144361E-4</v>
      </c>
      <c r="Y367">
        <f>LN(B367/B366)</f>
        <v>-9.2303131986477566E-4</v>
      </c>
      <c r="Z367">
        <f>LN(C367/C366)</f>
        <v>4.5461111590726897E-4</v>
      </c>
    </row>
    <row r="368" spans="1:26" x14ac:dyDescent="0.3">
      <c r="A368" s="11">
        <v>40718</v>
      </c>
      <c r="B368" s="12">
        <v>20244.73</v>
      </c>
      <c r="C368" s="12">
        <v>25.84188</v>
      </c>
      <c r="D368" s="16">
        <f t="shared" si="83"/>
        <v>-2.9255131837711001E-3</v>
      </c>
      <c r="E368" s="15">
        <f t="shared" si="82"/>
        <v>4.5450779593148027E-4</v>
      </c>
      <c r="G368" s="25" t="str">
        <f>IF(VLOOKUP(A368,Aux!B:C,2,FALSE)=0,"",VLOOKUP(A368,Aux!B:C,2,FALSE))</f>
        <v/>
      </c>
      <c r="H368" s="25" t="str">
        <f t="shared" si="71"/>
        <v/>
      </c>
      <c r="L368" s="13">
        <f t="shared" si="74"/>
        <v>104261.83489200659</v>
      </c>
      <c r="M368" s="14">
        <f t="shared" si="75"/>
        <v>-141.79194212054043</v>
      </c>
      <c r="N368" s="14">
        <f t="shared" si="76"/>
        <v>25.411912997933062</v>
      </c>
      <c r="O368" s="1">
        <f t="shared" si="77"/>
        <v>2.387069732668972</v>
      </c>
      <c r="P368" s="1">
        <f t="shared" si="78"/>
        <v>2164.5581769960681</v>
      </c>
      <c r="S368" s="6">
        <f t="shared" si="72"/>
        <v>0.4635021269202742</v>
      </c>
      <c r="T368" s="6">
        <f t="shared" si="73"/>
        <v>0.53649787307972652</v>
      </c>
      <c r="V368" s="1">
        <f t="shared" si="79"/>
        <v>104517.00888883663</v>
      </c>
      <c r="W368" s="7">
        <f t="shared" si="80"/>
        <v>-1.1156059567389758E-3</v>
      </c>
      <c r="X368" s="7">
        <f t="shared" si="81"/>
        <v>-1.0593039604028806E-3</v>
      </c>
      <c r="Y368">
        <f>LN(B368/B367)</f>
        <v>-2.9298008619465521E-3</v>
      </c>
      <c r="Z368">
        <f>LN(C368/C367)</f>
        <v>4.5440453854953764E-4</v>
      </c>
    </row>
    <row r="369" spans="1:26" x14ac:dyDescent="0.3">
      <c r="A369" s="9">
        <v>40721</v>
      </c>
      <c r="B369" s="1">
        <v>20287.080000000002</v>
      </c>
      <c r="C369" s="1">
        <v>25.85361</v>
      </c>
      <c r="D369" s="6">
        <f t="shared" si="83"/>
        <v>2.0919024358438953E-3</v>
      </c>
      <c r="E369" s="5">
        <f t="shared" si="82"/>
        <v>4.5391434369324024E-4</v>
      </c>
      <c r="G369" s="25" t="str">
        <f>IF(VLOOKUP(A369,Aux!B:C,2,FALSE)=0,"",VLOOKUP(A369,Aux!B:C,2,FALSE))</f>
        <v/>
      </c>
      <c r="H369" s="25" t="str">
        <f t="shared" si="71"/>
        <v/>
      </c>
      <c r="L369" s="13">
        <f t="shared" si="74"/>
        <v>104388.3175626013</v>
      </c>
      <c r="M369" s="14">
        <f t="shared" si="75"/>
        <v>101.09240317853617</v>
      </c>
      <c r="N369" s="14">
        <f t="shared" si="76"/>
        <v>25.390267416163919</v>
      </c>
      <c r="O369" s="1">
        <f t="shared" si="77"/>
        <v>2.387069732668972</v>
      </c>
      <c r="P369" s="1">
        <f t="shared" si="78"/>
        <v>2164.5581769960681</v>
      </c>
      <c r="S369" s="6">
        <f t="shared" si="72"/>
        <v>0.46390894846248243</v>
      </c>
      <c r="T369" s="6">
        <f t="shared" si="73"/>
        <v>0.53609105153751824</v>
      </c>
      <c r="V369" s="1">
        <f t="shared" si="79"/>
        <v>104640.95338402104</v>
      </c>
      <c r="W369" s="7">
        <f t="shared" si="80"/>
        <v>1.212390066335427E-3</v>
      </c>
      <c r="X369" s="7">
        <f t="shared" si="81"/>
        <v>1.1851761065721546E-3</v>
      </c>
      <c r="Y369">
        <f>LN(B369/B368)</f>
        <v>2.0897174545911456E-3</v>
      </c>
      <c r="Z369">
        <f>LN(C369/C368)</f>
        <v>4.5381135574149543E-4</v>
      </c>
    </row>
    <row r="370" spans="1:26" x14ac:dyDescent="0.3">
      <c r="A370" s="11">
        <v>40722</v>
      </c>
      <c r="B370" s="12">
        <v>20627.740000000002</v>
      </c>
      <c r="C370" s="12">
        <v>25.865349999999999</v>
      </c>
      <c r="D370" s="16">
        <f t="shared" si="83"/>
        <v>1.6791968090035692E-2</v>
      </c>
      <c r="E370" s="15">
        <f t="shared" si="82"/>
        <v>4.5409519212213922E-4</v>
      </c>
      <c r="G370" s="25" t="str">
        <f>IF(VLOOKUP(A370,Aux!B:C,2,FALSE)=0,"",VLOOKUP(A370,Aux!B:C,2,FALSE))</f>
        <v/>
      </c>
      <c r="H370" s="25" t="str">
        <f t="shared" si="71"/>
        <v/>
      </c>
      <c r="L370" s="13">
        <f t="shared" si="74"/>
        <v>105226.90865073024</v>
      </c>
      <c r="M370" s="14">
        <f t="shared" si="75"/>
        <v>813.17917513101168</v>
      </c>
      <c r="N370" s="14">
        <f t="shared" si="76"/>
        <v>25.411912997933062</v>
      </c>
      <c r="O370" s="1">
        <f t="shared" si="77"/>
        <v>2.387069732668972</v>
      </c>
      <c r="P370" s="1">
        <f t="shared" si="78"/>
        <v>2164.5581769960681</v>
      </c>
      <c r="S370" s="6">
        <f t="shared" si="72"/>
        <v>0.46793975456223147</v>
      </c>
      <c r="T370" s="6">
        <f t="shared" si="73"/>
        <v>0.5320602454377692</v>
      </c>
      <c r="V370" s="1">
        <f t="shared" si="79"/>
        <v>105453.13185546971</v>
      </c>
      <c r="W370" s="7">
        <f t="shared" si="80"/>
        <v>8.0012848035494431E-3</v>
      </c>
      <c r="X370" s="7">
        <f t="shared" si="81"/>
        <v>7.7316076401618486E-3</v>
      </c>
      <c r="Y370">
        <f>LN(B370/B369)</f>
        <v>1.665254165856031E-2</v>
      </c>
      <c r="Z370">
        <f>LN(C370/C369)</f>
        <v>4.5399212210160504E-4</v>
      </c>
    </row>
    <row r="371" spans="1:26" x14ac:dyDescent="0.3">
      <c r="A371" s="9">
        <v>40723</v>
      </c>
      <c r="B371" s="1">
        <v>20660.36</v>
      </c>
      <c r="C371" s="1">
        <v>25.877089999999999</v>
      </c>
      <c r="D371" s="6">
        <f t="shared" si="83"/>
        <v>1.5813656755416794E-3</v>
      </c>
      <c r="E371" s="5">
        <f t="shared" si="82"/>
        <v>4.5388908327170796E-4</v>
      </c>
      <c r="G371" s="25" t="str">
        <f>IF(VLOOKUP(A371,Aux!B:C,2,FALSE)=0,"",VLOOKUP(A371,Aux!B:C,2,FALSE))</f>
        <v/>
      </c>
      <c r="H371" s="25" t="str">
        <f t="shared" si="71"/>
        <v/>
      </c>
      <c r="L371" s="13">
        <f t="shared" si="74"/>
        <v>105330.18677840783</v>
      </c>
      <c r="M371" s="14">
        <f t="shared" si="75"/>
        <v>77.866214679659436</v>
      </c>
      <c r="N371" s="14">
        <f t="shared" si="76"/>
        <v>25.411912997933062</v>
      </c>
      <c r="O371" s="1">
        <f t="shared" si="77"/>
        <v>2.387069732668972</v>
      </c>
      <c r="P371" s="1">
        <f t="shared" si="78"/>
        <v>2164.5581769960681</v>
      </c>
      <c r="S371" s="6">
        <f t="shared" si="72"/>
        <v>0.46822018958153611</v>
      </c>
      <c r="T371" s="6">
        <f t="shared" si="73"/>
        <v>0.53177981041846456</v>
      </c>
      <c r="V371" s="1">
        <f t="shared" si="79"/>
        <v>105554.65127162152</v>
      </c>
      <c r="W371" s="7">
        <f t="shared" si="80"/>
        <v>9.8099886636118057E-4</v>
      </c>
      <c r="X371" s="7">
        <f t="shared" si="81"/>
        <v>9.6223392787069971E-4</v>
      </c>
      <c r="Y371">
        <f>LN(B371/B370)</f>
        <v>1.5801166334632538E-3</v>
      </c>
      <c r="Z371">
        <f>LN(C371/C370)</f>
        <v>4.537861067805098E-4</v>
      </c>
    </row>
    <row r="372" spans="1:26" x14ac:dyDescent="0.3">
      <c r="A372" s="11">
        <v>40724</v>
      </c>
      <c r="B372" s="12">
        <v>20745.41</v>
      </c>
      <c r="C372" s="12">
        <v>25.888839999999998</v>
      </c>
      <c r="D372" s="16">
        <f t="shared" si="83"/>
        <v>4.1165788011436888E-3</v>
      </c>
      <c r="E372" s="15">
        <f t="shared" si="82"/>
        <v>4.5406960365323989E-4</v>
      </c>
      <c r="G372" s="25" t="str">
        <f>IF(VLOOKUP(A372,Aux!B:C,2,FALSE)=0,"",VLOOKUP(A372,Aux!B:C,2,FALSE))</f>
        <v/>
      </c>
      <c r="H372" s="25" t="str">
        <f t="shared" si="71"/>
        <v/>
      </c>
      <c r="L372" s="13">
        <f t="shared" si="74"/>
        <v>105558.64061775104</v>
      </c>
      <c r="M372" s="14">
        <f t="shared" si="75"/>
        <v>203.02028076349433</v>
      </c>
      <c r="N372" s="14">
        <f t="shared" si="76"/>
        <v>25.433558579702201</v>
      </c>
      <c r="O372" s="1">
        <f t="shared" si="77"/>
        <v>2.387069732668972</v>
      </c>
      <c r="P372" s="1">
        <f t="shared" si="78"/>
        <v>2164.5581769960681</v>
      </c>
      <c r="S372" s="6">
        <f t="shared" si="72"/>
        <v>0.46913014427812433</v>
      </c>
      <c r="T372" s="6">
        <f t="shared" si="73"/>
        <v>0.53086985572187628</v>
      </c>
      <c r="V372" s="1">
        <f t="shared" si="79"/>
        <v>105777.15090310916</v>
      </c>
      <c r="W372" s="7">
        <f t="shared" si="80"/>
        <v>2.1665816205523524E-3</v>
      </c>
      <c r="X372" s="7">
        <f t="shared" si="81"/>
        <v>2.1056907801887581E-3</v>
      </c>
      <c r="Y372">
        <f>LN(B372/B371)</f>
        <v>4.1081288725574464E-3</v>
      </c>
      <c r="Z372">
        <f>LN(C372/C371)</f>
        <v>4.5396654524670535E-4</v>
      </c>
    </row>
    <row r="373" spans="1:26" x14ac:dyDescent="0.3">
      <c r="A373" s="9">
        <v>40725</v>
      </c>
      <c r="B373" s="1">
        <v>21007.38</v>
      </c>
      <c r="C373" s="1">
        <v>25.90062</v>
      </c>
      <c r="D373" s="6">
        <f t="shared" si="83"/>
        <v>1.2627853583033533E-2</v>
      </c>
      <c r="E373" s="5">
        <f t="shared" si="82"/>
        <v>4.550223184971447E-4</v>
      </c>
      <c r="G373" s="25" t="str">
        <f>IF(VLOOKUP(A373,Aux!B:C,2,FALSE)=0,"",VLOOKUP(A373,Aux!B:C,2,FALSE))</f>
        <v/>
      </c>
      <c r="H373" s="25" t="str">
        <f t="shared" si="71"/>
        <v/>
      </c>
      <c r="L373" s="13">
        <f t="shared" si="74"/>
        <v>106209.47977094335</v>
      </c>
      <c r="M373" s="14">
        <f t="shared" si="75"/>
        <v>625.34065786729343</v>
      </c>
      <c r="N373" s="14">
        <f t="shared" si="76"/>
        <v>25.498495325017316</v>
      </c>
      <c r="O373" s="1">
        <f t="shared" si="77"/>
        <v>2.387069732668972</v>
      </c>
      <c r="P373" s="1">
        <f t="shared" si="78"/>
        <v>2164.5581769960681</v>
      </c>
      <c r="S373" s="6">
        <f t="shared" si="72"/>
        <v>0.47214317468481204</v>
      </c>
      <c r="T373" s="6">
        <f t="shared" si="73"/>
        <v>0.52785682531518863</v>
      </c>
      <c r="V373" s="1">
        <f t="shared" si="79"/>
        <v>106407.87827726535</v>
      </c>
      <c r="W373" s="7">
        <f t="shared" si="80"/>
        <v>6.146734467701696E-3</v>
      </c>
      <c r="X373" s="7">
        <f t="shared" si="81"/>
        <v>5.9450870242539321E-3</v>
      </c>
      <c r="Y373">
        <f>LN(B373/B372)</f>
        <v>1.2548787170259118E-2</v>
      </c>
      <c r="Z373">
        <f>LN(C373/C372)</f>
        <v>4.5491882723467877E-4</v>
      </c>
    </row>
    <row r="374" spans="1:26" x14ac:dyDescent="0.3">
      <c r="A374" s="11">
        <v>40728</v>
      </c>
      <c r="B374" s="12">
        <v>21129.279999999999</v>
      </c>
      <c r="C374" s="12">
        <v>25.912410000000001</v>
      </c>
      <c r="D374" s="16">
        <f t="shared" si="83"/>
        <v>5.8027226622261452E-3</v>
      </c>
      <c r="E374" s="15">
        <f t="shared" si="82"/>
        <v>4.55201458497978E-4</v>
      </c>
      <c r="G374" s="25" t="str">
        <f>IF(VLOOKUP(A374,Aux!B:C,2,FALSE)=0,"",VLOOKUP(A374,Aux!B:C,2,FALSE))</f>
        <v/>
      </c>
      <c r="H374" s="25" t="str">
        <f t="shared" si="71"/>
        <v/>
      </c>
      <c r="L374" s="13">
        <f t="shared" si="74"/>
        <v>106525.98371226247</v>
      </c>
      <c r="M374" s="14">
        <f t="shared" si="75"/>
        <v>290.98380041234248</v>
      </c>
      <c r="N374" s="14">
        <f t="shared" si="76"/>
        <v>25.520140906786455</v>
      </c>
      <c r="O374" s="1">
        <f t="shared" si="77"/>
        <v>2.387069732668972</v>
      </c>
      <c r="P374" s="1">
        <f t="shared" si="78"/>
        <v>2164.5581769960681</v>
      </c>
      <c r="S374" s="6">
        <f t="shared" si="72"/>
        <v>0.47347194556140876</v>
      </c>
      <c r="T374" s="6">
        <f t="shared" si="73"/>
        <v>0.52652805443859185</v>
      </c>
      <c r="V374" s="1">
        <f t="shared" si="79"/>
        <v>106715.48163307135</v>
      </c>
      <c r="W374" s="7">
        <f t="shared" si="80"/>
        <v>2.9755657064765577E-3</v>
      </c>
      <c r="X374" s="7">
        <f t="shared" si="81"/>
        <v>2.8866246246312083E-3</v>
      </c>
      <c r="Y374">
        <f>LN(B374/B373)</f>
        <v>5.7859517139109487E-3</v>
      </c>
      <c r="Z374">
        <f>LN(C374/C373)</f>
        <v>4.5509788574385582E-4</v>
      </c>
    </row>
    <row r="375" spans="1:26" x14ac:dyDescent="0.3">
      <c r="A375" s="9">
        <v>40729</v>
      </c>
      <c r="B375" s="1">
        <v>20932.5</v>
      </c>
      <c r="C375" s="1">
        <v>25.924199999999999</v>
      </c>
      <c r="D375" s="6">
        <f t="shared" si="83"/>
        <v>-9.3131427100212605E-3</v>
      </c>
      <c r="E375" s="5">
        <f t="shared" si="82"/>
        <v>4.5499434440854358E-4</v>
      </c>
      <c r="G375" s="25" t="str">
        <f>IF(VLOOKUP(A375,Aux!B:C,2,FALSE)=0,"",VLOOKUP(A375,Aux!B:C,2,FALSE))</f>
        <v/>
      </c>
      <c r="H375" s="25" t="str">
        <f t="shared" si="71"/>
        <v/>
      </c>
      <c r="L375" s="13">
        <f t="shared" si="74"/>
        <v>106081.77627117466</v>
      </c>
      <c r="M375" s="14">
        <f t="shared" si="75"/>
        <v>-469.72758199459753</v>
      </c>
      <c r="N375" s="14">
        <f t="shared" si="76"/>
        <v>25.520140906778767</v>
      </c>
      <c r="O375" s="1">
        <f t="shared" si="77"/>
        <v>2.387069732668972</v>
      </c>
      <c r="P375" s="1">
        <f t="shared" si="78"/>
        <v>2164.5581769960681</v>
      </c>
      <c r="S375" s="6">
        <f t="shared" si="72"/>
        <v>0.47102658850058077</v>
      </c>
      <c r="T375" s="6">
        <f t="shared" si="73"/>
        <v>0.5289734114994199</v>
      </c>
      <c r="V375" s="1">
        <f t="shared" si="79"/>
        <v>106287.87908139129</v>
      </c>
      <c r="W375" s="7">
        <f t="shared" si="80"/>
        <v>-4.1786629753248448E-3</v>
      </c>
      <c r="X375" s="7">
        <f t="shared" si="81"/>
        <v>-4.0149894786954436E-3</v>
      </c>
      <c r="Y375">
        <f>LN(B375/B374)</f>
        <v>-9.3567811757558853E-3</v>
      </c>
      <c r="Z375">
        <f>LN(C375/C374)</f>
        <v>4.5489086586873213E-4</v>
      </c>
    </row>
    <row r="376" spans="1:26" x14ac:dyDescent="0.3">
      <c r="A376" s="11">
        <v>40730</v>
      </c>
      <c r="B376" s="12">
        <v>20789.05</v>
      </c>
      <c r="C376" s="12">
        <v>25.93601</v>
      </c>
      <c r="D376" s="16">
        <f t="shared" si="83"/>
        <v>-6.8529798160754662E-3</v>
      </c>
      <c r="E376" s="15">
        <f t="shared" si="82"/>
        <v>4.5555889863524435E-4</v>
      </c>
      <c r="G376" s="25" t="str">
        <f>IF(VLOOKUP(A376,Aux!B:C,2,FALSE)=0,"",VLOOKUP(A376,Aux!B:C,2,FALSE))</f>
        <v/>
      </c>
      <c r="H376" s="25" t="str">
        <f t="shared" si="71"/>
        <v/>
      </c>
      <c r="L376" s="13">
        <f t="shared" si="74"/>
        <v>105764.91455009361</v>
      </c>
      <c r="M376" s="14">
        <f t="shared" si="75"/>
        <v>-342.42515315136575</v>
      </c>
      <c r="N376" s="14">
        <f t="shared" si="76"/>
        <v>25.563432070324737</v>
      </c>
      <c r="O376" s="1">
        <f t="shared" si="77"/>
        <v>2.387069732668972</v>
      </c>
      <c r="P376" s="1">
        <f t="shared" si="78"/>
        <v>2164.5581769960681</v>
      </c>
      <c r="S376" s="6">
        <f t="shared" si="72"/>
        <v>0.46920013349453388</v>
      </c>
      <c r="T376" s="6">
        <f t="shared" si="73"/>
        <v>0.53079986650546684</v>
      </c>
      <c r="V376" s="1">
        <f t="shared" si="79"/>
        <v>105983.35544785384</v>
      </c>
      <c r="W376" s="7">
        <f t="shared" si="80"/>
        <v>-2.9914270186864158E-3</v>
      </c>
      <c r="X376" s="7">
        <f t="shared" si="81"/>
        <v>-2.8691955659764239E-3</v>
      </c>
      <c r="Y376">
        <f>LN(B376/B375)</f>
        <v>-6.8765693162737562E-3</v>
      </c>
      <c r="Z376">
        <f>LN(C376/C375)</f>
        <v>4.5545516318405764E-4</v>
      </c>
    </row>
    <row r="377" spans="1:26" x14ac:dyDescent="0.3">
      <c r="A377" s="9">
        <v>40731</v>
      </c>
      <c r="B377" s="1">
        <v>20670.78</v>
      </c>
      <c r="C377" s="1">
        <v>25.94781</v>
      </c>
      <c r="D377" s="6">
        <f t="shared" si="83"/>
        <v>-5.6890526503134975E-3</v>
      </c>
      <c r="E377" s="5">
        <f t="shared" si="82"/>
        <v>4.5496589490823247E-4</v>
      </c>
      <c r="G377" s="25" t="str">
        <f>IF(VLOOKUP(A377,Aux!B:C,2,FALSE)=0,"",VLOOKUP(A377,Aux!B:C,2,FALSE))</f>
        <v/>
      </c>
      <c r="H377" s="25" t="str">
        <f t="shared" si="71"/>
        <v/>
      </c>
      <c r="L377" s="13">
        <f t="shared" si="74"/>
        <v>105508.1375992994</v>
      </c>
      <c r="M377" s="14">
        <f t="shared" si="75"/>
        <v>-282.31873728276037</v>
      </c>
      <c r="N377" s="14">
        <f t="shared" si="76"/>
        <v>25.541786488555598</v>
      </c>
      <c r="O377" s="1">
        <f t="shared" si="77"/>
        <v>2.387069732668972</v>
      </c>
      <c r="P377" s="1">
        <f t="shared" si="78"/>
        <v>2164.5581769960681</v>
      </c>
      <c r="S377" s="6">
        <f t="shared" si="72"/>
        <v>0.46766623325352658</v>
      </c>
      <c r="T377" s="6">
        <f t="shared" si="73"/>
        <v>0.53233376674647415</v>
      </c>
      <c r="V377" s="1">
        <f t="shared" si="79"/>
        <v>105736.90058379291</v>
      </c>
      <c r="W377" s="7">
        <f t="shared" si="80"/>
        <v>-2.4307603323232515E-3</v>
      </c>
      <c r="X377" s="7">
        <f t="shared" si="81"/>
        <v>-2.3281190000295545E-3</v>
      </c>
      <c r="Y377">
        <f>LN(B377/B376)</f>
        <v>-5.7052969494218383E-3</v>
      </c>
      <c r="Z377">
        <f>LN(C377/C376)</f>
        <v>4.548624293064915E-4</v>
      </c>
    </row>
    <row r="378" spans="1:26" x14ac:dyDescent="0.3">
      <c r="A378" s="11">
        <v>40732</v>
      </c>
      <c r="B378" s="12">
        <v>20439.11</v>
      </c>
      <c r="C378" s="12">
        <v>25.959630000000001</v>
      </c>
      <c r="D378" s="16">
        <f t="shared" si="83"/>
        <v>-1.120760803414278E-2</v>
      </c>
      <c r="E378" s="15">
        <f t="shared" si="82"/>
        <v>4.5552977303287001E-4</v>
      </c>
      <c r="G378" s="25" t="str">
        <f>IF(VLOOKUP(A378,Aux!B:C,2,FALSE)=0,"",VLOOKUP(A378,Aux!B:C,2,FALSE))</f>
        <v/>
      </c>
      <c r="H378" s="25" t="str">
        <f t="shared" si="71"/>
        <v/>
      </c>
      <c r="L378" s="13">
        <f t="shared" si="74"/>
        <v>104980.71023198408</v>
      </c>
      <c r="M378" s="14">
        <f t="shared" si="75"/>
        <v>-553.01244496741663</v>
      </c>
      <c r="N378" s="14">
        <f t="shared" si="76"/>
        <v>25.585077652093879</v>
      </c>
      <c r="O378" s="1">
        <f t="shared" si="77"/>
        <v>2.387069732668972</v>
      </c>
      <c r="P378" s="1">
        <f t="shared" si="78"/>
        <v>2164.5581769960681</v>
      </c>
      <c r="S378" s="6">
        <f t="shared" si="72"/>
        <v>0.46474805453189988</v>
      </c>
      <c r="T378" s="6">
        <f t="shared" si="73"/>
        <v>0.53525194546810095</v>
      </c>
      <c r="V378" s="1">
        <f t="shared" si="79"/>
        <v>105228.87269562797</v>
      </c>
      <c r="W378" s="7">
        <f t="shared" si="80"/>
        <v>-5.0114623800723646E-3</v>
      </c>
      <c r="X378" s="7">
        <f t="shared" si="81"/>
        <v>-4.8162207763328526E-3</v>
      </c>
      <c r="Y378">
        <f>LN(B378/B377)</f>
        <v>-1.1270886517598099E-2</v>
      </c>
      <c r="Z378">
        <f>LN(C378/C377)</f>
        <v>4.5542605084364509E-4</v>
      </c>
    </row>
    <row r="379" spans="1:26" x14ac:dyDescent="0.3">
      <c r="A379" s="9">
        <v>40735</v>
      </c>
      <c r="B379" s="1">
        <v>20060.05</v>
      </c>
      <c r="C379" s="1">
        <v>25.971440000000001</v>
      </c>
      <c r="D379" s="6">
        <f t="shared" si="83"/>
        <v>-1.8545817308092238E-2</v>
      </c>
      <c r="E379" s="5">
        <f t="shared" si="82"/>
        <v>4.5493714663891183E-4</v>
      </c>
      <c r="G379" s="25" t="str">
        <f>IF(VLOOKUP(A379,Aux!B:C,2,FALSE)=0,"",VLOOKUP(A379,Aux!B:C,2,FALSE))</f>
        <v/>
      </c>
      <c r="H379" s="25" t="str">
        <f t="shared" si="71"/>
        <v/>
      </c>
      <c r="L379" s="13">
        <f t="shared" si="74"/>
        <v>104101.43101118891</v>
      </c>
      <c r="M379" s="14">
        <f t="shared" si="75"/>
        <v>-904.84265286550362</v>
      </c>
      <c r="N379" s="14">
        <f t="shared" si="76"/>
        <v>25.563432070324737</v>
      </c>
      <c r="O379" s="1">
        <f t="shared" si="77"/>
        <v>2.387069732668972</v>
      </c>
      <c r="P379" s="1">
        <f t="shared" si="78"/>
        <v>2164.5581769960681</v>
      </c>
      <c r="S379" s="6">
        <f t="shared" si="72"/>
        <v>0.45998155573557409</v>
      </c>
      <c r="T379" s="6">
        <f t="shared" si="73"/>
        <v>0.54001844426442658</v>
      </c>
      <c r="V379" s="1">
        <f t="shared" si="79"/>
        <v>104380.78855040862</v>
      </c>
      <c r="W379" s="7">
        <f t="shared" si="80"/>
        <v>-8.4108991724330239E-3</v>
      </c>
      <c r="X379" s="7">
        <f t="shared" si="81"/>
        <v>-8.0920771304747816E-3</v>
      </c>
      <c r="Y379">
        <f>LN(B379/B378)</f>
        <v>-1.8719947260040268E-2</v>
      </c>
      <c r="Z379">
        <f>LN(C379/C378)</f>
        <v>4.5483369411029206E-4</v>
      </c>
    </row>
    <row r="380" spans="1:26" x14ac:dyDescent="0.3">
      <c r="A380" s="11">
        <v>40736</v>
      </c>
      <c r="B380" s="12">
        <v>19894.8</v>
      </c>
      <c r="C380" s="12">
        <v>25.983260000000001</v>
      </c>
      <c r="D380" s="16">
        <f t="shared" si="83"/>
        <v>-8.2377661072629005E-3</v>
      </c>
      <c r="E380" s="15">
        <f t="shared" si="82"/>
        <v>4.5511531128039628E-4</v>
      </c>
      <c r="G380" s="25" t="str">
        <f>IF(VLOOKUP(A380,Aux!B:C,2,FALSE)=0,"",VLOOKUP(A380,Aux!B:C,2,FALSE))</f>
        <v/>
      </c>
      <c r="H380" s="25" t="str">
        <f t="shared" si="71"/>
        <v/>
      </c>
      <c r="L380" s="13">
        <f t="shared" si="74"/>
        <v>103732.55281551745</v>
      </c>
      <c r="M380" s="14">
        <f t="shared" si="75"/>
        <v>-394.46327332354764</v>
      </c>
      <c r="N380" s="14">
        <f t="shared" si="76"/>
        <v>25.585077652093879</v>
      </c>
      <c r="O380" s="1">
        <f t="shared" si="77"/>
        <v>2.387069732668972</v>
      </c>
      <c r="P380" s="1">
        <f t="shared" si="78"/>
        <v>2164.5581769960681</v>
      </c>
      <c r="S380" s="6">
        <f t="shared" si="72"/>
        <v>0.45781457824489735</v>
      </c>
      <c r="T380" s="6">
        <f t="shared" si="73"/>
        <v>0.54218542175510331</v>
      </c>
      <c r="V380" s="1">
        <f t="shared" si="79"/>
        <v>104025.99392562771</v>
      </c>
      <c r="W380" s="7">
        <f t="shared" si="80"/>
        <v>-3.5497426958022984E-3</v>
      </c>
      <c r="X380" s="7">
        <f t="shared" si="81"/>
        <v>-3.4048312950577453E-3</v>
      </c>
      <c r="Y380">
        <f>LN(B380/B379)</f>
        <v>-8.2718840018330131E-3</v>
      </c>
      <c r="Z380">
        <f>LN(C380/C379)</f>
        <v>4.5501177771906359E-4</v>
      </c>
    </row>
    <row r="381" spans="1:26" x14ac:dyDescent="0.3">
      <c r="A381" s="9">
        <v>40737</v>
      </c>
      <c r="B381" s="1">
        <v>20190.25</v>
      </c>
      <c r="C381" s="1">
        <v>25.995080000000002</v>
      </c>
      <c r="D381" s="6">
        <f t="shared" si="83"/>
        <v>1.4850614230854431E-2</v>
      </c>
      <c r="E381" s="5">
        <f t="shared" si="82"/>
        <v>4.5490827555894064E-4</v>
      </c>
      <c r="G381" s="25" t="str">
        <f>IF(VLOOKUP(A381,Aux!B:C,2,FALSE)=0,"",VLOOKUP(A381,Aux!B:C,2,FALSE))</f>
        <v/>
      </c>
      <c r="H381" s="25" t="str">
        <f t="shared" si="71"/>
        <v/>
      </c>
      <c r="L381" s="13">
        <f t="shared" si="74"/>
        <v>104463.39764568661</v>
      </c>
      <c r="M381" s="14">
        <f t="shared" si="75"/>
        <v>705.25975251704949</v>
      </c>
      <c r="N381" s="14">
        <f t="shared" si="76"/>
        <v>25.585077652093879</v>
      </c>
      <c r="O381" s="1">
        <f t="shared" si="77"/>
        <v>2.387069732668972</v>
      </c>
      <c r="P381" s="1">
        <f t="shared" si="78"/>
        <v>2164.5581769960681</v>
      </c>
      <c r="S381" s="6">
        <f t="shared" si="72"/>
        <v>0.46136288648667889</v>
      </c>
      <c r="T381" s="6">
        <f t="shared" si="73"/>
        <v>0.53863711351332166</v>
      </c>
      <c r="V381" s="1">
        <f t="shared" si="79"/>
        <v>104734.05031621904</v>
      </c>
      <c r="W381" s="7">
        <f t="shared" si="80"/>
        <v>7.02076894930678E-3</v>
      </c>
      <c r="X381" s="7">
        <f t="shared" si="81"/>
        <v>6.7834734208084072E-3</v>
      </c>
      <c r="Y381">
        <f>LN(B381/B380)</f>
        <v>1.4741423564311261E-2</v>
      </c>
      <c r="Z381">
        <f>LN(C381/C380)</f>
        <v>4.5480483615845856E-4</v>
      </c>
    </row>
    <row r="382" spans="1:26" x14ac:dyDescent="0.3">
      <c r="A382" s="11">
        <v>40738</v>
      </c>
      <c r="B382" s="12">
        <v>19889.55</v>
      </c>
      <c r="C382" s="12">
        <v>26.006930000000001</v>
      </c>
      <c r="D382" s="16">
        <f t="shared" si="83"/>
        <v>-1.4893327224774322E-2</v>
      </c>
      <c r="E382" s="15">
        <f t="shared" si="82"/>
        <v>4.5585549265481085E-4</v>
      </c>
      <c r="G382" s="25" t="str">
        <f>IF(VLOOKUP(A382,Aux!B:C,2,FALSE)=0,"",VLOOKUP(A382,Aux!B:C,2,FALSE))</f>
        <v/>
      </c>
      <c r="H382" s="25" t="str">
        <f t="shared" si="71"/>
        <v/>
      </c>
      <c r="L382" s="13">
        <f t="shared" si="74"/>
        <v>103771.25579147044</v>
      </c>
      <c r="M382" s="14">
        <f t="shared" si="75"/>
        <v>-717.79186861356163</v>
      </c>
      <c r="N382" s="14">
        <f t="shared" si="76"/>
        <v>25.650014397401304</v>
      </c>
      <c r="O382" s="1">
        <f t="shared" si="77"/>
        <v>2.387069732668972</v>
      </c>
      <c r="P382" s="1">
        <f t="shared" si="78"/>
        <v>2164.5581769960681</v>
      </c>
      <c r="S382" s="6">
        <f t="shared" si="72"/>
        <v>0.45752306300323892</v>
      </c>
      <c r="T382" s="6">
        <f t="shared" si="73"/>
        <v>0.5424769369967618</v>
      </c>
      <c r="V382" s="1">
        <f t="shared" si="79"/>
        <v>104066.83491734562</v>
      </c>
      <c r="W382" s="7">
        <f t="shared" si="80"/>
        <v>-6.6477350598410914E-3</v>
      </c>
      <c r="X382" s="7">
        <f t="shared" si="81"/>
        <v>-6.3909467540377157E-3</v>
      </c>
      <c r="Y382">
        <f>LN(B382/B381)</f>
        <v>-1.5005346440038588E-2</v>
      </c>
      <c r="Z382">
        <f>LN(C382/C381)</f>
        <v>4.5575162210516058E-4</v>
      </c>
    </row>
    <row r="383" spans="1:26" x14ac:dyDescent="0.3">
      <c r="A383" s="9">
        <v>40739</v>
      </c>
      <c r="B383" s="1">
        <v>19807.830000000002</v>
      </c>
      <c r="C383" s="1">
        <v>26.01877</v>
      </c>
      <c r="D383" s="6">
        <f t="shared" si="83"/>
        <v>-4.1086902418605575E-3</v>
      </c>
      <c r="E383" s="5">
        <f t="shared" si="82"/>
        <v>4.5526327021305768E-4</v>
      </c>
      <c r="G383" s="25" t="str">
        <f>IF(VLOOKUP(A383,Aux!B:C,2,FALSE)=0,"",VLOOKUP(A383,Aux!B:C,2,FALSE))</f>
        <v/>
      </c>
      <c r="H383" s="25" t="str">
        <f t="shared" si="71"/>
        <v/>
      </c>
      <c r="L383" s="13">
        <f t="shared" si="74"/>
        <v>103601.81282173235</v>
      </c>
      <c r="M383" s="14">
        <f t="shared" si="75"/>
        <v>-195.0713385537025</v>
      </c>
      <c r="N383" s="14">
        <f t="shared" si="76"/>
        <v>25.628368815632161</v>
      </c>
      <c r="O383" s="1">
        <f t="shared" si="77"/>
        <v>2.387069732668972</v>
      </c>
      <c r="P383" s="1">
        <f t="shared" si="78"/>
        <v>2164.5581769960681</v>
      </c>
      <c r="S383" s="6">
        <f t="shared" si="72"/>
        <v>0.45638845667895545</v>
      </c>
      <c r="T383" s="6">
        <f t="shared" si="73"/>
        <v>0.54361154332104533</v>
      </c>
      <c r="V383" s="1">
        <f t="shared" si="79"/>
        <v>103904.79166710898</v>
      </c>
      <c r="W383" s="7">
        <f t="shared" si="80"/>
        <v>-1.6341852737214915E-3</v>
      </c>
      <c r="X383" s="7">
        <f t="shared" si="81"/>
        <v>-1.5583210622484749E-3</v>
      </c>
      <c r="Y383">
        <f>LN(B383/B382)</f>
        <v>-4.1171541011516769E-3</v>
      </c>
      <c r="Z383">
        <f>LN(C383/C382)</f>
        <v>4.5515966933304614E-4</v>
      </c>
    </row>
    <row r="384" spans="1:26" x14ac:dyDescent="0.3">
      <c r="A384" s="11">
        <v>40742</v>
      </c>
      <c r="B384" s="12">
        <v>19635.439999999999</v>
      </c>
      <c r="C384" s="12">
        <v>26.030619999999999</v>
      </c>
      <c r="D384" s="16">
        <f t="shared" si="83"/>
        <v>-8.7031239666335303E-3</v>
      </c>
      <c r="E384" s="15">
        <f t="shared" si="82"/>
        <v>4.5544043780698651E-4</v>
      </c>
      <c r="G384" s="25" t="str">
        <f>IF(VLOOKUP(A384,Aux!B:C,2,FALSE)=0,"",VLOOKUP(A384,Aux!B:C,2,FALSE))</f>
        <v/>
      </c>
      <c r="H384" s="25" t="str">
        <f t="shared" si="71"/>
        <v/>
      </c>
      <c r="L384" s="13">
        <f t="shared" si="74"/>
        <v>103215.95588491493</v>
      </c>
      <c r="M384" s="14">
        <f t="shared" si="75"/>
        <v>-411.50695121481141</v>
      </c>
      <c r="N384" s="14">
        <f t="shared" si="76"/>
        <v>25.650014397401304</v>
      </c>
      <c r="O384" s="1">
        <f t="shared" si="77"/>
        <v>2.387069732668972</v>
      </c>
      <c r="P384" s="1">
        <f t="shared" si="78"/>
        <v>2164.5581769960681</v>
      </c>
      <c r="S384" s="6">
        <f t="shared" si="72"/>
        <v>0.45410774051154124</v>
      </c>
      <c r="T384" s="6">
        <f t="shared" si="73"/>
        <v>0.54589225948845965</v>
      </c>
      <c r="V384" s="1">
        <f t="shared" si="79"/>
        <v>103533.59192654336</v>
      </c>
      <c r="W384" s="7">
        <f t="shared" si="80"/>
        <v>-3.7313755672550367E-3</v>
      </c>
      <c r="X384" s="7">
        <f t="shared" si="81"/>
        <v>-3.5788953841999261E-3</v>
      </c>
      <c r="Y384">
        <f>LN(B384/B383)</f>
        <v>-8.7412173319223498E-3</v>
      </c>
      <c r="Z384">
        <f>LN(C384/C383)</f>
        <v>4.5533675629010073E-4</v>
      </c>
    </row>
    <row r="385" spans="1:26" x14ac:dyDescent="0.3">
      <c r="A385" s="9">
        <v>40743</v>
      </c>
      <c r="B385" s="1">
        <v>19709.53</v>
      </c>
      <c r="C385" s="1">
        <v>26.042480000000001</v>
      </c>
      <c r="D385" s="6">
        <f t="shared" si="83"/>
        <v>3.7732793357316829E-3</v>
      </c>
      <c r="E385" s="5">
        <f t="shared" si="82"/>
        <v>4.5561726920073653E-4</v>
      </c>
      <c r="G385" s="25" t="str">
        <f>IF(VLOOKUP(A385,Aux!B:C,2,FALSE)=0,"",VLOOKUP(A385,Aux!B:C,2,FALSE))</f>
        <v/>
      </c>
      <c r="H385" s="25" t="str">
        <f t="shared" si="71"/>
        <v/>
      </c>
      <c r="L385" s="13">
        <f t="shared" si="74"/>
        <v>103418.48554138756</v>
      </c>
      <c r="M385" s="14">
        <f t="shared" si="75"/>
        <v>176.85799649344449</v>
      </c>
      <c r="N385" s="14">
        <f t="shared" si="76"/>
        <v>25.671659979178134</v>
      </c>
      <c r="O385" s="1">
        <f t="shared" si="77"/>
        <v>2.387069732668972</v>
      </c>
      <c r="P385" s="1">
        <f t="shared" si="78"/>
        <v>2164.5581769960681</v>
      </c>
      <c r="S385" s="6">
        <f t="shared" si="72"/>
        <v>0.45492855809905181</v>
      </c>
      <c r="T385" s="6">
        <f t="shared" si="73"/>
        <v>0.54507144190094903</v>
      </c>
      <c r="V385" s="1">
        <f t="shared" si="79"/>
        <v>103731.05253921892</v>
      </c>
      <c r="W385" s="7">
        <f t="shared" si="80"/>
        <v>1.9602707073329271E-3</v>
      </c>
      <c r="X385" s="7">
        <f t="shared" si="81"/>
        <v>1.9053965805424552E-3</v>
      </c>
      <c r="Y385">
        <f>LN(B385/B384)</f>
        <v>3.7661783742609658E-3</v>
      </c>
      <c r="Z385">
        <f>LN(C385/C384)</f>
        <v>4.5551350716872564E-4</v>
      </c>
    </row>
    <row r="386" spans="1:26" x14ac:dyDescent="0.3">
      <c r="A386" s="11">
        <v>40744</v>
      </c>
      <c r="B386" s="12">
        <v>19715.25</v>
      </c>
      <c r="C386" s="12">
        <v>26.05433</v>
      </c>
      <c r="D386" s="16">
        <f t="shared" si="83"/>
        <v>2.9021493663217157E-4</v>
      </c>
      <c r="E386" s="15">
        <f t="shared" si="82"/>
        <v>4.5502578863443333E-4</v>
      </c>
      <c r="G386" s="25" t="str">
        <f>IF(VLOOKUP(A386,Aux!B:C,2,FALSE)=0,"",VLOOKUP(A386,Aux!B:C,2,FALSE))</f>
        <v/>
      </c>
      <c r="H386" s="25" t="str">
        <f t="shared" si="71"/>
        <v/>
      </c>
      <c r="L386" s="13">
        <f t="shared" si="74"/>
        <v>103457.78959465583</v>
      </c>
      <c r="M386" s="14">
        <f t="shared" si="75"/>
        <v>13.654038870869298</v>
      </c>
      <c r="N386" s="14">
        <f t="shared" si="76"/>
        <v>25.650014397401304</v>
      </c>
      <c r="O386" s="1">
        <f t="shared" si="77"/>
        <v>2.387069732668972</v>
      </c>
      <c r="P386" s="1">
        <f t="shared" si="78"/>
        <v>2164.5581769960681</v>
      </c>
      <c r="S386" s="6">
        <f t="shared" si="72"/>
        <v>0.45488770571445641</v>
      </c>
      <c r="T386" s="6">
        <f t="shared" si="73"/>
        <v>0.54511229428554453</v>
      </c>
      <c r="V386" s="1">
        <f t="shared" si="79"/>
        <v>103770.75879897446</v>
      </c>
      <c r="W386" s="7">
        <f t="shared" si="80"/>
        <v>3.7997642518764732E-4</v>
      </c>
      <c r="X386" s="7">
        <f t="shared" si="81"/>
        <v>3.8270760128906003E-4</v>
      </c>
      <c r="Y386">
        <f>LN(B386/B385)</f>
        <v>2.9017283242343254E-4</v>
      </c>
      <c r="Z386">
        <f>LN(C386/C385)</f>
        <v>4.5492229579368964E-4</v>
      </c>
    </row>
    <row r="387" spans="1:26" x14ac:dyDescent="0.3">
      <c r="A387" s="9">
        <v>40745</v>
      </c>
      <c r="B387" s="1">
        <v>20015.29</v>
      </c>
      <c r="C387" s="1">
        <v>26.066189999999999</v>
      </c>
      <c r="D387" s="6">
        <f t="shared" si="83"/>
        <v>1.5218675898099221E-2</v>
      </c>
      <c r="E387" s="5">
        <f t="shared" si="82"/>
        <v>4.5520264769804974E-4</v>
      </c>
      <c r="G387" s="25" t="str">
        <f>IF(VLOOKUP(A387,Aux!B:C,2,FALSE)=0,"",VLOOKUP(A387,Aux!B:C,2,FALSE))</f>
        <v/>
      </c>
      <c r="H387" s="25" t="str">
        <f t="shared" ref="H387:H450" si="84">IF(ISNUMBER(G387),1-G387,"")</f>
        <v/>
      </c>
      <c r="L387" s="13">
        <f t="shared" si="74"/>
        <v>104199.67765722499</v>
      </c>
      <c r="M387" s="14">
        <f t="shared" si="75"/>
        <v>716.21640259000048</v>
      </c>
      <c r="N387" s="14">
        <f t="shared" si="76"/>
        <v>25.671659979170446</v>
      </c>
      <c r="O387" s="1">
        <f t="shared" si="77"/>
        <v>2.387069732668972</v>
      </c>
      <c r="P387" s="1">
        <f t="shared" si="78"/>
        <v>2164.5581769960681</v>
      </c>
      <c r="S387" s="6">
        <f t="shared" ref="S387:S450" si="85">O387*B387/L387</f>
        <v>0.45852246402106916</v>
      </c>
      <c r="T387" s="6">
        <f t="shared" ref="T387:T450" si="86">P387*C387/L387</f>
        <v>0.54147753597893178</v>
      </c>
      <c r="V387" s="1">
        <f t="shared" si="79"/>
        <v>104489.49396542332</v>
      </c>
      <c r="W387" s="7">
        <f t="shared" si="80"/>
        <v>7.1453362969369017E-3</v>
      </c>
      <c r="X387" s="7">
        <f t="shared" si="81"/>
        <v>6.9023062288125049E-3</v>
      </c>
      <c r="Y387">
        <f>LN(B387/B386)</f>
        <v>1.5104033523554891E-2</v>
      </c>
      <c r="Z387">
        <f>LN(C387/C386)</f>
        <v>4.5509907440284753E-4</v>
      </c>
    </row>
    <row r="388" spans="1:26" x14ac:dyDescent="0.3">
      <c r="A388" s="11">
        <v>40746</v>
      </c>
      <c r="B388" s="12">
        <v>20023.09</v>
      </c>
      <c r="C388" s="12">
        <v>26.078289999999999</v>
      </c>
      <c r="D388" s="16">
        <f t="shared" si="83"/>
        <v>3.8970207276523006E-4</v>
      </c>
      <c r="E388" s="15">
        <f t="shared" si="82"/>
        <v>4.642028620216454E-4</v>
      </c>
      <c r="G388" s="25" t="str">
        <f>IF(VLOOKUP(A388,Aux!B:C,2,FALSE)=0,"",VLOOKUP(A388,Aux!B:C,2,FALSE))</f>
        <v/>
      </c>
      <c r="H388" s="25" t="str">
        <f t="shared" si="84"/>
        <v/>
      </c>
      <c r="L388" s="13">
        <f t="shared" ref="L388:L451" si="87">L387+M388+N388</f>
        <v>104244.48795508145</v>
      </c>
      <c r="M388" s="14">
        <f t="shared" ref="M388:M451" si="88">O387*(B388-B387)</f>
        <v>18.619143914816245</v>
      </c>
      <c r="N388" s="14">
        <f t="shared" ref="N388:N451" si="89">P387*(C388-C387)</f>
        <v>26.191153941652903</v>
      </c>
      <c r="O388" s="1">
        <f t="shared" ref="O388:O451" si="90">IF(ISNUMBER(G388),L388*G388/B388,O387)</f>
        <v>2.387069732668972</v>
      </c>
      <c r="P388" s="1">
        <f t="shared" ref="P388:P451" si="91">IF(ISNUMBER(H388),L388*H388/C388,P387)</f>
        <v>2164.5581769960681</v>
      </c>
      <c r="S388" s="6">
        <f t="shared" si="85"/>
        <v>0.4585039749449592</v>
      </c>
      <c r="T388" s="6">
        <f t="shared" si="86"/>
        <v>0.5414960250550418</v>
      </c>
      <c r="V388" s="1">
        <f t="shared" ref="V388:V451" si="92">$O$2*B388+$P$2*C388</f>
        <v>104534.55814105301</v>
      </c>
      <c r="W388" s="7">
        <f t="shared" ref="W388:W451" si="93">LN(L388/L387)</f>
        <v>4.2995013475303963E-4</v>
      </c>
      <c r="X388" s="7">
        <f t="shared" ref="X388:X451" si="94">LN(V388/V387)</f>
        <v>4.3118651536760668E-4</v>
      </c>
      <c r="Y388">
        <f>LN(B388/B387)</f>
        <v>3.8962615863442701E-4</v>
      </c>
      <c r="Z388">
        <f>LN(C388/C387)</f>
        <v>4.6409515320429596E-4</v>
      </c>
    </row>
    <row r="389" spans="1:26" x14ac:dyDescent="0.3">
      <c r="A389" s="9">
        <v>40749</v>
      </c>
      <c r="B389" s="1">
        <v>19952.8</v>
      </c>
      <c r="C389" s="1">
        <v>26.09038</v>
      </c>
      <c r="D389" s="6">
        <f t="shared" si="83"/>
        <v>-3.5104471887206223E-3</v>
      </c>
      <c r="E389" s="5">
        <f t="shared" ref="E389:E452" si="95">C389/C388-1</f>
        <v>4.6360401698120057E-4</v>
      </c>
      <c r="G389" s="25" t="str">
        <f>IF(VLOOKUP(A389,Aux!B:C,2,FALSE)=0,"",VLOOKUP(A389,Aux!B:C,2,FALSE))</f>
        <v/>
      </c>
      <c r="H389" s="25" t="str">
        <f t="shared" si="84"/>
        <v/>
      </c>
      <c r="L389" s="13">
        <f t="shared" si="87"/>
        <v>104102.87033193203</v>
      </c>
      <c r="M389" s="14">
        <f t="shared" si="88"/>
        <v>-167.78713150930412</v>
      </c>
      <c r="N389" s="14">
        <f t="shared" si="89"/>
        <v>26.169508359883764</v>
      </c>
      <c r="O389" s="1">
        <f t="shared" si="90"/>
        <v>2.387069732668972</v>
      </c>
      <c r="P389" s="1">
        <f t="shared" si="91"/>
        <v>2164.5581769960681</v>
      </c>
      <c r="S389" s="6">
        <f t="shared" si="85"/>
        <v>0.45751596291373386</v>
      </c>
      <c r="T389" s="6">
        <f t="shared" si="86"/>
        <v>0.54248403708626713</v>
      </c>
      <c r="V389" s="1">
        <f t="shared" si="92"/>
        <v>104399.44358375529</v>
      </c>
      <c r="W389" s="7">
        <f t="shared" si="93"/>
        <v>-1.3594378745545403E-3</v>
      </c>
      <c r="X389" s="7">
        <f t="shared" si="94"/>
        <v>-1.2933708732649953E-3</v>
      </c>
      <c r="Y389">
        <f>LN(B389/B388)</f>
        <v>-3.5166232665526237E-3</v>
      </c>
      <c r="Z389">
        <f>LN(C389/C388)</f>
        <v>4.6349658584130958E-4</v>
      </c>
    </row>
    <row r="390" spans="1:26" x14ac:dyDescent="0.3">
      <c r="A390" s="11">
        <v>40750</v>
      </c>
      <c r="B390" s="12">
        <v>19842.240000000002</v>
      </c>
      <c r="C390" s="12">
        <v>26.102499999999999</v>
      </c>
      <c r="D390" s="16">
        <f t="shared" si="83"/>
        <v>-5.5410769415820127E-3</v>
      </c>
      <c r="E390" s="15">
        <f t="shared" si="95"/>
        <v>4.6453903699372745E-4</v>
      </c>
      <c r="G390" s="25" t="str">
        <f>IF(VLOOKUP(A390,Aux!B:C,2,FALSE)=0,"",VLOOKUP(A390,Aux!B:C,2,FALSE))</f>
        <v/>
      </c>
      <c r="H390" s="25" t="str">
        <f t="shared" si="84"/>
        <v/>
      </c>
      <c r="L390" s="13">
        <f t="shared" si="87"/>
        <v>103865.19034739335</v>
      </c>
      <c r="M390" s="14">
        <f t="shared" si="88"/>
        <v>-263.91442964387602</v>
      </c>
      <c r="N390" s="14">
        <f t="shared" si="89"/>
        <v>26.234445105191188</v>
      </c>
      <c r="O390" s="1">
        <f t="shared" si="90"/>
        <v>2.387069732668972</v>
      </c>
      <c r="P390" s="1">
        <f t="shared" si="91"/>
        <v>2164.5581769960681</v>
      </c>
      <c r="S390" s="6">
        <f t="shared" si="85"/>
        <v>0.45602198748141298</v>
      </c>
      <c r="T390" s="6">
        <f t="shared" si="86"/>
        <v>0.54397801251858802</v>
      </c>
      <c r="V390" s="1">
        <f t="shared" si="92"/>
        <v>104171.49184177927</v>
      </c>
      <c r="W390" s="7">
        <f t="shared" si="93"/>
        <v>-2.2857364466833943E-3</v>
      </c>
      <c r="X390" s="7">
        <f t="shared" si="94"/>
        <v>-2.1858446602078013E-3</v>
      </c>
      <c r="Y390">
        <f>LN(B390/B389)</f>
        <v>-5.5564856553587455E-3</v>
      </c>
      <c r="Z390">
        <f>LN(C390/C389)</f>
        <v>4.6443117213894628E-4</v>
      </c>
    </row>
    <row r="391" spans="1:26" x14ac:dyDescent="0.3">
      <c r="A391" s="9">
        <v>40751</v>
      </c>
      <c r="B391" s="1">
        <v>19548.18</v>
      </c>
      <c r="C391" s="1">
        <v>26.114609999999999</v>
      </c>
      <c r="D391" s="6">
        <f t="shared" si="83"/>
        <v>-1.4819899366200651E-2</v>
      </c>
      <c r="E391" s="5">
        <f t="shared" si="95"/>
        <v>4.6394023560969444E-4</v>
      </c>
      <c r="G391" s="25" t="str">
        <f>IF(VLOOKUP(A391,Aux!B:C,2,FALSE)=0,"",VLOOKUP(A391,Aux!B:C,2,FALSE))</f>
        <v/>
      </c>
      <c r="H391" s="25" t="str">
        <f t="shared" si="84"/>
        <v/>
      </c>
      <c r="L391" s="13">
        <f t="shared" si="87"/>
        <v>103189.46142132813</v>
      </c>
      <c r="M391" s="14">
        <f t="shared" si="88"/>
        <v>-701.94172558864102</v>
      </c>
      <c r="N391" s="14">
        <f t="shared" si="89"/>
        <v>26.212799523422046</v>
      </c>
      <c r="O391" s="1">
        <f t="shared" si="90"/>
        <v>2.387069732668972</v>
      </c>
      <c r="P391" s="1">
        <f t="shared" si="91"/>
        <v>2164.5581769960681</v>
      </c>
      <c r="S391" s="6">
        <f t="shared" si="85"/>
        <v>0.45220575981337807</v>
      </c>
      <c r="T391" s="6">
        <f t="shared" si="86"/>
        <v>0.54779424018662304</v>
      </c>
      <c r="V391" s="1">
        <f t="shared" si="92"/>
        <v>103520.17680961429</v>
      </c>
      <c r="W391" s="7">
        <f t="shared" si="93"/>
        <v>-6.5270818045998959E-3</v>
      </c>
      <c r="X391" s="7">
        <f t="shared" si="94"/>
        <v>-6.2719623900711046E-3</v>
      </c>
      <c r="Y391">
        <f>LN(B391/B390)</f>
        <v>-1.4930811240798918E-2</v>
      </c>
      <c r="Z391">
        <f>LN(C391/C390)</f>
        <v>4.6383264861325714E-4</v>
      </c>
    </row>
    <row r="392" spans="1:26" x14ac:dyDescent="0.3">
      <c r="A392" s="11">
        <v>40752</v>
      </c>
      <c r="B392" s="12">
        <v>19670.23</v>
      </c>
      <c r="C392" s="12">
        <v>26.126729999999998</v>
      </c>
      <c r="D392" s="16">
        <f t="shared" si="83"/>
        <v>6.2435479927032134E-3</v>
      </c>
      <c r="E392" s="15">
        <f t="shared" si="95"/>
        <v>4.6410802229090997E-4</v>
      </c>
      <c r="G392" s="25" t="str">
        <f>IF(VLOOKUP(A392,Aux!B:C,2,FALSE)=0,"",VLOOKUP(A392,Aux!B:C,2,FALSE))</f>
        <v/>
      </c>
      <c r="H392" s="25" t="str">
        <f t="shared" si="84"/>
        <v/>
      </c>
      <c r="L392" s="13">
        <f t="shared" si="87"/>
        <v>103507.03772730556</v>
      </c>
      <c r="M392" s="14">
        <f t="shared" si="88"/>
        <v>291.34186087224629</v>
      </c>
      <c r="N392" s="14">
        <f t="shared" si="89"/>
        <v>26.234445105191188</v>
      </c>
      <c r="O392" s="1">
        <f t="shared" si="90"/>
        <v>2.387069732668972</v>
      </c>
      <c r="P392" s="1">
        <f t="shared" si="91"/>
        <v>2164.5581769960681</v>
      </c>
      <c r="S392" s="6">
        <f t="shared" si="85"/>
        <v>0.45363302533437766</v>
      </c>
      <c r="T392" s="6">
        <f t="shared" si="86"/>
        <v>0.54636697466562334</v>
      </c>
      <c r="V392" s="1">
        <f t="shared" si="92"/>
        <v>103828.8644743796</v>
      </c>
      <c r="W392" s="7">
        <f t="shared" si="93"/>
        <v>3.0728779363019239E-3</v>
      </c>
      <c r="X392" s="7">
        <f t="shared" si="94"/>
        <v>2.9774711366433496E-3</v>
      </c>
      <c r="Y392">
        <f>LN(B392/B391)</f>
        <v>6.2241377973622425E-3</v>
      </c>
      <c r="Z392">
        <f>LN(C392/C391)</f>
        <v>4.6400035747351482E-4</v>
      </c>
    </row>
    <row r="393" spans="1:26" x14ac:dyDescent="0.3">
      <c r="A393" s="9">
        <v>40753</v>
      </c>
      <c r="B393" s="1">
        <v>19705.009999999998</v>
      </c>
      <c r="C393" s="1">
        <v>26.138850000000001</v>
      </c>
      <c r="D393" s="6">
        <f t="shared" si="83"/>
        <v>1.7681542107030879E-3</v>
      </c>
      <c r="E393" s="5">
        <f t="shared" si="95"/>
        <v>4.638927259554837E-4</v>
      </c>
      <c r="G393" s="25" t="str">
        <f>IF(VLOOKUP(A393,Aux!B:C,2,FALSE)=0,"",VLOOKUP(A393,Aux!B:C,2,FALSE))</f>
        <v/>
      </c>
      <c r="H393" s="25" t="str">
        <f t="shared" si="84"/>
        <v/>
      </c>
      <c r="L393" s="13">
        <f t="shared" si="87"/>
        <v>103616.294457713</v>
      </c>
      <c r="M393" s="14">
        <f t="shared" si="88"/>
        <v>83.022285302224063</v>
      </c>
      <c r="N393" s="14">
        <f t="shared" si="89"/>
        <v>26.234445105198876</v>
      </c>
      <c r="O393" s="1">
        <f t="shared" si="90"/>
        <v>2.387069732668972</v>
      </c>
      <c r="P393" s="1">
        <f t="shared" si="91"/>
        <v>2164.5581769960681</v>
      </c>
      <c r="S393" s="6">
        <f t="shared" si="85"/>
        <v>0.45395594582023829</v>
      </c>
      <c r="T393" s="6">
        <f t="shared" si="86"/>
        <v>0.54604405417976265</v>
      </c>
      <c r="V393" s="1">
        <f t="shared" si="92"/>
        <v>103936.217196424</v>
      </c>
      <c r="W393" s="7">
        <f t="shared" si="93"/>
        <v>1.0549921091795058E-3</v>
      </c>
      <c r="X393" s="7">
        <f t="shared" si="94"/>
        <v>1.0334049469220223E-3</v>
      </c>
      <c r="Y393">
        <f>LN(B393/B392)</f>
        <v>1.7665928662409344E-3</v>
      </c>
      <c r="Z393">
        <f>LN(C393/C392)</f>
        <v>4.6378516098933772E-4</v>
      </c>
    </row>
    <row r="394" spans="1:26" x14ac:dyDescent="0.3">
      <c r="A394" s="11">
        <v>40756</v>
      </c>
      <c r="B394" s="12">
        <v>19656.060000000001</v>
      </c>
      <c r="C394" s="12">
        <v>26.150980000000001</v>
      </c>
      <c r="D394" s="16">
        <f t="shared" si="83"/>
        <v>-2.4841398202790632E-3</v>
      </c>
      <c r="E394" s="15">
        <f t="shared" si="95"/>
        <v>4.6406020157729877E-4</v>
      </c>
      <c r="G394" s="25" t="str">
        <f>IF(VLOOKUP(A394,Aux!B:C,2,FALSE)=0,"",VLOOKUP(A394,Aux!B:C,2,FALSE))</f>
        <v/>
      </c>
      <c r="H394" s="25" t="str">
        <f t="shared" si="84"/>
        <v/>
      </c>
      <c r="L394" s="13">
        <f t="shared" si="87"/>
        <v>103525.70348498582</v>
      </c>
      <c r="M394" s="14">
        <f t="shared" si="88"/>
        <v>-116.84706341413923</v>
      </c>
      <c r="N394" s="14">
        <f t="shared" si="89"/>
        <v>26.256090686960327</v>
      </c>
      <c r="O394" s="1">
        <f t="shared" si="90"/>
        <v>2.387069732668972</v>
      </c>
      <c r="P394" s="1">
        <f t="shared" si="91"/>
        <v>2164.5581769960681</v>
      </c>
      <c r="S394" s="6">
        <f t="shared" si="85"/>
        <v>0.45322450666882041</v>
      </c>
      <c r="T394" s="6">
        <f t="shared" si="86"/>
        <v>0.54677549333118058</v>
      </c>
      <c r="V394" s="1">
        <f t="shared" si="92"/>
        <v>103850.42425090192</v>
      </c>
      <c r="W394" s="7">
        <f t="shared" si="93"/>
        <v>-8.7467514461104915E-4</v>
      </c>
      <c r="X394" s="7">
        <f t="shared" si="94"/>
        <v>-8.2577926857809532E-4</v>
      </c>
      <c r="Y394">
        <f>LN(B394/B393)</f>
        <v>-2.4872304149762717E-3</v>
      </c>
      <c r="Z394">
        <f>LN(C394/C393)</f>
        <v>4.6395255894244247E-4</v>
      </c>
    </row>
    <row r="395" spans="1:26" x14ac:dyDescent="0.3">
      <c r="A395" s="9">
        <v>40757</v>
      </c>
      <c r="B395" s="1">
        <v>19216.84</v>
      </c>
      <c r="C395" s="1">
        <v>26.163119999999999</v>
      </c>
      <c r="D395" s="6">
        <f t="shared" si="83"/>
        <v>-2.2345271636330044E-2</v>
      </c>
      <c r="E395" s="5">
        <f t="shared" si="95"/>
        <v>4.6422734444373503E-4</v>
      </c>
      <c r="G395" s="25" t="str">
        <f>IF(VLOOKUP(A395,Aux!B:C,2,FALSE)=0,"",VLOOKUP(A395,Aux!B:C,2,FALSE))</f>
        <v/>
      </c>
      <c r="H395" s="25" t="str">
        <f t="shared" si="84"/>
        <v/>
      </c>
      <c r="L395" s="13">
        <f t="shared" si="87"/>
        <v>102503.53245327168</v>
      </c>
      <c r="M395" s="14">
        <f t="shared" si="88"/>
        <v>-1048.4487679828687</v>
      </c>
      <c r="N395" s="14">
        <f t="shared" si="89"/>
        <v>26.27773626872947</v>
      </c>
      <c r="O395" s="1">
        <f t="shared" si="90"/>
        <v>2.387069732668972</v>
      </c>
      <c r="P395" s="1">
        <f t="shared" si="91"/>
        <v>2164.5581769960681</v>
      </c>
      <c r="S395" s="6">
        <f t="shared" si="85"/>
        <v>0.44751567115459234</v>
      </c>
      <c r="T395" s="6">
        <f t="shared" si="86"/>
        <v>0.55248432884540866</v>
      </c>
      <c r="V395" s="1">
        <f t="shared" si="92"/>
        <v>102864.28713498681</v>
      </c>
      <c r="W395" s="7">
        <f t="shared" si="93"/>
        <v>-9.9226637801704074E-3</v>
      </c>
      <c r="X395" s="7">
        <f t="shared" si="94"/>
        <v>-9.5411167420367659E-3</v>
      </c>
      <c r="Y395">
        <f>LN(B395/B394)</f>
        <v>-2.2598709763031001E-2</v>
      </c>
      <c r="Z395">
        <f>LN(C395/C394)</f>
        <v>4.6411962426654886E-4</v>
      </c>
    </row>
    <row r="396" spans="1:26" x14ac:dyDescent="0.3">
      <c r="A396" s="11">
        <v>40758</v>
      </c>
      <c r="B396" s="12">
        <v>18822.28</v>
      </c>
      <c r="C396" s="12">
        <v>26.175260000000002</v>
      </c>
      <c r="D396" s="16">
        <f t="shared" si="83"/>
        <v>-2.053199173225162E-2</v>
      </c>
      <c r="E396" s="15">
        <f t="shared" si="95"/>
        <v>4.6401193741418822E-4</v>
      </c>
      <c r="G396" s="25" t="str">
        <f>IF(VLOOKUP(A396,Aux!B:C,2,FALSE)=0,"",VLOOKUP(A396,Aux!B:C,2,FALSE))</f>
        <v/>
      </c>
      <c r="H396" s="25" t="str">
        <f t="shared" si="84"/>
        <v/>
      </c>
      <c r="L396" s="13">
        <f t="shared" si="87"/>
        <v>101587.96795581853</v>
      </c>
      <c r="M396" s="14">
        <f t="shared" si="88"/>
        <v>-941.84223372187273</v>
      </c>
      <c r="N396" s="14">
        <f t="shared" si="89"/>
        <v>26.277736268737158</v>
      </c>
      <c r="O396" s="1">
        <f t="shared" si="90"/>
        <v>2.387069732668972</v>
      </c>
      <c r="P396" s="1">
        <f t="shared" si="91"/>
        <v>2164.5581769960681</v>
      </c>
      <c r="S396" s="6">
        <f t="shared" si="85"/>
        <v>0.44227772040248919</v>
      </c>
      <c r="T396" s="6">
        <f t="shared" si="86"/>
        <v>0.55772227959751197</v>
      </c>
      <c r="V396" s="1">
        <f t="shared" si="92"/>
        <v>101981.18220128687</v>
      </c>
      <c r="W396" s="7">
        <f t="shared" si="93"/>
        <v>-8.9721584435715103E-3</v>
      </c>
      <c r="X396" s="7">
        <f t="shared" si="94"/>
        <v>-8.6222107579430728E-3</v>
      </c>
      <c r="Y396">
        <f>LN(B396/B395)</f>
        <v>-2.0745703419602454E-2</v>
      </c>
      <c r="Z396">
        <f>LN(C396/C395)</f>
        <v>4.6390431716525663E-4</v>
      </c>
    </row>
    <row r="397" spans="1:26" x14ac:dyDescent="0.3">
      <c r="A397" s="9">
        <v>40759</v>
      </c>
      <c r="B397" s="1">
        <v>17868.5</v>
      </c>
      <c r="C397" s="1">
        <v>26.1874</v>
      </c>
      <c r="D397" s="6">
        <f t="shared" si="83"/>
        <v>-5.0672925915457578E-2</v>
      </c>
      <c r="E397" s="5">
        <f t="shared" si="95"/>
        <v>4.6379673019480983E-4</v>
      </c>
      <c r="G397" s="25" t="str">
        <f>IF(VLOOKUP(A397,Aux!B:C,2,FALSE)=0,"",VLOOKUP(A397,Aux!B:C,2,FALSE))</f>
        <v/>
      </c>
      <c r="H397" s="25" t="str">
        <f t="shared" si="84"/>
        <v/>
      </c>
      <c r="L397" s="13">
        <f t="shared" si="87"/>
        <v>99337.506322462257</v>
      </c>
      <c r="M397" s="14">
        <f t="shared" si="88"/>
        <v>-2276.7393696250092</v>
      </c>
      <c r="N397" s="14">
        <f t="shared" si="89"/>
        <v>26.27773626872947</v>
      </c>
      <c r="O397" s="1">
        <f t="shared" si="90"/>
        <v>2.387069732668972</v>
      </c>
      <c r="P397" s="1">
        <f t="shared" si="91"/>
        <v>2164.5581769960681</v>
      </c>
      <c r="S397" s="6">
        <f t="shared" si="85"/>
        <v>0.42937815833364362</v>
      </c>
      <c r="T397" s="6">
        <f t="shared" si="86"/>
        <v>0.57062184166635743</v>
      </c>
      <c r="V397" s="1">
        <f t="shared" si="92"/>
        <v>99807.937165966636</v>
      </c>
      <c r="W397" s="7">
        <f t="shared" si="93"/>
        <v>-2.240189558723037E-2</v>
      </c>
      <c r="X397" s="7">
        <f t="shared" si="94"/>
        <v>-2.1540597165421033E-2</v>
      </c>
      <c r="Y397">
        <f>LN(B397/B396)</f>
        <v>-5.2001888449938208E-2</v>
      </c>
      <c r="Z397">
        <f>LN(C397/C396)</f>
        <v>4.6368920973514726E-4</v>
      </c>
    </row>
    <row r="398" spans="1:26" x14ac:dyDescent="0.3">
      <c r="A398" s="11">
        <v>40760</v>
      </c>
      <c r="B398" s="12">
        <v>17863.43</v>
      </c>
      <c r="C398" s="12">
        <v>26.199549999999999</v>
      </c>
      <c r="D398" s="16">
        <f t="shared" si="83"/>
        <v>-2.837395416515065E-4</v>
      </c>
      <c r="E398" s="15">
        <f t="shared" si="95"/>
        <v>4.6396358554101624E-4</v>
      </c>
      <c r="G398" s="25" t="str">
        <f>IF(VLOOKUP(A398,Aux!B:C,2,FALSE)=0,"",VLOOKUP(A398,Aux!B:C,2,FALSE))</f>
        <v/>
      </c>
      <c r="H398" s="25" t="str">
        <f t="shared" si="84"/>
        <v/>
      </c>
      <c r="L398" s="13">
        <f t="shared" si="87"/>
        <v>99351.703260768132</v>
      </c>
      <c r="M398" s="14">
        <f t="shared" si="88"/>
        <v>-12.102443544630994</v>
      </c>
      <c r="N398" s="14">
        <f t="shared" si="89"/>
        <v>26.299381850498609</v>
      </c>
      <c r="O398" s="1">
        <f t="shared" si="90"/>
        <v>2.387069732668972</v>
      </c>
      <c r="P398" s="1">
        <f t="shared" si="91"/>
        <v>2164.5581769960681</v>
      </c>
      <c r="S398" s="6">
        <f t="shared" si="85"/>
        <v>0.42919498785773724</v>
      </c>
      <c r="T398" s="6">
        <f t="shared" si="86"/>
        <v>0.57080501214226376</v>
      </c>
      <c r="V398" s="1">
        <f t="shared" si="92"/>
        <v>99823.42165802441</v>
      </c>
      <c r="W398" s="7">
        <f t="shared" si="93"/>
        <v>1.4290598226060041E-4</v>
      </c>
      <c r="X398" s="7">
        <f t="shared" si="94"/>
        <v>1.5513085899985626E-4</v>
      </c>
      <c r="Y398">
        <f>LN(B398/B397)</f>
        <v>-2.8377980333132194E-4</v>
      </c>
      <c r="Z398">
        <f>LN(C398/C397)</f>
        <v>4.6385598771635743E-4</v>
      </c>
    </row>
    <row r="399" spans="1:26" x14ac:dyDescent="0.3">
      <c r="A399" s="9">
        <v>40763</v>
      </c>
      <c r="B399" s="1">
        <v>16453.080000000002</v>
      </c>
      <c r="C399" s="1">
        <v>26.21171</v>
      </c>
      <c r="D399" s="6">
        <f t="shared" si="83"/>
        <v>-7.8951802649323111E-2</v>
      </c>
      <c r="E399" s="5">
        <f t="shared" si="95"/>
        <v>4.6413010910506536E-4</v>
      </c>
      <c r="G399" s="25" t="str">
        <f>IF(VLOOKUP(A399,Aux!B:C,2,FALSE)=0,"",VLOOKUP(A399,Aux!B:C,2,FALSE))</f>
        <v/>
      </c>
      <c r="H399" s="25" t="str">
        <f t="shared" si="84"/>
        <v/>
      </c>
      <c r="L399" s="13">
        <f t="shared" si="87"/>
        <v>96011.420490730728</v>
      </c>
      <c r="M399" s="14">
        <f t="shared" si="88"/>
        <v>-3366.6037974696815</v>
      </c>
      <c r="N399" s="14">
        <f t="shared" si="89"/>
        <v>26.321027432275443</v>
      </c>
      <c r="O399" s="1">
        <f t="shared" si="90"/>
        <v>2.387069732668972</v>
      </c>
      <c r="P399" s="1">
        <f t="shared" si="91"/>
        <v>2164.5581769960681</v>
      </c>
      <c r="S399" s="6">
        <f t="shared" si="85"/>
        <v>0.4090622665141479</v>
      </c>
      <c r="T399" s="6">
        <f t="shared" si="86"/>
        <v>0.5909377334858531</v>
      </c>
      <c r="V399" s="1">
        <f t="shared" si="92"/>
        <v>96596.89840444937</v>
      </c>
      <c r="W399" s="7">
        <f t="shared" si="93"/>
        <v>-3.4198965057477063E-2</v>
      </c>
      <c r="X399" s="7">
        <f t="shared" si="94"/>
        <v>-3.2856208646510482E-2</v>
      </c>
      <c r="Y399">
        <f>LN(B399/B398)</f>
        <v>-8.2242912553540271E-2</v>
      </c>
      <c r="Z399">
        <f>LN(C399/C398)</f>
        <v>4.6402243404151413E-4</v>
      </c>
    </row>
    <row r="400" spans="1:26" x14ac:dyDescent="0.3">
      <c r="A400" s="11">
        <v>40764</v>
      </c>
      <c r="B400" s="12">
        <v>17201.78</v>
      </c>
      <c r="C400" s="12">
        <v>26.223870000000002</v>
      </c>
      <c r="D400" s="16">
        <f t="shared" si="83"/>
        <v>4.5505157696917431E-2</v>
      </c>
      <c r="E400" s="15">
        <f t="shared" si="95"/>
        <v>4.6391479228180543E-4</v>
      </c>
      <c r="G400" s="25" t="str">
        <f>IF(VLOOKUP(A400,Aux!B:C,2,FALSE)=0,"",VLOOKUP(A400,Aux!B:C,2,FALSE))</f>
        <v/>
      </c>
      <c r="H400" s="25" t="str">
        <f t="shared" si="84"/>
        <v/>
      </c>
      <c r="L400" s="13">
        <f t="shared" si="87"/>
        <v>97824.940627012256</v>
      </c>
      <c r="M400" s="14">
        <f t="shared" si="88"/>
        <v>1787.1991088492525</v>
      </c>
      <c r="N400" s="14">
        <f t="shared" si="89"/>
        <v>26.321027432275443</v>
      </c>
      <c r="O400" s="1">
        <f t="shared" si="90"/>
        <v>2.387069732668972</v>
      </c>
      <c r="P400" s="1">
        <f t="shared" si="91"/>
        <v>2164.5581769960681</v>
      </c>
      <c r="S400" s="6">
        <f t="shared" si="85"/>
        <v>0.41974825768196911</v>
      </c>
      <c r="T400" s="6">
        <f t="shared" si="86"/>
        <v>0.58025174231803189</v>
      </c>
      <c r="V400" s="1">
        <f t="shared" si="92"/>
        <v>98351.37902484744</v>
      </c>
      <c r="W400" s="7">
        <f t="shared" si="93"/>
        <v>1.871241332831516E-2</v>
      </c>
      <c r="X400" s="7">
        <f t="shared" si="94"/>
        <v>1.799993325310633E-2</v>
      </c>
      <c r="Y400">
        <f>LN(B400/B399)</f>
        <v>4.4500173109119752E-2</v>
      </c>
      <c r="Z400">
        <f>LN(C400/C399)</f>
        <v>4.6380721708375435E-4</v>
      </c>
    </row>
    <row r="401" spans="1:26" x14ac:dyDescent="0.3">
      <c r="A401" s="9">
        <v>40765</v>
      </c>
      <c r="B401" s="1">
        <v>17282.560000000001</v>
      </c>
      <c r="C401" s="1">
        <v>26.236039999999999</v>
      </c>
      <c r="D401" s="6">
        <f t="shared" si="83"/>
        <v>4.6960256438579595E-3</v>
      </c>
      <c r="E401" s="5">
        <f t="shared" si="95"/>
        <v>4.6408100711281541E-4</v>
      </c>
      <c r="G401" s="25" t="str">
        <f>IF(VLOOKUP(A401,Aux!B:C,2,FALSE)=0,"",VLOOKUP(A401,Aux!B:C,2,FALSE))</f>
        <v/>
      </c>
      <c r="H401" s="25" t="str">
        <f t="shared" si="84"/>
        <v/>
      </c>
      <c r="L401" s="13">
        <f t="shared" si="87"/>
        <v>98044.110793031301</v>
      </c>
      <c r="M401" s="14">
        <f t="shared" si="88"/>
        <v>192.82749300500546</v>
      </c>
      <c r="N401" s="14">
        <f t="shared" si="89"/>
        <v>26.342673014036894</v>
      </c>
      <c r="O401" s="1">
        <f t="shared" si="90"/>
        <v>2.387069732668972</v>
      </c>
      <c r="P401" s="1">
        <f t="shared" si="91"/>
        <v>2164.5581769960681</v>
      </c>
      <c r="S401" s="6">
        <f t="shared" si="85"/>
        <v>0.42077668454888711</v>
      </c>
      <c r="T401" s="6">
        <f t="shared" si="86"/>
        <v>0.57922331545111383</v>
      </c>
      <c r="V401" s="1">
        <f t="shared" si="92"/>
        <v>98564.967212603515</v>
      </c>
      <c r="W401" s="7">
        <f t="shared" si="93"/>
        <v>2.2379263686918972E-3</v>
      </c>
      <c r="X401" s="7">
        <f t="shared" si="94"/>
        <v>2.1693300287072754E-3</v>
      </c>
      <c r="Y401">
        <f>LN(B401/B400)</f>
        <v>4.6850337142564863E-3</v>
      </c>
      <c r="Z401">
        <f>LN(C401/C400)</f>
        <v>4.6397335482720035E-4</v>
      </c>
    </row>
    <row r="402" spans="1:26" x14ac:dyDescent="0.3">
      <c r="A402" s="11">
        <v>40766</v>
      </c>
      <c r="B402" s="12">
        <v>17854.79</v>
      </c>
      <c r="C402" s="12">
        <v>26.24821</v>
      </c>
      <c r="D402" s="16">
        <f t="shared" si="83"/>
        <v>3.3110256813805305E-2</v>
      </c>
      <c r="E402" s="15">
        <f t="shared" si="95"/>
        <v>4.6386573583512281E-4</v>
      </c>
      <c r="G402" s="25" t="str">
        <f>IF(VLOOKUP(A402,Aux!B:C,2,FALSE)=0,"",VLOOKUP(A402,Aux!B:C,2,FALSE))</f>
        <v/>
      </c>
      <c r="H402" s="25" t="str">
        <f t="shared" si="84"/>
        <v/>
      </c>
      <c r="L402" s="13">
        <f t="shared" si="87"/>
        <v>99436.406379170512</v>
      </c>
      <c r="M402" s="14">
        <f t="shared" si="88"/>
        <v>1365.9529131251647</v>
      </c>
      <c r="N402" s="14">
        <f t="shared" si="89"/>
        <v>26.342673014044582</v>
      </c>
      <c r="O402" s="1">
        <f t="shared" si="90"/>
        <v>2.387069732668972</v>
      </c>
      <c r="P402" s="1">
        <f t="shared" si="91"/>
        <v>2164.5581769960681</v>
      </c>
      <c r="S402" s="6">
        <f t="shared" si="85"/>
        <v>0.42862197402468288</v>
      </c>
      <c r="T402" s="6">
        <f t="shared" si="86"/>
        <v>0.57137802597531795</v>
      </c>
      <c r="V402" s="1">
        <f t="shared" si="92"/>
        <v>99912.347741372563</v>
      </c>
      <c r="W402" s="7">
        <f t="shared" si="93"/>
        <v>1.4100820430708374E-2</v>
      </c>
      <c r="X402" s="7">
        <f t="shared" si="94"/>
        <v>1.3577382660842352E-2</v>
      </c>
      <c r="Y402">
        <f>LN(B402/B401)</f>
        <v>3.2573919014671868E-2</v>
      </c>
      <c r="Z402">
        <f>LN(C402/C401)</f>
        <v>4.6375818338332799E-4</v>
      </c>
    </row>
    <row r="403" spans="1:26" x14ac:dyDescent="0.3">
      <c r="A403" s="9">
        <v>40767</v>
      </c>
      <c r="B403" s="1">
        <v>17906.45</v>
      </c>
      <c r="C403" s="1">
        <v>26.260390000000001</v>
      </c>
      <c r="D403" s="6">
        <f t="shared" si="83"/>
        <v>2.8933412266400893E-3</v>
      </c>
      <c r="E403" s="5">
        <f t="shared" si="95"/>
        <v>4.6403164253860929E-4</v>
      </c>
      <c r="G403" s="25" t="str">
        <f>IF(VLOOKUP(A403,Aux!B:C,2,FALSE)=0,"",VLOOKUP(A403,Aux!B:C,2,FALSE))</f>
        <v/>
      </c>
      <c r="H403" s="25" t="str">
        <f t="shared" si="84"/>
        <v/>
      </c>
      <c r="L403" s="13">
        <f t="shared" si="87"/>
        <v>99586.086720156018</v>
      </c>
      <c r="M403" s="14">
        <f t="shared" si="88"/>
        <v>123.31602238967875</v>
      </c>
      <c r="N403" s="14">
        <f t="shared" si="89"/>
        <v>26.364318595813724</v>
      </c>
      <c r="O403" s="1">
        <f t="shared" si="90"/>
        <v>2.387069732668972</v>
      </c>
      <c r="P403" s="1">
        <f t="shared" si="91"/>
        <v>2164.5581769960681</v>
      </c>
      <c r="S403" s="6">
        <f t="shared" si="85"/>
        <v>0.42921603029410971</v>
      </c>
      <c r="T403" s="6">
        <f t="shared" si="86"/>
        <v>0.57078396970589107</v>
      </c>
      <c r="V403" s="1">
        <f t="shared" si="92"/>
        <v>100058.7774418302</v>
      </c>
      <c r="W403" s="7">
        <f t="shared" si="93"/>
        <v>1.5041553030045759E-3</v>
      </c>
      <c r="X403" s="7">
        <f t="shared" si="94"/>
        <v>1.4645087033957843E-3</v>
      </c>
      <c r="Y403">
        <f>LN(B403/B402)</f>
        <v>2.889163571228343E-3</v>
      </c>
      <c r="Z403">
        <f>LN(C403/C402)</f>
        <v>4.6392401315031146E-4</v>
      </c>
    </row>
    <row r="404" spans="1:26" x14ac:dyDescent="0.3">
      <c r="A404" s="11">
        <v>40770</v>
      </c>
      <c r="B404" s="12">
        <v>18298.490000000002</v>
      </c>
      <c r="C404" s="12">
        <v>26.272570000000002</v>
      </c>
      <c r="D404" s="16">
        <f t="shared" si="83"/>
        <v>2.1893786875679E-2</v>
      </c>
      <c r="E404" s="15">
        <f t="shared" si="95"/>
        <v>4.6381641704495991E-4</v>
      </c>
      <c r="G404" s="25" t="str">
        <f>IF(VLOOKUP(A404,Aux!B:C,2,FALSE)=0,"",VLOOKUP(A404,Aux!B:C,2,FALSE))</f>
        <v/>
      </c>
      <c r="H404" s="25" t="str">
        <f t="shared" si="84"/>
        <v/>
      </c>
      <c r="L404" s="13">
        <f t="shared" si="87"/>
        <v>100548.27785674739</v>
      </c>
      <c r="M404" s="14">
        <f t="shared" si="88"/>
        <v>935.82681799554587</v>
      </c>
      <c r="N404" s="14">
        <f t="shared" si="89"/>
        <v>26.364318595813724</v>
      </c>
      <c r="O404" s="1">
        <f t="shared" si="90"/>
        <v>2.387069732668972</v>
      </c>
      <c r="P404" s="1">
        <f t="shared" si="91"/>
        <v>2164.5581769960681</v>
      </c>
      <c r="S404" s="6">
        <f t="shared" si="85"/>
        <v>0.43441591008427888</v>
      </c>
      <c r="T404" s="6">
        <f t="shared" si="86"/>
        <v>0.56558408991572173</v>
      </c>
      <c r="V404" s="1">
        <f t="shared" si="92"/>
        <v>100990.47570884397</v>
      </c>
      <c r="W404" s="7">
        <f t="shared" si="93"/>
        <v>9.6155255711636752E-3</v>
      </c>
      <c r="X404" s="7">
        <f t="shared" si="94"/>
        <v>9.2684247476391493E-3</v>
      </c>
      <c r="Y404">
        <f>LN(B404/B403)</f>
        <v>2.1657559644629034E-2</v>
      </c>
      <c r="Z404">
        <f>LN(C404/C403)</f>
        <v>4.6370888745863985E-4</v>
      </c>
    </row>
    <row r="405" spans="1:26" x14ac:dyDescent="0.3">
      <c r="A405" s="9">
        <v>40771</v>
      </c>
      <c r="B405" s="1">
        <v>18211.62</v>
      </c>
      <c r="C405" s="1">
        <v>26.284759999999999</v>
      </c>
      <c r="D405" s="6">
        <f t="shared" si="83"/>
        <v>-4.7473862597406935E-3</v>
      </c>
      <c r="E405" s="5">
        <f t="shared" si="95"/>
        <v>4.6398201622444013E-4</v>
      </c>
      <c r="G405" s="25" t="str">
        <f>IF(VLOOKUP(A405,Aux!B:C,2,FALSE)=0,"",VLOOKUP(A405,Aux!B:C,2,FALSE))</f>
        <v/>
      </c>
      <c r="H405" s="25" t="str">
        <f t="shared" si="84"/>
        <v/>
      </c>
      <c r="L405" s="13">
        <f t="shared" si="87"/>
        <v>100367.29907324801</v>
      </c>
      <c r="M405" s="14">
        <f t="shared" si="88"/>
        <v>-207.36474767695987</v>
      </c>
      <c r="N405" s="14">
        <f t="shared" si="89"/>
        <v>26.385964177575175</v>
      </c>
      <c r="O405" s="1">
        <f t="shared" si="90"/>
        <v>2.387069732668972</v>
      </c>
      <c r="P405" s="1">
        <f t="shared" si="91"/>
        <v>2164.5581769960681</v>
      </c>
      <c r="S405" s="6">
        <f t="shared" si="85"/>
        <v>0.43313317471204205</v>
      </c>
      <c r="T405" s="6">
        <f t="shared" si="86"/>
        <v>0.56686682528795862</v>
      </c>
      <c r="V405" s="1">
        <f t="shared" si="92"/>
        <v>100817.33422482086</v>
      </c>
      <c r="W405" s="7">
        <f t="shared" si="93"/>
        <v>-1.8015410772297181E-3</v>
      </c>
      <c r="X405" s="7">
        <f t="shared" si="94"/>
        <v>-1.7159051135053616E-3</v>
      </c>
      <c r="Y405">
        <f>LN(B405/B404)</f>
        <v>-4.7586908903794571E-3</v>
      </c>
      <c r="Z405">
        <f>LN(C405/C404)</f>
        <v>4.6387440985241126E-4</v>
      </c>
    </row>
    <row r="406" spans="1:26" x14ac:dyDescent="0.3">
      <c r="A406" s="11">
        <v>40772</v>
      </c>
      <c r="B406" s="12">
        <v>18447.16</v>
      </c>
      <c r="C406" s="12">
        <v>26.296959999999999</v>
      </c>
      <c r="D406" s="16">
        <f t="shared" si="83"/>
        <v>1.2933500699004341E-2</v>
      </c>
      <c r="E406" s="15">
        <f t="shared" si="95"/>
        <v>4.6414728534704963E-4</v>
      </c>
      <c r="G406" s="25" t="str">
        <f>IF(VLOOKUP(A406,Aux!B:C,2,FALSE)=0,"",VLOOKUP(A406,Aux!B:C,2,FALSE))</f>
        <v/>
      </c>
      <c r="H406" s="25" t="str">
        <f t="shared" si="84"/>
        <v/>
      </c>
      <c r="L406" s="13">
        <f t="shared" si="87"/>
        <v>100955.95708784022</v>
      </c>
      <c r="M406" s="14">
        <f t="shared" si="88"/>
        <v>562.25040483285181</v>
      </c>
      <c r="N406" s="14">
        <f t="shared" si="89"/>
        <v>26.407609759352006</v>
      </c>
      <c r="O406" s="1">
        <f t="shared" si="90"/>
        <v>2.387069732668972</v>
      </c>
      <c r="P406" s="1">
        <f t="shared" si="91"/>
        <v>2164.5581769960681</v>
      </c>
      <c r="S406" s="6">
        <f t="shared" si="85"/>
        <v>0.43617690882161497</v>
      </c>
      <c r="T406" s="6">
        <f t="shared" si="86"/>
        <v>0.56382309117838558</v>
      </c>
      <c r="V406" s="1">
        <f t="shared" si="92"/>
        <v>101388.02626008456</v>
      </c>
      <c r="W406" s="7">
        <f t="shared" si="93"/>
        <v>5.8479055365311229E-3</v>
      </c>
      <c r="X406" s="7">
        <f t="shared" si="94"/>
        <v>5.6446925957171551E-3</v>
      </c>
      <c r="Y406">
        <f>LN(B406/B405)</f>
        <v>1.2850577207519122E-2</v>
      </c>
      <c r="Z406">
        <f>LN(C406/C405)</f>
        <v>4.6403960231503831E-4</v>
      </c>
    </row>
    <row r="407" spans="1:26" x14ac:dyDescent="0.3">
      <c r="A407" s="9">
        <v>40773</v>
      </c>
      <c r="B407" s="1">
        <v>17871.2</v>
      </c>
      <c r="C407" s="1">
        <v>26.309159999999999</v>
      </c>
      <c r="D407" s="6">
        <f t="shared" si="83"/>
        <v>-3.1222150184635367E-2</v>
      </c>
      <c r="E407" s="5">
        <f t="shared" si="95"/>
        <v>4.6393195259075704E-4</v>
      </c>
      <c r="G407" s="25" t="str">
        <f>IF(VLOOKUP(A407,Aux!B:C,2,FALSE)=0,"",VLOOKUP(A407,Aux!B:C,2,FALSE))</f>
        <v/>
      </c>
      <c r="H407" s="25" t="str">
        <f t="shared" si="84"/>
        <v/>
      </c>
      <c r="L407" s="13">
        <f t="shared" si="87"/>
        <v>99607.508014371546</v>
      </c>
      <c r="M407" s="14">
        <f t="shared" si="88"/>
        <v>-1374.8566832280192</v>
      </c>
      <c r="N407" s="14">
        <f t="shared" si="89"/>
        <v>26.407609759352006</v>
      </c>
      <c r="O407" s="1">
        <f t="shared" si="90"/>
        <v>2.387069732668972</v>
      </c>
      <c r="P407" s="1">
        <f t="shared" si="91"/>
        <v>2164.5581769960681</v>
      </c>
      <c r="S407" s="6">
        <f t="shared" si="85"/>
        <v>0.42827896668510873</v>
      </c>
      <c r="T407" s="6">
        <f t="shared" si="86"/>
        <v>0.57172103331489188</v>
      </c>
      <c r="V407" s="1">
        <f t="shared" si="92"/>
        <v>100086.55940892635</v>
      </c>
      <c r="W407" s="7">
        <f t="shared" si="93"/>
        <v>-1.3446809878649272E-2</v>
      </c>
      <c r="X407" s="7">
        <f t="shared" si="94"/>
        <v>-1.2919594297685084E-2</v>
      </c>
      <c r="Y407">
        <f>LN(B407/B406)</f>
        <v>-3.1719950531296358E-2</v>
      </c>
      <c r="Z407">
        <f>LN(C407/C406)</f>
        <v>4.6382436943532917E-4</v>
      </c>
    </row>
    <row r="408" spans="1:26" x14ac:dyDescent="0.3">
      <c r="A408" s="11">
        <v>40774</v>
      </c>
      <c r="B408" s="12">
        <v>17580.29</v>
      </c>
      <c r="C408" s="12">
        <v>26.321349999999999</v>
      </c>
      <c r="D408" s="16">
        <f t="shared" si="83"/>
        <v>-1.6278145843591885E-2</v>
      </c>
      <c r="E408" s="15">
        <f t="shared" si="95"/>
        <v>4.6333672378739976E-4</v>
      </c>
      <c r="G408" s="25" t="str">
        <f>IF(VLOOKUP(A408,Aux!B:C,2,FALSE)=0,"",VLOOKUP(A408,Aux!B:C,2,FALSE))</f>
        <v/>
      </c>
      <c r="H408" s="25" t="str">
        <f t="shared" si="84"/>
        <v/>
      </c>
      <c r="L408" s="13">
        <f t="shared" si="87"/>
        <v>98939.471522618391</v>
      </c>
      <c r="M408" s="14">
        <f t="shared" si="88"/>
        <v>-694.42245593073028</v>
      </c>
      <c r="N408" s="14">
        <f t="shared" si="89"/>
        <v>26.385964177582867</v>
      </c>
      <c r="O408" s="1">
        <f t="shared" si="90"/>
        <v>2.387069732668972</v>
      </c>
      <c r="P408" s="1">
        <f t="shared" si="91"/>
        <v>2164.5581769960681</v>
      </c>
      <c r="S408" s="6">
        <f t="shared" si="85"/>
        <v>0.42415203461996825</v>
      </c>
      <c r="T408" s="6">
        <f t="shared" si="86"/>
        <v>0.57584796538003236</v>
      </c>
      <c r="V408" s="1">
        <f t="shared" si="92"/>
        <v>99442.690507545878</v>
      </c>
      <c r="W408" s="7">
        <f t="shared" si="93"/>
        <v>-6.7292790271744687E-3</v>
      </c>
      <c r="X408" s="7">
        <f t="shared" si="94"/>
        <v>-6.4539022380251552E-3</v>
      </c>
      <c r="Y408">
        <f>LN(B408/B407)</f>
        <v>-1.6412090428401246E-2</v>
      </c>
      <c r="Z408">
        <f>LN(C408/C407)</f>
        <v>4.6322941647259502E-4</v>
      </c>
    </row>
    <row r="409" spans="1:26" x14ac:dyDescent="0.3">
      <c r="A409" s="9">
        <v>40777</v>
      </c>
      <c r="B409" s="1">
        <v>17532.37</v>
      </c>
      <c r="C409" s="1">
        <v>26.333570000000002</v>
      </c>
      <c r="D409" s="6">
        <f t="shared" si="83"/>
        <v>-2.7257798363964358E-3</v>
      </c>
      <c r="E409" s="5">
        <f t="shared" si="95"/>
        <v>4.6426190146031665E-4</v>
      </c>
      <c r="G409" s="25" t="str">
        <f>IF(VLOOKUP(A409,Aux!B:C,2,FALSE)=0,"",VLOOKUP(A409,Aux!B:C,2,FALSE))</f>
        <v/>
      </c>
      <c r="H409" s="25" t="str">
        <f t="shared" si="84"/>
        <v/>
      </c>
      <c r="L409" s="13">
        <f t="shared" si="87"/>
        <v>98851.534041951789</v>
      </c>
      <c r="M409" s="14">
        <f t="shared" si="88"/>
        <v>-114.38838158950166</v>
      </c>
      <c r="N409" s="14">
        <f t="shared" si="89"/>
        <v>26.450900922897979</v>
      </c>
      <c r="O409" s="1">
        <f t="shared" si="90"/>
        <v>2.387069732668972</v>
      </c>
      <c r="P409" s="1">
        <f t="shared" si="91"/>
        <v>2164.5581769960681</v>
      </c>
      <c r="S409" s="6">
        <f t="shared" si="85"/>
        <v>0.423372183088148</v>
      </c>
      <c r="T409" s="6">
        <f t="shared" si="86"/>
        <v>0.57662781691185272</v>
      </c>
      <c r="V409" s="1">
        <f t="shared" si="92"/>
        <v>99359.47514997494</v>
      </c>
      <c r="W409" s="7">
        <f t="shared" si="93"/>
        <v>-8.8919600979549924E-4</v>
      </c>
      <c r="X409" s="7">
        <f t="shared" si="94"/>
        <v>-8.3716756460708417E-4</v>
      </c>
      <c r="Y409">
        <f>LN(B409/B408)</f>
        <v>-2.7295015388207528E-3</v>
      </c>
      <c r="Z409">
        <f>LN(C409/C408)</f>
        <v>4.6415416524766575E-4</v>
      </c>
    </row>
    <row r="410" spans="1:26" x14ac:dyDescent="0.3">
      <c r="A410" s="11">
        <v>40778</v>
      </c>
      <c r="B410" s="12">
        <v>17927.64</v>
      </c>
      <c r="C410" s="12">
        <v>26.345780000000001</v>
      </c>
      <c r="D410" s="16">
        <f t="shared" si="83"/>
        <v>2.2545155047492216E-2</v>
      </c>
      <c r="E410" s="15">
        <f t="shared" si="95"/>
        <v>4.6366671894459976E-4</v>
      </c>
      <c r="G410" s="25" t="str">
        <f>IF(VLOOKUP(A410,Aux!B:C,2,FALSE)=0,"",VLOOKUP(A410,Aux!B:C,2,FALSE))</f>
        <v/>
      </c>
      <c r="H410" s="25" t="str">
        <f t="shared" si="84"/>
        <v/>
      </c>
      <c r="L410" s="13">
        <f t="shared" si="87"/>
        <v>99821.500350524977</v>
      </c>
      <c r="M410" s="14">
        <f t="shared" si="88"/>
        <v>943.53705323206566</v>
      </c>
      <c r="N410" s="14">
        <f t="shared" si="89"/>
        <v>26.429255341121149</v>
      </c>
      <c r="O410" s="1">
        <f t="shared" si="90"/>
        <v>2.387069732668972</v>
      </c>
      <c r="P410" s="1">
        <f t="shared" si="91"/>
        <v>2164.5581769960681</v>
      </c>
      <c r="S410" s="6">
        <f t="shared" si="85"/>
        <v>0.42871051498837248</v>
      </c>
      <c r="T410" s="6">
        <f t="shared" si="86"/>
        <v>0.57128948501162824</v>
      </c>
      <c r="V410" s="1">
        <f t="shared" si="92"/>
        <v>100298.69225394854</v>
      </c>
      <c r="W410" s="7">
        <f t="shared" si="93"/>
        <v>9.7645261058392444E-3</v>
      </c>
      <c r="X410" s="7">
        <f t="shared" si="94"/>
        <v>9.4083206732100324E-3</v>
      </c>
      <c r="Y410">
        <f>LN(B410/B409)</f>
        <v>2.229476937537346E-2</v>
      </c>
      <c r="Z410">
        <f>LN(C410/C409)</f>
        <v>4.6355925874733291E-4</v>
      </c>
    </row>
    <row r="411" spans="1:26" x14ac:dyDescent="0.3">
      <c r="A411" s="9">
        <v>40779</v>
      </c>
      <c r="B411" s="1">
        <v>17933.79</v>
      </c>
      <c r="C411" s="1">
        <v>26.358000000000001</v>
      </c>
      <c r="D411" s="6">
        <f t="shared" ref="D411:D474" si="96">B411/B410-1</f>
        <v>3.430457104225404E-4</v>
      </c>
      <c r="E411" s="5">
        <f t="shared" si="95"/>
        <v>4.6383139918426686E-4</v>
      </c>
      <c r="G411" s="25" t="str">
        <f>IF(VLOOKUP(A411,Aux!B:C,2,FALSE)=0,"",VLOOKUP(A411,Aux!B:C,2,FALSE))</f>
        <v/>
      </c>
      <c r="H411" s="25" t="str">
        <f t="shared" si="84"/>
        <v/>
      </c>
      <c r="L411" s="13">
        <f t="shared" si="87"/>
        <v>99862.631730303794</v>
      </c>
      <c r="M411" s="14">
        <f t="shared" si="88"/>
        <v>14.680478855917652</v>
      </c>
      <c r="N411" s="14">
        <f t="shared" si="89"/>
        <v>26.450900922890288</v>
      </c>
      <c r="O411" s="1">
        <f t="shared" si="90"/>
        <v>2.387069732668972</v>
      </c>
      <c r="P411" s="1">
        <f t="shared" si="91"/>
        <v>2164.5581769960681</v>
      </c>
      <c r="S411" s="6">
        <f t="shared" si="85"/>
        <v>0.42868094460653827</v>
      </c>
      <c r="T411" s="6">
        <f t="shared" si="86"/>
        <v>0.57131905539346228</v>
      </c>
      <c r="V411" s="1">
        <f t="shared" si="92"/>
        <v>100340.21827775631</v>
      </c>
      <c r="W411" s="7">
        <f t="shared" si="93"/>
        <v>4.1196443535008011E-4</v>
      </c>
      <c r="X411" s="7">
        <f t="shared" si="94"/>
        <v>4.1393789759585134E-4</v>
      </c>
      <c r="Y411">
        <f>LN(B411/B410)</f>
        <v>3.4298688369594036E-4</v>
      </c>
      <c r="Z411">
        <f>LN(C411/C410)</f>
        <v>4.6372386265209405E-4</v>
      </c>
    </row>
    <row r="412" spans="1:26" x14ac:dyDescent="0.3">
      <c r="A412" s="11">
        <v>40780</v>
      </c>
      <c r="B412" s="12">
        <v>17742.66</v>
      </c>
      <c r="C412" s="12">
        <v>26.370229999999999</v>
      </c>
      <c r="D412" s="16">
        <f t="shared" si="96"/>
        <v>-1.0657535300681031E-2</v>
      </c>
      <c r="E412" s="15">
        <f t="shared" si="95"/>
        <v>4.6399575081568223E-4</v>
      </c>
      <c r="G412" s="25" t="str">
        <f>IF(VLOOKUP(A412,Aux!B:C,2,FALSE)=0,"",VLOOKUP(A412,Aux!B:C,2,FALSE))</f>
        <v/>
      </c>
      <c r="H412" s="25" t="str">
        <f t="shared" si="84"/>
        <v/>
      </c>
      <c r="L412" s="13">
        <f t="shared" si="87"/>
        <v>99432.863638803436</v>
      </c>
      <c r="M412" s="14">
        <f t="shared" si="88"/>
        <v>-456.24063800502307</v>
      </c>
      <c r="N412" s="14">
        <f t="shared" si="89"/>
        <v>26.47254650465943</v>
      </c>
      <c r="O412" s="1">
        <f t="shared" si="90"/>
        <v>2.387069732668972</v>
      </c>
      <c r="P412" s="1">
        <f t="shared" si="91"/>
        <v>2164.5581769960681</v>
      </c>
      <c r="S412" s="6">
        <f t="shared" si="85"/>
        <v>0.42594535763232633</v>
      </c>
      <c r="T412" s="6">
        <f t="shared" si="86"/>
        <v>0.57405464236767423</v>
      </c>
      <c r="V412" s="1">
        <f t="shared" si="92"/>
        <v>99926.634811997385</v>
      </c>
      <c r="W412" s="7">
        <f t="shared" si="93"/>
        <v>-4.31287979568345E-3</v>
      </c>
      <c r="X412" s="7">
        <f t="shared" si="94"/>
        <v>-4.1303295811836007E-3</v>
      </c>
      <c r="Y412">
        <f>LN(B412/B411)</f>
        <v>-1.0714733588199254E-2</v>
      </c>
      <c r="Z412">
        <f>LN(C412/C411)</f>
        <v>4.6388813807391122E-4</v>
      </c>
    </row>
    <row r="413" spans="1:26" x14ac:dyDescent="0.3">
      <c r="A413" s="9">
        <v>40781</v>
      </c>
      <c r="B413" s="1">
        <v>17852.48</v>
      </c>
      <c r="C413" s="1">
        <v>26.382449999999999</v>
      </c>
      <c r="D413" s="6">
        <f t="shared" si="96"/>
        <v>6.1896017846252427E-3</v>
      </c>
      <c r="E413" s="5">
        <f t="shared" si="95"/>
        <v>4.6340134310551839E-4</v>
      </c>
      <c r="G413" s="25" t="str">
        <f>IF(VLOOKUP(A413,Aux!B:C,2,FALSE)=0,"",VLOOKUP(A413,Aux!B:C,2,FALSE))</f>
        <v/>
      </c>
      <c r="H413" s="25" t="str">
        <f t="shared" si="84"/>
        <v/>
      </c>
      <c r="L413" s="13">
        <f t="shared" si="87"/>
        <v>99721.462537768035</v>
      </c>
      <c r="M413" s="14">
        <f t="shared" si="88"/>
        <v>262.14799804170582</v>
      </c>
      <c r="N413" s="14">
        <f t="shared" si="89"/>
        <v>26.450900922890288</v>
      </c>
      <c r="O413" s="1">
        <f t="shared" si="90"/>
        <v>2.387069732668972</v>
      </c>
      <c r="P413" s="1">
        <f t="shared" si="91"/>
        <v>2164.5581769960681</v>
      </c>
      <c r="S413" s="6">
        <f t="shared" si="85"/>
        <v>0.42734145264805284</v>
      </c>
      <c r="T413" s="6">
        <f t="shared" si="86"/>
        <v>0.57265854735194766</v>
      </c>
      <c r="V413" s="1">
        <f t="shared" si="92"/>
        <v>100207.33115220116</v>
      </c>
      <c r="W413" s="7">
        <f t="shared" si="93"/>
        <v>2.8982458630982806E-3</v>
      </c>
      <c r="X413" s="7">
        <f t="shared" si="94"/>
        <v>2.8050863121267034E-3</v>
      </c>
      <c r="Y413">
        <f>LN(B413/B412)</f>
        <v>6.1705248779995682E-3</v>
      </c>
      <c r="Z413">
        <f>LN(C413/C412)</f>
        <v>4.6329400586199074E-4</v>
      </c>
    </row>
    <row r="414" spans="1:26" x14ac:dyDescent="0.3">
      <c r="A414" s="11">
        <v>40784</v>
      </c>
      <c r="B414" s="12">
        <v>18329.259999999998</v>
      </c>
      <c r="C414" s="12">
        <v>26.394690000000001</v>
      </c>
      <c r="D414" s="16">
        <f t="shared" si="96"/>
        <v>2.6706653641398681E-2</v>
      </c>
      <c r="E414" s="15">
        <f t="shared" si="95"/>
        <v>4.6394478147404605E-4</v>
      </c>
      <c r="G414" s="25" t="str">
        <f>IF(VLOOKUP(A414,Aux!B:C,2,FALSE)=0,"",VLOOKUP(A414,Aux!B:C,2,FALSE))</f>
        <v/>
      </c>
      <c r="H414" s="25" t="str">
        <f t="shared" si="84"/>
        <v/>
      </c>
      <c r="L414" s="13">
        <f t="shared" si="87"/>
        <v>100886.06383699639</v>
      </c>
      <c r="M414" s="14">
        <f t="shared" si="88"/>
        <v>1138.1071071419096</v>
      </c>
      <c r="N414" s="14">
        <f t="shared" si="89"/>
        <v>26.494192086436261</v>
      </c>
      <c r="O414" s="1">
        <f t="shared" si="90"/>
        <v>2.387069732668972</v>
      </c>
      <c r="P414" s="1">
        <f t="shared" si="91"/>
        <v>2164.5581769960681</v>
      </c>
      <c r="S414" s="6">
        <f t="shared" si="85"/>
        <v>0.43368945228067401</v>
      </c>
      <c r="T414" s="6">
        <f t="shared" si="86"/>
        <v>0.56631054771932643</v>
      </c>
      <c r="V414" s="1">
        <f t="shared" si="92"/>
        <v>101334.66179138367</v>
      </c>
      <c r="W414" s="7">
        <f t="shared" si="93"/>
        <v>1.1610874265818191E-2</v>
      </c>
      <c r="X414" s="7">
        <f t="shared" si="94"/>
        <v>1.1187171269620268E-2</v>
      </c>
      <c r="Y414">
        <f>LN(B414/B413)</f>
        <v>2.6356255910917743E-2</v>
      </c>
      <c r="Z414">
        <f>LN(C414/C413)</f>
        <v>4.6383719236956704E-4</v>
      </c>
    </row>
    <row r="415" spans="1:26" x14ac:dyDescent="0.3">
      <c r="A415" s="9">
        <v>40785</v>
      </c>
      <c r="B415" s="1">
        <v>18486.04</v>
      </c>
      <c r="C415" s="1">
        <v>26.40692</v>
      </c>
      <c r="D415" s="6">
        <f t="shared" si="96"/>
        <v>8.5535368039955095E-3</v>
      </c>
      <c r="E415" s="5">
        <f t="shared" si="95"/>
        <v>4.6335077244696876E-4</v>
      </c>
      <c r="G415" s="25" t="str">
        <f>IF(VLOOKUP(A415,Aux!B:C,2,FALSE)=0,"",VLOOKUP(A415,Aux!B:C,2,FALSE))</f>
        <v/>
      </c>
      <c r="H415" s="25" t="str">
        <f t="shared" si="84"/>
        <v/>
      </c>
      <c r="L415" s="13">
        <f t="shared" si="87"/>
        <v>101286.7811761889</v>
      </c>
      <c r="M415" s="14">
        <f t="shared" si="88"/>
        <v>374.24479268784734</v>
      </c>
      <c r="N415" s="14">
        <f t="shared" si="89"/>
        <v>26.47254650465943</v>
      </c>
      <c r="O415" s="1">
        <f t="shared" si="90"/>
        <v>2.387069732668972</v>
      </c>
      <c r="P415" s="1">
        <f t="shared" si="91"/>
        <v>2164.5581769960681</v>
      </c>
      <c r="S415" s="6">
        <f t="shared" si="85"/>
        <v>0.43566856453013308</v>
      </c>
      <c r="T415" s="6">
        <f t="shared" si="86"/>
        <v>0.56433143546986719</v>
      </c>
      <c r="V415" s="1">
        <f t="shared" si="92"/>
        <v>101723.71886558164</v>
      </c>
      <c r="W415" s="7">
        <f t="shared" si="93"/>
        <v>3.964111638352372E-3</v>
      </c>
      <c r="X415" s="7">
        <f t="shared" si="94"/>
        <v>3.8319772768492999E-3</v>
      </c>
      <c r="Y415">
        <f>LN(B415/B414)</f>
        <v>8.5171625797345104E-3</v>
      </c>
      <c r="Z415">
        <f>LN(C415/C414)</f>
        <v>4.6324345862582011E-4</v>
      </c>
    </row>
    <row r="416" spans="1:26" x14ac:dyDescent="0.3">
      <c r="A416" s="11">
        <v>40786</v>
      </c>
      <c r="B416" s="12">
        <v>18884.47</v>
      </c>
      <c r="C416" s="12">
        <v>26.419160000000002</v>
      </c>
      <c r="D416" s="16">
        <f t="shared" si="96"/>
        <v>2.1553020549560653E-2</v>
      </c>
      <c r="E416" s="15">
        <f t="shared" si="95"/>
        <v>4.6351486655771268E-4</v>
      </c>
      <c r="G416" s="25" t="str">
        <f>IF(VLOOKUP(A416,Aux!B:C,2,FALSE)=0,"",VLOOKUP(A416,Aux!B:C,2,FALSE))</f>
        <v/>
      </c>
      <c r="H416" s="25" t="str">
        <f t="shared" si="84"/>
        <v/>
      </c>
      <c r="L416" s="13">
        <f t="shared" si="87"/>
        <v>102264.35556186264</v>
      </c>
      <c r="M416" s="14">
        <f t="shared" si="88"/>
        <v>951.08019358729928</v>
      </c>
      <c r="N416" s="14">
        <f t="shared" si="89"/>
        <v>26.494192086436261</v>
      </c>
      <c r="O416" s="1">
        <f t="shared" si="90"/>
        <v>2.387069732668972</v>
      </c>
      <c r="P416" s="1">
        <f t="shared" si="91"/>
        <v>2164.5581769960681</v>
      </c>
      <c r="S416" s="6">
        <f t="shared" si="85"/>
        <v>0.44080409549176613</v>
      </c>
      <c r="T416" s="6">
        <f t="shared" si="86"/>
        <v>0.55919590450823409</v>
      </c>
      <c r="V416" s="1">
        <f t="shared" si="92"/>
        <v>102670.29331406648</v>
      </c>
      <c r="W416" s="7">
        <f t="shared" si="93"/>
        <v>9.6052708655519677E-3</v>
      </c>
      <c r="X416" s="7">
        <f t="shared" si="94"/>
        <v>9.2623184568099582E-3</v>
      </c>
      <c r="Y416">
        <f>LN(B416/B415)</f>
        <v>2.1324038529189269E-2</v>
      </c>
      <c r="Z416">
        <f>LN(C416/C415)</f>
        <v>4.6340747672519376E-4</v>
      </c>
    </row>
    <row r="417" spans="1:26" x14ac:dyDescent="0.3">
      <c r="A417" s="9">
        <v>40787</v>
      </c>
      <c r="B417" s="1">
        <v>19381.84</v>
      </c>
      <c r="C417" s="1">
        <v>26.43141</v>
      </c>
      <c r="D417" s="6">
        <f t="shared" si="96"/>
        <v>2.633751437027354E-2</v>
      </c>
      <c r="E417" s="5">
        <f t="shared" si="95"/>
        <v>4.6367863323437675E-4</v>
      </c>
      <c r="G417" s="25" t="str">
        <f>IF(VLOOKUP(A417,Aux!B:C,2,FALSE)=0,"",VLOOKUP(A417,Aux!B:C,2,FALSE))</f>
        <v/>
      </c>
      <c r="H417" s="25" t="str">
        <f t="shared" si="84"/>
        <v/>
      </c>
      <c r="L417" s="13">
        <f t="shared" si="87"/>
        <v>103478.1282724684</v>
      </c>
      <c r="M417" s="14">
        <f t="shared" si="88"/>
        <v>1187.2568729375641</v>
      </c>
      <c r="N417" s="14">
        <f t="shared" si="89"/>
        <v>26.515837668197712</v>
      </c>
      <c r="O417" s="1">
        <f t="shared" si="90"/>
        <v>2.387069732668972</v>
      </c>
      <c r="P417" s="1">
        <f t="shared" si="91"/>
        <v>2164.5581769960681</v>
      </c>
      <c r="S417" s="6">
        <f t="shared" si="85"/>
        <v>0.44710707856649901</v>
      </c>
      <c r="T417" s="6">
        <f t="shared" si="86"/>
        <v>0.55289292143350133</v>
      </c>
      <c r="V417" s="1">
        <f t="shared" si="92"/>
        <v>103845.14817481567</v>
      </c>
      <c r="W417" s="7">
        <f t="shared" si="93"/>
        <v>1.1799087573783354E-2</v>
      </c>
      <c r="X417" s="7">
        <f t="shared" si="94"/>
        <v>1.1378011512299805E-2</v>
      </c>
      <c r="Y417">
        <f>LN(B417/B416)</f>
        <v>2.599665402718376E-2</v>
      </c>
      <c r="Z417">
        <f>LN(C417/C416)</f>
        <v>4.6357116751533957E-4</v>
      </c>
    </row>
    <row r="418" spans="1:26" x14ac:dyDescent="0.3">
      <c r="A418" s="11">
        <v>40788</v>
      </c>
      <c r="B418" s="12">
        <v>18936.79</v>
      </c>
      <c r="C418" s="12">
        <v>26.443190000000001</v>
      </c>
      <c r="D418" s="16">
        <f t="shared" si="96"/>
        <v>-2.2962216177617734E-2</v>
      </c>
      <c r="E418" s="15">
        <f t="shared" si="95"/>
        <v>4.4568186108873142E-4</v>
      </c>
      <c r="G418" s="25" t="str">
        <f>IF(VLOOKUP(A418,Aux!B:C,2,FALSE)=0,"",VLOOKUP(A418,Aux!B:C,2,FALSE))</f>
        <v/>
      </c>
      <c r="H418" s="25" t="str">
        <f t="shared" si="84"/>
        <v/>
      </c>
      <c r="L418" s="13">
        <f t="shared" si="87"/>
        <v>102441.2613832691</v>
      </c>
      <c r="M418" s="14">
        <f t="shared" si="88"/>
        <v>-1062.3653845243243</v>
      </c>
      <c r="N418" s="14">
        <f t="shared" si="89"/>
        <v>25.498495325017316</v>
      </c>
      <c r="O418" s="1">
        <f t="shared" si="90"/>
        <v>2.387069732668972</v>
      </c>
      <c r="P418" s="1">
        <f t="shared" si="91"/>
        <v>2164.5581769960681</v>
      </c>
      <c r="S418" s="6">
        <f t="shared" si="85"/>
        <v>0.44126202306106294</v>
      </c>
      <c r="T418" s="6">
        <f t="shared" si="86"/>
        <v>0.55873797693893734</v>
      </c>
      <c r="V418" s="1">
        <f t="shared" si="92"/>
        <v>102844.75567727993</v>
      </c>
      <c r="W418" s="7">
        <f t="shared" si="93"/>
        <v>-1.0070694693447936E-2</v>
      </c>
      <c r="X418" s="7">
        <f t="shared" si="94"/>
        <v>-9.6802048944613188E-3</v>
      </c>
      <c r="Y418">
        <f>LN(B418/B417)</f>
        <v>-2.3229954378670183E-2</v>
      </c>
      <c r="Z418">
        <f>LN(C418/C417)</f>
        <v>4.4558257442716038E-4</v>
      </c>
    </row>
    <row r="419" spans="1:26" x14ac:dyDescent="0.3">
      <c r="A419" s="9">
        <v>40791</v>
      </c>
      <c r="B419" s="1">
        <v>18457.189999999999</v>
      </c>
      <c r="C419" s="1">
        <v>26.454969999999999</v>
      </c>
      <c r="D419" s="6">
        <f t="shared" si="96"/>
        <v>-2.5326362070868469E-2</v>
      </c>
      <c r="E419" s="5">
        <f t="shared" si="95"/>
        <v>4.4548331725469126E-4</v>
      </c>
      <c r="G419" s="25" t="str">
        <f>IF(VLOOKUP(A419,Aux!B:C,2,FALSE)=0,"",VLOOKUP(A419,Aux!B:C,2,FALSE))</f>
        <v/>
      </c>
      <c r="H419" s="25" t="str">
        <f t="shared" si="84"/>
        <v/>
      </c>
      <c r="L419" s="13">
        <f t="shared" si="87"/>
        <v>101321.92123480607</v>
      </c>
      <c r="M419" s="14">
        <f t="shared" si="88"/>
        <v>-1144.8386437880442</v>
      </c>
      <c r="N419" s="14">
        <f t="shared" si="89"/>
        <v>25.498495325009625</v>
      </c>
      <c r="O419" s="1">
        <f t="shared" si="90"/>
        <v>2.387069732668972</v>
      </c>
      <c r="P419" s="1">
        <f t="shared" si="91"/>
        <v>2164.5581769960681</v>
      </c>
      <c r="S419" s="6">
        <f t="shared" si="85"/>
        <v>0.43483778300075726</v>
      </c>
      <c r="T419" s="6">
        <f t="shared" si="86"/>
        <v>0.56516221699924296</v>
      </c>
      <c r="V419" s="1">
        <f t="shared" si="92"/>
        <v>101764.65512117869</v>
      </c>
      <c r="W419" s="7">
        <f t="shared" si="93"/>
        <v>-1.0986787638875423E-2</v>
      </c>
      <c r="X419" s="7">
        <f t="shared" si="94"/>
        <v>-1.0557780160811374E-2</v>
      </c>
      <c r="Y419">
        <f>LN(B419/B418)</f>
        <v>-2.5652594348087039E-2</v>
      </c>
      <c r="Z419">
        <f>LN(C419/C418)</f>
        <v>4.4538411902139371E-4</v>
      </c>
    </row>
    <row r="420" spans="1:26" x14ac:dyDescent="0.3">
      <c r="A420" s="11">
        <v>40792</v>
      </c>
      <c r="B420" s="12">
        <v>18903.86</v>
      </c>
      <c r="C420" s="12">
        <v>26.466760000000001</v>
      </c>
      <c r="D420" s="16">
        <f t="shared" si="96"/>
        <v>2.4200325184928095E-2</v>
      </c>
      <c r="E420" s="15">
        <f t="shared" si="95"/>
        <v>4.4566295104475628E-4</v>
      </c>
      <c r="G420" s="25" t="str">
        <f>IF(VLOOKUP(A420,Aux!B:C,2,FALSE)=0,"",VLOOKUP(A420,Aux!B:C,2,FALSE))</f>
        <v/>
      </c>
      <c r="H420" s="25" t="str">
        <f t="shared" si="84"/>
        <v/>
      </c>
      <c r="L420" s="13">
        <f t="shared" si="87"/>
        <v>102413.67381320411</v>
      </c>
      <c r="M420" s="14">
        <f t="shared" si="88"/>
        <v>1066.2324374912544</v>
      </c>
      <c r="N420" s="14">
        <f t="shared" si="89"/>
        <v>25.520140906786455</v>
      </c>
      <c r="O420" s="1">
        <f t="shared" si="90"/>
        <v>2.387069732668972</v>
      </c>
      <c r="P420" s="1">
        <f t="shared" si="91"/>
        <v>2164.5581769960681</v>
      </c>
      <c r="S420" s="6">
        <f t="shared" si="85"/>
        <v>0.4406133512885832</v>
      </c>
      <c r="T420" s="6">
        <f t="shared" si="86"/>
        <v>0.55938664871141708</v>
      </c>
      <c r="V420" s="1">
        <f t="shared" si="92"/>
        <v>102821.5142275001</v>
      </c>
      <c r="W420" s="7">
        <f t="shared" si="93"/>
        <v>1.0717450019986176E-2</v>
      </c>
      <c r="X420" s="7">
        <f t="shared" si="94"/>
        <v>1.0331768866985459E-2</v>
      </c>
      <c r="Y420">
        <f>LN(B420/B419)</f>
        <v>2.3912137547656826E-2</v>
      </c>
      <c r="Z420">
        <f>LN(C420/C419)</f>
        <v>4.4556367280711569E-4</v>
      </c>
    </row>
    <row r="421" spans="1:26" x14ac:dyDescent="0.3">
      <c r="A421" s="9">
        <v>40794</v>
      </c>
      <c r="B421" s="1">
        <v>19210.02</v>
      </c>
      <c r="C421" s="1">
        <v>26.478549999999998</v>
      </c>
      <c r="D421" s="6">
        <f t="shared" si="96"/>
        <v>1.6195634119169355E-2</v>
      </c>
      <c r="E421" s="5">
        <f t="shared" si="95"/>
        <v>4.454644240547978E-4</v>
      </c>
      <c r="G421" s="25" t="str">
        <f>IF(VLOOKUP(A421,Aux!B:C,2,FALSE)=0,"",VLOOKUP(A421,Aux!B:C,2,FALSE))</f>
        <v/>
      </c>
      <c r="H421" s="25" t="str">
        <f t="shared" si="84"/>
        <v/>
      </c>
      <c r="L421" s="13">
        <f t="shared" si="87"/>
        <v>103170.01922346481</v>
      </c>
      <c r="M421" s="14">
        <f t="shared" si="88"/>
        <v>730.82526935393219</v>
      </c>
      <c r="N421" s="14">
        <f t="shared" si="89"/>
        <v>25.520140906778767</v>
      </c>
      <c r="O421" s="1">
        <f t="shared" si="90"/>
        <v>2.387069732668972</v>
      </c>
      <c r="P421" s="1">
        <f t="shared" si="91"/>
        <v>2164.5581769960681</v>
      </c>
      <c r="S421" s="6">
        <f t="shared" si="85"/>
        <v>0.44446688729060813</v>
      </c>
      <c r="T421" s="6">
        <f t="shared" si="86"/>
        <v>0.55553311270939221</v>
      </c>
      <c r="V421" s="1">
        <f t="shared" si="92"/>
        <v>103554.21184875537</v>
      </c>
      <c r="W421" s="7">
        <f t="shared" si="93"/>
        <v>7.3580624176191687E-3</v>
      </c>
      <c r="X421" s="7">
        <f t="shared" si="94"/>
        <v>7.1006480624998813E-3</v>
      </c>
      <c r="Y421">
        <f>LN(B421/B420)</f>
        <v>1.6065883887188232E-2</v>
      </c>
      <c r="Z421">
        <f>LN(C421/C420)</f>
        <v>4.4536523423417955E-4</v>
      </c>
    </row>
    <row r="422" spans="1:26" x14ac:dyDescent="0.3">
      <c r="A422" s="11">
        <v>40795</v>
      </c>
      <c r="B422" s="12">
        <v>18699.72</v>
      </c>
      <c r="C422" s="12">
        <v>26.490349999999999</v>
      </c>
      <c r="D422" s="16">
        <f t="shared" si="96"/>
        <v>-2.6564261775885667E-2</v>
      </c>
      <c r="E422" s="15">
        <f t="shared" si="95"/>
        <v>4.456437380446765E-4</v>
      </c>
      <c r="G422" s="25" t="str">
        <f>IF(VLOOKUP(A422,Aux!B:C,2,FALSE)=0,"",VLOOKUP(A422,Aux!B:C,2,FALSE))</f>
        <v/>
      </c>
      <c r="H422" s="25" t="str">
        <f t="shared" si="84"/>
        <v/>
      </c>
      <c r="L422" s="13">
        <f t="shared" si="87"/>
        <v>101977.4393253724</v>
      </c>
      <c r="M422" s="14">
        <f t="shared" si="88"/>
        <v>-1218.1216845809747</v>
      </c>
      <c r="N422" s="14">
        <f t="shared" si="89"/>
        <v>25.541786488555598</v>
      </c>
      <c r="O422" s="1">
        <f t="shared" si="90"/>
        <v>2.387069732668972</v>
      </c>
      <c r="P422" s="1">
        <f t="shared" si="91"/>
        <v>2164.5581769960681</v>
      </c>
      <c r="S422" s="6">
        <f t="shared" si="85"/>
        <v>0.43771971444549335</v>
      </c>
      <c r="T422" s="6">
        <f t="shared" si="86"/>
        <v>0.56228028555450693</v>
      </c>
      <c r="V422" s="1">
        <f t="shared" si="92"/>
        <v>102403.33006141166</v>
      </c>
      <c r="W422" s="7">
        <f t="shared" si="93"/>
        <v>-1.1626693705215336E-2</v>
      </c>
      <c r="X422" s="7">
        <f t="shared" si="94"/>
        <v>-1.1176029348130077E-2</v>
      </c>
      <c r="Y422">
        <f>LN(B422/B421)</f>
        <v>-2.6923467417929187E-2</v>
      </c>
      <c r="Z422">
        <f>LN(C422/C421)</f>
        <v>4.4554446836555953E-4</v>
      </c>
    </row>
    <row r="423" spans="1:26" x14ac:dyDescent="0.3">
      <c r="A423" s="9">
        <v>40798</v>
      </c>
      <c r="B423" s="1">
        <v>18668.560000000001</v>
      </c>
      <c r="C423" s="1">
        <v>26.50215</v>
      </c>
      <c r="D423" s="6">
        <f t="shared" si="96"/>
        <v>-1.6663351109000857E-3</v>
      </c>
      <c r="E423" s="5">
        <f t="shared" si="95"/>
        <v>4.4544522816791776E-4</v>
      </c>
      <c r="G423" s="25" t="str">
        <f>IF(VLOOKUP(A423,Aux!B:C,2,FALSE)=0,"",VLOOKUP(A423,Aux!B:C,2,FALSE))</f>
        <v/>
      </c>
      <c r="H423" s="25" t="str">
        <f t="shared" si="84"/>
        <v/>
      </c>
      <c r="L423" s="13">
        <f t="shared" si="87"/>
        <v>101928.60001899098</v>
      </c>
      <c r="M423" s="14">
        <f t="shared" si="88"/>
        <v>-74.381092869964817</v>
      </c>
      <c r="N423" s="14">
        <f t="shared" si="89"/>
        <v>25.541786488555598</v>
      </c>
      <c r="O423" s="1">
        <f t="shared" si="90"/>
        <v>2.387069732668972</v>
      </c>
      <c r="P423" s="1">
        <f t="shared" si="91"/>
        <v>2164.5581769960681</v>
      </c>
      <c r="S423" s="6">
        <f t="shared" si="85"/>
        <v>0.43719971156487797</v>
      </c>
      <c r="T423" s="6">
        <f t="shared" si="86"/>
        <v>0.56280028843512242</v>
      </c>
      <c r="V423" s="1">
        <f t="shared" si="92"/>
        <v>102357.8410144748</v>
      </c>
      <c r="W423" s="7">
        <f t="shared" si="93"/>
        <v>-4.7903737890660691E-4</v>
      </c>
      <c r="X423" s="7">
        <f t="shared" si="94"/>
        <v>-4.4431322057973498E-4</v>
      </c>
      <c r="Y423">
        <f>LN(B423/B422)</f>
        <v>-1.6677249914701171E-3</v>
      </c>
      <c r="Z423">
        <f>LN(C423/C422)</f>
        <v>4.4534604689439261E-4</v>
      </c>
    </row>
    <row r="424" spans="1:26" x14ac:dyDescent="0.3">
      <c r="A424" s="11">
        <v>40799</v>
      </c>
      <c r="B424" s="12">
        <v>18642.52</v>
      </c>
      <c r="C424" s="12">
        <v>26.513960000000001</v>
      </c>
      <c r="D424" s="16">
        <f t="shared" si="96"/>
        <v>-1.3948585214929032E-3</v>
      </c>
      <c r="E424" s="15">
        <f t="shared" si="95"/>
        <v>4.4562422294047721E-4</v>
      </c>
      <c r="G424" s="25" t="str">
        <f>IF(VLOOKUP(A424,Aux!B:C,2,FALSE)=0,"",VLOOKUP(A424,Aux!B:C,2,FALSE))</f>
        <v/>
      </c>
      <c r="H424" s="25" t="str">
        <f t="shared" si="84"/>
        <v/>
      </c>
      <c r="L424" s="13">
        <f t="shared" si="87"/>
        <v>101892.0041552226</v>
      </c>
      <c r="M424" s="14">
        <f t="shared" si="88"/>
        <v>-62.159295838702114</v>
      </c>
      <c r="N424" s="14">
        <f t="shared" si="89"/>
        <v>25.563432070324737</v>
      </c>
      <c r="O424" s="1">
        <f t="shared" si="90"/>
        <v>2.387069732668972</v>
      </c>
      <c r="P424" s="1">
        <f t="shared" si="91"/>
        <v>2164.5581769960681</v>
      </c>
      <c r="S424" s="6">
        <f t="shared" si="85"/>
        <v>0.4367466868635051</v>
      </c>
      <c r="T424" s="6">
        <f t="shared" si="86"/>
        <v>0.56325331313649529</v>
      </c>
      <c r="V424" s="1">
        <f t="shared" si="92"/>
        <v>102324.18635796115</v>
      </c>
      <c r="W424" s="7">
        <f t="shared" si="93"/>
        <v>-3.5909877031233001E-4</v>
      </c>
      <c r="X424" s="7">
        <f t="shared" si="94"/>
        <v>-3.288481871024586E-4</v>
      </c>
      <c r="Y424">
        <f>LN(B424/B423)</f>
        <v>-1.3958322422141527E-3</v>
      </c>
      <c r="Z424">
        <f>LN(C424/C423)</f>
        <v>4.4552496195408002E-4</v>
      </c>
    </row>
    <row r="425" spans="1:26" x14ac:dyDescent="0.3">
      <c r="A425" s="9">
        <v>40800</v>
      </c>
      <c r="B425" s="1">
        <v>18866.88</v>
      </c>
      <c r="C425" s="1">
        <v>26.525780000000001</v>
      </c>
      <c r="D425" s="6">
        <f t="shared" si="96"/>
        <v>1.2034853657123534E-2</v>
      </c>
      <c r="E425" s="5">
        <f t="shared" si="95"/>
        <v>4.4580289025097919E-4</v>
      </c>
      <c r="G425" s="25" t="str">
        <f>IF(VLOOKUP(A425,Aux!B:C,2,FALSE)=0,"",VLOOKUP(A425,Aux!B:C,2,FALSE))</f>
        <v/>
      </c>
      <c r="H425" s="25" t="str">
        <f t="shared" si="84"/>
        <v/>
      </c>
      <c r="L425" s="13">
        <f t="shared" si="87"/>
        <v>102453.15219809632</v>
      </c>
      <c r="M425" s="14">
        <f t="shared" si="88"/>
        <v>535.56296522161199</v>
      </c>
      <c r="N425" s="14">
        <f t="shared" si="89"/>
        <v>25.585077652093879</v>
      </c>
      <c r="O425" s="1">
        <f t="shared" si="90"/>
        <v>2.387069732668972</v>
      </c>
      <c r="P425" s="1">
        <f t="shared" si="91"/>
        <v>2164.5581769960681</v>
      </c>
      <c r="S425" s="6">
        <f t="shared" si="85"/>
        <v>0.43958196728606269</v>
      </c>
      <c r="T425" s="6">
        <f t="shared" si="86"/>
        <v>0.56041803271393764</v>
      </c>
      <c r="V425" s="1">
        <f t="shared" si="92"/>
        <v>102868.23563181097</v>
      </c>
      <c r="W425" s="7">
        <f t="shared" si="93"/>
        <v>5.492172786714873E-3</v>
      </c>
      <c r="X425" s="7">
        <f t="shared" si="94"/>
        <v>5.3028327602345146E-3</v>
      </c>
      <c r="Y425">
        <f>LN(B425/B424)</f>
        <v>1.1963010644869498E-2</v>
      </c>
      <c r="Z425">
        <f>LN(C425/C424)</f>
        <v>4.4570354966561791E-4</v>
      </c>
    </row>
    <row r="426" spans="1:26" x14ac:dyDescent="0.3">
      <c r="A426" s="11">
        <v>40801</v>
      </c>
      <c r="B426" s="12">
        <v>18945.689999999999</v>
      </c>
      <c r="C426" s="12">
        <v>26.537590000000002</v>
      </c>
      <c r="D426" s="16">
        <f t="shared" si="96"/>
        <v>4.1771612476464437E-3</v>
      </c>
      <c r="E426" s="15">
        <f t="shared" si="95"/>
        <v>4.452272468520313E-4</v>
      </c>
      <c r="G426" s="25" t="str">
        <f>IF(VLOOKUP(A426,Aux!B:C,2,FALSE)=0,"",VLOOKUP(A426,Aux!B:C,2,FALSE))</f>
        <v/>
      </c>
      <c r="H426" s="25" t="str">
        <f t="shared" si="84"/>
        <v/>
      </c>
      <c r="L426" s="13">
        <f t="shared" si="87"/>
        <v>102666.84059579828</v>
      </c>
      <c r="M426" s="14">
        <f t="shared" si="88"/>
        <v>188.12496563163612</v>
      </c>
      <c r="N426" s="14">
        <f t="shared" si="89"/>
        <v>25.563432070324737</v>
      </c>
      <c r="O426" s="1">
        <f t="shared" si="90"/>
        <v>2.387069732668972</v>
      </c>
      <c r="P426" s="1">
        <f t="shared" si="91"/>
        <v>2164.5581769960681</v>
      </c>
      <c r="S426" s="6">
        <f t="shared" si="85"/>
        <v>0.44049941442709661</v>
      </c>
      <c r="T426" s="6">
        <f t="shared" si="86"/>
        <v>0.55950058557290372</v>
      </c>
      <c r="V426" s="1">
        <f t="shared" si="92"/>
        <v>103076.47359296992</v>
      </c>
      <c r="W426" s="7">
        <f t="shared" si="93"/>
        <v>2.0835460463511286E-3</v>
      </c>
      <c r="X426" s="7">
        <f t="shared" si="94"/>
        <v>2.0222712485303551E-3</v>
      </c>
      <c r="Y426">
        <f>LN(B426/B425)</f>
        <v>4.1684611290526141E-3</v>
      </c>
      <c r="Z426">
        <f>LN(C426/C425)</f>
        <v>4.4512816261027343E-4</v>
      </c>
    </row>
    <row r="427" spans="1:26" x14ac:dyDescent="0.3">
      <c r="A427" s="9">
        <v>40802</v>
      </c>
      <c r="B427" s="1">
        <v>19178.900000000001</v>
      </c>
      <c r="C427" s="1">
        <v>26.549420000000001</v>
      </c>
      <c r="D427" s="6">
        <f t="shared" si="96"/>
        <v>1.2309395962881498E-2</v>
      </c>
      <c r="E427" s="5">
        <f t="shared" si="95"/>
        <v>4.4578275570605896E-4</v>
      </c>
      <c r="G427" s="25" t="str">
        <f>IF(VLOOKUP(A427,Aux!B:C,2,FALSE)=0,"",VLOOKUP(A427,Aux!B:C,2,FALSE))</f>
        <v/>
      </c>
      <c r="H427" s="25" t="str">
        <f t="shared" si="84"/>
        <v/>
      </c>
      <c r="L427" s="13">
        <f t="shared" si="87"/>
        <v>103249.13585138788</v>
      </c>
      <c r="M427" s="14">
        <f t="shared" si="88"/>
        <v>556.68853235573761</v>
      </c>
      <c r="N427" s="14">
        <f t="shared" si="89"/>
        <v>25.606723233863022</v>
      </c>
      <c r="O427" s="1">
        <f t="shared" si="90"/>
        <v>2.387069732668972</v>
      </c>
      <c r="P427" s="1">
        <f t="shared" si="91"/>
        <v>2164.5581769960681</v>
      </c>
      <c r="S427" s="6">
        <f t="shared" si="85"/>
        <v>0.44340682678236243</v>
      </c>
      <c r="T427" s="6">
        <f t="shared" si="86"/>
        <v>0.55659317321763779</v>
      </c>
      <c r="V427" s="1">
        <f t="shared" si="92"/>
        <v>103640.96249771903</v>
      </c>
      <c r="W427" s="7">
        <f t="shared" si="93"/>
        <v>5.6556739090864484E-3</v>
      </c>
      <c r="X427" s="7">
        <f t="shared" si="94"/>
        <v>5.4614677749255545E-3</v>
      </c>
      <c r="Y427">
        <f>LN(B427/B426)</f>
        <v>1.2234251376274452E-2</v>
      </c>
      <c r="Z427">
        <f>LN(C427/C426)</f>
        <v>4.4568342409253376E-4</v>
      </c>
    </row>
    <row r="428" spans="1:26" x14ac:dyDescent="0.3">
      <c r="A428" s="11">
        <v>40805</v>
      </c>
      <c r="B428" s="12">
        <v>19212.63</v>
      </c>
      <c r="C428" s="12">
        <v>26.561250000000001</v>
      </c>
      <c r="D428" s="16">
        <f t="shared" si="96"/>
        <v>1.7587035752832936E-3</v>
      </c>
      <c r="E428" s="15">
        <f t="shared" si="95"/>
        <v>4.4558412198836272E-4</v>
      </c>
      <c r="G428" s="25" t="str">
        <f>IF(VLOOKUP(A428,Aux!B:C,2,FALSE)=0,"",VLOOKUP(A428,Aux!B:C,2,FALSE))</f>
        <v/>
      </c>
      <c r="H428" s="25" t="str">
        <f t="shared" si="84"/>
        <v/>
      </c>
      <c r="L428" s="13">
        <f t="shared" si="87"/>
        <v>103355.25843670467</v>
      </c>
      <c r="M428" s="14">
        <f t="shared" si="88"/>
        <v>80.515862082923391</v>
      </c>
      <c r="N428" s="14">
        <f t="shared" si="89"/>
        <v>25.606723233863022</v>
      </c>
      <c r="O428" s="1">
        <f t="shared" si="90"/>
        <v>2.387069732668972</v>
      </c>
      <c r="P428" s="1">
        <f t="shared" si="91"/>
        <v>2164.5581769960681</v>
      </c>
      <c r="S428" s="6">
        <f t="shared" si="85"/>
        <v>0.44373056825216056</v>
      </c>
      <c r="T428" s="6">
        <f t="shared" si="86"/>
        <v>0.55626943174783972</v>
      </c>
      <c r="V428" s="1">
        <f t="shared" si="92"/>
        <v>103745.24406462038</v>
      </c>
      <c r="W428" s="7">
        <f t="shared" si="93"/>
        <v>1.027302396113047E-3</v>
      </c>
      <c r="X428" s="7">
        <f t="shared" si="94"/>
        <v>1.0056751354777474E-3</v>
      </c>
      <c r="Y428">
        <f>LN(B428/B427)</f>
        <v>1.7571588670078941E-3</v>
      </c>
      <c r="Z428">
        <f>LN(C428/C427)</f>
        <v>4.4548487886315809E-4</v>
      </c>
    </row>
    <row r="429" spans="1:26" x14ac:dyDescent="0.3">
      <c r="A429" s="9">
        <v>40806</v>
      </c>
      <c r="B429" s="1">
        <v>19097.259999999998</v>
      </c>
      <c r="C429" s="1">
        <v>26.573070000000001</v>
      </c>
      <c r="D429" s="6">
        <f t="shared" si="96"/>
        <v>-6.0049040657110808E-3</v>
      </c>
      <c r="E429" s="5">
        <f t="shared" si="95"/>
        <v>4.4500917690237785E-4</v>
      </c>
      <c r="G429" s="25" t="str">
        <f>IF(VLOOKUP(A429,Aux!B:C,2,FALSE)=0,"",VLOOKUP(A429,Aux!B:C,2,FALSE))</f>
        <v/>
      </c>
      <c r="H429" s="25" t="str">
        <f t="shared" si="84"/>
        <v/>
      </c>
      <c r="L429" s="13">
        <f t="shared" si="87"/>
        <v>103105.44727929874</v>
      </c>
      <c r="M429" s="14">
        <f t="shared" si="88"/>
        <v>-275.39623505802558</v>
      </c>
      <c r="N429" s="14">
        <f t="shared" si="89"/>
        <v>25.585077652093879</v>
      </c>
      <c r="O429" s="1">
        <f t="shared" si="90"/>
        <v>2.387069732668972</v>
      </c>
      <c r="P429" s="1">
        <f t="shared" si="91"/>
        <v>2164.5581769960681</v>
      </c>
      <c r="S429" s="6">
        <f t="shared" si="85"/>
        <v>0.44213465462617307</v>
      </c>
      <c r="T429" s="6">
        <f t="shared" si="86"/>
        <v>0.55786534537382715</v>
      </c>
      <c r="V429" s="1">
        <f t="shared" si="92"/>
        <v>103505.5243446512</v>
      </c>
      <c r="W429" s="7">
        <f t="shared" si="93"/>
        <v>-2.4199401861939251E-3</v>
      </c>
      <c r="X429" s="7">
        <f t="shared" si="94"/>
        <v>-2.313331127446474E-3</v>
      </c>
      <c r="Y429">
        <f>LN(B429/B428)</f>
        <v>-6.02300600545098E-3</v>
      </c>
      <c r="Z429">
        <f>LN(C429/C428)</f>
        <v>4.44910189684339E-4</v>
      </c>
    </row>
    <row r="430" spans="1:26" x14ac:dyDescent="0.3">
      <c r="A430" s="11">
        <v>40807</v>
      </c>
      <c r="B430" s="12">
        <v>18995.11</v>
      </c>
      <c r="C430" s="12">
        <v>26.584900000000001</v>
      </c>
      <c r="D430" s="16">
        <f t="shared" si="96"/>
        <v>-5.3489348733796183E-3</v>
      </c>
      <c r="E430" s="15">
        <f t="shared" si="95"/>
        <v>4.4518755266143017E-4</v>
      </c>
      <c r="G430" s="25" t="str">
        <f>IF(VLOOKUP(A430,Aux!B:C,2,FALSE)=0,"",VLOOKUP(A430,Aux!B:C,2,FALSE))</f>
        <v/>
      </c>
      <c r="H430" s="25" t="str">
        <f t="shared" si="84"/>
        <v/>
      </c>
      <c r="L430" s="13">
        <f t="shared" si="87"/>
        <v>102887.21482934048</v>
      </c>
      <c r="M430" s="14">
        <f t="shared" si="88"/>
        <v>-243.83917319213029</v>
      </c>
      <c r="N430" s="14">
        <f t="shared" si="89"/>
        <v>25.606723233863022</v>
      </c>
      <c r="O430" s="1">
        <f t="shared" si="90"/>
        <v>2.387069732668972</v>
      </c>
      <c r="P430" s="1">
        <f t="shared" si="91"/>
        <v>2164.5581769960681</v>
      </c>
      <c r="S430" s="6">
        <f t="shared" si="85"/>
        <v>0.44070249374451231</v>
      </c>
      <c r="T430" s="6">
        <f t="shared" si="86"/>
        <v>0.5592975062554878</v>
      </c>
      <c r="V430" s="1">
        <f t="shared" si="92"/>
        <v>103296.32599844472</v>
      </c>
      <c r="W430" s="7">
        <f t="shared" si="93"/>
        <v>-2.1188379175264976E-3</v>
      </c>
      <c r="X430" s="7">
        <f t="shared" si="94"/>
        <v>-2.023177425325531E-3</v>
      </c>
      <c r="Y430">
        <f>LN(B430/B429)</f>
        <v>-5.3632916440257286E-3</v>
      </c>
      <c r="Z430">
        <f>LN(C430/C429)</f>
        <v>4.4508848608395543E-4</v>
      </c>
    </row>
    <row r="431" spans="1:26" x14ac:dyDescent="0.3">
      <c r="A431" s="9">
        <v>40808</v>
      </c>
      <c r="B431" s="1">
        <v>18139.21</v>
      </c>
      <c r="C431" s="1">
        <v>26.59675</v>
      </c>
      <c r="D431" s="6">
        <f t="shared" si="96"/>
        <v>-4.5058965175774235E-2</v>
      </c>
      <c r="E431" s="5">
        <f t="shared" si="95"/>
        <v>4.4574175565825769E-4</v>
      </c>
      <c r="G431" s="25" t="str">
        <f>IF(VLOOKUP(A431,Aux!B:C,2,FALSE)=0,"",VLOOKUP(A431,Aux!B:C,2,FALSE))</f>
        <v/>
      </c>
      <c r="H431" s="25" t="str">
        <f t="shared" si="84"/>
        <v/>
      </c>
      <c r="L431" s="13">
        <f t="shared" si="87"/>
        <v>100869.7718595465</v>
      </c>
      <c r="M431" s="14">
        <f t="shared" si="88"/>
        <v>-2043.0929841913767</v>
      </c>
      <c r="N431" s="14">
        <f t="shared" si="89"/>
        <v>25.650014397401304</v>
      </c>
      <c r="O431" s="1">
        <f t="shared" si="90"/>
        <v>2.387069732668972</v>
      </c>
      <c r="P431" s="1">
        <f t="shared" si="91"/>
        <v>2164.5581769960681</v>
      </c>
      <c r="S431" s="6">
        <f t="shared" si="85"/>
        <v>0.42926199164817874</v>
      </c>
      <c r="T431" s="6">
        <f t="shared" si="86"/>
        <v>0.57073800835182154</v>
      </c>
      <c r="V431" s="1">
        <f t="shared" si="92"/>
        <v>101348.24477857137</v>
      </c>
      <c r="W431" s="7">
        <f t="shared" si="93"/>
        <v>-1.9803089283746404E-2</v>
      </c>
      <c r="X431" s="7">
        <f t="shared" si="94"/>
        <v>-1.9039254833957776E-2</v>
      </c>
      <c r="Y431">
        <f>LN(B431/B430)</f>
        <v>-4.6105684047177957E-2</v>
      </c>
      <c r="Z431">
        <f>LN(C431/C430)</f>
        <v>4.4564244231286304E-4</v>
      </c>
    </row>
    <row r="432" spans="1:26" x14ac:dyDescent="0.3">
      <c r="A432" s="11">
        <v>40809</v>
      </c>
      <c r="B432" s="12">
        <v>18021.060000000001</v>
      </c>
      <c r="C432" s="12">
        <v>26.608599999999999</v>
      </c>
      <c r="D432" s="16">
        <f t="shared" si="96"/>
        <v>-6.5135140946048775E-3</v>
      </c>
      <c r="E432" s="15">
        <f t="shared" si="95"/>
        <v>4.4554315846867532E-4</v>
      </c>
      <c r="G432" s="25" t="str">
        <f>IF(VLOOKUP(A432,Aux!B:C,2,FALSE)=0,"",VLOOKUP(A432,Aux!B:C,2,FALSE))</f>
        <v/>
      </c>
      <c r="H432" s="25" t="str">
        <f t="shared" si="84"/>
        <v/>
      </c>
      <c r="L432" s="13">
        <f t="shared" si="87"/>
        <v>100613.38958502906</v>
      </c>
      <c r="M432" s="14">
        <f t="shared" si="88"/>
        <v>-282.03228891483383</v>
      </c>
      <c r="N432" s="14">
        <f t="shared" si="89"/>
        <v>25.650014397401304</v>
      </c>
      <c r="O432" s="1">
        <f t="shared" si="90"/>
        <v>2.387069732668972</v>
      </c>
      <c r="P432" s="1">
        <f t="shared" si="91"/>
        <v>2164.5581769960681</v>
      </c>
      <c r="S432" s="6">
        <f t="shared" si="85"/>
        <v>0.42755270500311598</v>
      </c>
      <c r="T432" s="6">
        <f t="shared" si="86"/>
        <v>0.57244729499688429</v>
      </c>
      <c r="V432" s="1">
        <f t="shared" si="92"/>
        <v>101102.17861533113</v>
      </c>
      <c r="W432" s="7">
        <f t="shared" si="93"/>
        <v>-2.5449512610067116E-3</v>
      </c>
      <c r="X432" s="7">
        <f t="shared" si="94"/>
        <v>-2.4308794250544057E-3</v>
      </c>
      <c r="Y432">
        <f>LN(B432/B431)</f>
        <v>-6.5348195937063999E-3</v>
      </c>
      <c r="Z432">
        <f>LN(C432/C431)</f>
        <v>4.4544393358719693E-4</v>
      </c>
    </row>
    <row r="433" spans="1:26" x14ac:dyDescent="0.3">
      <c r="A433" s="9">
        <v>40812</v>
      </c>
      <c r="B433" s="1">
        <v>18202.91</v>
      </c>
      <c r="C433" s="1">
        <v>26.620449999999998</v>
      </c>
      <c r="D433" s="6">
        <f t="shared" si="96"/>
        <v>1.009097134130843E-2</v>
      </c>
      <c r="E433" s="5">
        <f t="shared" si="95"/>
        <v>4.4534473816737474E-4</v>
      </c>
      <c r="G433" s="25" t="str">
        <f>IF(VLOOKUP(A433,Aux!B:C,2,FALSE)=0,"",VLOOKUP(A433,Aux!B:C,2,FALSE))</f>
        <v/>
      </c>
      <c r="H433" s="25" t="str">
        <f t="shared" si="84"/>
        <v/>
      </c>
      <c r="L433" s="13">
        <f t="shared" si="87"/>
        <v>101073.1282303123</v>
      </c>
      <c r="M433" s="14">
        <f t="shared" si="88"/>
        <v>434.08863088584911</v>
      </c>
      <c r="N433" s="14">
        <f t="shared" si="89"/>
        <v>25.650014397401304</v>
      </c>
      <c r="O433" s="1">
        <f t="shared" si="90"/>
        <v>2.387069732668972</v>
      </c>
      <c r="P433" s="1">
        <f t="shared" si="91"/>
        <v>2164.5581769960681</v>
      </c>
      <c r="S433" s="6">
        <f t="shared" si="85"/>
        <v>0.429902747330482</v>
      </c>
      <c r="T433" s="6">
        <f t="shared" si="86"/>
        <v>0.57009725266951838</v>
      </c>
      <c r="V433" s="1">
        <f t="shared" si="92"/>
        <v>101548.22294614703</v>
      </c>
      <c r="W433" s="7">
        <f t="shared" si="93"/>
        <v>4.5589506579951037E-3</v>
      </c>
      <c r="X433" s="7">
        <f t="shared" si="94"/>
        <v>4.4021136665755118E-3</v>
      </c>
      <c r="Y433">
        <f>LN(B433/B432)</f>
        <v>1.004039743201084E-2</v>
      </c>
      <c r="Z433">
        <f>LN(C433/C432)</f>
        <v>4.4524560163166569E-4</v>
      </c>
    </row>
    <row r="434" spans="1:26" x14ac:dyDescent="0.3">
      <c r="A434" s="11">
        <v>40813</v>
      </c>
      <c r="B434" s="12">
        <v>18323.41</v>
      </c>
      <c r="C434" s="12">
        <v>26.63232</v>
      </c>
      <c r="D434" s="16">
        <f t="shared" si="96"/>
        <v>6.6198206770236023E-3</v>
      </c>
      <c r="E434" s="15">
        <f t="shared" si="95"/>
        <v>4.4589779661885487E-4</v>
      </c>
      <c r="G434" s="25" t="str">
        <f>IF(VLOOKUP(A434,Aux!B:C,2,FALSE)=0,"",VLOOKUP(A434,Aux!B:C,2,FALSE))</f>
        <v/>
      </c>
      <c r="H434" s="25" t="str">
        <f t="shared" si="84"/>
        <v/>
      </c>
      <c r="L434" s="13">
        <f t="shared" si="87"/>
        <v>101386.46343865985</v>
      </c>
      <c r="M434" s="14">
        <f t="shared" si="88"/>
        <v>287.64190278661113</v>
      </c>
      <c r="N434" s="14">
        <f t="shared" si="89"/>
        <v>25.693305560947277</v>
      </c>
      <c r="O434" s="1">
        <f t="shared" si="90"/>
        <v>2.387069732668972</v>
      </c>
      <c r="P434" s="1">
        <f t="shared" si="91"/>
        <v>2164.5581769960681</v>
      </c>
      <c r="S434" s="6">
        <f t="shared" si="85"/>
        <v>0.43141121533198368</v>
      </c>
      <c r="T434" s="6">
        <f t="shared" si="86"/>
        <v>0.56858878466801688</v>
      </c>
      <c r="V434" s="1">
        <f t="shared" si="92"/>
        <v>101852.7754235777</v>
      </c>
      <c r="W434" s="7">
        <f t="shared" si="93"/>
        <v>3.0952888517823038E-3</v>
      </c>
      <c r="X434" s="7">
        <f t="shared" si="94"/>
        <v>2.9946038364120952E-3</v>
      </c>
      <c r="Y434">
        <f>LN(B434/B433)</f>
        <v>6.5980058845458538E-3</v>
      </c>
      <c r="Z434">
        <f>LN(C434/C433)</f>
        <v>4.4579841373831424E-4</v>
      </c>
    </row>
    <row r="435" spans="1:26" x14ac:dyDescent="0.3">
      <c r="A435" s="9">
        <v>40814</v>
      </c>
      <c r="B435" s="1">
        <v>18173.009999999998</v>
      </c>
      <c r="C435" s="1">
        <v>26.644179999999999</v>
      </c>
      <c r="D435" s="6">
        <f t="shared" si="96"/>
        <v>-8.2080791730361202E-3</v>
      </c>
      <c r="E435" s="5">
        <f t="shared" si="95"/>
        <v>4.4532357676674295E-4</v>
      </c>
      <c r="G435" s="25" t="str">
        <f>IF(VLOOKUP(A435,Aux!B:C,2,FALSE)=0,"",VLOOKUP(A435,Aux!B:C,2,FALSE))</f>
        <v/>
      </c>
      <c r="H435" s="25" t="str">
        <f t="shared" si="84"/>
        <v/>
      </c>
      <c r="L435" s="13">
        <f t="shared" si="87"/>
        <v>101053.1198108456</v>
      </c>
      <c r="M435" s="14">
        <f t="shared" si="88"/>
        <v>-359.01528779341686</v>
      </c>
      <c r="N435" s="14">
        <f t="shared" si="89"/>
        <v>25.671659979170446</v>
      </c>
      <c r="O435" s="1">
        <f t="shared" si="90"/>
        <v>2.387069732668972</v>
      </c>
      <c r="P435" s="1">
        <f t="shared" si="91"/>
        <v>2164.5581769960681</v>
      </c>
      <c r="S435" s="6">
        <f t="shared" si="85"/>
        <v>0.42928157194642824</v>
      </c>
      <c r="T435" s="6">
        <f t="shared" si="86"/>
        <v>0.5707184280535722</v>
      </c>
      <c r="V435" s="1">
        <f t="shared" si="92"/>
        <v>101532.32975355102</v>
      </c>
      <c r="W435" s="7">
        <f t="shared" si="93"/>
        <v>-3.2932682802429966E-3</v>
      </c>
      <c r="X435" s="7">
        <f t="shared" si="94"/>
        <v>-3.1511249056842168E-3</v>
      </c>
      <c r="Y435">
        <f>LN(B435/B434)</f>
        <v>-8.2419509302721888E-3</v>
      </c>
      <c r="Z435">
        <f>LN(C435/C434)</f>
        <v>4.4522444965073351E-4</v>
      </c>
    </row>
    <row r="436" spans="1:26" x14ac:dyDescent="0.3">
      <c r="A436" s="11">
        <v>40815</v>
      </c>
      <c r="B436" s="12">
        <v>18228.490000000002</v>
      </c>
      <c r="C436" s="12">
        <v>26.65605</v>
      </c>
      <c r="D436" s="16">
        <f t="shared" si="96"/>
        <v>3.052878967215733E-3</v>
      </c>
      <c r="E436" s="15">
        <f t="shared" si="95"/>
        <v>4.4550066843873637E-4</v>
      </c>
      <c r="G436" s="25" t="str">
        <f>IF(VLOOKUP(A436,Aux!B:C,2,FALSE)=0,"",VLOOKUP(A436,Aux!B:C,2,FALSE))</f>
        <v/>
      </c>
      <c r="H436" s="25" t="str">
        <f t="shared" si="84"/>
        <v/>
      </c>
      <c r="L436" s="13">
        <f t="shared" si="87"/>
        <v>101211.24774517503</v>
      </c>
      <c r="M436" s="14">
        <f t="shared" si="88"/>
        <v>132.43462876848221</v>
      </c>
      <c r="N436" s="14">
        <f t="shared" si="89"/>
        <v>25.693305560947277</v>
      </c>
      <c r="O436" s="1">
        <f t="shared" si="90"/>
        <v>2.387069732668972</v>
      </c>
      <c r="P436" s="1">
        <f t="shared" si="91"/>
        <v>2164.5581769960681</v>
      </c>
      <c r="S436" s="6">
        <f t="shared" si="85"/>
        <v>0.42991937873163288</v>
      </c>
      <c r="T436" s="6">
        <f t="shared" si="86"/>
        <v>0.57008062126836756</v>
      </c>
      <c r="V436" s="1">
        <f t="shared" si="92"/>
        <v>101686.87881656989</v>
      </c>
      <c r="W436" s="7">
        <f t="shared" si="93"/>
        <v>1.5635770991764548E-3</v>
      </c>
      <c r="X436" s="7">
        <f t="shared" si="94"/>
        <v>1.5210087068210833E-3</v>
      </c>
      <c r="Y436">
        <f>LN(B436/B435)</f>
        <v>3.0482283949070221E-3</v>
      </c>
      <c r="Z436">
        <f>LN(C436/C435)</f>
        <v>4.454014624790673E-4</v>
      </c>
    </row>
    <row r="437" spans="1:26" x14ac:dyDescent="0.3">
      <c r="A437" s="9">
        <v>40816</v>
      </c>
      <c r="B437" s="1">
        <v>18025.46</v>
      </c>
      <c r="C437" s="1">
        <v>26.667929999999998</v>
      </c>
      <c r="D437" s="6">
        <f t="shared" si="96"/>
        <v>-1.1138059159041869E-2</v>
      </c>
      <c r="E437" s="5">
        <f t="shared" si="95"/>
        <v>4.456774353287507E-4</v>
      </c>
      <c r="G437" s="25" t="str">
        <f>IF(VLOOKUP(A437,Aux!B:C,2,FALSE)=0,"",VLOOKUP(A437,Aux!B:C,2,FALSE))</f>
        <v/>
      </c>
      <c r="H437" s="25" t="str">
        <f t="shared" si="84"/>
        <v/>
      </c>
      <c r="L437" s="13">
        <f t="shared" si="87"/>
        <v>100752.31592849396</v>
      </c>
      <c r="M437" s="14">
        <f t="shared" si="88"/>
        <v>-484.64676782378729</v>
      </c>
      <c r="N437" s="14">
        <f t="shared" si="89"/>
        <v>25.714951142708728</v>
      </c>
      <c r="O437" s="1">
        <f t="shared" si="90"/>
        <v>2.387069732668972</v>
      </c>
      <c r="P437" s="1">
        <f t="shared" si="91"/>
        <v>2164.5581769960681</v>
      </c>
      <c r="S437" s="6">
        <f t="shared" si="85"/>
        <v>0.42706740373068097</v>
      </c>
      <c r="T437" s="6">
        <f t="shared" si="86"/>
        <v>0.57293259626931936</v>
      </c>
      <c r="V437" s="1">
        <f t="shared" si="92"/>
        <v>101245.0586381852</v>
      </c>
      <c r="W437" s="7">
        <f t="shared" si="93"/>
        <v>-4.5447069584719953E-3</v>
      </c>
      <c r="X437" s="7">
        <f t="shared" si="94"/>
        <v>-4.3543749892031754E-3</v>
      </c>
      <c r="Y437">
        <f>LN(B437/B436)</f>
        <v>-1.1200551804422138E-2</v>
      </c>
      <c r="Z437">
        <f>LN(C437/C436)</f>
        <v>4.4557815063877209E-4</v>
      </c>
    </row>
    <row r="438" spans="1:26" x14ac:dyDescent="0.3">
      <c r="A438" s="11">
        <v>40819</v>
      </c>
      <c r="B438" s="12">
        <v>17580.62</v>
      </c>
      <c r="C438" s="12">
        <v>26.67981</v>
      </c>
      <c r="D438" s="16">
        <f t="shared" si="96"/>
        <v>-2.4678427069267594E-2</v>
      </c>
      <c r="E438" s="15">
        <f t="shared" si="95"/>
        <v>4.4547889543733454E-4</v>
      </c>
      <c r="G438" s="25" t="str">
        <f>IF(VLOOKUP(A438,Aux!B:C,2,FALSE)=0,"",VLOOKUP(A438,Aux!B:C,2,FALSE))</f>
        <v/>
      </c>
      <c r="H438" s="25" t="str">
        <f t="shared" si="84"/>
        <v/>
      </c>
      <c r="L438" s="13">
        <f t="shared" si="87"/>
        <v>99716.166779756211</v>
      </c>
      <c r="M438" s="14">
        <f t="shared" si="88"/>
        <v>-1061.8640998804658</v>
      </c>
      <c r="N438" s="14">
        <f t="shared" si="89"/>
        <v>25.714951142716416</v>
      </c>
      <c r="O438" s="1">
        <f t="shared" si="90"/>
        <v>2.387069732668972</v>
      </c>
      <c r="P438" s="1">
        <f t="shared" si="91"/>
        <v>2164.5581769960681</v>
      </c>
      <c r="S438" s="6">
        <f t="shared" si="85"/>
        <v>0.42085618850798528</v>
      </c>
      <c r="T438" s="6">
        <f t="shared" si="86"/>
        <v>0.5791438114920151</v>
      </c>
      <c r="V438" s="1">
        <f t="shared" si="92"/>
        <v>100245.37433124144</v>
      </c>
      <c r="W438" s="7">
        <f t="shared" si="93"/>
        <v>-1.0337369363357956E-2</v>
      </c>
      <c r="X438" s="7">
        <f t="shared" si="94"/>
        <v>-9.9229774343514415E-3</v>
      </c>
      <c r="Y438">
        <f>LN(B438/B437)</f>
        <v>-2.4988043971924178E-2</v>
      </c>
      <c r="Z438">
        <f>LN(C438/C437)</f>
        <v>4.4537969917299595E-4</v>
      </c>
    </row>
    <row r="439" spans="1:26" x14ac:dyDescent="0.3">
      <c r="A439" s="9">
        <v>40820</v>
      </c>
      <c r="B439" s="1">
        <v>17478.75</v>
      </c>
      <c r="C439" s="1">
        <v>26.69171</v>
      </c>
      <c r="D439" s="6">
        <f t="shared" si="96"/>
        <v>-5.7944486599448286E-3</v>
      </c>
      <c r="E439" s="5">
        <f t="shared" si="95"/>
        <v>4.4603016288347064E-4</v>
      </c>
      <c r="G439" s="25" t="str">
        <f>IF(VLOOKUP(A439,Aux!B:C,2,FALSE)=0,"",VLOOKUP(A439,Aux!B:C,2,FALSE))</f>
        <v/>
      </c>
      <c r="H439" s="25" t="str">
        <f t="shared" si="84"/>
        <v/>
      </c>
      <c r="L439" s="13">
        <f t="shared" si="87"/>
        <v>99498.754228395483</v>
      </c>
      <c r="M439" s="14">
        <f t="shared" si="88"/>
        <v>-243.17079366698576</v>
      </c>
      <c r="N439" s="14">
        <f t="shared" si="89"/>
        <v>25.758242306254701</v>
      </c>
      <c r="O439" s="1">
        <f t="shared" si="90"/>
        <v>2.387069732668972</v>
      </c>
      <c r="P439" s="1">
        <f t="shared" si="91"/>
        <v>2164.5581769960681</v>
      </c>
      <c r="S439" s="6">
        <f t="shared" si="85"/>
        <v>0.41933183398572305</v>
      </c>
      <c r="T439" s="6">
        <f t="shared" si="86"/>
        <v>0.58066816601427729</v>
      </c>
      <c r="V439" s="1">
        <f t="shared" si="92"/>
        <v>100036.97855410173</v>
      </c>
      <c r="W439" s="7">
        <f t="shared" si="93"/>
        <v>-2.1826943140208469E-3</v>
      </c>
      <c r="X439" s="7">
        <f t="shared" si="94"/>
        <v>-2.08102061259866E-3</v>
      </c>
      <c r="Y439">
        <f>LN(B439/B438)</f>
        <v>-5.8113016114897387E-3</v>
      </c>
      <c r="Z439">
        <f>LN(C439/C438)</f>
        <v>4.4593072099865762E-4</v>
      </c>
    </row>
    <row r="440" spans="1:26" x14ac:dyDescent="0.3">
      <c r="A440" s="11">
        <v>40821</v>
      </c>
      <c r="B440" s="12">
        <v>17570.8</v>
      </c>
      <c r="C440" s="12">
        <v>26.703600000000002</v>
      </c>
      <c r="D440" s="16">
        <f t="shared" si="96"/>
        <v>5.2663949081026562E-3</v>
      </c>
      <c r="E440" s="15">
        <f t="shared" si="95"/>
        <v>4.4545666051365451E-4</v>
      </c>
      <c r="G440" s="25" t="str">
        <f>IF(VLOOKUP(A440,Aux!B:C,2,FALSE)=0,"",VLOOKUP(A440,Aux!B:C,2,FALSE))</f>
        <v/>
      </c>
      <c r="H440" s="25" t="str">
        <f t="shared" si="84"/>
        <v/>
      </c>
      <c r="L440" s="13">
        <f t="shared" si="87"/>
        <v>99744.220594012149</v>
      </c>
      <c r="M440" s="14">
        <f t="shared" si="88"/>
        <v>219.72976889217713</v>
      </c>
      <c r="N440" s="14">
        <f t="shared" si="89"/>
        <v>25.736596724485558</v>
      </c>
      <c r="O440" s="1">
        <f t="shared" si="90"/>
        <v>2.387069732668972</v>
      </c>
      <c r="P440" s="1">
        <f t="shared" si="91"/>
        <v>2164.5581769960681</v>
      </c>
      <c r="S440" s="6">
        <f t="shared" si="85"/>
        <v>0.42050280817270608</v>
      </c>
      <c r="T440" s="6">
        <f t="shared" si="86"/>
        <v>0.5794971918272942</v>
      </c>
      <c r="V440" s="1">
        <f t="shared" si="92"/>
        <v>100275.9406289953</v>
      </c>
      <c r="W440" s="7">
        <f t="shared" si="93"/>
        <v>2.4639914157692636E-3</v>
      </c>
      <c r="X440" s="7">
        <f t="shared" si="94"/>
        <v>2.3858889304297212E-3</v>
      </c>
      <c r="Y440">
        <f>LN(B440/B439)</f>
        <v>5.2525759466111859E-3</v>
      </c>
      <c r="Z440">
        <f>LN(C440/C439)</f>
        <v>4.453574741498476E-4</v>
      </c>
    </row>
    <row r="441" spans="1:26" x14ac:dyDescent="0.3">
      <c r="A441" s="9">
        <v>40822</v>
      </c>
      <c r="B441" s="1">
        <v>17929.150000000001</v>
      </c>
      <c r="C441" s="1">
        <v>26.715499999999999</v>
      </c>
      <c r="D441" s="6">
        <f t="shared" si="96"/>
        <v>2.0394632003096103E-2</v>
      </c>
      <c r="E441" s="5">
        <f t="shared" si="95"/>
        <v>4.4563279857379179E-4</v>
      </c>
      <c r="G441" s="25" t="str">
        <f>IF(VLOOKUP(A441,Aux!B:C,2,FALSE)=0,"",VLOOKUP(A441,Aux!B:C,2,FALSE))</f>
        <v/>
      </c>
      <c r="H441" s="25" t="str">
        <f t="shared" si="84"/>
        <v/>
      </c>
      <c r="L441" s="13">
        <f t="shared" si="87"/>
        <v>100625.38527502032</v>
      </c>
      <c r="M441" s="14">
        <f t="shared" si="88"/>
        <v>855.40643870193139</v>
      </c>
      <c r="N441" s="14">
        <f t="shared" si="89"/>
        <v>25.758242306247009</v>
      </c>
      <c r="O441" s="1">
        <f t="shared" si="90"/>
        <v>2.387069732668972</v>
      </c>
      <c r="P441" s="1">
        <f t="shared" si="91"/>
        <v>2164.5581769960681</v>
      </c>
      <c r="S441" s="6">
        <f t="shared" si="85"/>
        <v>0.42532141547095564</v>
      </c>
      <c r="T441" s="6">
        <f t="shared" si="86"/>
        <v>0.57467858452904474</v>
      </c>
      <c r="V441" s="1">
        <f t="shared" si="92"/>
        <v>101129.28849043732</v>
      </c>
      <c r="W441" s="7">
        <f t="shared" si="93"/>
        <v>8.7954493671720535E-3</v>
      </c>
      <c r="X441" s="7">
        <f t="shared" si="94"/>
        <v>8.4739901901922498E-3</v>
      </c>
      <c r="Y441">
        <f>LN(B441/B440)</f>
        <v>2.0189446592630604E-2</v>
      </c>
      <c r="Z441">
        <f>LN(C441/C440)</f>
        <v>4.4553353376755014E-4</v>
      </c>
    </row>
    <row r="442" spans="1:26" x14ac:dyDescent="0.3">
      <c r="A442" s="11">
        <v>40823</v>
      </c>
      <c r="B442" s="12">
        <v>17598.68</v>
      </c>
      <c r="C442" s="12">
        <v>26.727399999999999</v>
      </c>
      <c r="D442" s="16">
        <f t="shared" si="96"/>
        <v>-1.8431994824071429E-2</v>
      </c>
      <c r="E442" s="15">
        <f t="shared" si="95"/>
        <v>4.4543429844101645E-4</v>
      </c>
      <c r="G442" s="25" t="str">
        <f>IF(VLOOKUP(A442,Aux!B:C,2,FALSE)=0,"",VLOOKUP(A442,Aux!B:C,2,FALSE))</f>
        <v/>
      </c>
      <c r="H442" s="25" t="str">
        <f t="shared" si="84"/>
        <v/>
      </c>
      <c r="L442" s="13">
        <f t="shared" si="87"/>
        <v>99862.288582771464</v>
      </c>
      <c r="M442" s="14">
        <f t="shared" si="88"/>
        <v>-788.85493455511801</v>
      </c>
      <c r="N442" s="14">
        <f t="shared" si="89"/>
        <v>25.758242306254701</v>
      </c>
      <c r="O442" s="1">
        <f t="shared" si="90"/>
        <v>2.387069732668972</v>
      </c>
      <c r="P442" s="1">
        <f t="shared" si="91"/>
        <v>2164.5581769960681</v>
      </c>
      <c r="S442" s="6">
        <f t="shared" si="85"/>
        <v>0.42067207710853877</v>
      </c>
      <c r="T442" s="6">
        <f t="shared" si="86"/>
        <v>0.57932792289146162</v>
      </c>
      <c r="V442" s="1">
        <f t="shared" si="92"/>
        <v>100393.5045168268</v>
      </c>
      <c r="W442" s="7">
        <f t="shared" si="93"/>
        <v>-7.6124418288308999E-3</v>
      </c>
      <c r="X442" s="7">
        <f t="shared" si="94"/>
        <v>-7.3022731787006417E-3</v>
      </c>
      <c r="Y442">
        <f>LN(B442/B441)</f>
        <v>-1.8603980680699666E-2</v>
      </c>
      <c r="Z442">
        <f>LN(C442/C441)</f>
        <v>4.453351220338586E-4</v>
      </c>
    </row>
    <row r="443" spans="1:26" x14ac:dyDescent="0.3">
      <c r="A443" s="9">
        <v>40826</v>
      </c>
      <c r="B443" s="1">
        <v>18191.080000000002</v>
      </c>
      <c r="C443" s="1">
        <v>26.73931</v>
      </c>
      <c r="D443" s="6">
        <f t="shared" si="96"/>
        <v>3.3661615530255817E-2</v>
      </c>
      <c r="E443" s="5">
        <f t="shared" si="95"/>
        <v>4.4561012294508373E-4</v>
      </c>
      <c r="G443" s="25" t="str">
        <f>IF(VLOOKUP(A443,Aux!B:C,2,FALSE)=0,"",VLOOKUP(A443,Aux!B:C,2,FALSE))</f>
        <v/>
      </c>
      <c r="H443" s="25" t="str">
        <f t="shared" si="84"/>
        <v/>
      </c>
      <c r="L443" s="13">
        <f t="shared" si="87"/>
        <v>101302.16858029259</v>
      </c>
      <c r="M443" s="14">
        <f t="shared" si="88"/>
        <v>1414.1001096331024</v>
      </c>
      <c r="N443" s="14">
        <f t="shared" si="89"/>
        <v>25.77988788802384</v>
      </c>
      <c r="O443" s="1">
        <f t="shared" si="90"/>
        <v>2.387069732668972</v>
      </c>
      <c r="P443" s="1">
        <f t="shared" si="91"/>
        <v>2164.5581769960681</v>
      </c>
      <c r="S443" s="6">
        <f t="shared" si="85"/>
        <v>0.42865199315197589</v>
      </c>
      <c r="T443" s="6">
        <f t="shared" si="86"/>
        <v>0.57134800684802434</v>
      </c>
      <c r="V443" s="1">
        <f t="shared" si="92"/>
        <v>101786.83628670624</v>
      </c>
      <c r="W443" s="7">
        <f t="shared" si="93"/>
        <v>1.4315695808212292E-2</v>
      </c>
      <c r="X443" s="7">
        <f t="shared" si="94"/>
        <v>1.3783277077170543E-2</v>
      </c>
      <c r="Y443">
        <f>LN(B443/B442)</f>
        <v>3.3107464818065098E-2</v>
      </c>
      <c r="Z443">
        <f>LN(C443/C442)</f>
        <v>4.4551086823908797E-4</v>
      </c>
    </row>
    <row r="444" spans="1:26" x14ac:dyDescent="0.3">
      <c r="A444" s="11">
        <v>40827</v>
      </c>
      <c r="B444" s="12">
        <v>18323.77</v>
      </c>
      <c r="C444" s="12">
        <v>26.75123</v>
      </c>
      <c r="D444" s="16">
        <f t="shared" si="96"/>
        <v>7.2942343170387947E-3</v>
      </c>
      <c r="E444" s="15">
        <f t="shared" si="95"/>
        <v>4.4578562423636114E-4</v>
      </c>
      <c r="G444" s="25" t="str">
        <f>IF(VLOOKUP(A444,Aux!B:C,2,FALSE)=0,"",VLOOKUP(A444,Aux!B:C,2,FALSE))</f>
        <v/>
      </c>
      <c r="H444" s="25" t="str">
        <f t="shared" si="84"/>
        <v/>
      </c>
      <c r="L444" s="13">
        <f t="shared" si="87"/>
        <v>101644.71039659024</v>
      </c>
      <c r="M444" s="14">
        <f t="shared" si="88"/>
        <v>316.74028282784275</v>
      </c>
      <c r="N444" s="14">
        <f t="shared" si="89"/>
        <v>25.801533469792982</v>
      </c>
      <c r="O444" s="1">
        <f t="shared" si="90"/>
        <v>2.387069732668972</v>
      </c>
      <c r="P444" s="1">
        <f t="shared" si="91"/>
        <v>2164.5581769960681</v>
      </c>
      <c r="S444" s="6">
        <f t="shared" si="85"/>
        <v>0.43032359071835219</v>
      </c>
      <c r="T444" s="6">
        <f t="shared" si="86"/>
        <v>0.56967640928164809</v>
      </c>
      <c r="V444" s="1">
        <f t="shared" si="92"/>
        <v>102119.62337716846</v>
      </c>
      <c r="W444" s="7">
        <f t="shared" si="93"/>
        <v>3.3756827727838899E-3</v>
      </c>
      <c r="X444" s="7">
        <f t="shared" si="94"/>
        <v>3.2641181302756942E-3</v>
      </c>
      <c r="Y444">
        <f>LN(B444/B443)</f>
        <v>7.2677600516146768E-3</v>
      </c>
      <c r="Z444">
        <f>LN(C444/C443)</f>
        <v>4.4568629134466024E-4</v>
      </c>
    </row>
    <row r="445" spans="1:26" x14ac:dyDescent="0.3">
      <c r="A445" s="9">
        <v>40829</v>
      </c>
      <c r="B445" s="1">
        <v>18570.689999999999</v>
      </c>
      <c r="C445" s="1">
        <v>26.76315</v>
      </c>
      <c r="D445" s="6">
        <f t="shared" si="96"/>
        <v>1.3475392891309834E-2</v>
      </c>
      <c r="E445" s="5">
        <f t="shared" si="95"/>
        <v>4.4558698796270946E-4</v>
      </c>
      <c r="G445" s="25" t="str">
        <f>IF(VLOOKUP(A445,Aux!B:C,2,FALSE)=0,"",VLOOKUP(A445,Aux!B:C,2,FALSE))</f>
        <v/>
      </c>
      <c r="H445" s="25" t="str">
        <f t="shared" si="84"/>
        <v/>
      </c>
      <c r="L445" s="13">
        <f t="shared" si="87"/>
        <v>102259.92718845066</v>
      </c>
      <c r="M445" s="14">
        <f t="shared" si="88"/>
        <v>589.41525839061842</v>
      </c>
      <c r="N445" s="14">
        <f t="shared" si="89"/>
        <v>25.801533469792982</v>
      </c>
      <c r="O445" s="1">
        <f t="shared" si="90"/>
        <v>2.387069732668972</v>
      </c>
      <c r="P445" s="1">
        <f t="shared" si="91"/>
        <v>2164.5581769960681</v>
      </c>
      <c r="S445" s="6">
        <f t="shared" si="85"/>
        <v>0.4334985681349573</v>
      </c>
      <c r="T445" s="6">
        <f t="shared" si="86"/>
        <v>0.56650143186504276</v>
      </c>
      <c r="V445" s="1">
        <f t="shared" si="92"/>
        <v>102715.94307341745</v>
      </c>
      <c r="W445" s="7">
        <f t="shared" si="93"/>
        <v>6.0343763242027091E-3</v>
      </c>
      <c r="X445" s="7">
        <f t="shared" si="94"/>
        <v>5.8224398352721479E-3</v>
      </c>
      <c r="Y445">
        <f>LN(B445/B444)</f>
        <v>1.3385407277537653E-2</v>
      </c>
      <c r="Z445">
        <f>LN(C445/C444)</f>
        <v>4.4548774356103685E-4</v>
      </c>
    </row>
    <row r="446" spans="1:26" x14ac:dyDescent="0.3">
      <c r="A446" s="11">
        <v>40830</v>
      </c>
      <c r="B446" s="12">
        <v>18688.099999999999</v>
      </c>
      <c r="C446" s="12">
        <v>26.77506</v>
      </c>
      <c r="D446" s="16">
        <f t="shared" si="96"/>
        <v>6.322328357212248E-3</v>
      </c>
      <c r="E446" s="15">
        <f t="shared" si="95"/>
        <v>4.4501488053527716E-4</v>
      </c>
      <c r="G446" s="25" t="str">
        <f>IF(VLOOKUP(A446,Aux!B:C,2,FALSE)=0,"",VLOOKUP(A446,Aux!B:C,2,FALSE))</f>
        <v/>
      </c>
      <c r="H446" s="25" t="str">
        <f t="shared" si="84"/>
        <v/>
      </c>
      <c r="L446" s="13">
        <f t="shared" si="87"/>
        <v>102565.97293365136</v>
      </c>
      <c r="M446" s="14">
        <f t="shared" si="88"/>
        <v>280.26585731266368</v>
      </c>
      <c r="N446" s="14">
        <f t="shared" si="89"/>
        <v>25.77988788802384</v>
      </c>
      <c r="O446" s="1">
        <f t="shared" si="90"/>
        <v>2.387069732668972</v>
      </c>
      <c r="P446" s="1">
        <f t="shared" si="91"/>
        <v>2164.5581769960681</v>
      </c>
      <c r="S446" s="6">
        <f t="shared" si="85"/>
        <v>0.43493759767626372</v>
      </c>
      <c r="T446" s="6">
        <f t="shared" si="86"/>
        <v>0.56506240232373628</v>
      </c>
      <c r="V446" s="1">
        <f t="shared" si="92"/>
        <v>103013.45629805778</v>
      </c>
      <c r="W446" s="7">
        <f t="shared" si="93"/>
        <v>2.9883522813629565E-3</v>
      </c>
      <c r="X446" s="7">
        <f t="shared" si="94"/>
        <v>2.8922792070325974E-3</v>
      </c>
      <c r="Y446">
        <f>LN(B446/B445)</f>
        <v>6.3024262802139457E-3</v>
      </c>
      <c r="Z446">
        <f>LN(C446/C445)</f>
        <v>4.4491589078018208E-4</v>
      </c>
    </row>
    <row r="447" spans="1:26" x14ac:dyDescent="0.3">
      <c r="A447" s="9">
        <v>40833</v>
      </c>
      <c r="B447" s="1">
        <v>18428.68</v>
      </c>
      <c r="C447" s="1">
        <v>26.78698</v>
      </c>
      <c r="D447" s="6">
        <f t="shared" si="96"/>
        <v>-1.3881560993359354E-2</v>
      </c>
      <c r="E447" s="5">
        <f t="shared" si="95"/>
        <v>4.4519041227175649E-4</v>
      </c>
      <c r="G447" s="25" t="str">
        <f>IF(VLOOKUP(A447,Aux!B:C,2,FALSE)=0,"",VLOOKUP(A447,Aux!B:C,2,FALSE))</f>
        <v/>
      </c>
      <c r="H447" s="25" t="str">
        <f t="shared" si="84"/>
        <v/>
      </c>
      <c r="L447" s="13">
        <f t="shared" si="87"/>
        <v>101972.52083707218</v>
      </c>
      <c r="M447" s="14">
        <f t="shared" si="88"/>
        <v>-619.25363004898054</v>
      </c>
      <c r="N447" s="14">
        <f t="shared" si="89"/>
        <v>25.801533469792982</v>
      </c>
      <c r="O447" s="1">
        <f t="shared" si="90"/>
        <v>2.387069732668972</v>
      </c>
      <c r="P447" s="1">
        <f t="shared" si="91"/>
        <v>2164.5581769960681</v>
      </c>
      <c r="S447" s="6">
        <f t="shared" si="85"/>
        <v>0.4313960651353167</v>
      </c>
      <c r="T447" s="6">
        <f t="shared" si="86"/>
        <v>0.56860393486468319</v>
      </c>
      <c r="V447" s="1">
        <f t="shared" si="92"/>
        <v>102441.63190243881</v>
      </c>
      <c r="W447" s="7">
        <f t="shared" si="93"/>
        <v>-5.8028564787085393E-3</v>
      </c>
      <c r="X447" s="7">
        <f t="shared" si="94"/>
        <v>-5.5664318380492994E-3</v>
      </c>
      <c r="Y447">
        <f>LN(B447/B446)</f>
        <v>-1.397881089702469E-2</v>
      </c>
      <c r="Z447">
        <f>LN(C447/C446)</f>
        <v>4.4509134442178124E-4</v>
      </c>
    </row>
    <row r="448" spans="1:26" x14ac:dyDescent="0.3">
      <c r="A448" s="11">
        <v>40834</v>
      </c>
      <c r="B448" s="12">
        <v>18701.810000000001</v>
      </c>
      <c r="C448" s="12">
        <v>26.798909999999999</v>
      </c>
      <c r="D448" s="16">
        <f t="shared" si="96"/>
        <v>1.4820920434887475E-2</v>
      </c>
      <c r="E448" s="15">
        <f t="shared" si="95"/>
        <v>4.4536562165653493E-4</v>
      </c>
      <c r="G448" s="25" t="str">
        <f>IF(VLOOKUP(A448,Aux!B:C,2,FALSE)=0,"",VLOOKUP(A448,Aux!B:C,2,FALSE))</f>
        <v/>
      </c>
      <c r="H448" s="25" t="str">
        <f t="shared" si="84"/>
        <v/>
      </c>
      <c r="L448" s="13">
        <f t="shared" si="87"/>
        <v>102650.32437220761</v>
      </c>
      <c r="M448" s="14">
        <f t="shared" si="88"/>
        <v>651.98035608387875</v>
      </c>
      <c r="N448" s="14">
        <f t="shared" si="89"/>
        <v>25.823179051562125</v>
      </c>
      <c r="O448" s="1">
        <f t="shared" si="90"/>
        <v>2.387069732668972</v>
      </c>
      <c r="P448" s="1">
        <f t="shared" si="91"/>
        <v>2164.5581769960681</v>
      </c>
      <c r="S448" s="6">
        <f t="shared" si="85"/>
        <v>0.43489901147563054</v>
      </c>
      <c r="T448" s="6">
        <f t="shared" si="86"/>
        <v>0.56510098852436952</v>
      </c>
      <c r="V448" s="1">
        <f t="shared" si="92"/>
        <v>103098.44135684312</v>
      </c>
      <c r="W448" s="7">
        <f t="shared" si="93"/>
        <v>6.6249300119909857E-3</v>
      </c>
      <c r="X448" s="7">
        <f t="shared" si="94"/>
        <v>6.3910815993530792E-3</v>
      </c>
      <c r="Y448">
        <f>LN(B448/B447)</f>
        <v>1.4712163858529394E-2</v>
      </c>
      <c r="Z448">
        <f>LN(C448/C447)</f>
        <v>4.4526647582439599E-4</v>
      </c>
    </row>
    <row r="449" spans="1:26" x14ac:dyDescent="0.3">
      <c r="A449" s="9">
        <v>40835</v>
      </c>
      <c r="B449" s="1">
        <v>18660.05</v>
      </c>
      <c r="C449" s="1">
        <v>26.810839999999999</v>
      </c>
      <c r="D449" s="6">
        <f t="shared" si="96"/>
        <v>-2.2329389508288777E-3</v>
      </c>
      <c r="E449" s="5">
        <f t="shared" si="95"/>
        <v>4.4516735941879659E-4</v>
      </c>
      <c r="G449" s="25" t="str">
        <f>IF(VLOOKUP(A449,Aux!B:C,2,FALSE)=0,"",VLOOKUP(A449,Aux!B:C,2,FALSE))</f>
        <v/>
      </c>
      <c r="H449" s="25" t="str">
        <f t="shared" si="84"/>
        <v/>
      </c>
      <c r="L449" s="13">
        <f t="shared" si="87"/>
        <v>102576.4635192229</v>
      </c>
      <c r="M449" s="14">
        <f t="shared" si="88"/>
        <v>-99.684032036261129</v>
      </c>
      <c r="N449" s="14">
        <f t="shared" si="89"/>
        <v>25.823179051562125</v>
      </c>
      <c r="O449" s="1">
        <f t="shared" si="90"/>
        <v>2.387069732668972</v>
      </c>
      <c r="P449" s="1">
        <f t="shared" si="91"/>
        <v>2164.5581769960681</v>
      </c>
      <c r="S449" s="6">
        <f t="shared" si="85"/>
        <v>0.43424036115987069</v>
      </c>
      <c r="T449" s="6">
        <f t="shared" si="86"/>
        <v>0.56575963884012936</v>
      </c>
      <c r="V449" s="1">
        <f t="shared" si="92"/>
        <v>103028.7885663363</v>
      </c>
      <c r="W449" s="7">
        <f t="shared" si="93"/>
        <v>-7.1979741955307988E-4</v>
      </c>
      <c r="X449" s="7">
        <f t="shared" si="94"/>
        <v>-6.7582330761306933E-4</v>
      </c>
      <c r="Y449">
        <f>LN(B449/B448)</f>
        <v>-2.235435676390867E-3</v>
      </c>
      <c r="Z449">
        <f>LN(C449/C448)</f>
        <v>4.4506830182689807E-4</v>
      </c>
    </row>
    <row r="450" spans="1:26" x14ac:dyDescent="0.3">
      <c r="A450" s="11">
        <v>40836</v>
      </c>
      <c r="B450" s="12">
        <v>18389.71</v>
      </c>
      <c r="C450" s="12">
        <v>26.822780000000002</v>
      </c>
      <c r="D450" s="16">
        <f t="shared" si="96"/>
        <v>-1.4487635349315742E-2</v>
      </c>
      <c r="E450" s="15">
        <f t="shared" si="95"/>
        <v>4.4534225708714459E-4</v>
      </c>
      <c r="G450" s="25" t="str">
        <f>IF(VLOOKUP(A450,Aux!B:C,2,FALSE)=0,"",VLOOKUP(A450,Aux!B:C,2,FALSE))</f>
        <v/>
      </c>
      <c r="H450" s="25" t="str">
        <f t="shared" si="84"/>
        <v/>
      </c>
      <c r="L450" s="13">
        <f t="shared" si="87"/>
        <v>101956.98791232651</v>
      </c>
      <c r="M450" s="14">
        <f t="shared" si="88"/>
        <v>-645.32043152973029</v>
      </c>
      <c r="N450" s="14">
        <f t="shared" si="89"/>
        <v>25.844824633338956</v>
      </c>
      <c r="O450" s="1">
        <f t="shared" si="90"/>
        <v>2.387069732668972</v>
      </c>
      <c r="P450" s="1">
        <f t="shared" si="91"/>
        <v>2164.5581769960681</v>
      </c>
      <c r="S450" s="6">
        <f t="shared" si="85"/>
        <v>0.43054940158989091</v>
      </c>
      <c r="T450" s="6">
        <f t="shared" si="86"/>
        <v>0.56945059841010914</v>
      </c>
      <c r="V450" s="1">
        <f t="shared" si="92"/>
        <v>102431.81609138291</v>
      </c>
      <c r="W450" s="7">
        <f t="shared" si="93"/>
        <v>-6.0574688077405679E-3</v>
      </c>
      <c r="X450" s="7">
        <f t="shared" si="94"/>
        <v>-5.8110814563279763E-3</v>
      </c>
      <c r="Y450">
        <f>LN(B450/B449)</f>
        <v>-1.4593605892032993E-2</v>
      </c>
      <c r="Z450">
        <f>LN(C450/C449)</f>
        <v>4.4524312165587662E-4</v>
      </c>
    </row>
    <row r="451" spans="1:26" x14ac:dyDescent="0.3">
      <c r="A451" s="9">
        <v>40837</v>
      </c>
      <c r="B451" s="1">
        <v>18754.14</v>
      </c>
      <c r="C451" s="1">
        <v>26.83427</v>
      </c>
      <c r="D451" s="6">
        <f t="shared" si="96"/>
        <v>1.9817060736683656E-2</v>
      </c>
      <c r="E451" s="5">
        <f t="shared" si="95"/>
        <v>4.2836723113715003E-4</v>
      </c>
      <c r="G451" s="25" t="str">
        <f>IF(VLOOKUP(A451,Aux!B:C,2,FALSE)=0,"",VLOOKUP(A451,Aux!B:C,2,FALSE))</f>
        <v/>
      </c>
      <c r="H451" s="25" t="str">
        <f t="shared" ref="H451:H514" si="97">IF(ISNUMBER(G451),1-G451,"")</f>
        <v/>
      </c>
      <c r="L451" s="13">
        <f t="shared" si="87"/>
        <v>102851.77850845676</v>
      </c>
      <c r="M451" s="14">
        <f t="shared" si="88"/>
        <v>869.91982267655419</v>
      </c>
      <c r="N451" s="14">
        <f t="shared" si="89"/>
        <v>24.870773453681458</v>
      </c>
      <c r="O451" s="1">
        <f t="shared" si="90"/>
        <v>2.387069732668972</v>
      </c>
      <c r="P451" s="1">
        <f t="shared" si="91"/>
        <v>2164.5581769960681</v>
      </c>
      <c r="S451" s="6">
        <f t="shared" ref="S451:S514" si="98">O451*B451/L451</f>
        <v>0.4352616999477123</v>
      </c>
      <c r="T451" s="6">
        <f t="shared" ref="T451:T514" si="99">P451*C451/L451</f>
        <v>0.56473830005228765</v>
      </c>
      <c r="V451" s="1">
        <f t="shared" si="92"/>
        <v>103298.27350119523</v>
      </c>
      <c r="W451" s="7">
        <f t="shared" si="93"/>
        <v>8.7378709895534912E-3</v>
      </c>
      <c r="X451" s="7">
        <f t="shared" si="94"/>
        <v>8.4232941772174764E-3</v>
      </c>
      <c r="Y451">
        <f>LN(B451/B450)</f>
        <v>1.9623258991709556E-2</v>
      </c>
      <c r="Z451">
        <f>LN(C451/C450)</f>
        <v>4.282755080879582E-4</v>
      </c>
    </row>
    <row r="452" spans="1:26" x14ac:dyDescent="0.3">
      <c r="A452" s="11">
        <v>40840</v>
      </c>
      <c r="B452" s="12">
        <v>19194.98</v>
      </c>
      <c r="C452" s="12">
        <v>26.845759999999999</v>
      </c>
      <c r="D452" s="16">
        <f t="shared" si="96"/>
        <v>2.3506276480819821E-2</v>
      </c>
      <c r="E452" s="15">
        <f t="shared" si="95"/>
        <v>4.2818381122344817E-4</v>
      </c>
      <c r="G452" s="25" t="str">
        <f>IF(VLOOKUP(A452,Aux!B:C,2,FALSE)=0,"",VLOOKUP(A452,Aux!B:C,2,FALSE))</f>
        <v/>
      </c>
      <c r="H452" s="25" t="str">
        <f t="shared" si="97"/>
        <v/>
      </c>
      <c r="L452" s="13">
        <f t="shared" ref="L452:L515" si="100">L451+M452+N452</f>
        <v>103928.96510286024</v>
      </c>
      <c r="M452" s="14">
        <f t="shared" ref="M452:M515" si="101">O451*(B452-B451)</f>
        <v>1052.3158209497899</v>
      </c>
      <c r="N452" s="14">
        <f t="shared" ref="N452:N515" si="102">P451*(C452-C451)</f>
        <v>24.870773453681458</v>
      </c>
      <c r="O452" s="1">
        <f t="shared" ref="O452:O515" si="103">IF(ISNUMBER(G452),L452*G452/B452,O451)</f>
        <v>2.387069732668972</v>
      </c>
      <c r="P452" s="1">
        <f t="shared" ref="P452:P515" si="104">IF(ISNUMBER(H452),L452*H452/C452,P451)</f>
        <v>2164.5581769960681</v>
      </c>
      <c r="S452" s="6">
        <f t="shared" si="98"/>
        <v>0.44087570516879182</v>
      </c>
      <c r="T452" s="6">
        <f t="shared" si="99"/>
        <v>0.55912429483120807</v>
      </c>
      <c r="V452" s="1">
        <f t="shared" ref="V452:V515" si="105">$O$2*B452+$P$2*C452</f>
        <v>104341.01145384368</v>
      </c>
      <c r="W452" s="7">
        <f t="shared" ref="W452:W515" si="106">LN(L452/L451)</f>
        <v>1.0418729709712705E-2</v>
      </c>
      <c r="X452" s="7">
        <f t="shared" ref="X452:X515" si="107">LN(V452/V451)</f>
        <v>1.0043828832095293E-2</v>
      </c>
      <c r="Y452">
        <f>LN(B452/B451)</f>
        <v>2.3234258470526219E-2</v>
      </c>
      <c r="Z452">
        <f>LN(C452/C451)</f>
        <v>4.2809216669488704E-4</v>
      </c>
    </row>
    <row r="453" spans="1:26" x14ac:dyDescent="0.3">
      <c r="A453" s="9">
        <v>40841</v>
      </c>
      <c r="B453" s="1">
        <v>19035.89</v>
      </c>
      <c r="C453" s="1">
        <v>26.857250000000001</v>
      </c>
      <c r="D453" s="6">
        <f t="shared" si="96"/>
        <v>-8.2881044939875359E-3</v>
      </c>
      <c r="E453" s="5">
        <f t="shared" ref="E453:E516" si="108">C453/C452-1</f>
        <v>4.2800054831748646E-4</v>
      </c>
      <c r="G453" s="25" t="str">
        <f>IF(VLOOKUP(A453,Aux!B:C,2,FALSE)=0,"",VLOOKUP(A453,Aux!B:C,2,FALSE))</f>
        <v/>
      </c>
      <c r="H453" s="25" t="str">
        <f t="shared" si="97"/>
        <v/>
      </c>
      <c r="L453" s="13">
        <f t="shared" si="100"/>
        <v>103574.07695254362</v>
      </c>
      <c r="M453" s="14">
        <f t="shared" si="101"/>
        <v>-379.75892377030709</v>
      </c>
      <c r="N453" s="14">
        <f t="shared" si="102"/>
        <v>24.87077345368915</v>
      </c>
      <c r="O453" s="1">
        <f t="shared" si="103"/>
        <v>2.387069732668972</v>
      </c>
      <c r="P453" s="1">
        <f t="shared" si="104"/>
        <v>2164.5581769960681</v>
      </c>
      <c r="S453" s="6">
        <f t="shared" si="98"/>
        <v>0.43871978578419779</v>
      </c>
      <c r="T453" s="6">
        <f t="shared" si="99"/>
        <v>0.5612802142158021</v>
      </c>
      <c r="V453" s="1">
        <f t="shared" si="105"/>
        <v>103999.68991082843</v>
      </c>
      <c r="W453" s="7">
        <f t="shared" si="106"/>
        <v>-3.420561865738228E-3</v>
      </c>
      <c r="X453" s="7">
        <f t="shared" si="107"/>
        <v>-3.2765738633561822E-3</v>
      </c>
      <c r="Y453">
        <f>LN(B453/B452)</f>
        <v>-8.3226417969454718E-3</v>
      </c>
      <c r="Z453">
        <f>LN(C453/C452)</f>
        <v>4.2790898220877125E-4</v>
      </c>
    </row>
    <row r="454" spans="1:26" x14ac:dyDescent="0.3">
      <c r="A454" s="11">
        <v>40842</v>
      </c>
      <c r="B454" s="12">
        <v>19268.990000000002</v>
      </c>
      <c r="C454" s="12">
        <v>26.868749999999999</v>
      </c>
      <c r="D454" s="16">
        <f t="shared" si="96"/>
        <v>1.2245290343661397E-2</v>
      </c>
      <c r="E454" s="15">
        <f t="shared" si="108"/>
        <v>4.2818978115777284E-4</v>
      </c>
      <c r="G454" s="25" t="str">
        <f>IF(VLOOKUP(A454,Aux!B:C,2,FALSE)=0,"",VLOOKUP(A454,Aux!B:C,2,FALSE))</f>
        <v/>
      </c>
      <c r="H454" s="25" t="str">
        <f t="shared" si="97"/>
        <v/>
      </c>
      <c r="L454" s="13">
        <f t="shared" si="100"/>
        <v>104155.3953262642</v>
      </c>
      <c r="M454" s="14">
        <f t="shared" si="101"/>
        <v>556.42595468514264</v>
      </c>
      <c r="N454" s="14">
        <f t="shared" si="102"/>
        <v>24.892419035450601</v>
      </c>
      <c r="O454" s="1">
        <f t="shared" si="103"/>
        <v>2.387069732668972</v>
      </c>
      <c r="P454" s="1">
        <f t="shared" si="104"/>
        <v>2164.5581769960681</v>
      </c>
      <c r="S454" s="6">
        <f t="shared" si="98"/>
        <v>0.44161344368209104</v>
      </c>
      <c r="T454" s="6">
        <f t="shared" si="99"/>
        <v>0.55838655631790901</v>
      </c>
      <c r="V454" s="1">
        <f t="shared" si="105"/>
        <v>104563.1867880174</v>
      </c>
      <c r="W454" s="7">
        <f t="shared" si="106"/>
        <v>5.5968937371907385E-3</v>
      </c>
      <c r="X454" s="7">
        <f t="shared" si="107"/>
        <v>5.403629420979229E-3</v>
      </c>
      <c r="Y454">
        <f>LN(B454/B453)</f>
        <v>1.2170923258071358E-2</v>
      </c>
      <c r="Z454">
        <f>LN(C454/C453)</f>
        <v>4.2809813407405873E-4</v>
      </c>
    </row>
    <row r="455" spans="1:26" x14ac:dyDescent="0.3">
      <c r="A455" s="9">
        <v>40843</v>
      </c>
      <c r="B455" s="1">
        <v>19776.86</v>
      </c>
      <c r="C455" s="1">
        <v>26.88025</v>
      </c>
      <c r="D455" s="6">
        <f t="shared" si="96"/>
        <v>2.6356856275289831E-2</v>
      </c>
      <c r="E455" s="5">
        <f t="shared" si="108"/>
        <v>4.2800651314256477E-4</v>
      </c>
      <c r="G455" s="25" t="str">
        <f>IF(VLOOKUP(A455,Aux!B:C,2,FALSE)=0,"",VLOOKUP(A455,Aux!B:C,2,FALSE))</f>
        <v/>
      </c>
      <c r="H455" s="25" t="str">
        <f t="shared" si="97"/>
        <v/>
      </c>
      <c r="L455" s="13">
        <f t="shared" si="100"/>
        <v>105392.60885043025</v>
      </c>
      <c r="M455" s="14">
        <f t="shared" si="101"/>
        <v>1212.3211051305884</v>
      </c>
      <c r="N455" s="14">
        <f t="shared" si="102"/>
        <v>24.892419035458289</v>
      </c>
      <c r="O455" s="1">
        <f t="shared" si="103"/>
        <v>2.387069732668972</v>
      </c>
      <c r="P455" s="1">
        <f t="shared" si="104"/>
        <v>2164.5581769960681</v>
      </c>
      <c r="S455" s="6">
        <f t="shared" si="98"/>
        <v>0.44793220727867927</v>
      </c>
      <c r="T455" s="6">
        <f t="shared" si="99"/>
        <v>0.55206779272132078</v>
      </c>
      <c r="V455" s="1">
        <f t="shared" si="105"/>
        <v>105760.58766671241</v>
      </c>
      <c r="W455" s="7">
        <f t="shared" si="106"/>
        <v>1.1808539103766015E-2</v>
      </c>
      <c r="X455" s="7">
        <f t="shared" si="107"/>
        <v>1.1386385763265974E-2</v>
      </c>
      <c r="Y455">
        <f>LN(B455/B454)</f>
        <v>2.6015499409422306E-2</v>
      </c>
      <c r="Z455">
        <f>LN(C455/C454)</f>
        <v>4.2791494448197559E-4</v>
      </c>
    </row>
    <row r="456" spans="1:26" x14ac:dyDescent="0.3">
      <c r="A456" s="11">
        <v>40844</v>
      </c>
      <c r="B456" s="12">
        <v>19860.55</v>
      </c>
      <c r="C456" s="12">
        <v>26.891760000000001</v>
      </c>
      <c r="D456" s="16">
        <f t="shared" si="96"/>
        <v>4.231713224445155E-3</v>
      </c>
      <c r="E456" s="15">
        <f t="shared" si="108"/>
        <v>4.2819542228955676E-4</v>
      </c>
      <c r="G456" s="25" t="str">
        <f>IF(VLOOKUP(A456,Aux!B:C,2,FALSE)=0,"",VLOOKUP(A456,Aux!B:C,2,FALSE))</f>
        <v/>
      </c>
      <c r="H456" s="25" t="str">
        <f t="shared" si="97"/>
        <v/>
      </c>
      <c r="L456" s="13">
        <f t="shared" si="100"/>
        <v>105617.29678097455</v>
      </c>
      <c r="M456" s="14">
        <f t="shared" si="101"/>
        <v>199.77386592706316</v>
      </c>
      <c r="N456" s="14">
        <f t="shared" si="102"/>
        <v>24.914064617227432</v>
      </c>
      <c r="O456" s="1">
        <f t="shared" si="103"/>
        <v>2.387069732668972</v>
      </c>
      <c r="P456" s="1">
        <f t="shared" si="104"/>
        <v>2164.5581769960681</v>
      </c>
      <c r="S456" s="6">
        <f t="shared" si="98"/>
        <v>0.44887077423949673</v>
      </c>
      <c r="T456" s="6">
        <f t="shared" si="99"/>
        <v>0.55112922576050327</v>
      </c>
      <c r="V456" s="1">
        <f t="shared" si="105"/>
        <v>105979.41281883622</v>
      </c>
      <c r="W456" s="7">
        <f t="shared" si="106"/>
        <v>2.1296442438801509E-3</v>
      </c>
      <c r="X456" s="7">
        <f t="shared" si="107"/>
        <v>2.066923864427566E-3</v>
      </c>
      <c r="Y456">
        <f>LN(B456/B455)</f>
        <v>4.2227847057958864E-3</v>
      </c>
      <c r="Z456">
        <f>LN(C456/C455)</f>
        <v>4.2810377279138562E-4</v>
      </c>
    </row>
    <row r="457" spans="1:26" x14ac:dyDescent="0.3">
      <c r="A457" s="9">
        <v>40847</v>
      </c>
      <c r="B457" s="1">
        <v>19618.150000000001</v>
      </c>
      <c r="C457" s="1">
        <v>26.903269999999999</v>
      </c>
      <c r="D457" s="6">
        <f t="shared" si="96"/>
        <v>-1.2205100060169394E-2</v>
      </c>
      <c r="E457" s="5">
        <f t="shared" si="108"/>
        <v>4.2801214944643284E-4</v>
      </c>
      <c r="G457" s="25" t="str">
        <f>IF(VLOOKUP(A457,Aux!B:C,2,FALSE)=0,"",VLOOKUP(A457,Aux!B:C,2,FALSE))</f>
        <v/>
      </c>
      <c r="H457" s="25" t="str">
        <f t="shared" si="97"/>
        <v/>
      </c>
      <c r="L457" s="13">
        <f t="shared" si="100"/>
        <v>105063.58514239281</v>
      </c>
      <c r="M457" s="14">
        <f t="shared" si="101"/>
        <v>-578.6257031989536</v>
      </c>
      <c r="N457" s="14">
        <f t="shared" si="102"/>
        <v>24.91406461721974</v>
      </c>
      <c r="O457" s="1">
        <f t="shared" si="103"/>
        <v>2.387069732668972</v>
      </c>
      <c r="P457" s="1">
        <f t="shared" si="104"/>
        <v>2164.5581769960681</v>
      </c>
      <c r="S457" s="6">
        <f t="shared" si="98"/>
        <v>0.44572905076950481</v>
      </c>
      <c r="T457" s="6">
        <f t="shared" si="99"/>
        <v>0.55427094923049514</v>
      </c>
      <c r="V457" s="1">
        <f t="shared" si="105"/>
        <v>105445.93693427081</v>
      </c>
      <c r="W457" s="7">
        <f t="shared" si="106"/>
        <v>-5.2564134765506814E-3</v>
      </c>
      <c r="X457" s="7">
        <f t="shared" si="107"/>
        <v>-5.0464811088721372E-3</v>
      </c>
      <c r="Y457">
        <f>LN(B457/B456)</f>
        <v>-1.2280193938312903E-2</v>
      </c>
      <c r="Z457">
        <f>LN(C457/C456)</f>
        <v>4.2792057837448511E-4</v>
      </c>
    </row>
    <row r="458" spans="1:26" x14ac:dyDescent="0.3">
      <c r="A458" s="11">
        <v>40848</v>
      </c>
      <c r="B458" s="12">
        <v>19359.22</v>
      </c>
      <c r="C458" s="12">
        <v>26.91479</v>
      </c>
      <c r="D458" s="16">
        <f t="shared" si="96"/>
        <v>-1.3198492212568524E-2</v>
      </c>
      <c r="E458" s="15">
        <f t="shared" si="108"/>
        <v>4.2820073544969084E-4</v>
      </c>
      <c r="G458" s="25" t="str">
        <f>IF(VLOOKUP(A458,Aux!B:C,2,FALSE)=0,"",VLOOKUP(A458,Aux!B:C,2,FALSE))</f>
        <v/>
      </c>
      <c r="H458" s="25" t="str">
        <f t="shared" si="97"/>
        <v/>
      </c>
      <c r="L458" s="13">
        <f t="shared" si="100"/>
        <v>104470.43688671183</v>
      </c>
      <c r="M458" s="14">
        <f t="shared" si="101"/>
        <v>-618.08396587997765</v>
      </c>
      <c r="N458" s="14">
        <f t="shared" si="102"/>
        <v>24.935710198996574</v>
      </c>
      <c r="O458" s="1">
        <f t="shared" si="103"/>
        <v>2.387069732668972</v>
      </c>
      <c r="P458" s="1">
        <f t="shared" si="104"/>
        <v>2164.5581769960681</v>
      </c>
      <c r="S458" s="6">
        <f t="shared" si="98"/>
        <v>0.4423433986419727</v>
      </c>
      <c r="T458" s="6">
        <f t="shared" si="99"/>
        <v>0.55765660135802719</v>
      </c>
      <c r="V458" s="1">
        <f t="shared" si="105"/>
        <v>104874.34813280751</v>
      </c>
      <c r="W458" s="7">
        <f t="shared" si="106"/>
        <v>-5.6616088816970117E-3</v>
      </c>
      <c r="X458" s="7">
        <f t="shared" si="107"/>
        <v>-5.43542634059512E-3</v>
      </c>
      <c r="Y458">
        <f>LN(B458/B457)</f>
        <v>-1.3286366371646039E-2</v>
      </c>
      <c r="Z458">
        <f>LN(C458/C457)</f>
        <v>4.2810908367740846E-4</v>
      </c>
    </row>
    <row r="459" spans="1:26" x14ac:dyDescent="0.3">
      <c r="A459" s="9">
        <v>40850</v>
      </c>
      <c r="B459" s="1">
        <v>19677.419999999998</v>
      </c>
      <c r="C459" s="1">
        <v>26.92632</v>
      </c>
      <c r="D459" s="6">
        <f t="shared" si="96"/>
        <v>1.6436612632120262E-2</v>
      </c>
      <c r="E459" s="5">
        <f t="shared" si="108"/>
        <v>4.2838900099173571E-4</v>
      </c>
      <c r="G459" s="25" t="str">
        <f>IF(VLOOKUP(A459,Aux!B:C,2,FALSE)=0,"",VLOOKUP(A459,Aux!B:C,2,FALSE))</f>
        <v/>
      </c>
      <c r="H459" s="25" t="str">
        <f t="shared" si="97"/>
        <v/>
      </c>
      <c r="L459" s="13">
        <f t="shared" si="100"/>
        <v>105254.95983142786</v>
      </c>
      <c r="M459" s="14">
        <f t="shared" si="101"/>
        <v>759.56558893525994</v>
      </c>
      <c r="N459" s="14">
        <f t="shared" si="102"/>
        <v>24.957355780765713</v>
      </c>
      <c r="O459" s="1">
        <f t="shared" si="103"/>
        <v>2.387069732668972</v>
      </c>
      <c r="P459" s="1">
        <f t="shared" si="104"/>
        <v>2164.5581769960681</v>
      </c>
      <c r="S459" s="6">
        <f t="shared" si="98"/>
        <v>0.44626280580262018</v>
      </c>
      <c r="T459" s="6">
        <f t="shared" si="99"/>
        <v>0.55373719419737977</v>
      </c>
      <c r="V459" s="1">
        <f t="shared" si="105"/>
        <v>105634.24080078426</v>
      </c>
      <c r="W459" s="7">
        <f t="shared" si="106"/>
        <v>7.4814649659649306E-3</v>
      </c>
      <c r="X459" s="7">
        <f t="shared" si="107"/>
        <v>7.219619612431733E-3</v>
      </c>
      <c r="Y459">
        <f>LN(B459/B458)</f>
        <v>1.6302993688496425E-2</v>
      </c>
      <c r="Z459">
        <f>LN(C459/C458)</f>
        <v>4.2829726862080784E-4</v>
      </c>
    </row>
    <row r="460" spans="1:26" x14ac:dyDescent="0.3">
      <c r="A460" s="11">
        <v>40851</v>
      </c>
      <c r="B460" s="12">
        <v>19809.38</v>
      </c>
      <c r="C460" s="12">
        <v>26.937850000000001</v>
      </c>
      <c r="D460" s="16">
        <f t="shared" si="96"/>
        <v>6.7061637145522379E-3</v>
      </c>
      <c r="E460" s="15">
        <f t="shared" si="108"/>
        <v>4.282055624384995E-4</v>
      </c>
      <c r="G460" s="25" t="str">
        <f>IF(VLOOKUP(A460,Aux!B:C,2,FALSE)=0,"",VLOOKUP(A460,Aux!B:C,2,FALSE))</f>
        <v/>
      </c>
      <c r="H460" s="25" t="str">
        <f t="shared" si="97"/>
        <v/>
      </c>
      <c r="L460" s="13">
        <f t="shared" si="100"/>
        <v>105594.91490913162</v>
      </c>
      <c r="M460" s="14">
        <f t="shared" si="101"/>
        <v>314.99772192300418</v>
      </c>
      <c r="N460" s="14">
        <f t="shared" si="102"/>
        <v>24.957355780765713</v>
      </c>
      <c r="O460" s="1">
        <f t="shared" si="103"/>
        <v>2.387069732668972</v>
      </c>
      <c r="P460" s="1">
        <f t="shared" si="104"/>
        <v>2164.5581769960681</v>
      </c>
      <c r="S460" s="6">
        <f t="shared" si="98"/>
        <v>0.44780917207641846</v>
      </c>
      <c r="T460" s="6">
        <f t="shared" si="99"/>
        <v>0.55219082792358154</v>
      </c>
      <c r="V460" s="1">
        <f t="shared" si="105"/>
        <v>105964.47127405094</v>
      </c>
      <c r="W460" s="7">
        <f t="shared" si="106"/>
        <v>3.2246201018429118E-3</v>
      </c>
      <c r="X460" s="7">
        <f t="shared" si="107"/>
        <v>3.1212925460038323E-3</v>
      </c>
      <c r="Y460">
        <f>LN(B460/B459)</f>
        <v>6.6837774270093681E-3</v>
      </c>
      <c r="Z460">
        <f>LN(C460/C459)</f>
        <v>4.2811390860017002E-4</v>
      </c>
    </row>
    <row r="461" spans="1:26" x14ac:dyDescent="0.3">
      <c r="A461" s="9">
        <v>40854</v>
      </c>
      <c r="B461" s="1">
        <v>19997.32</v>
      </c>
      <c r="C461" s="1">
        <v>26.949390000000001</v>
      </c>
      <c r="D461" s="6">
        <f t="shared" si="96"/>
        <v>9.4874246442846477E-3</v>
      </c>
      <c r="E461" s="5">
        <f t="shared" si="108"/>
        <v>4.2839350579204627E-4</v>
      </c>
      <c r="G461" s="25" t="str">
        <f>IF(VLOOKUP(A461,Aux!B:C,2,FALSE)=0,"",VLOOKUP(A461,Aux!B:C,2,FALSE))</f>
        <v/>
      </c>
      <c r="H461" s="25" t="str">
        <f t="shared" si="97"/>
        <v/>
      </c>
      <c r="L461" s="13">
        <f t="shared" si="100"/>
        <v>106068.51979605196</v>
      </c>
      <c r="M461" s="14">
        <f t="shared" si="101"/>
        <v>448.62588555780349</v>
      </c>
      <c r="N461" s="14">
        <f t="shared" si="102"/>
        <v>24.979001362534856</v>
      </c>
      <c r="O461" s="1">
        <f t="shared" si="103"/>
        <v>2.387069732668972</v>
      </c>
      <c r="P461" s="1">
        <f t="shared" si="104"/>
        <v>2164.5581769960681</v>
      </c>
      <c r="S461" s="6">
        <f t="shared" si="98"/>
        <v>0.45003925196920364</v>
      </c>
      <c r="T461" s="6">
        <f t="shared" si="99"/>
        <v>0.54996074803079642</v>
      </c>
      <c r="V461" s="1">
        <f t="shared" si="105"/>
        <v>106423.87193683314</v>
      </c>
      <c r="W461" s="7">
        <f t="shared" si="106"/>
        <v>4.47508260424601E-3</v>
      </c>
      <c r="X461" s="7">
        <f t="shared" si="107"/>
        <v>4.3260507831970338E-3</v>
      </c>
      <c r="Y461">
        <f>LN(B461/B460)</f>
        <v>9.4427016790843126E-3</v>
      </c>
      <c r="Z461">
        <f>LN(C461/C460)</f>
        <v>4.2830177149212769E-4</v>
      </c>
    </row>
    <row r="462" spans="1:26" x14ac:dyDescent="0.3">
      <c r="A462" s="11">
        <v>40855</v>
      </c>
      <c r="B462" s="12">
        <v>19909.64</v>
      </c>
      <c r="C462" s="12">
        <v>26.96095</v>
      </c>
      <c r="D462" s="16">
        <f t="shared" si="96"/>
        <v>-4.3845875347297003E-3</v>
      </c>
      <c r="E462" s="15">
        <f t="shared" si="108"/>
        <v>4.2895219520744376E-4</v>
      </c>
      <c r="G462" s="25" t="str">
        <f>IF(VLOOKUP(A462,Aux!B:C,2,FALSE)=0,"",VLOOKUP(A462,Aux!B:C,2,FALSE))</f>
        <v/>
      </c>
      <c r="H462" s="25" t="str">
        <f t="shared" si="97"/>
        <v/>
      </c>
      <c r="L462" s="13">
        <f t="shared" si="100"/>
        <v>105884.24381441761</v>
      </c>
      <c r="M462" s="14">
        <f t="shared" si="101"/>
        <v>-209.29827416041616</v>
      </c>
      <c r="N462" s="14">
        <f t="shared" si="102"/>
        <v>25.022292526073137</v>
      </c>
      <c r="O462" s="1">
        <f t="shared" si="103"/>
        <v>2.387069732668972</v>
      </c>
      <c r="P462" s="1">
        <f t="shared" si="104"/>
        <v>2164.5581769960681</v>
      </c>
      <c r="S462" s="6">
        <f t="shared" si="98"/>
        <v>0.44884580859484008</v>
      </c>
      <c r="T462" s="6">
        <f t="shared" si="99"/>
        <v>0.55115419140515987</v>
      </c>
      <c r="V462" s="1">
        <f t="shared" si="105"/>
        <v>106247.45236102535</v>
      </c>
      <c r="W462" s="7">
        <f t="shared" si="106"/>
        <v>-1.7388405315054275E-3</v>
      </c>
      <c r="X462" s="7">
        <f t="shared" si="107"/>
        <v>-1.6590823126462235E-3</v>
      </c>
      <c r="Y462">
        <f>LN(B462/B461)</f>
        <v>-4.3942280287015377E-3</v>
      </c>
      <c r="Z462">
        <f>LN(C462/C461)</f>
        <v>4.2886022151516199E-4</v>
      </c>
    </row>
    <row r="463" spans="1:26" x14ac:dyDescent="0.3">
      <c r="A463" s="9">
        <v>40856</v>
      </c>
      <c r="B463" s="1">
        <v>19500.87</v>
      </c>
      <c r="C463" s="1">
        <v>26.9725</v>
      </c>
      <c r="D463" s="6">
        <f t="shared" si="96"/>
        <v>-2.0531260233736082E-2</v>
      </c>
      <c r="E463" s="5">
        <f t="shared" si="108"/>
        <v>4.2839736730337918E-4</v>
      </c>
      <c r="G463" s="25" t="str">
        <f>IF(VLOOKUP(A463,Aux!B:C,2,FALSE)=0,"",VLOOKUP(A463,Aux!B:C,2,FALSE))</f>
        <v/>
      </c>
      <c r="H463" s="25" t="str">
        <f t="shared" si="97"/>
        <v/>
      </c>
      <c r="L463" s="13">
        <f t="shared" si="100"/>
        <v>104933.48196673882</v>
      </c>
      <c r="M463" s="14">
        <f t="shared" si="101"/>
        <v>-975.7624946230967</v>
      </c>
      <c r="N463" s="14">
        <f t="shared" si="102"/>
        <v>25.000646944303995</v>
      </c>
      <c r="O463" s="1">
        <f t="shared" si="103"/>
        <v>2.387069732668972</v>
      </c>
      <c r="P463" s="1">
        <f t="shared" si="104"/>
        <v>2164.5581769960681</v>
      </c>
      <c r="S463" s="6">
        <f t="shared" si="98"/>
        <v>0.44361376050084272</v>
      </c>
      <c r="T463" s="6">
        <f t="shared" si="99"/>
        <v>0.55638623949915722</v>
      </c>
      <c r="V463" s="1">
        <f t="shared" si="105"/>
        <v>105330.24455210465</v>
      </c>
      <c r="W463" s="7">
        <f t="shared" si="106"/>
        <v>-9.0198135861458608E-3</v>
      </c>
      <c r="X463" s="7">
        <f t="shared" si="107"/>
        <v>-8.6702291220447543E-3</v>
      </c>
      <c r="Y463">
        <f>LN(B463/B462)</f>
        <v>-2.0744956587407617E-2</v>
      </c>
      <c r="Z463">
        <f>LN(C463/C462)</f>
        <v>4.2830563134991514E-4</v>
      </c>
    </row>
    <row r="464" spans="1:26" x14ac:dyDescent="0.3">
      <c r="A464" s="11">
        <v>40857</v>
      </c>
      <c r="B464" s="12">
        <v>19397.64</v>
      </c>
      <c r="C464" s="12">
        <v>26.98404</v>
      </c>
      <c r="D464" s="16">
        <f t="shared" si="96"/>
        <v>-5.2936099774010259E-3</v>
      </c>
      <c r="E464" s="15">
        <f t="shared" si="108"/>
        <v>4.278431736026711E-4</v>
      </c>
      <c r="G464" s="25" t="str">
        <f>IF(VLOOKUP(A464,Aux!B:C,2,FALSE)=0,"",VLOOKUP(A464,Aux!B:C,2,FALSE))</f>
        <v/>
      </c>
      <c r="H464" s="25" t="str">
        <f t="shared" si="97"/>
        <v/>
      </c>
      <c r="L464" s="13">
        <f t="shared" si="100"/>
        <v>104712.04375959793</v>
      </c>
      <c r="M464" s="14">
        <f t="shared" si="101"/>
        <v>-246.41720850341693</v>
      </c>
      <c r="N464" s="14">
        <f t="shared" si="102"/>
        <v>24.979001362534856</v>
      </c>
      <c r="O464" s="1">
        <f t="shared" si="103"/>
        <v>2.387069732668972</v>
      </c>
      <c r="P464" s="1">
        <f t="shared" si="104"/>
        <v>2164.5581769960681</v>
      </c>
      <c r="S464" s="6">
        <f t="shared" si="98"/>
        <v>0.44219860167675096</v>
      </c>
      <c r="T464" s="6">
        <f t="shared" si="99"/>
        <v>0.55780139832324915</v>
      </c>
      <c r="V464" s="1">
        <f t="shared" si="105"/>
        <v>105117.90583970572</v>
      </c>
      <c r="W464" s="7">
        <f t="shared" si="106"/>
        <v>-2.1125019360567032E-3</v>
      </c>
      <c r="X464" s="7">
        <f t="shared" si="107"/>
        <v>-2.0179676947563361E-3</v>
      </c>
      <c r="Y464">
        <f>LN(B464/B463)</f>
        <v>-5.3076707742321641E-3</v>
      </c>
      <c r="Z464">
        <f>LN(C464/C463)</f>
        <v>4.2775167480923104E-4</v>
      </c>
    </row>
    <row r="465" spans="1:26" x14ac:dyDescent="0.3">
      <c r="A465" s="9">
        <v>40858</v>
      </c>
      <c r="B465" s="1">
        <v>19733.89</v>
      </c>
      <c r="C465" s="1">
        <v>26.995570000000001</v>
      </c>
      <c r="D465" s="6">
        <f t="shared" si="96"/>
        <v>1.7334582969886991E-2</v>
      </c>
      <c r="E465" s="5">
        <f t="shared" si="108"/>
        <v>4.2728961267468613E-4</v>
      </c>
      <c r="G465" s="25" t="str">
        <f>IF(VLOOKUP(A465,Aux!B:C,2,FALSE)=0,"",VLOOKUP(A465,Aux!B:C,2,FALSE))</f>
        <v/>
      </c>
      <c r="H465" s="25" t="str">
        <f t="shared" si="97"/>
        <v/>
      </c>
      <c r="L465" s="13">
        <f t="shared" si="100"/>
        <v>105539.65331298864</v>
      </c>
      <c r="M465" s="14">
        <f t="shared" si="101"/>
        <v>802.65219760994182</v>
      </c>
      <c r="N465" s="14">
        <f t="shared" si="102"/>
        <v>24.957355780765713</v>
      </c>
      <c r="O465" s="1">
        <f t="shared" si="103"/>
        <v>2.387069732668972</v>
      </c>
      <c r="P465" s="1">
        <f t="shared" si="104"/>
        <v>2164.5581769960681</v>
      </c>
      <c r="S465" s="6">
        <f t="shared" si="98"/>
        <v>0.44633623522640092</v>
      </c>
      <c r="T465" s="6">
        <f t="shared" si="99"/>
        <v>0.55366376477359924</v>
      </c>
      <c r="V465" s="1">
        <f t="shared" si="105"/>
        <v>105919.44048907486</v>
      </c>
      <c r="W465" s="7">
        <f t="shared" si="106"/>
        <v>7.8726006911140831E-3</v>
      </c>
      <c r="X465" s="7">
        <f t="shared" si="107"/>
        <v>7.5961768614126891E-3</v>
      </c>
      <c r="Y465">
        <f>LN(B465/B464)</f>
        <v>1.7186053098582694E-2</v>
      </c>
      <c r="Z465">
        <f>LN(C465/C464)</f>
        <v>4.2719835046414056E-4</v>
      </c>
    </row>
    <row r="466" spans="1:26" x14ac:dyDescent="0.3">
      <c r="A466" s="11">
        <v>40861</v>
      </c>
      <c r="B466" s="12">
        <v>19720.3</v>
      </c>
      <c r="C466" s="12">
        <v>27.007110000000001</v>
      </c>
      <c r="D466" s="16">
        <f t="shared" si="96"/>
        <v>-6.8866300562131499E-4</v>
      </c>
      <c r="E466" s="15">
        <f t="shared" si="108"/>
        <v>4.2747754538985383E-4</v>
      </c>
      <c r="G466" s="25" t="str">
        <f>IF(VLOOKUP(A466,Aux!B:C,2,FALSE)=0,"",VLOOKUP(A466,Aux!B:C,2,FALSE))</f>
        <v/>
      </c>
      <c r="H466" s="25" t="str">
        <f t="shared" si="97"/>
        <v/>
      </c>
      <c r="L466" s="13">
        <f t="shared" si="100"/>
        <v>105532.1920366842</v>
      </c>
      <c r="M466" s="14">
        <f t="shared" si="101"/>
        <v>-32.440277666971674</v>
      </c>
      <c r="N466" s="14">
        <f t="shared" si="102"/>
        <v>24.979001362534856</v>
      </c>
      <c r="O466" s="1">
        <f t="shared" si="103"/>
        <v>2.387069732668972</v>
      </c>
      <c r="P466" s="1">
        <f t="shared" si="104"/>
        <v>2164.5581769960681</v>
      </c>
      <c r="S466" s="6">
        <f t="shared" si="98"/>
        <v>0.44606039484888704</v>
      </c>
      <c r="T466" s="6">
        <f t="shared" si="99"/>
        <v>0.55393960515111307</v>
      </c>
      <c r="V466" s="1">
        <f t="shared" si="105"/>
        <v>105913.90439229991</v>
      </c>
      <c r="W466" s="7">
        <f t="shared" si="106"/>
        <v>-7.0698925242119825E-5</v>
      </c>
      <c r="X466" s="7">
        <f t="shared" si="107"/>
        <v>-5.2268416752879455E-5</v>
      </c>
      <c r="Y466">
        <f>LN(B466/B465)</f>
        <v>-6.8890024291292111E-4</v>
      </c>
      <c r="Z466">
        <f>LN(C466/C465)</f>
        <v>4.2738620289426435E-4</v>
      </c>
    </row>
    <row r="467" spans="1:26" x14ac:dyDescent="0.3">
      <c r="A467" s="9">
        <v>40863</v>
      </c>
      <c r="B467" s="1">
        <v>19858.689999999999</v>
      </c>
      <c r="C467" s="1">
        <v>27.018630000000002</v>
      </c>
      <c r="D467" s="6">
        <f t="shared" si="96"/>
        <v>7.0176417194465213E-3</v>
      </c>
      <c r="E467" s="5">
        <f t="shared" si="108"/>
        <v>4.265543406902772E-4</v>
      </c>
      <c r="G467" s="25" t="str">
        <f>IF(VLOOKUP(A467,Aux!B:C,2,FALSE)=0,"",VLOOKUP(A467,Aux!B:C,2,FALSE))</f>
        <v/>
      </c>
      <c r="H467" s="25" t="str">
        <f t="shared" si="97"/>
        <v/>
      </c>
      <c r="L467" s="13">
        <f t="shared" si="100"/>
        <v>105887.47432718726</v>
      </c>
      <c r="M467" s="14">
        <f t="shared" si="101"/>
        <v>330.34658030405762</v>
      </c>
      <c r="N467" s="14">
        <f t="shared" si="102"/>
        <v>24.935710198996574</v>
      </c>
      <c r="O467" s="1">
        <f t="shared" si="103"/>
        <v>2.387069732668972</v>
      </c>
      <c r="P467" s="1">
        <f t="shared" si="104"/>
        <v>2164.5581769960681</v>
      </c>
      <c r="S467" s="6">
        <f t="shared" si="98"/>
        <v>0.44768352565459857</v>
      </c>
      <c r="T467" s="6">
        <f t="shared" si="99"/>
        <v>0.55231647434540143</v>
      </c>
      <c r="V467" s="1">
        <f t="shared" si="105"/>
        <v>106258.94672916459</v>
      </c>
      <c r="W467" s="7">
        <f t="shared" si="106"/>
        <v>3.36092314444201E-3</v>
      </c>
      <c r="X467" s="7">
        <f t="shared" si="107"/>
        <v>3.2524674029813512E-3</v>
      </c>
      <c r="Y467">
        <f>LN(B467/B466)</f>
        <v>6.9931326688134517E-3</v>
      </c>
      <c r="Z467">
        <f>LN(C467/C466)</f>
        <v>4.2646339224954532E-4</v>
      </c>
    </row>
    <row r="468" spans="1:26" x14ac:dyDescent="0.3">
      <c r="A468" s="11">
        <v>40864</v>
      </c>
      <c r="B468" s="12">
        <v>19347.59</v>
      </c>
      <c r="C468" s="12">
        <v>27.030169999999998</v>
      </c>
      <c r="D468" s="16">
        <f t="shared" si="96"/>
        <v>-2.5736843668942799E-2</v>
      </c>
      <c r="E468" s="15">
        <f t="shared" si="108"/>
        <v>4.2711269964446075E-4</v>
      </c>
      <c r="G468" s="25" t="str">
        <f>IF(VLOOKUP(A468,Aux!B:C,2,FALSE)=0,"",VLOOKUP(A468,Aux!B:C,2,FALSE))</f>
        <v/>
      </c>
      <c r="H468" s="25" t="str">
        <f t="shared" si="97"/>
        <v/>
      </c>
      <c r="L468" s="13">
        <f t="shared" si="100"/>
        <v>104692.42198818269</v>
      </c>
      <c r="M468" s="14">
        <f t="shared" si="101"/>
        <v>-1220.0313403671082</v>
      </c>
      <c r="N468" s="14">
        <f t="shared" si="102"/>
        <v>24.979001362527164</v>
      </c>
      <c r="O468" s="1">
        <f t="shared" si="103"/>
        <v>2.387069732668972</v>
      </c>
      <c r="P468" s="1">
        <f t="shared" si="104"/>
        <v>2164.5581769960681</v>
      </c>
      <c r="S468" s="6">
        <f t="shared" si="98"/>
        <v>0.4411403004345622</v>
      </c>
      <c r="T468" s="6">
        <f t="shared" si="99"/>
        <v>0.5588596995654378</v>
      </c>
      <c r="V468" s="1">
        <f t="shared" si="105"/>
        <v>105105.63765939671</v>
      </c>
      <c r="W468" s="7">
        <f t="shared" si="106"/>
        <v>-1.1350230383283276E-2</v>
      </c>
      <c r="X468" s="7">
        <f t="shared" si="107"/>
        <v>-1.0913091417350773E-2</v>
      </c>
      <c r="Y468">
        <f>LN(B468/B467)</f>
        <v>-2.607383079387933E-2</v>
      </c>
      <c r="Z468">
        <f>LN(C468/C467)</f>
        <v>4.2702151297909321E-4</v>
      </c>
    </row>
    <row r="469" spans="1:26" x14ac:dyDescent="0.3">
      <c r="A469" s="9">
        <v>40865</v>
      </c>
      <c r="B469" s="1">
        <v>19252.400000000001</v>
      </c>
      <c r="C469" s="1">
        <v>27.041720000000002</v>
      </c>
      <c r="D469" s="6">
        <f t="shared" si="96"/>
        <v>-4.9199926192357024E-3</v>
      </c>
      <c r="E469" s="5">
        <f t="shared" si="108"/>
        <v>4.2730030924720275E-4</v>
      </c>
      <c r="G469" s="25" t="str">
        <f>IF(VLOOKUP(A469,Aux!B:C,2,FALSE)=0,"",VLOOKUP(A469,Aux!B:C,2,FALSE))</f>
        <v/>
      </c>
      <c r="H469" s="25" t="str">
        <f t="shared" si="97"/>
        <v/>
      </c>
      <c r="L469" s="13">
        <f t="shared" si="100"/>
        <v>104490.19746727425</v>
      </c>
      <c r="M469" s="14">
        <f t="shared" si="101"/>
        <v>-227.22516785275633</v>
      </c>
      <c r="N469" s="14">
        <f t="shared" si="102"/>
        <v>25.000646944311686</v>
      </c>
      <c r="O469" s="1">
        <f t="shared" si="103"/>
        <v>2.387069732668972</v>
      </c>
      <c r="P469" s="1">
        <f t="shared" si="104"/>
        <v>2164.5581769960681</v>
      </c>
      <c r="S469" s="6">
        <f t="shared" si="98"/>
        <v>0.4398194513473816</v>
      </c>
      <c r="T469" s="6">
        <f t="shared" si="99"/>
        <v>0.56018054865261835</v>
      </c>
      <c r="V469" s="1">
        <f t="shared" si="105"/>
        <v>104911.86987956311</v>
      </c>
      <c r="W469" s="7">
        <f t="shared" si="106"/>
        <v>-1.9334740566231147E-3</v>
      </c>
      <c r="X469" s="7">
        <f t="shared" si="107"/>
        <v>-1.8452541131949939E-3</v>
      </c>
      <c r="Y469">
        <f>LN(B469/B468)</f>
        <v>-4.9321356283052236E-3</v>
      </c>
      <c r="Z469">
        <f>LN(C469/C468)</f>
        <v>4.2720904246801777E-4</v>
      </c>
    </row>
    <row r="470" spans="1:26" x14ac:dyDescent="0.3">
      <c r="A470" s="11">
        <v>40868</v>
      </c>
      <c r="B470" s="12">
        <v>19121.63</v>
      </c>
      <c r="C470" s="12">
        <v>27.053270000000001</v>
      </c>
      <c r="D470" s="16">
        <f t="shared" si="96"/>
        <v>-6.7923999085828246E-3</v>
      </c>
      <c r="E470" s="15">
        <f t="shared" si="108"/>
        <v>4.2711780167836721E-4</v>
      </c>
      <c r="G470" s="25" t="str">
        <f>IF(VLOOKUP(A470,Aux!B:C,2,FALSE)=0,"",VLOOKUP(A470,Aux!B:C,2,FALSE))</f>
        <v/>
      </c>
      <c r="H470" s="25" t="str">
        <f t="shared" si="97"/>
        <v/>
      </c>
      <c r="L470" s="13">
        <f t="shared" si="100"/>
        <v>104203.04100527744</v>
      </c>
      <c r="M470" s="14">
        <f t="shared" si="101"/>
        <v>-312.15710894112254</v>
      </c>
      <c r="N470" s="14">
        <f t="shared" si="102"/>
        <v>25.000646944303995</v>
      </c>
      <c r="O470" s="1">
        <f t="shared" si="103"/>
        <v>2.387069732668972</v>
      </c>
      <c r="P470" s="1">
        <f t="shared" si="104"/>
        <v>2164.5581769960681</v>
      </c>
      <c r="S470" s="6">
        <f t="shared" si="98"/>
        <v>0.43803581711193335</v>
      </c>
      <c r="T470" s="6">
        <f t="shared" si="99"/>
        <v>0.56196418288806649</v>
      </c>
      <c r="V470" s="1">
        <f t="shared" si="105"/>
        <v>104636.01779513445</v>
      </c>
      <c r="W470" s="7">
        <f t="shared" si="106"/>
        <v>-2.7519496589694156E-3</v>
      </c>
      <c r="X470" s="7">
        <f t="shared" si="107"/>
        <v>-2.6328324931911458E-3</v>
      </c>
      <c r="Y470">
        <f>LN(B470/B469)</f>
        <v>-6.8155732515297615E-3</v>
      </c>
      <c r="Z470">
        <f>LN(C470/C469)</f>
        <v>4.2702661283477354E-4</v>
      </c>
    </row>
    <row r="471" spans="1:26" x14ac:dyDescent="0.3">
      <c r="A471" s="9">
        <v>40869</v>
      </c>
      <c r="B471" s="1">
        <v>19009.36</v>
      </c>
      <c r="C471" s="1">
        <v>27.06485</v>
      </c>
      <c r="D471" s="6">
        <f t="shared" si="96"/>
        <v>-5.871361384986562E-3</v>
      </c>
      <c r="E471" s="5">
        <f t="shared" si="108"/>
        <v>4.2804437319410304E-4</v>
      </c>
      <c r="G471" s="25" t="str">
        <f>IF(VLOOKUP(A471,Aux!B:C,2,FALSE)=0,"",VLOOKUP(A471,Aux!B:C,2,FALSE))</f>
        <v/>
      </c>
      <c r="H471" s="25" t="str">
        <f t="shared" si="97"/>
        <v/>
      </c>
      <c r="L471" s="13">
        <f t="shared" si="100"/>
        <v>103960.11027008032</v>
      </c>
      <c r="M471" s="14">
        <f t="shared" si="101"/>
        <v>-267.99631888674651</v>
      </c>
      <c r="N471" s="14">
        <f t="shared" si="102"/>
        <v>25.065583689611419</v>
      </c>
      <c r="O471" s="1">
        <f t="shared" si="103"/>
        <v>2.387069732668972</v>
      </c>
      <c r="P471" s="1">
        <f t="shared" si="104"/>
        <v>2164.5581769960681</v>
      </c>
      <c r="S471" s="6">
        <f t="shared" si="98"/>
        <v>0.43648152907421106</v>
      </c>
      <c r="T471" s="6">
        <f t="shared" si="99"/>
        <v>0.56351847092578866</v>
      </c>
      <c r="V471" s="1">
        <f t="shared" si="105"/>
        <v>104402.9129718131</v>
      </c>
      <c r="W471" s="7">
        <f t="shared" si="106"/>
        <v>-2.3340427351752446E-3</v>
      </c>
      <c r="X471" s="7">
        <f t="shared" si="107"/>
        <v>-2.2302536574278615E-3</v>
      </c>
      <c r="Y471">
        <f>LN(B471/B470)</f>
        <v>-5.8886655933280563E-3</v>
      </c>
      <c r="Z471">
        <f>LN(C471/C470)</f>
        <v>4.2795278833538173E-4</v>
      </c>
    </row>
    <row r="472" spans="1:26" x14ac:dyDescent="0.3">
      <c r="A472" s="11">
        <v>40870</v>
      </c>
      <c r="B472" s="12">
        <v>18749</v>
      </c>
      <c r="C472" s="12">
        <v>27.076419999999999</v>
      </c>
      <c r="D472" s="16">
        <f t="shared" si="96"/>
        <v>-1.3696410610351983E-2</v>
      </c>
      <c r="E472" s="15">
        <f t="shared" si="108"/>
        <v>4.2749174667511269E-4</v>
      </c>
      <c r="G472" s="25" t="str">
        <f>IF(VLOOKUP(A472,Aux!B:C,2,FALSE)=0,"",VLOOKUP(A472,Aux!B:C,2,FALSE))</f>
        <v/>
      </c>
      <c r="H472" s="25" t="str">
        <f t="shared" si="97"/>
        <v/>
      </c>
      <c r="L472" s="13">
        <f t="shared" si="100"/>
        <v>103363.65673259046</v>
      </c>
      <c r="M472" s="14">
        <f t="shared" si="101"/>
        <v>-621.49747559769492</v>
      </c>
      <c r="N472" s="14">
        <f t="shared" si="102"/>
        <v>25.04393810784228</v>
      </c>
      <c r="O472" s="1">
        <f t="shared" si="103"/>
        <v>2.387069732668972</v>
      </c>
      <c r="P472" s="1">
        <f t="shared" si="104"/>
        <v>2164.5581769960681</v>
      </c>
      <c r="S472" s="6">
        <f t="shared" si="98"/>
        <v>0.43298749127650876</v>
      </c>
      <c r="T472" s="6">
        <f t="shared" si="99"/>
        <v>0.56701250872349096</v>
      </c>
      <c r="V472" s="1">
        <f t="shared" si="105"/>
        <v>103828.13696695121</v>
      </c>
      <c r="W472" s="7">
        <f t="shared" si="106"/>
        <v>-5.7538524566537541E-3</v>
      </c>
      <c r="X472" s="7">
        <f t="shared" si="107"/>
        <v>-5.5205740431600037E-3</v>
      </c>
      <c r="Y472">
        <f>LN(B472/B471)</f>
        <v>-1.3791071781474731E-2</v>
      </c>
      <c r="Z472">
        <f>LN(C472/C471)</f>
        <v>4.2740039811128589E-4</v>
      </c>
    </row>
    <row r="473" spans="1:26" x14ac:dyDescent="0.3">
      <c r="A473" s="9">
        <v>40871</v>
      </c>
      <c r="B473" s="1">
        <v>18848.009999999998</v>
      </c>
      <c r="C473" s="1">
        <v>27.088010000000001</v>
      </c>
      <c r="D473" s="6">
        <f t="shared" si="96"/>
        <v>5.2808149767986645E-3</v>
      </c>
      <c r="E473" s="5">
        <f t="shared" si="108"/>
        <v>4.2804772565951943E-4</v>
      </c>
      <c r="G473" s="25" t="str">
        <f>IF(VLOOKUP(A473,Aux!B:C,2,FALSE)=0,"",VLOOKUP(A473,Aux!B:C,2,FALSE))</f>
        <v/>
      </c>
      <c r="H473" s="25" t="str">
        <f t="shared" si="97"/>
        <v/>
      </c>
      <c r="L473" s="13">
        <f t="shared" si="100"/>
        <v>103625.08773609341</v>
      </c>
      <c r="M473" s="14">
        <f t="shared" si="101"/>
        <v>236.34377423155109</v>
      </c>
      <c r="N473" s="14">
        <f t="shared" si="102"/>
        <v>25.087229271388253</v>
      </c>
      <c r="O473" s="1">
        <f t="shared" si="103"/>
        <v>2.387069732668972</v>
      </c>
      <c r="P473" s="1">
        <f t="shared" si="104"/>
        <v>2164.5581769960681</v>
      </c>
      <c r="S473" s="6">
        <f t="shared" si="98"/>
        <v>0.43417588515460642</v>
      </c>
      <c r="T473" s="6">
        <f t="shared" si="99"/>
        <v>0.56582411484539319</v>
      </c>
      <c r="V473" s="1">
        <f t="shared" si="105"/>
        <v>104082.4848655684</v>
      </c>
      <c r="W473" s="7">
        <f t="shared" si="106"/>
        <v>2.5260421110095545E-3</v>
      </c>
      <c r="X473" s="7">
        <f t="shared" si="107"/>
        <v>2.4467054473731307E-3</v>
      </c>
      <c r="Y473">
        <f>LN(B473/B472)</f>
        <v>5.2669203684933066E-3</v>
      </c>
      <c r="Z473">
        <f>LN(C473/C472)</f>
        <v>4.2795613936640254E-4</v>
      </c>
    </row>
    <row r="474" spans="1:26" x14ac:dyDescent="0.3">
      <c r="A474" s="11">
        <v>40872</v>
      </c>
      <c r="B474" s="12">
        <v>18689.88</v>
      </c>
      <c r="C474" s="12">
        <v>27.099589999999999</v>
      </c>
      <c r="D474" s="16">
        <f t="shared" si="96"/>
        <v>-8.3897451242861409E-3</v>
      </c>
      <c r="E474" s="15">
        <f t="shared" si="108"/>
        <v>4.2749541217679266E-4</v>
      </c>
      <c r="G474" s="25" t="str">
        <f>IF(VLOOKUP(A474,Aux!B:C,2,FALSE)=0,"",VLOOKUP(A474,Aux!B:C,2,FALSE))</f>
        <v/>
      </c>
      <c r="H474" s="25" t="str">
        <f t="shared" si="97"/>
        <v/>
      </c>
      <c r="L474" s="13">
        <f t="shared" si="100"/>
        <v>103272.68598295609</v>
      </c>
      <c r="M474" s="14">
        <f t="shared" si="101"/>
        <v>-377.46733682693832</v>
      </c>
      <c r="N474" s="14">
        <f t="shared" si="102"/>
        <v>25.065583689611419</v>
      </c>
      <c r="O474" s="1">
        <f t="shared" si="103"/>
        <v>2.387069732668972</v>
      </c>
      <c r="P474" s="1">
        <f t="shared" si="104"/>
        <v>2164.5581769960681</v>
      </c>
      <c r="S474" s="6">
        <f t="shared" si="98"/>
        <v>0.43200238698718635</v>
      </c>
      <c r="T474" s="6">
        <f t="shared" si="99"/>
        <v>0.56799761301281326</v>
      </c>
      <c r="V474" s="1">
        <f t="shared" si="105"/>
        <v>103743.57941805568</v>
      </c>
      <c r="W474" s="7">
        <f t="shared" si="106"/>
        <v>-3.4065334545560779E-3</v>
      </c>
      <c r="X474" s="7">
        <f t="shared" si="107"/>
        <v>-3.2614364236881652E-3</v>
      </c>
      <c r="Y474">
        <f>LN(B474/B473)</f>
        <v>-8.4251371281936233E-3</v>
      </c>
      <c r="Z474">
        <f>LN(C474/C473)</f>
        <v>4.2740406204665697E-4</v>
      </c>
    </row>
    <row r="475" spans="1:26" x14ac:dyDescent="0.3">
      <c r="A475" s="9">
        <v>40875</v>
      </c>
      <c r="B475" s="1">
        <v>19017.84</v>
      </c>
      <c r="C475" s="1">
        <v>27.111170000000001</v>
      </c>
      <c r="D475" s="6">
        <f t="shared" ref="D475:D538" si="109">B475/B474-1</f>
        <v>1.7547464189176187E-2</v>
      </c>
      <c r="E475" s="5">
        <f t="shared" si="108"/>
        <v>4.273127379419428E-4</v>
      </c>
      <c r="G475" s="25" t="str">
        <f>IF(VLOOKUP(A475,Aux!B:C,2,FALSE)=0,"",VLOOKUP(A475,Aux!B:C,2,FALSE))</f>
        <v/>
      </c>
      <c r="H475" s="25" t="str">
        <f t="shared" si="97"/>
        <v/>
      </c>
      <c r="L475" s="13">
        <f t="shared" si="100"/>
        <v>104080.61495617182</v>
      </c>
      <c r="M475" s="14">
        <f t="shared" si="101"/>
        <v>782.86338952611402</v>
      </c>
      <c r="N475" s="14">
        <f t="shared" si="102"/>
        <v>25.06558368961911</v>
      </c>
      <c r="O475" s="1">
        <f t="shared" si="103"/>
        <v>2.387069732668972</v>
      </c>
      <c r="P475" s="1">
        <f t="shared" si="104"/>
        <v>2164.5581769960681</v>
      </c>
      <c r="S475" s="6">
        <f t="shared" si="98"/>
        <v>0.43617065736840477</v>
      </c>
      <c r="T475" s="6">
        <f t="shared" si="99"/>
        <v>0.56382934263159479</v>
      </c>
      <c r="V475" s="1">
        <f t="shared" si="105"/>
        <v>104526.10060406214</v>
      </c>
      <c r="W475" s="7">
        <f t="shared" si="106"/>
        <v>7.7928160121911892E-3</v>
      </c>
      <c r="X475" s="7">
        <f t="shared" si="107"/>
        <v>7.5145346957738732E-3</v>
      </c>
      <c r="Y475">
        <f>LN(B475/B474)</f>
        <v>1.7395285098406009E-2</v>
      </c>
      <c r="Z475">
        <f>LN(C475/C474)</f>
        <v>4.2722146585416387E-4</v>
      </c>
    </row>
    <row r="476" spans="1:26" x14ac:dyDescent="0.3">
      <c r="A476" s="11">
        <v>40876</v>
      </c>
      <c r="B476" s="12">
        <v>18832.45</v>
      </c>
      <c r="C476" s="12">
        <v>27.12274</v>
      </c>
      <c r="D476" s="16">
        <f t="shared" si="109"/>
        <v>-9.7482153598936749E-3</v>
      </c>
      <c r="E476" s="15">
        <f t="shared" si="108"/>
        <v>4.2676136810015919E-4</v>
      </c>
      <c r="G476" s="25" t="str">
        <f>IF(VLOOKUP(A476,Aux!B:C,2,FALSE)=0,"",VLOOKUP(A476,Aux!B:C,2,FALSE))</f>
        <v/>
      </c>
      <c r="H476" s="25" t="str">
        <f t="shared" si="97"/>
        <v/>
      </c>
      <c r="L476" s="13">
        <f t="shared" si="100"/>
        <v>103663.12003654016</v>
      </c>
      <c r="M476" s="14">
        <f t="shared" si="101"/>
        <v>-442.53885773949935</v>
      </c>
      <c r="N476" s="14">
        <f t="shared" si="102"/>
        <v>25.04393810784228</v>
      </c>
      <c r="O476" s="1">
        <f t="shared" si="103"/>
        <v>2.387069732668972</v>
      </c>
      <c r="P476" s="1">
        <f t="shared" si="104"/>
        <v>2164.5581769960681</v>
      </c>
      <c r="S476" s="6">
        <f t="shared" si="98"/>
        <v>0.43365829015329499</v>
      </c>
      <c r="T476" s="6">
        <f t="shared" si="99"/>
        <v>0.56634170984670462</v>
      </c>
      <c r="V476" s="1">
        <f t="shared" si="105"/>
        <v>104124.28301166487</v>
      </c>
      <c r="W476" s="7">
        <f t="shared" si="106"/>
        <v>-4.0193316221990684E-3</v>
      </c>
      <c r="X476" s="7">
        <f t="shared" si="107"/>
        <v>-3.8515921434988795E-3</v>
      </c>
      <c r="Y476">
        <f>LN(B476/B475)</f>
        <v>-9.7960402700648982E-3</v>
      </c>
      <c r="Z476">
        <f>LN(C476/C475)</f>
        <v>4.2667033136722736E-4</v>
      </c>
    </row>
    <row r="477" spans="1:26" x14ac:dyDescent="0.3">
      <c r="A477" s="9">
        <v>40877</v>
      </c>
      <c r="B477" s="1">
        <v>19410.830000000002</v>
      </c>
      <c r="C477" s="1">
        <v>27.1343</v>
      </c>
      <c r="D477" s="6">
        <f t="shared" si="109"/>
        <v>3.0711882946722335E-2</v>
      </c>
      <c r="E477" s="5">
        <f t="shared" si="108"/>
        <v>4.2621062621250871E-4</v>
      </c>
      <c r="G477" s="25" t="str">
        <f>IF(VLOOKUP(A477,Aux!B:C,2,FALSE)=0,"",VLOOKUP(A477,Aux!B:C,2,FALSE))</f>
        <v/>
      </c>
      <c r="H477" s="25" t="str">
        <f t="shared" si="97"/>
        <v/>
      </c>
      <c r="L477" s="13">
        <f t="shared" si="100"/>
        <v>105068.77572104732</v>
      </c>
      <c r="M477" s="14">
        <f t="shared" si="101"/>
        <v>1380.6333919810825</v>
      </c>
      <c r="N477" s="14">
        <f t="shared" si="102"/>
        <v>25.022292526073137</v>
      </c>
      <c r="O477" s="1">
        <f t="shared" si="103"/>
        <v>2.387069732668972</v>
      </c>
      <c r="P477" s="1">
        <f t="shared" si="104"/>
        <v>2164.5581769960681</v>
      </c>
      <c r="S477" s="6">
        <f t="shared" si="98"/>
        <v>0.44099690379947071</v>
      </c>
      <c r="T477" s="6">
        <f t="shared" si="99"/>
        <v>0.5590030962005289</v>
      </c>
      <c r="V477" s="1">
        <f t="shared" si="105"/>
        <v>105484.48715476057</v>
      </c>
      <c r="W477" s="7">
        <f t="shared" si="106"/>
        <v>1.3468731541557115E-2</v>
      </c>
      <c r="X477" s="7">
        <f t="shared" si="107"/>
        <v>1.2978686296457436E-2</v>
      </c>
      <c r="Y477">
        <f>LN(B477/B476)</f>
        <v>3.0249712000382557E-2</v>
      </c>
      <c r="Z477">
        <f>LN(C477/C476)</f>
        <v>4.2611982426314811E-4</v>
      </c>
    </row>
    <row r="478" spans="1:26" x14ac:dyDescent="0.3">
      <c r="A478" s="11">
        <v>40878</v>
      </c>
      <c r="B478" s="12">
        <v>19813.259999999998</v>
      </c>
      <c r="C478" s="12">
        <v>27.145890000000001</v>
      </c>
      <c r="D478" s="16">
        <f t="shared" si="109"/>
        <v>2.0732240713045025E-2</v>
      </c>
      <c r="E478" s="15">
        <f t="shared" si="108"/>
        <v>4.2713465982169296E-4</v>
      </c>
      <c r="G478" s="25" t="str">
        <f>IF(VLOOKUP(A478,Aux!B:C,2,FALSE)=0,"",VLOOKUP(A478,Aux!B:C,2,FALSE))</f>
        <v/>
      </c>
      <c r="H478" s="25" t="str">
        <f t="shared" si="97"/>
        <v/>
      </c>
      <c r="L478" s="13">
        <f t="shared" si="100"/>
        <v>106054.49142283668</v>
      </c>
      <c r="M478" s="14">
        <f t="shared" si="101"/>
        <v>960.62847251796643</v>
      </c>
      <c r="N478" s="14">
        <f t="shared" si="102"/>
        <v>25.087229271388253</v>
      </c>
      <c r="O478" s="1">
        <f t="shared" si="103"/>
        <v>2.387069732668972</v>
      </c>
      <c r="P478" s="1">
        <f t="shared" si="104"/>
        <v>2164.5581769960681</v>
      </c>
      <c r="S478" s="6">
        <f t="shared" si="98"/>
        <v>0.44595596675801585</v>
      </c>
      <c r="T478" s="6">
        <f t="shared" si="99"/>
        <v>0.5540440332419837</v>
      </c>
      <c r="V478" s="1">
        <f t="shared" si="105"/>
        <v>106438.83560706617</v>
      </c>
      <c r="W478" s="7">
        <f t="shared" si="106"/>
        <v>9.3378894488286152E-3</v>
      </c>
      <c r="X478" s="7">
        <f t="shared" si="107"/>
        <v>9.0066057022065455E-3</v>
      </c>
      <c r="Y478">
        <f>LN(B478/B477)</f>
        <v>2.0520252793401899E-2</v>
      </c>
      <c r="Z478">
        <f>LN(C478/C477)</f>
        <v>4.2704346378061834E-4</v>
      </c>
    </row>
    <row r="479" spans="1:26" x14ac:dyDescent="0.3">
      <c r="A479" s="9">
        <v>40879</v>
      </c>
      <c r="B479" s="1">
        <v>19760.349999999999</v>
      </c>
      <c r="C479" s="1">
        <v>27.15701</v>
      </c>
      <c r="D479" s="6">
        <f t="shared" si="109"/>
        <v>-2.670433840771258E-3</v>
      </c>
      <c r="E479" s="5">
        <f t="shared" si="108"/>
        <v>4.0963843882080297E-4</v>
      </c>
      <c r="G479" s="25" t="str">
        <f>IF(VLOOKUP(A479,Aux!B:C,2,FALSE)=0,"",VLOOKUP(A479,Aux!B:C,2,FALSE))</f>
        <v/>
      </c>
      <c r="H479" s="25" t="str">
        <f t="shared" si="97"/>
        <v/>
      </c>
      <c r="L479" s="13">
        <f t="shared" si="100"/>
        <v>105952.26145020936</v>
      </c>
      <c r="M479" s="14">
        <f t="shared" si="101"/>
        <v>-126.29985955551497</v>
      </c>
      <c r="N479" s="14">
        <f t="shared" si="102"/>
        <v>24.069886928192474</v>
      </c>
      <c r="O479" s="1">
        <f t="shared" si="103"/>
        <v>2.387069732668972</v>
      </c>
      <c r="P479" s="1">
        <f t="shared" si="104"/>
        <v>2164.5581769960681</v>
      </c>
      <c r="S479" s="6">
        <f t="shared" si="98"/>
        <v>0.4451942105465283</v>
      </c>
      <c r="T479" s="6">
        <f t="shared" si="99"/>
        <v>0.55480578945347125</v>
      </c>
      <c r="V479" s="1">
        <f t="shared" si="105"/>
        <v>106341.64729923644</v>
      </c>
      <c r="W479" s="7">
        <f t="shared" si="106"/>
        <v>-9.6440305948168625E-4</v>
      </c>
      <c r="X479" s="7">
        <f t="shared" si="107"/>
        <v>-9.1350779226426985E-4</v>
      </c>
      <c r="Y479">
        <f>LN(B479/B478)</f>
        <v>-2.6740058097753211E-3</v>
      </c>
      <c r="Z479">
        <f>LN(C479/C478)</f>
        <v>4.0955455990142781E-4</v>
      </c>
    </row>
    <row r="480" spans="1:26" x14ac:dyDescent="0.3">
      <c r="A480" s="11">
        <v>40882</v>
      </c>
      <c r="B480" s="12">
        <v>20051.849999999999</v>
      </c>
      <c r="C480" s="12">
        <v>27.168140000000001</v>
      </c>
      <c r="D480" s="16">
        <f t="shared" si="109"/>
        <v>1.4751763000149243E-2</v>
      </c>
      <c r="E480" s="15">
        <f t="shared" si="108"/>
        <v>4.0983893293122797E-4</v>
      </c>
      <c r="G480" s="25" t="str">
        <f>IF(VLOOKUP(A480,Aux!B:C,2,FALSE)=0,"",VLOOKUP(A480,Aux!B:C,2,FALSE))</f>
        <v/>
      </c>
      <c r="H480" s="25" t="str">
        <f t="shared" si="97"/>
        <v/>
      </c>
      <c r="L480" s="13">
        <f t="shared" si="100"/>
        <v>106672.18380979233</v>
      </c>
      <c r="M480" s="14">
        <f t="shared" si="101"/>
        <v>695.83082707300537</v>
      </c>
      <c r="N480" s="14">
        <f t="shared" si="102"/>
        <v>24.091532509969305</v>
      </c>
      <c r="O480" s="1">
        <f t="shared" si="103"/>
        <v>2.387069732668972</v>
      </c>
      <c r="P480" s="1">
        <f t="shared" si="104"/>
        <v>2164.5581769960681</v>
      </c>
      <c r="S480" s="6">
        <f t="shared" si="98"/>
        <v>0.44871270568873817</v>
      </c>
      <c r="T480" s="6">
        <f t="shared" si="99"/>
        <v>0.55128729431126144</v>
      </c>
      <c r="V480" s="1">
        <f t="shared" si="105"/>
        <v>107039.0472802576</v>
      </c>
      <c r="W480" s="7">
        <f t="shared" si="106"/>
        <v>6.7718000142490001E-3</v>
      </c>
      <c r="X480" s="7">
        <f t="shared" si="107"/>
        <v>6.5366969174624548E-3</v>
      </c>
      <c r="Y480">
        <f>LN(B480/B479)</f>
        <v>1.4644014109245275E-2</v>
      </c>
      <c r="Z480">
        <f>LN(C480/C479)</f>
        <v>4.0975497189530579E-4</v>
      </c>
    </row>
    <row r="481" spans="1:26" x14ac:dyDescent="0.3">
      <c r="A481" s="9">
        <v>40883</v>
      </c>
      <c r="B481" s="1">
        <v>20231.07</v>
      </c>
      <c r="C481" s="1">
        <v>27.179290000000002</v>
      </c>
      <c r="D481" s="6">
        <f t="shared" si="109"/>
        <v>8.9378286791492734E-3</v>
      </c>
      <c r="E481" s="5">
        <f t="shared" si="108"/>
        <v>4.1040719018670124E-4</v>
      </c>
      <c r="G481" s="25" t="str">
        <f>IF(VLOOKUP(A481,Aux!B:C,2,FALSE)=0,"",VLOOKUP(A481,Aux!B:C,2,FALSE))</f>
        <v/>
      </c>
      <c r="H481" s="25" t="str">
        <f t="shared" si="97"/>
        <v/>
      </c>
      <c r="L481" s="13">
        <f t="shared" si="100"/>
        <v>107124.12927095477</v>
      </c>
      <c r="M481" s="14">
        <f t="shared" si="101"/>
        <v>427.81063748893592</v>
      </c>
      <c r="N481" s="14">
        <f t="shared" si="102"/>
        <v>24.134823673507587</v>
      </c>
      <c r="O481" s="1">
        <f t="shared" si="103"/>
        <v>2.387069732668972</v>
      </c>
      <c r="P481" s="1">
        <f t="shared" si="104"/>
        <v>2164.5581769960681</v>
      </c>
      <c r="S481" s="6">
        <f t="shared" si="98"/>
        <v>0.45081323120356259</v>
      </c>
      <c r="T481" s="6">
        <f t="shared" si="99"/>
        <v>0.54918676879643702</v>
      </c>
      <c r="V481" s="1">
        <f t="shared" si="105"/>
        <v>107477.45811635256</v>
      </c>
      <c r="W481" s="7">
        <f t="shared" si="106"/>
        <v>4.2278197209287618E-3</v>
      </c>
      <c r="X481" s="7">
        <f t="shared" si="107"/>
        <v>4.0874378935750215E-3</v>
      </c>
      <c r="Y481">
        <f>LN(B481/B480)</f>
        <v>8.8981227031593203E-3</v>
      </c>
      <c r="Z481">
        <f>LN(C481/C480)</f>
        <v>4.1032299619091591E-4</v>
      </c>
    </row>
    <row r="482" spans="1:26" x14ac:dyDescent="0.3">
      <c r="A482" s="11">
        <v>40884</v>
      </c>
      <c r="B482" s="12">
        <v>19986.490000000002</v>
      </c>
      <c r="C482" s="12">
        <v>27.190429999999999</v>
      </c>
      <c r="D482" s="16">
        <f t="shared" si="109"/>
        <v>-1.2089325972377996E-2</v>
      </c>
      <c r="E482" s="15">
        <f t="shared" si="108"/>
        <v>4.0987089802557719E-4</v>
      </c>
      <c r="G482" s="25" t="str">
        <f>IF(VLOOKUP(A482,Aux!B:C,2,FALSE)=0,"",VLOOKUP(A482,Aux!B:C,2,FALSE))</f>
        <v/>
      </c>
      <c r="H482" s="25" t="str">
        <f t="shared" si="97"/>
        <v/>
      </c>
      <c r="L482" s="13">
        <f t="shared" si="100"/>
        <v>106564.41293383033</v>
      </c>
      <c r="M482" s="14">
        <f t="shared" si="101"/>
        <v>-583.82951521617269</v>
      </c>
      <c r="N482" s="14">
        <f t="shared" si="102"/>
        <v>24.113178091730756</v>
      </c>
      <c r="O482" s="1">
        <f t="shared" si="103"/>
        <v>2.387069732668972</v>
      </c>
      <c r="P482" s="1">
        <f t="shared" si="104"/>
        <v>2164.5581769960681</v>
      </c>
      <c r="S482" s="6">
        <f t="shared" si="98"/>
        <v>0.44770241798183985</v>
      </c>
      <c r="T482" s="6">
        <f t="shared" si="99"/>
        <v>0.55229758201815971</v>
      </c>
      <c r="V482" s="1">
        <f t="shared" si="105"/>
        <v>106938.12515651956</v>
      </c>
      <c r="W482" s="7">
        <f t="shared" si="106"/>
        <v>-5.2386301238700438E-3</v>
      </c>
      <c r="X482" s="7">
        <f t="shared" si="107"/>
        <v>-5.0307360040436604E-3</v>
      </c>
      <c r="Y482">
        <f>LN(B482/B481)</f>
        <v>-1.2162996224797903E-2</v>
      </c>
      <c r="Z482">
        <f>LN(C482/C481)</f>
        <v>4.0978692389397129E-4</v>
      </c>
    </row>
    <row r="483" spans="1:26" x14ac:dyDescent="0.3">
      <c r="A483" s="9">
        <v>40885</v>
      </c>
      <c r="B483" s="1">
        <v>19685.75</v>
      </c>
      <c r="C483" s="1">
        <v>27.201560000000001</v>
      </c>
      <c r="D483" s="6">
        <f t="shared" si="109"/>
        <v>-1.5047164359524912E-2</v>
      </c>
      <c r="E483" s="5">
        <f t="shared" si="108"/>
        <v>4.0933519624375414E-4</v>
      </c>
      <c r="G483" s="25" t="str">
        <f>IF(VLOOKUP(A483,Aux!B:C,2,FALSE)=0,"",VLOOKUP(A483,Aux!B:C,2,FALSE))</f>
        <v/>
      </c>
      <c r="H483" s="25" t="str">
        <f t="shared" si="97"/>
        <v/>
      </c>
      <c r="L483" s="13">
        <f t="shared" si="100"/>
        <v>105870.61711493743</v>
      </c>
      <c r="M483" s="14">
        <f t="shared" si="101"/>
        <v>-717.88735140287042</v>
      </c>
      <c r="N483" s="14">
        <f t="shared" si="102"/>
        <v>24.091532509969305</v>
      </c>
      <c r="O483" s="1">
        <f t="shared" si="103"/>
        <v>2.387069732668972</v>
      </c>
      <c r="P483" s="1">
        <f t="shared" si="104"/>
        <v>2164.5581769960681</v>
      </c>
      <c r="S483" s="6">
        <f t="shared" si="98"/>
        <v>0.44385552167767761</v>
      </c>
      <c r="T483" s="6">
        <f t="shared" si="99"/>
        <v>0.55614447832232194</v>
      </c>
      <c r="V483" s="1">
        <f t="shared" si="105"/>
        <v>106269.20674087465</v>
      </c>
      <c r="W483" s="7">
        <f t="shared" si="106"/>
        <v>-6.531863275834022E-3</v>
      </c>
      <c r="X483" s="7">
        <f t="shared" si="107"/>
        <v>-6.2748368407389253E-3</v>
      </c>
      <c r="Y483">
        <f>LN(B483/B482)</f>
        <v>-1.5161521554958835E-2</v>
      </c>
      <c r="Z483">
        <f>LN(C483/C482)</f>
        <v>4.0925144144739005E-4</v>
      </c>
    </row>
    <row r="484" spans="1:26" x14ac:dyDescent="0.3">
      <c r="A484" s="11">
        <v>40886</v>
      </c>
      <c r="B484" s="12">
        <v>19906.11</v>
      </c>
      <c r="C484" s="12">
        <v>27.212679999999999</v>
      </c>
      <c r="D484" s="16">
        <f t="shared" si="109"/>
        <v>1.1193883900791235E-2</v>
      </c>
      <c r="E484" s="15">
        <f t="shared" si="108"/>
        <v>4.0880008352450758E-4</v>
      </c>
      <c r="G484" s="25" t="str">
        <f>IF(VLOOKUP(A484,Aux!B:C,2,FALSE)=0,"",VLOOKUP(A484,Aux!B:C,2,FALSE))</f>
        <v/>
      </c>
      <c r="H484" s="25" t="str">
        <f t="shared" si="97"/>
        <v/>
      </c>
      <c r="L484" s="13">
        <f t="shared" si="100"/>
        <v>106420.70168815655</v>
      </c>
      <c r="M484" s="14">
        <f t="shared" si="101"/>
        <v>526.01468629093608</v>
      </c>
      <c r="N484" s="14">
        <f t="shared" si="102"/>
        <v>24.069886928192474</v>
      </c>
      <c r="O484" s="1">
        <f t="shared" si="103"/>
        <v>2.387069732668972</v>
      </c>
      <c r="P484" s="1">
        <f t="shared" si="104"/>
        <v>2164.5581769960681</v>
      </c>
      <c r="S484" s="6">
        <f t="shared" si="98"/>
        <v>0.44650403467004479</v>
      </c>
      <c r="T484" s="6">
        <f t="shared" si="99"/>
        <v>0.55349596532995482</v>
      </c>
      <c r="V484" s="1">
        <f t="shared" si="105"/>
        <v>106802.46188208066</v>
      </c>
      <c r="W484" s="7">
        <f t="shared" si="106"/>
        <v>5.1823673945027189E-3</v>
      </c>
      <c r="X484" s="7">
        <f t="shared" si="107"/>
        <v>5.0054167971605524E-3</v>
      </c>
      <c r="Y484">
        <f>LN(B484/B483)</f>
        <v>1.113169603456093E-2</v>
      </c>
      <c r="Z484">
        <f>LN(C484/C483)</f>
        <v>4.0871654753593342E-4</v>
      </c>
    </row>
    <row r="485" spans="1:26" x14ac:dyDescent="0.3">
      <c r="A485" s="9">
        <v>40889</v>
      </c>
      <c r="B485" s="1">
        <v>19673.09</v>
      </c>
      <c r="C485" s="1">
        <v>27.223790000000001</v>
      </c>
      <c r="D485" s="6">
        <f t="shared" si="109"/>
        <v>-1.170595359917137E-2</v>
      </c>
      <c r="E485" s="5">
        <f t="shared" si="108"/>
        <v>4.0826555855577595E-4</v>
      </c>
      <c r="G485" s="25" t="str">
        <f>IF(VLOOKUP(A485,Aux!B:C,2,FALSE)=0,"",VLOOKUP(A485,Aux!B:C,2,FALSE))</f>
        <v/>
      </c>
      <c r="H485" s="25" t="str">
        <f t="shared" si="97"/>
        <v/>
      </c>
      <c r="L485" s="13">
        <f t="shared" si="100"/>
        <v>105888.51494039646</v>
      </c>
      <c r="M485" s="14">
        <f t="shared" si="101"/>
        <v>-556.23498910652495</v>
      </c>
      <c r="N485" s="14">
        <f t="shared" si="102"/>
        <v>24.048241346431023</v>
      </c>
      <c r="O485" s="1">
        <f t="shared" si="103"/>
        <v>2.387069732668972</v>
      </c>
      <c r="P485" s="1">
        <f t="shared" si="104"/>
        <v>2164.5581769960681</v>
      </c>
      <c r="S485" s="6">
        <f t="shared" si="98"/>
        <v>0.44349510155569283</v>
      </c>
      <c r="T485" s="6">
        <f t="shared" si="99"/>
        <v>0.55650489844430673</v>
      </c>
      <c r="V485" s="1">
        <f t="shared" si="105"/>
        <v>106289.73113264481</v>
      </c>
      <c r="W485" s="7">
        <f t="shared" si="106"/>
        <v>-5.0133279266134827E-3</v>
      </c>
      <c r="X485" s="7">
        <f t="shared" si="107"/>
        <v>-4.8122996124466775E-3</v>
      </c>
      <c r="Y485">
        <f>LN(B485/B484)</f>
        <v>-1.1775007699061805E-2</v>
      </c>
      <c r="Z485">
        <f>LN(C485/C484)</f>
        <v>4.0818224084901992E-4</v>
      </c>
    </row>
    <row r="486" spans="1:26" x14ac:dyDescent="0.3">
      <c r="A486" s="11">
        <v>40890</v>
      </c>
      <c r="B486" s="12">
        <v>19731.27</v>
      </c>
      <c r="C486" s="12">
        <v>27.23489</v>
      </c>
      <c r="D486" s="16">
        <f t="shared" si="109"/>
        <v>2.9573391876924759E-3</v>
      </c>
      <c r="E486" s="15">
        <f t="shared" si="108"/>
        <v>4.0773162002794017E-4</v>
      </c>
      <c r="G486" s="25" t="str">
        <f>IF(VLOOKUP(A486,Aux!B:C,2,FALSE)=0,"",VLOOKUP(A486,Aux!B:C,2,FALSE))</f>
        <v/>
      </c>
      <c r="H486" s="25" t="str">
        <f t="shared" si="97"/>
        <v/>
      </c>
      <c r="L486" s="13">
        <f t="shared" si="100"/>
        <v>106051.42125320779</v>
      </c>
      <c r="M486" s="14">
        <f t="shared" si="101"/>
        <v>138.87971704668149</v>
      </c>
      <c r="N486" s="14">
        <f t="shared" si="102"/>
        <v>24.026595764654189</v>
      </c>
      <c r="O486" s="1">
        <f t="shared" si="103"/>
        <v>2.387069732668972</v>
      </c>
      <c r="P486" s="1">
        <f t="shared" si="104"/>
        <v>2164.5581769960681</v>
      </c>
      <c r="S486" s="6">
        <f t="shared" si="98"/>
        <v>0.44412339643863713</v>
      </c>
      <c r="T486" s="6">
        <f t="shared" si="99"/>
        <v>0.55587660356136259</v>
      </c>
      <c r="V486" s="1">
        <f t="shared" si="105"/>
        <v>106448.78659811484</v>
      </c>
      <c r="W486" s="7">
        <f t="shared" si="106"/>
        <v>1.5372878544695422E-3</v>
      </c>
      <c r="X486" s="7">
        <f t="shared" si="107"/>
        <v>1.4953144997296845E-3</v>
      </c>
      <c r="Y486">
        <f>LN(B486/B485)</f>
        <v>2.9529748625662239E-3</v>
      </c>
      <c r="Z486">
        <f>LN(C486/C485)</f>
        <v>4.0764852007850553E-4</v>
      </c>
    </row>
    <row r="487" spans="1:26" x14ac:dyDescent="0.3">
      <c r="A487" s="9">
        <v>40891</v>
      </c>
      <c r="B487" s="1">
        <v>19466.650000000001</v>
      </c>
      <c r="C487" s="1">
        <v>27.246009999999998</v>
      </c>
      <c r="D487" s="6">
        <f t="shared" si="109"/>
        <v>-1.3411199583199584E-2</v>
      </c>
      <c r="E487" s="5">
        <f t="shared" si="108"/>
        <v>4.0829979485867973E-4</v>
      </c>
      <c r="G487" s="25" t="str">
        <f>IF(VLOOKUP(A487,Aux!B:C,2,FALSE)=0,"",VLOOKUP(A487,Aux!B:C,2,FALSE))</f>
        <v/>
      </c>
      <c r="H487" s="25" t="str">
        <f t="shared" si="97"/>
        <v/>
      </c>
      <c r="L487" s="13">
        <f t="shared" si="100"/>
        <v>105443.82474747712</v>
      </c>
      <c r="M487" s="14">
        <f t="shared" si="101"/>
        <v>-631.6663926588609</v>
      </c>
      <c r="N487" s="14">
        <f t="shared" si="102"/>
        <v>24.069886928192474</v>
      </c>
      <c r="O487" s="1">
        <f t="shared" si="103"/>
        <v>2.387069732668972</v>
      </c>
      <c r="P487" s="1">
        <f t="shared" si="104"/>
        <v>2164.5581769960681</v>
      </c>
      <c r="S487" s="6">
        <f t="shared" si="98"/>
        <v>0.44069200944432035</v>
      </c>
      <c r="T487" s="6">
        <f t="shared" si="99"/>
        <v>0.55930799055567937</v>
      </c>
      <c r="V487" s="1">
        <f t="shared" si="105"/>
        <v>105863.17591462965</v>
      </c>
      <c r="W487" s="7">
        <f t="shared" si="106"/>
        <v>-5.7457383917009427E-3</v>
      </c>
      <c r="X487" s="7">
        <f t="shared" si="107"/>
        <v>-5.5165254153829472E-3</v>
      </c>
      <c r="Y487">
        <f>LN(B487/B486)</f>
        <v>-1.3501941942855145E-2</v>
      </c>
      <c r="Z487">
        <f>LN(C487/C486)</f>
        <v>4.0821646317953898E-4</v>
      </c>
    </row>
    <row r="488" spans="1:26" x14ac:dyDescent="0.3">
      <c r="A488" s="11">
        <v>40892</v>
      </c>
      <c r="B488" s="12">
        <v>19360.73</v>
      </c>
      <c r="C488" s="12">
        <v>27.257149999999999</v>
      </c>
      <c r="D488" s="16">
        <f t="shared" si="109"/>
        <v>-5.4411005488875785E-3</v>
      </c>
      <c r="E488" s="15">
        <f t="shared" si="108"/>
        <v>4.0886720661115206E-4</v>
      </c>
      <c r="G488" s="25" t="str">
        <f>IF(VLOOKUP(A488,Aux!B:C,2,FALSE)=0,"",VLOOKUP(A488,Aux!B:C,2,FALSE))</f>
        <v/>
      </c>
      <c r="H488" s="25" t="str">
        <f t="shared" si="97"/>
        <v/>
      </c>
      <c r="L488" s="13">
        <f t="shared" si="100"/>
        <v>105215.09949948455</v>
      </c>
      <c r="M488" s="14">
        <f t="shared" si="101"/>
        <v>-252.83842608430203</v>
      </c>
      <c r="N488" s="14">
        <f t="shared" si="102"/>
        <v>24.113178091738448</v>
      </c>
      <c r="O488" s="1">
        <f t="shared" si="103"/>
        <v>2.387069732668972</v>
      </c>
      <c r="P488" s="1">
        <f t="shared" si="104"/>
        <v>2164.5581769960681</v>
      </c>
      <c r="S488" s="6">
        <f t="shared" si="98"/>
        <v>0.43924695984916645</v>
      </c>
      <c r="T488" s="6">
        <f t="shared" si="99"/>
        <v>0.56075304015083327</v>
      </c>
      <c r="V488" s="1">
        <f t="shared" si="105"/>
        <v>105643.73642514943</v>
      </c>
      <c r="W488" s="7">
        <f t="shared" si="106"/>
        <v>-2.1715228888582873E-3</v>
      </c>
      <c r="X488" s="7">
        <f t="shared" si="107"/>
        <v>-2.0750108428027273E-3</v>
      </c>
      <c r="Y488">
        <f>LN(B488/B487)</f>
        <v>-5.4559572521969369E-3</v>
      </c>
      <c r="Z488">
        <f>LN(C488/C487)</f>
        <v>4.0878364319161641E-4</v>
      </c>
    </row>
    <row r="489" spans="1:26" x14ac:dyDescent="0.3">
      <c r="A489" s="9">
        <v>40893</v>
      </c>
      <c r="B489" s="1">
        <v>19325.46</v>
      </c>
      <c r="C489" s="1">
        <v>27.268319999999999</v>
      </c>
      <c r="D489" s="6">
        <f t="shared" si="109"/>
        <v>-1.8217288294398726E-3</v>
      </c>
      <c r="E489" s="5">
        <f t="shared" si="108"/>
        <v>4.0980073118435101E-4</v>
      </c>
      <c r="G489" s="25" t="str">
        <f>IF(VLOOKUP(A489,Aux!B:C,2,FALSE)=0,"",VLOOKUP(A489,Aux!B:C,2,FALSE))</f>
        <v/>
      </c>
      <c r="H489" s="25" t="str">
        <f t="shared" si="97"/>
        <v/>
      </c>
      <c r="L489" s="13">
        <f t="shared" si="100"/>
        <v>105155.08566485037</v>
      </c>
      <c r="M489" s="14">
        <f t="shared" si="101"/>
        <v>-84.191949471235688</v>
      </c>
      <c r="N489" s="14">
        <f t="shared" si="102"/>
        <v>24.178114837045868</v>
      </c>
      <c r="O489" s="1">
        <f t="shared" si="103"/>
        <v>2.387069732668972</v>
      </c>
      <c r="P489" s="1">
        <f t="shared" si="104"/>
        <v>2164.5581769960681</v>
      </c>
      <c r="S489" s="6">
        <f t="shared" si="98"/>
        <v>0.43869700019011965</v>
      </c>
      <c r="T489" s="6">
        <f t="shared" si="99"/>
        <v>0.56130299980987997</v>
      </c>
      <c r="V489" s="1">
        <f t="shared" si="105"/>
        <v>105587.35607099326</v>
      </c>
      <c r="W489" s="7">
        <f t="shared" si="106"/>
        <v>-5.7055457944612154E-4</v>
      </c>
      <c r="X489" s="7">
        <f t="shared" si="107"/>
        <v>-5.3382629260495637E-4</v>
      </c>
      <c r="Y489">
        <f>LN(B489/B488)</f>
        <v>-1.8233901954160161E-3</v>
      </c>
      <c r="Z489">
        <f>LN(C489/C488)</f>
        <v>4.097167857978489E-4</v>
      </c>
    </row>
    <row r="490" spans="1:26" x14ac:dyDescent="0.3">
      <c r="A490" s="11">
        <v>40896</v>
      </c>
      <c r="B490" s="12">
        <v>19178.400000000001</v>
      </c>
      <c r="C490" s="12">
        <v>27.279499999999999</v>
      </c>
      <c r="D490" s="16">
        <f t="shared" si="109"/>
        <v>-7.6096506887803894E-3</v>
      </c>
      <c r="E490" s="15">
        <f t="shared" si="108"/>
        <v>4.0999958926701829E-4</v>
      </c>
      <c r="G490" s="25" t="str">
        <f>IF(VLOOKUP(A490,Aux!B:C,2,FALSE)=0,"",VLOOKUP(A490,Aux!B:C,2,FALSE))</f>
        <v/>
      </c>
      <c r="H490" s="25" t="str">
        <f t="shared" si="97"/>
        <v/>
      </c>
      <c r="L490" s="13">
        <f t="shared" si="100"/>
        <v>104828.24295038289</v>
      </c>
      <c r="M490" s="14">
        <f t="shared" si="101"/>
        <v>-351.04247488629346</v>
      </c>
      <c r="N490" s="14">
        <f t="shared" si="102"/>
        <v>24.199760418815011</v>
      </c>
      <c r="O490" s="1">
        <f t="shared" si="103"/>
        <v>2.387069732668972</v>
      </c>
      <c r="P490" s="1">
        <f t="shared" si="104"/>
        <v>2164.5581769960681</v>
      </c>
      <c r="S490" s="6">
        <f t="shared" si="98"/>
        <v>0.43671606880492314</v>
      </c>
      <c r="T490" s="6">
        <f t="shared" si="99"/>
        <v>0.56328393119507647</v>
      </c>
      <c r="V490" s="1">
        <f t="shared" si="105"/>
        <v>105273.09464772661</v>
      </c>
      <c r="W490" s="7">
        <f t="shared" si="106"/>
        <v>-3.1130374070706857E-3</v>
      </c>
      <c r="X490" s="7">
        <f t="shared" si="107"/>
        <v>-2.9807548535272332E-3</v>
      </c>
      <c r="Y490">
        <f>LN(B490/B489)</f>
        <v>-7.6387518074830674E-3</v>
      </c>
      <c r="Z490">
        <f>LN(C490/C489)</f>
        <v>4.0991556240195428E-4</v>
      </c>
    </row>
    <row r="491" spans="1:26" x14ac:dyDescent="0.3">
      <c r="A491" s="9">
        <v>40897</v>
      </c>
      <c r="B491" s="1">
        <v>19697.490000000002</v>
      </c>
      <c r="C491" s="1">
        <v>27.290690000000001</v>
      </c>
      <c r="D491" s="6">
        <f t="shared" si="109"/>
        <v>2.7066387185583851E-2</v>
      </c>
      <c r="E491" s="5">
        <f t="shared" si="108"/>
        <v>4.1019813413001316E-4</v>
      </c>
      <c r="G491" s="25" t="str">
        <f>IF(VLOOKUP(A491,Aux!B:C,2,FALSE)=0,"",VLOOKUP(A491,Aux!B:C,2,FALSE))</f>
        <v/>
      </c>
      <c r="H491" s="25" t="str">
        <f t="shared" si="97"/>
        <v/>
      </c>
      <c r="L491" s="13">
        <f t="shared" si="100"/>
        <v>106091.56838391462</v>
      </c>
      <c r="M491" s="14">
        <f t="shared" si="101"/>
        <v>1239.104027531137</v>
      </c>
      <c r="N491" s="14">
        <f t="shared" si="102"/>
        <v>24.221406000591841</v>
      </c>
      <c r="O491" s="1">
        <f t="shared" si="103"/>
        <v>2.387069732668972</v>
      </c>
      <c r="P491" s="1">
        <f t="shared" si="104"/>
        <v>2164.5581769960681</v>
      </c>
      <c r="S491" s="6">
        <f t="shared" si="98"/>
        <v>0.44319527842590284</v>
      </c>
      <c r="T491" s="6">
        <f t="shared" si="99"/>
        <v>0.55680472157409677</v>
      </c>
      <c r="V491" s="1">
        <f t="shared" si="105"/>
        <v>106495.68694783625</v>
      </c>
      <c r="W491" s="7">
        <f t="shared" si="106"/>
        <v>1.1979344503150219E-2</v>
      </c>
      <c r="X491" s="7">
        <f t="shared" si="107"/>
        <v>1.1546611113300286E-2</v>
      </c>
      <c r="Y491">
        <f>LN(B491/B490)</f>
        <v>2.6706570712712208E-2</v>
      </c>
      <c r="Z491">
        <f>LN(C491/C490)</f>
        <v>4.1011402587530466E-4</v>
      </c>
    </row>
    <row r="492" spans="1:26" x14ac:dyDescent="0.3">
      <c r="A492" s="11">
        <v>40898</v>
      </c>
      <c r="B492" s="12">
        <v>19646.919999999998</v>
      </c>
      <c r="C492" s="12">
        <v>27.3019</v>
      </c>
      <c r="D492" s="16">
        <f t="shared" si="109"/>
        <v>-2.5673321829331464E-3</v>
      </c>
      <c r="E492" s="15">
        <f t="shared" si="108"/>
        <v>4.1076279126683879E-4</v>
      </c>
      <c r="G492" s="25" t="str">
        <f>IF(VLOOKUP(A492,Aux!B:C,2,FALSE)=0,"",VLOOKUP(A492,Aux!B:C,2,FALSE))</f>
        <v/>
      </c>
      <c r="H492" s="25" t="str">
        <f t="shared" si="97"/>
        <v/>
      </c>
      <c r="L492" s="13">
        <f t="shared" si="100"/>
        <v>105995.11896469767</v>
      </c>
      <c r="M492" s="14">
        <f t="shared" si="101"/>
        <v>-120.7141163810779</v>
      </c>
      <c r="N492" s="14">
        <f t="shared" si="102"/>
        <v>24.264697164122435</v>
      </c>
      <c r="O492" s="1">
        <f t="shared" si="103"/>
        <v>2.387069732668972</v>
      </c>
      <c r="P492" s="1">
        <f t="shared" si="104"/>
        <v>2164.5581769960681</v>
      </c>
      <c r="S492" s="6">
        <f t="shared" si="98"/>
        <v>0.44245969559964859</v>
      </c>
      <c r="T492" s="6">
        <f t="shared" si="99"/>
        <v>0.55754030440035096</v>
      </c>
      <c r="V492" s="1">
        <f t="shared" si="105"/>
        <v>106404.09844378168</v>
      </c>
      <c r="W492" s="7">
        <f t="shared" si="106"/>
        <v>-9.0952833552754222E-4</v>
      </c>
      <c r="X492" s="7">
        <f t="shared" si="107"/>
        <v>-8.6039081285244133E-4</v>
      </c>
      <c r="Y492">
        <f>LN(B492/B491)</f>
        <v>-2.5706334316805113E-3</v>
      </c>
      <c r="Z492">
        <f>LN(C492/C491)</f>
        <v>4.1067845132650995E-4</v>
      </c>
    </row>
    <row r="493" spans="1:26" x14ac:dyDescent="0.3">
      <c r="A493" s="9">
        <v>40899</v>
      </c>
      <c r="B493" s="1">
        <v>19853.16</v>
      </c>
      <c r="C493" s="1">
        <v>27.313099999999999</v>
      </c>
      <c r="D493" s="6">
        <f t="shared" si="109"/>
        <v>1.0497319681660011E-2</v>
      </c>
      <c r="E493" s="5">
        <f t="shared" si="108"/>
        <v>4.1022785959943242E-4</v>
      </c>
      <c r="G493" s="25" t="str">
        <f>IF(VLOOKUP(A493,Aux!B:C,2,FALSE)=0,"",VLOOKUP(A493,Aux!B:C,2,FALSE))</f>
        <v/>
      </c>
      <c r="H493" s="25" t="str">
        <f t="shared" si="97"/>
        <v/>
      </c>
      <c r="L493" s="13">
        <f t="shared" si="100"/>
        <v>106511.67127794567</v>
      </c>
      <c r="M493" s="14">
        <f t="shared" si="101"/>
        <v>492.30926166565263</v>
      </c>
      <c r="N493" s="14">
        <f t="shared" si="102"/>
        <v>24.243051582353292</v>
      </c>
      <c r="O493" s="1">
        <f t="shared" si="103"/>
        <v>2.387069732668972</v>
      </c>
      <c r="P493" s="1">
        <f t="shared" si="104"/>
        <v>2164.5581769960681</v>
      </c>
      <c r="S493" s="6">
        <f t="shared" si="98"/>
        <v>0.44493600339972411</v>
      </c>
      <c r="T493" s="6">
        <f t="shared" si="99"/>
        <v>0.55506399660027561</v>
      </c>
      <c r="V493" s="1">
        <f t="shared" si="105"/>
        <v>106904.95722166437</v>
      </c>
      <c r="W493" s="7">
        <f t="shared" si="106"/>
        <v>4.861523060275607E-3</v>
      </c>
      <c r="X493" s="7">
        <f t="shared" si="107"/>
        <v>4.6960940948857057E-3</v>
      </c>
      <c r="Y493">
        <f>LN(B493/B492)</f>
        <v>1.0442605390588897E-2</v>
      </c>
      <c r="Z493">
        <f>LN(C493/C492)</f>
        <v>4.1014373915595001E-4</v>
      </c>
    </row>
    <row r="494" spans="1:26" x14ac:dyDescent="0.3">
      <c r="A494" s="11">
        <v>40900</v>
      </c>
      <c r="B494" s="12">
        <v>19977.3</v>
      </c>
      <c r="C494" s="12">
        <v>27.324290000000001</v>
      </c>
      <c r="D494" s="16">
        <f t="shared" si="109"/>
        <v>6.2529088568268332E-3</v>
      </c>
      <c r="E494" s="15">
        <f t="shared" si="108"/>
        <v>4.0969351703035173E-4</v>
      </c>
      <c r="G494" s="25" t="str">
        <f>IF(VLOOKUP(A494,Aux!B:C,2,FALSE)=0,"",VLOOKUP(A494,Aux!B:C,2,FALSE))</f>
        <v/>
      </c>
      <c r="H494" s="25" t="str">
        <f t="shared" si="97"/>
        <v/>
      </c>
      <c r="L494" s="13">
        <f t="shared" si="100"/>
        <v>106832.2235205598</v>
      </c>
      <c r="M494" s="14">
        <f t="shared" si="101"/>
        <v>296.33083661352481</v>
      </c>
      <c r="N494" s="14">
        <f t="shared" si="102"/>
        <v>24.221406000591841</v>
      </c>
      <c r="O494" s="1">
        <f t="shared" si="103"/>
        <v>2.387069732668972</v>
      </c>
      <c r="P494" s="1">
        <f t="shared" si="104"/>
        <v>2164.5581769960681</v>
      </c>
      <c r="S494" s="6">
        <f t="shared" si="98"/>
        <v>0.44637476033877066</v>
      </c>
      <c r="T494" s="6">
        <f t="shared" si="99"/>
        <v>0.55362523966122901</v>
      </c>
      <c r="V494" s="1">
        <f t="shared" si="105"/>
        <v>107216.38605634909</v>
      </c>
      <c r="W494" s="7">
        <f t="shared" si="106"/>
        <v>3.0050307662941767E-3</v>
      </c>
      <c r="X494" s="7">
        <f t="shared" si="107"/>
        <v>2.9089024897638303E-3</v>
      </c>
      <c r="Y494">
        <f>LN(B494/B493)</f>
        <v>6.2334405358508765E-3</v>
      </c>
      <c r="Z494">
        <f>LN(C494/C493)</f>
        <v>4.0960961555654775E-4</v>
      </c>
    </row>
    <row r="495" spans="1:26" x14ac:dyDescent="0.3">
      <c r="A495" s="9">
        <v>40903</v>
      </c>
      <c r="B495" s="1">
        <v>19934.63</v>
      </c>
      <c r="C495" s="1">
        <v>27.33549</v>
      </c>
      <c r="D495" s="6">
        <f t="shared" si="109"/>
        <v>-2.1359242740509599E-3</v>
      </c>
      <c r="E495" s="5">
        <f t="shared" si="108"/>
        <v>4.0989171173344552E-4</v>
      </c>
      <c r="G495" s="25" t="str">
        <f>IF(VLOOKUP(A495,Aux!B:C,2,FALSE)=0,"",VLOOKUP(A495,Aux!B:C,2,FALSE))</f>
        <v/>
      </c>
      <c r="H495" s="25" t="str">
        <f t="shared" si="97"/>
        <v/>
      </c>
      <c r="L495" s="13">
        <f t="shared" si="100"/>
        <v>106754.61030664916</v>
      </c>
      <c r="M495" s="14">
        <f t="shared" si="101"/>
        <v>-101.85626549298087</v>
      </c>
      <c r="N495" s="14">
        <f t="shared" si="102"/>
        <v>24.243051582353292</v>
      </c>
      <c r="O495" s="1">
        <f t="shared" si="103"/>
        <v>2.387069732668972</v>
      </c>
      <c r="P495" s="1">
        <f t="shared" si="104"/>
        <v>2164.5581769960681</v>
      </c>
      <c r="S495" s="6">
        <f t="shared" si="98"/>
        <v>0.44574516986449098</v>
      </c>
      <c r="T495" s="6">
        <f t="shared" si="99"/>
        <v>0.55425483013550858</v>
      </c>
      <c r="V495" s="1">
        <f t="shared" si="105"/>
        <v>107143.00075731339</v>
      </c>
      <c r="W495" s="7">
        <f t="shared" si="106"/>
        <v>-7.2676031510038373E-4</v>
      </c>
      <c r="X495" s="7">
        <f t="shared" si="107"/>
        <v>-6.8469408308619245E-4</v>
      </c>
      <c r="Y495">
        <f>LN(B495/B494)</f>
        <v>-2.1382086136671262E-3</v>
      </c>
      <c r="Z495">
        <f>LN(C495/C494)</f>
        <v>4.0980772907418524E-4</v>
      </c>
    </row>
    <row r="496" spans="1:26" x14ac:dyDescent="0.3">
      <c r="A496" s="11">
        <v>40904</v>
      </c>
      <c r="B496" s="12">
        <v>20044.150000000001</v>
      </c>
      <c r="C496" s="12">
        <v>27.34667</v>
      </c>
      <c r="D496" s="16">
        <f t="shared" si="109"/>
        <v>5.4939569984493453E-3</v>
      </c>
      <c r="E496" s="15">
        <f t="shared" si="108"/>
        <v>4.0899211976808125E-4</v>
      </c>
      <c r="G496" s="25" t="str">
        <f>IF(VLOOKUP(A496,Aux!B:C,2,FALSE)=0,"",VLOOKUP(A496,Aux!B:C,2,FALSE))</f>
        <v/>
      </c>
      <c r="H496" s="25" t="str">
        <f t="shared" si="97"/>
        <v/>
      </c>
      <c r="L496" s="13">
        <f t="shared" si="100"/>
        <v>107040.2419441899</v>
      </c>
      <c r="M496" s="14">
        <f t="shared" si="101"/>
        <v>261.43187712190684</v>
      </c>
      <c r="N496" s="14">
        <f t="shared" si="102"/>
        <v>24.199760418815011</v>
      </c>
      <c r="O496" s="1">
        <f t="shared" si="103"/>
        <v>2.387069732668972</v>
      </c>
      <c r="P496" s="1">
        <f t="shared" si="104"/>
        <v>2164.5581769960681</v>
      </c>
      <c r="S496" s="6">
        <f t="shared" si="98"/>
        <v>0.44699809074631758</v>
      </c>
      <c r="T496" s="6">
        <f t="shared" si="99"/>
        <v>0.55300190925368198</v>
      </c>
      <c r="V496" s="1">
        <f t="shared" si="105"/>
        <v>107420.67836926316</v>
      </c>
      <c r="W496" s="7">
        <f t="shared" si="106"/>
        <v>2.6720176325739117E-3</v>
      </c>
      <c r="X496" s="7">
        <f t="shared" si="107"/>
        <v>2.5883016930049038E-3</v>
      </c>
      <c r="Y496">
        <f>LN(B496/B495)</f>
        <v>5.4789202656668643E-3</v>
      </c>
      <c r="Z496">
        <f>LN(C496/C495)</f>
        <v>4.0890850528873027E-4</v>
      </c>
    </row>
    <row r="497" spans="1:26" x14ac:dyDescent="0.3">
      <c r="A497" s="9">
        <v>40905</v>
      </c>
      <c r="B497" s="1">
        <v>19603.66</v>
      </c>
      <c r="C497" s="1">
        <v>27.357859999999999</v>
      </c>
      <c r="D497" s="6">
        <f t="shared" si="109"/>
        <v>-2.1975988006475822E-2</v>
      </c>
      <c r="E497" s="5">
        <f t="shared" si="108"/>
        <v>4.0919058883592818E-4</v>
      </c>
      <c r="G497" s="25" t="str">
        <f>IF(VLOOKUP(A497,Aux!B:C,2,FALSE)=0,"",VLOOKUP(A497,Aux!B:C,2,FALSE))</f>
        <v/>
      </c>
      <c r="H497" s="25" t="str">
        <f t="shared" si="97"/>
        <v/>
      </c>
      <c r="L497" s="13">
        <f t="shared" si="100"/>
        <v>106012.98300364711</v>
      </c>
      <c r="M497" s="14">
        <f t="shared" si="101"/>
        <v>-1051.4803465433592</v>
      </c>
      <c r="N497" s="14">
        <f t="shared" si="102"/>
        <v>24.221406000584153</v>
      </c>
      <c r="O497" s="1">
        <f t="shared" si="103"/>
        <v>2.387069732668972</v>
      </c>
      <c r="P497" s="1">
        <f t="shared" si="104"/>
        <v>2164.5581769960681</v>
      </c>
      <c r="S497" s="6">
        <f t="shared" si="98"/>
        <v>0.44141106220851783</v>
      </c>
      <c r="T497" s="6">
        <f t="shared" si="99"/>
        <v>0.55858893779148178</v>
      </c>
      <c r="V497" s="1">
        <f t="shared" si="105"/>
        <v>106429.48604308476</v>
      </c>
      <c r="W497" s="7">
        <f t="shared" si="106"/>
        <v>-9.6432889146955848E-3</v>
      </c>
      <c r="X497" s="7">
        <f t="shared" si="107"/>
        <v>-9.2700365880066613E-3</v>
      </c>
      <c r="Y497">
        <f>LN(B497/B496)</f>
        <v>-2.2221057108100819E-2</v>
      </c>
      <c r="Z497">
        <f>LN(C497/C496)</f>
        <v>4.0910689319779883E-4</v>
      </c>
    </row>
    <row r="498" spans="1:26" x14ac:dyDescent="0.3">
      <c r="A498" s="11">
        <v>40906</v>
      </c>
      <c r="B498" s="12">
        <v>19706.12</v>
      </c>
      <c r="C498" s="12">
        <v>27.369050000000001</v>
      </c>
      <c r="D498" s="16">
        <f t="shared" si="109"/>
        <v>5.2265750375184439E-3</v>
      </c>
      <c r="E498" s="15">
        <f t="shared" si="108"/>
        <v>4.0902322038349759E-4</v>
      </c>
      <c r="G498" s="25">
        <f>IF(VLOOKUP(A498,Aux!B:C,2,FALSE)=0,"",VLOOKUP(A498,Aux!B:C,2,FALSE))</f>
        <v>0.5</v>
      </c>
      <c r="H498" s="25">
        <f t="shared" si="97"/>
        <v>0.5</v>
      </c>
      <c r="L498" s="13">
        <f t="shared" si="100"/>
        <v>106281.78357445696</v>
      </c>
      <c r="M498" s="14">
        <f t="shared" si="101"/>
        <v>244.57916480926079</v>
      </c>
      <c r="N498" s="14">
        <f t="shared" si="102"/>
        <v>24.221406000591841</v>
      </c>
      <c r="O498" s="1">
        <f t="shared" si="103"/>
        <v>2.6966694502635975</v>
      </c>
      <c r="P498" s="1">
        <f t="shared" si="104"/>
        <v>1941.6418102648238</v>
      </c>
      <c r="S498" s="6">
        <f t="shared" si="98"/>
        <v>0.5</v>
      </c>
      <c r="T498" s="6">
        <f t="shared" si="99"/>
        <v>0.5</v>
      </c>
      <c r="V498" s="1">
        <f t="shared" si="105"/>
        <v>106690.89835939903</v>
      </c>
      <c r="W498" s="7">
        <f t="shared" si="106"/>
        <v>2.5323348171766981E-3</v>
      </c>
      <c r="X498" s="7">
        <f t="shared" si="107"/>
        <v>2.4531904646151715E-3</v>
      </c>
      <c r="Y498">
        <f>LN(B498/B497)</f>
        <v>5.2129639000289022E-3</v>
      </c>
      <c r="Z498">
        <f>LN(C498/C497)</f>
        <v>4.0893959318895698E-4</v>
      </c>
    </row>
    <row r="499" spans="1:26" x14ac:dyDescent="0.3">
      <c r="A499" s="9">
        <v>40910</v>
      </c>
      <c r="B499" s="1">
        <v>19889.39</v>
      </c>
      <c r="C499" s="1">
        <v>27.391469999999998</v>
      </c>
      <c r="D499" s="6">
        <f t="shared" si="109"/>
        <v>9.3001564996051389E-3</v>
      </c>
      <c r="E499" s="5">
        <f t="shared" si="108"/>
        <v>8.1917348245541532E-4</v>
      </c>
      <c r="G499" s="25" t="str">
        <f>IF(VLOOKUP(A499,Aux!B:C,2,FALSE)=0,"",VLOOKUP(A499,Aux!B:C,2,FALSE))</f>
        <v/>
      </c>
      <c r="H499" s="25" t="str">
        <f t="shared" si="97"/>
        <v/>
      </c>
      <c r="L499" s="13">
        <f t="shared" si="100"/>
        <v>106819.5337939929</v>
      </c>
      <c r="M499" s="14">
        <f t="shared" si="101"/>
        <v>494.21861014981067</v>
      </c>
      <c r="N499" s="14">
        <f t="shared" si="102"/>
        <v>43.531609386131088</v>
      </c>
      <c r="O499" s="1">
        <f t="shared" si="103"/>
        <v>2.6966694502635975</v>
      </c>
      <c r="P499" s="1">
        <f t="shared" si="104"/>
        <v>1941.6418102648238</v>
      </c>
      <c r="S499" s="6">
        <f t="shared" si="98"/>
        <v>0.50210957202655859</v>
      </c>
      <c r="T499" s="6">
        <f t="shared" si="99"/>
        <v>0.49789042797344141</v>
      </c>
      <c r="V499" s="1">
        <f t="shared" si="105"/>
        <v>107163.86517000492</v>
      </c>
      <c r="W499" s="7">
        <f t="shared" si="106"/>
        <v>5.0469078990991794E-3</v>
      </c>
      <c r="X499" s="7">
        <f t="shared" si="107"/>
        <v>4.4232597295642221E-3</v>
      </c>
      <c r="Y499">
        <f>LN(B499/B498)</f>
        <v>9.2571763202344819E-3</v>
      </c>
      <c r="Z499">
        <f>LN(C499/C498)</f>
        <v>8.1883814297987751E-4</v>
      </c>
    </row>
    <row r="500" spans="1:26" x14ac:dyDescent="0.3">
      <c r="A500" s="11">
        <v>40911</v>
      </c>
      <c r="B500" s="12">
        <v>20324.96</v>
      </c>
      <c r="C500" s="12">
        <v>27.402709999999999</v>
      </c>
      <c r="D500" s="16">
        <f t="shared" si="109"/>
        <v>2.1899615825321961E-2</v>
      </c>
      <c r="E500" s="15">
        <f t="shared" si="108"/>
        <v>4.1034672472850531E-4</v>
      </c>
      <c r="G500" s="25" t="str">
        <f>IF(VLOOKUP(A500,Aux!B:C,2,FALSE)=0,"",VLOOKUP(A500,Aux!B:C,2,FALSE))</f>
        <v/>
      </c>
      <c r="H500" s="25" t="str">
        <f t="shared" si="97"/>
        <v/>
      </c>
      <c r="L500" s="13">
        <f t="shared" si="100"/>
        <v>108015.9461603916</v>
      </c>
      <c r="M500" s="14">
        <f t="shared" si="101"/>
        <v>1174.5883124513143</v>
      </c>
      <c r="N500" s="14">
        <f t="shared" si="102"/>
        <v>21.824053947378182</v>
      </c>
      <c r="O500" s="1">
        <f t="shared" si="103"/>
        <v>2.6966694502635975</v>
      </c>
      <c r="P500" s="1">
        <f t="shared" si="104"/>
        <v>1941.6418102648238</v>
      </c>
      <c r="S500" s="6">
        <f t="shared" si="98"/>
        <v>0.50742228956124069</v>
      </c>
      <c r="T500" s="6">
        <f t="shared" si="99"/>
        <v>0.49257771043875931</v>
      </c>
      <c r="V500" s="1">
        <f t="shared" si="105"/>
        <v>108193.88576519242</v>
      </c>
      <c r="W500" s="7">
        <f t="shared" si="106"/>
        <v>1.1138055363721582E-2</v>
      </c>
      <c r="X500" s="7">
        <f t="shared" si="107"/>
        <v>9.5657430011672987E-3</v>
      </c>
      <c r="Y500">
        <f>LN(B500/B499)</f>
        <v>2.1663263694397739E-2</v>
      </c>
      <c r="Z500">
        <f>LN(C500/C499)</f>
        <v>4.1026255553617202E-4</v>
      </c>
    </row>
    <row r="501" spans="1:26" x14ac:dyDescent="0.3">
      <c r="A501" s="9">
        <v>40912</v>
      </c>
      <c r="B501" s="1">
        <v>20350.52</v>
      </c>
      <c r="C501" s="1">
        <v>27.41394</v>
      </c>
      <c r="D501" s="6">
        <f t="shared" si="109"/>
        <v>1.2575670505625691E-3</v>
      </c>
      <c r="E501" s="5">
        <f t="shared" si="108"/>
        <v>4.0981348195123779E-4</v>
      </c>
      <c r="G501" s="25" t="str">
        <f>IF(VLOOKUP(A501,Aux!B:C,2,FALSE)=0,"",VLOOKUP(A501,Aux!B:C,2,FALSE))</f>
        <v/>
      </c>
      <c r="H501" s="25" t="str">
        <f t="shared" si="97"/>
        <v/>
      </c>
      <c r="L501" s="13">
        <f t="shared" si="100"/>
        <v>108106.67766906961</v>
      </c>
      <c r="M501" s="14">
        <f t="shared" si="101"/>
        <v>68.926871148741085</v>
      </c>
      <c r="N501" s="14">
        <f t="shared" si="102"/>
        <v>21.80463752927627</v>
      </c>
      <c r="O501" s="1">
        <f t="shared" si="103"/>
        <v>2.6966694502635975</v>
      </c>
      <c r="P501" s="1">
        <f t="shared" si="104"/>
        <v>1941.6418102648238</v>
      </c>
      <c r="S501" s="6">
        <f t="shared" si="98"/>
        <v>0.50763400341438536</v>
      </c>
      <c r="T501" s="6">
        <f t="shared" si="99"/>
        <v>0.49236599658561458</v>
      </c>
      <c r="V501" s="1">
        <f t="shared" si="105"/>
        <v>108277.97657682873</v>
      </c>
      <c r="W501" s="7">
        <f t="shared" si="106"/>
        <v>8.39629950818381E-4</v>
      </c>
      <c r="X501" s="7">
        <f t="shared" si="107"/>
        <v>7.7692144333538389E-4</v>
      </c>
      <c r="Y501">
        <f>LN(B501/B500)</f>
        <v>1.2567769754315045E-3</v>
      </c>
      <c r="Z501">
        <f>LN(C501/C500)</f>
        <v>4.097295313415213E-4</v>
      </c>
    </row>
    <row r="502" spans="1:26" x14ac:dyDescent="0.3">
      <c r="A502" s="11">
        <v>40913</v>
      </c>
      <c r="B502" s="12">
        <v>20128.43</v>
      </c>
      <c r="C502" s="12">
        <v>27.425180000000001</v>
      </c>
      <c r="D502" s="16">
        <f t="shared" si="109"/>
        <v>-1.0913234649532311E-2</v>
      </c>
      <c r="E502" s="15">
        <f t="shared" si="108"/>
        <v>4.1001038157961744E-4</v>
      </c>
      <c r="G502" s="25" t="str">
        <f>IF(VLOOKUP(A502,Aux!B:C,2,FALSE)=0,"",VLOOKUP(A502,Aux!B:C,2,FALSE))</f>
        <v/>
      </c>
      <c r="H502" s="25" t="str">
        <f t="shared" si="97"/>
        <v/>
      </c>
      <c r="L502" s="13">
        <f t="shared" si="100"/>
        <v>107529.59840480794</v>
      </c>
      <c r="M502" s="14">
        <f t="shared" si="101"/>
        <v>-598.90331820904271</v>
      </c>
      <c r="N502" s="14">
        <f t="shared" si="102"/>
        <v>21.824053947378182</v>
      </c>
      <c r="O502" s="1">
        <f t="shared" si="103"/>
        <v>2.6966694502635975</v>
      </c>
      <c r="P502" s="1">
        <f t="shared" si="104"/>
        <v>1941.6418102648238</v>
      </c>
      <c r="S502" s="6">
        <f t="shared" si="98"/>
        <v>0.50478866347502616</v>
      </c>
      <c r="T502" s="6">
        <f t="shared" si="99"/>
        <v>0.4952113365249739</v>
      </c>
      <c r="V502" s="1">
        <f t="shared" si="105"/>
        <v>107790.75254694631</v>
      </c>
      <c r="W502" s="7">
        <f t="shared" si="106"/>
        <v>-5.3523521406774778E-3</v>
      </c>
      <c r="X502" s="7">
        <f t="shared" si="107"/>
        <v>-4.5099062476319143E-3</v>
      </c>
      <c r="Y502">
        <f>LN(B502/B501)</f>
        <v>-1.0973220822810693E-2</v>
      </c>
      <c r="Z502">
        <f>LN(C502/C501)</f>
        <v>4.0992635029146496E-4</v>
      </c>
    </row>
    <row r="503" spans="1:26" x14ac:dyDescent="0.3">
      <c r="A503" s="9">
        <v>40914</v>
      </c>
      <c r="B503" s="1">
        <v>20127.439999999999</v>
      </c>
      <c r="C503" s="1">
        <v>27.436389999999999</v>
      </c>
      <c r="D503" s="6">
        <f t="shared" si="109"/>
        <v>-4.9184163891657917E-5</v>
      </c>
      <c r="E503" s="5">
        <f t="shared" si="108"/>
        <v>4.0874845671012849E-4</v>
      </c>
      <c r="G503" s="25" t="str">
        <f>IF(VLOOKUP(A503,Aux!B:C,2,FALSE)=0,"",VLOOKUP(A503,Aux!B:C,2,FALSE))</f>
        <v/>
      </c>
      <c r="H503" s="25" t="str">
        <f t="shared" si="97"/>
        <v/>
      </c>
      <c r="L503" s="13">
        <f t="shared" si="100"/>
        <v>107548.69450674523</v>
      </c>
      <c r="M503" s="14">
        <f t="shared" si="101"/>
        <v>-2.6697027557652779</v>
      </c>
      <c r="N503" s="14">
        <f t="shared" si="102"/>
        <v>21.765804693065544</v>
      </c>
      <c r="O503" s="1">
        <f t="shared" si="103"/>
        <v>2.6966694502635975</v>
      </c>
      <c r="P503" s="1">
        <f t="shared" si="104"/>
        <v>1941.6418102648238</v>
      </c>
      <c r="S503" s="6">
        <f t="shared" si="98"/>
        <v>0.50467421114636957</v>
      </c>
      <c r="T503" s="6">
        <f t="shared" si="99"/>
        <v>0.4953257888536306</v>
      </c>
      <c r="V503" s="1">
        <f t="shared" si="105"/>
        <v>107813.54683720943</v>
      </c>
      <c r="W503" s="7">
        <f t="shared" si="106"/>
        <v>1.7757349408866054E-4</v>
      </c>
      <c r="X503" s="7">
        <f t="shared" si="107"/>
        <v>2.1144560116068798E-4</v>
      </c>
      <c r="Y503">
        <f>LN(B503/B502)</f>
        <v>-4.9185373472308415E-5</v>
      </c>
      <c r="Z503">
        <f>LN(C503/C502)</f>
        <v>4.0866494181664457E-4</v>
      </c>
    </row>
    <row r="504" spans="1:26" x14ac:dyDescent="0.3">
      <c r="A504" s="11">
        <v>40917</v>
      </c>
      <c r="B504" s="12">
        <v>20244.62</v>
      </c>
      <c r="C504" s="12">
        <v>27.447620000000001</v>
      </c>
      <c r="D504" s="16">
        <f t="shared" si="109"/>
        <v>5.821902835134507E-3</v>
      </c>
      <c r="E504" s="15">
        <f t="shared" si="108"/>
        <v>4.0931040854874645E-4</v>
      </c>
      <c r="G504" s="25" t="str">
        <f>IF(VLOOKUP(A504,Aux!B:C,2,FALSE)=0,"",VLOOKUP(A504,Aux!B:C,2,FALSE))</f>
        <v/>
      </c>
      <c r="H504" s="25" t="str">
        <f t="shared" si="97"/>
        <v/>
      </c>
      <c r="L504" s="13">
        <f t="shared" si="100"/>
        <v>107886.4948704564</v>
      </c>
      <c r="M504" s="14">
        <f t="shared" si="101"/>
        <v>315.99572618188915</v>
      </c>
      <c r="N504" s="14">
        <f t="shared" si="102"/>
        <v>21.80463752927627</v>
      </c>
      <c r="O504" s="1">
        <f t="shared" si="103"/>
        <v>2.6966694502635975</v>
      </c>
      <c r="P504" s="1">
        <f t="shared" si="104"/>
        <v>1941.6418102648238</v>
      </c>
      <c r="S504" s="6">
        <f t="shared" si="98"/>
        <v>0.50602300456370808</v>
      </c>
      <c r="T504" s="6">
        <f t="shared" si="99"/>
        <v>0.49397699543629203</v>
      </c>
      <c r="V504" s="1">
        <f t="shared" si="105"/>
        <v>108109.00819373049</v>
      </c>
      <c r="W504" s="7">
        <f t="shared" si="106"/>
        <v>3.1359838801281949E-3</v>
      </c>
      <c r="X504" s="7">
        <f t="shared" si="107"/>
        <v>2.7367362422055092E-3</v>
      </c>
      <c r="Y504">
        <f>LN(B504/B503)</f>
        <v>5.8050210498753569E-3</v>
      </c>
      <c r="Z504">
        <f>LN(C504/C503)</f>
        <v>4.092266638943998E-4</v>
      </c>
    </row>
    <row r="505" spans="1:26" x14ac:dyDescent="0.3">
      <c r="A505" s="9">
        <v>40918</v>
      </c>
      <c r="B505" s="1">
        <v>20372.919999999998</v>
      </c>
      <c r="C505" s="1">
        <v>27.45881</v>
      </c>
      <c r="D505" s="6">
        <f t="shared" si="109"/>
        <v>6.3374862062117732E-3</v>
      </c>
      <c r="E505" s="5">
        <f t="shared" si="108"/>
        <v>4.0768562082971194E-4</v>
      </c>
      <c r="G505" s="25" t="str">
        <f>IF(VLOOKUP(A505,Aux!B:C,2,FALSE)=0,"",VLOOKUP(A505,Aux!B:C,2,FALSE))</f>
        <v/>
      </c>
      <c r="H505" s="25" t="str">
        <f t="shared" si="97"/>
        <v/>
      </c>
      <c r="L505" s="13">
        <f t="shared" si="100"/>
        <v>108254.20453278208</v>
      </c>
      <c r="M505" s="14">
        <f t="shared" si="101"/>
        <v>345.98269046881762</v>
      </c>
      <c r="N505" s="14">
        <f t="shared" si="102"/>
        <v>21.726971856861717</v>
      </c>
      <c r="O505" s="1">
        <f t="shared" si="103"/>
        <v>2.6966694502635975</v>
      </c>
      <c r="P505" s="1">
        <f t="shared" si="104"/>
        <v>1941.6418102648238</v>
      </c>
      <c r="S505" s="6">
        <f t="shared" si="98"/>
        <v>0.50750020485372771</v>
      </c>
      <c r="T505" s="6">
        <f t="shared" si="99"/>
        <v>0.49249979514627235</v>
      </c>
      <c r="V505" s="1">
        <f t="shared" si="105"/>
        <v>108430.03429393278</v>
      </c>
      <c r="W505" s="7">
        <f t="shared" si="106"/>
        <v>3.4025060350985443E-3</v>
      </c>
      <c r="X505" s="7">
        <f t="shared" si="107"/>
        <v>2.965066546052446E-3</v>
      </c>
      <c r="Y505">
        <f>LN(B505/B504)</f>
        <v>6.3174887849553147E-3</v>
      </c>
      <c r="Z505">
        <f>LN(C505/C504)</f>
        <v>4.0760253962690378E-4</v>
      </c>
    </row>
    <row r="506" spans="1:26" x14ac:dyDescent="0.3">
      <c r="A506" s="11">
        <v>40919</v>
      </c>
      <c r="B506" s="12">
        <v>20405.22</v>
      </c>
      <c r="C506" s="12">
        <v>27.470009999999998</v>
      </c>
      <c r="D506" s="16">
        <f t="shared" si="109"/>
        <v>1.585437924460642E-3</v>
      </c>
      <c r="E506" s="15">
        <f t="shared" si="108"/>
        <v>4.0788366283894817E-4</v>
      </c>
      <c r="G506" s="25" t="str">
        <f>IF(VLOOKUP(A506,Aux!B:C,2,FALSE)=0,"",VLOOKUP(A506,Aux!B:C,2,FALSE))</f>
        <v/>
      </c>
      <c r="H506" s="25" t="str">
        <f t="shared" si="97"/>
        <v/>
      </c>
      <c r="L506" s="13">
        <f t="shared" si="100"/>
        <v>108363.05334430056</v>
      </c>
      <c r="M506" s="14">
        <f t="shared" si="101"/>
        <v>87.102423243522054</v>
      </c>
      <c r="N506" s="14">
        <f t="shared" si="102"/>
        <v>21.746388274963632</v>
      </c>
      <c r="O506" s="1">
        <f t="shared" si="103"/>
        <v>2.6966694502635975</v>
      </c>
      <c r="P506" s="1">
        <f t="shared" si="104"/>
        <v>1941.6418102648238</v>
      </c>
      <c r="S506" s="6">
        <f t="shared" si="98"/>
        <v>0.5077942315364069</v>
      </c>
      <c r="T506" s="6">
        <f t="shared" si="99"/>
        <v>0.49220576846359332</v>
      </c>
      <c r="V506" s="1">
        <f t="shared" si="105"/>
        <v>108529.60740736172</v>
      </c>
      <c r="W506" s="7">
        <f t="shared" si="106"/>
        <v>1.0049875226623864E-3</v>
      </c>
      <c r="X506" s="7">
        <f t="shared" si="107"/>
        <v>9.1789532504062425E-4</v>
      </c>
      <c r="Y506">
        <f>LN(B506/B505)</f>
        <v>1.5841824445695979E-3</v>
      </c>
      <c r="Z506">
        <f>LN(C506/C505)</f>
        <v>4.0780050091056887E-4</v>
      </c>
    </row>
    <row r="507" spans="1:26" x14ac:dyDescent="0.3">
      <c r="A507" s="9">
        <v>40920</v>
      </c>
      <c r="B507" s="1">
        <v>20407.98</v>
      </c>
      <c r="C507" s="1">
        <v>27.48122</v>
      </c>
      <c r="D507" s="6">
        <f t="shared" si="109"/>
        <v>1.3525950712600654E-4</v>
      </c>
      <c r="E507" s="5">
        <f t="shared" si="108"/>
        <v>4.0808139494674656E-4</v>
      </c>
      <c r="G507" s="25" t="str">
        <f>IF(VLOOKUP(A507,Aux!B:C,2,FALSE)=0,"",VLOOKUP(A507,Aux!B:C,2,FALSE))</f>
        <v/>
      </c>
      <c r="H507" s="25" t="str">
        <f t="shared" si="97"/>
        <v/>
      </c>
      <c r="L507" s="13">
        <f t="shared" si="100"/>
        <v>108392.26195667635</v>
      </c>
      <c r="M507" s="14">
        <f t="shared" si="101"/>
        <v>7.4428076827232124</v>
      </c>
      <c r="N507" s="14">
        <f t="shared" si="102"/>
        <v>21.765804693072443</v>
      </c>
      <c r="O507" s="1">
        <f t="shared" si="103"/>
        <v>2.6966694502635975</v>
      </c>
      <c r="P507" s="1">
        <f t="shared" si="104"/>
        <v>1941.6418102648238</v>
      </c>
      <c r="S507" s="6">
        <f t="shared" si="98"/>
        <v>0.50772606101335016</v>
      </c>
      <c r="T507" s="6">
        <f t="shared" si="99"/>
        <v>0.49227393898665006</v>
      </c>
      <c r="V507" s="1">
        <f t="shared" si="105"/>
        <v>108561.05307880053</v>
      </c>
      <c r="W507" s="7">
        <f t="shared" si="106"/>
        <v>2.6950769361326344E-4</v>
      </c>
      <c r="X507" s="7">
        <f t="shared" si="107"/>
        <v>2.8970082442346634E-4</v>
      </c>
      <c r="Y507">
        <f>LN(B507/B506)</f>
        <v>1.3525036038365251E-4</v>
      </c>
      <c r="Z507">
        <f>LN(C507/C506)</f>
        <v>4.0799815238002089E-4</v>
      </c>
    </row>
    <row r="508" spans="1:26" x14ac:dyDescent="0.3">
      <c r="A508" s="11">
        <v>40921</v>
      </c>
      <c r="B508" s="12">
        <v>20274.41</v>
      </c>
      <c r="C508" s="12">
        <v>27.49241</v>
      </c>
      <c r="D508" s="16">
        <f t="shared" si="109"/>
        <v>-6.5449887739992274E-3</v>
      </c>
      <c r="E508" s="15">
        <f t="shared" si="108"/>
        <v>4.0718716272425404E-4</v>
      </c>
      <c r="G508" s="25" t="str">
        <f>IF(VLOOKUP(A508,Aux!B:C,2,FALSE)=0,"",VLOOKUP(A508,Aux!B:C,2,FALSE))</f>
        <v/>
      </c>
      <c r="H508" s="25" t="str">
        <f t="shared" si="97"/>
        <v/>
      </c>
      <c r="L508" s="13">
        <f t="shared" si="100"/>
        <v>108053.7947900615</v>
      </c>
      <c r="M508" s="14">
        <f t="shared" si="101"/>
        <v>-360.19413847170796</v>
      </c>
      <c r="N508" s="14">
        <f t="shared" si="102"/>
        <v>21.726971856861717</v>
      </c>
      <c r="O508" s="1">
        <f t="shared" si="103"/>
        <v>2.6966694502635975</v>
      </c>
      <c r="P508" s="1">
        <f t="shared" si="104"/>
        <v>1941.6418102648238</v>
      </c>
      <c r="S508" s="6">
        <f t="shared" si="98"/>
        <v>0.5059829890782096</v>
      </c>
      <c r="T508" s="6">
        <f t="shared" si="99"/>
        <v>0.49401701092179073</v>
      </c>
      <c r="V508" s="1">
        <f t="shared" si="105"/>
        <v>108277.93592874121</v>
      </c>
      <c r="W508" s="7">
        <f t="shared" si="106"/>
        <v>-3.12749927245746E-3</v>
      </c>
      <c r="X508" s="7">
        <f t="shared" si="107"/>
        <v>-2.6113136962634736E-3</v>
      </c>
      <c r="Y508">
        <f>LN(B508/B507)</f>
        <v>-6.566501129818483E-3</v>
      </c>
      <c r="Z508">
        <f>LN(C508/C507)</f>
        <v>4.0710428452870527E-4</v>
      </c>
    </row>
    <row r="509" spans="1:26" x14ac:dyDescent="0.3">
      <c r="A509" s="9">
        <v>40924</v>
      </c>
      <c r="B509" s="1">
        <v>20520.64</v>
      </c>
      <c r="C509" s="1">
        <v>27.503620000000002</v>
      </c>
      <c r="D509" s="6">
        <f t="shared" si="109"/>
        <v>1.2144866361092577E-2</v>
      </c>
      <c r="E509" s="5">
        <f t="shared" si="108"/>
        <v>4.0774890233352679E-4</v>
      </c>
      <c r="G509" s="25" t="str">
        <f>IF(VLOOKUP(A509,Aux!B:C,2,FALSE)=0,"",VLOOKUP(A509,Aux!B:C,2,FALSE))</f>
        <v/>
      </c>
      <c r="H509" s="25" t="str">
        <f t="shared" si="97"/>
        <v/>
      </c>
      <c r="L509" s="13">
        <f t="shared" si="100"/>
        <v>108739.56151349297</v>
      </c>
      <c r="M509" s="14">
        <f t="shared" si="101"/>
        <v>664.00091873840438</v>
      </c>
      <c r="N509" s="14">
        <f t="shared" si="102"/>
        <v>21.765804693072443</v>
      </c>
      <c r="O509" s="1">
        <f t="shared" si="103"/>
        <v>2.6966694502635975</v>
      </c>
      <c r="P509" s="1">
        <f t="shared" si="104"/>
        <v>1941.6418102648238</v>
      </c>
      <c r="S509" s="6">
        <f t="shared" si="98"/>
        <v>0.50889834589769456</v>
      </c>
      <c r="T509" s="6">
        <f t="shared" si="99"/>
        <v>0.49110165410230566</v>
      </c>
      <c r="V509" s="1">
        <f t="shared" si="105"/>
        <v>108871.07540680619</v>
      </c>
      <c r="W509" s="7">
        <f t="shared" si="106"/>
        <v>6.3264762573960413E-3</v>
      </c>
      <c r="X509" s="7">
        <f t="shared" si="107"/>
        <v>5.4629855283661903E-3</v>
      </c>
      <c r="Y509">
        <f>LN(B509/B508)</f>
        <v>1.207170919864848E-2</v>
      </c>
      <c r="Z509">
        <f>LN(C509/C508)</f>
        <v>4.0766579534027241E-4</v>
      </c>
    </row>
    <row r="510" spans="1:26" x14ac:dyDescent="0.3">
      <c r="A510" s="11">
        <v>40925</v>
      </c>
      <c r="B510" s="12">
        <v>20717.46</v>
      </c>
      <c r="C510" s="12">
        <v>27.51484</v>
      </c>
      <c r="D510" s="16">
        <f t="shared" si="109"/>
        <v>9.5913187892775476E-3</v>
      </c>
      <c r="E510" s="15">
        <f t="shared" si="108"/>
        <v>4.0794629943241567E-4</v>
      </c>
      <c r="G510" s="25" t="str">
        <f>IF(VLOOKUP(A510,Aux!B:C,2,FALSE)=0,"",VLOOKUP(A510,Aux!B:C,2,FALSE))</f>
        <v/>
      </c>
      <c r="H510" s="25" t="str">
        <f t="shared" si="97"/>
        <v/>
      </c>
      <c r="L510" s="13">
        <f t="shared" si="100"/>
        <v>109292.10521580502</v>
      </c>
      <c r="M510" s="14">
        <f t="shared" si="101"/>
        <v>530.75848120088051</v>
      </c>
      <c r="N510" s="14">
        <f t="shared" si="102"/>
        <v>21.785221111167459</v>
      </c>
      <c r="O510" s="1">
        <f t="shared" si="103"/>
        <v>2.6966694502635975</v>
      </c>
      <c r="P510" s="1">
        <f t="shared" si="104"/>
        <v>1941.6418102648238</v>
      </c>
      <c r="S510" s="6">
        <f t="shared" si="98"/>
        <v>0.51118185855000653</v>
      </c>
      <c r="T510" s="6">
        <f t="shared" si="99"/>
        <v>0.4888181414499938</v>
      </c>
      <c r="V510" s="1">
        <f t="shared" si="105"/>
        <v>109350.24665782475</v>
      </c>
      <c r="W510" s="7">
        <f t="shared" si="106"/>
        <v>5.0684828812447066E-3</v>
      </c>
      <c r="X510" s="7">
        <f t="shared" si="107"/>
        <v>4.3916150502996947E-3</v>
      </c>
      <c r="Y510">
        <f>LN(B510/B509)</f>
        <v>9.5456141042905892E-3</v>
      </c>
      <c r="Z510">
        <f>LN(C510/C509)</f>
        <v>4.0786311196404969E-4</v>
      </c>
    </row>
    <row r="511" spans="1:26" x14ac:dyDescent="0.3">
      <c r="A511" s="9">
        <v>40926</v>
      </c>
      <c r="B511" s="1">
        <v>21059.7</v>
      </c>
      <c r="C511" s="1">
        <v>27.526050000000001</v>
      </c>
      <c r="D511" s="6">
        <f t="shared" si="109"/>
        <v>1.6519399578905913E-2</v>
      </c>
      <c r="E511" s="5">
        <f t="shared" si="108"/>
        <v>4.0741650687414754E-4</v>
      </c>
      <c r="G511" s="25" t="str">
        <f>IF(VLOOKUP(A511,Aux!B:C,2,FALSE)=0,"",VLOOKUP(A511,Aux!B:C,2,FALSE))</f>
        <v/>
      </c>
      <c r="H511" s="25" t="str">
        <f t="shared" si="97"/>
        <v/>
      </c>
      <c r="L511" s="13">
        <f t="shared" si="100"/>
        <v>110236.7791731563</v>
      </c>
      <c r="M511" s="14">
        <f t="shared" si="101"/>
        <v>922.90815265821789</v>
      </c>
      <c r="N511" s="14">
        <f t="shared" si="102"/>
        <v>21.765804693072443</v>
      </c>
      <c r="O511" s="1">
        <f t="shared" si="103"/>
        <v>2.6966694502635975</v>
      </c>
      <c r="P511" s="1">
        <f t="shared" si="104"/>
        <v>1941.6418102648238</v>
      </c>
      <c r="S511" s="6">
        <f t="shared" si="98"/>
        <v>0.51517333913131458</v>
      </c>
      <c r="T511" s="6">
        <f t="shared" si="99"/>
        <v>0.48482666086868575</v>
      </c>
      <c r="V511" s="1">
        <f t="shared" si="105"/>
        <v>110164.88456433754</v>
      </c>
      <c r="W511" s="7">
        <f t="shared" si="106"/>
        <v>8.6064281793371278E-3</v>
      </c>
      <c r="X511" s="7">
        <f t="shared" si="107"/>
        <v>7.4221912791848426E-3</v>
      </c>
      <c r="Y511">
        <f>LN(B511/B510)</f>
        <v>1.6384438585812598E-2</v>
      </c>
      <c r="Z511">
        <f>LN(C511/C510)</f>
        <v>4.0733353530433722E-4</v>
      </c>
    </row>
    <row r="512" spans="1:26" x14ac:dyDescent="0.3">
      <c r="A512" s="11">
        <v>40927</v>
      </c>
      <c r="B512" s="12">
        <v>21083.98</v>
      </c>
      <c r="C512" s="12">
        <v>27.53725</v>
      </c>
      <c r="D512" s="16">
        <f t="shared" si="109"/>
        <v>1.1529129094904889E-3</v>
      </c>
      <c r="E512" s="15">
        <f t="shared" si="108"/>
        <v>4.0688729403592916E-4</v>
      </c>
      <c r="G512" s="25" t="str">
        <f>IF(VLOOKUP(A512,Aux!B:C,2,FALSE)=0,"",VLOOKUP(A512,Aux!B:C,2,FALSE))</f>
        <v/>
      </c>
      <c r="H512" s="25" t="str">
        <f t="shared" si="97"/>
        <v/>
      </c>
      <c r="L512" s="13">
        <f t="shared" si="100"/>
        <v>110324.00069568366</v>
      </c>
      <c r="M512" s="14">
        <f t="shared" si="101"/>
        <v>65.475134252397012</v>
      </c>
      <c r="N512" s="14">
        <f t="shared" si="102"/>
        <v>21.746388274963632</v>
      </c>
      <c r="O512" s="1">
        <f t="shared" si="103"/>
        <v>2.6966694502635975</v>
      </c>
      <c r="P512" s="1">
        <f t="shared" si="104"/>
        <v>1941.6418102648238</v>
      </c>
      <c r="S512" s="6">
        <f t="shared" si="98"/>
        <v>0.51535952646243322</v>
      </c>
      <c r="T512" s="6">
        <f t="shared" si="99"/>
        <v>0.48464047353756717</v>
      </c>
      <c r="V512" s="1">
        <f t="shared" si="105"/>
        <v>110245.95525722537</v>
      </c>
      <c r="W512" s="7">
        <f t="shared" si="106"/>
        <v>7.909069520508318E-4</v>
      </c>
      <c r="X512" s="7">
        <f t="shared" si="107"/>
        <v>7.3563257242200016E-4</v>
      </c>
      <c r="Y512">
        <f>LN(B512/B511)</f>
        <v>1.1522488157811846E-3</v>
      </c>
      <c r="Z512">
        <f>LN(C512/C511)</f>
        <v>4.0680453784843834E-4</v>
      </c>
    </row>
    <row r="513" spans="1:26" x14ac:dyDescent="0.3">
      <c r="A513" s="9">
        <v>40928</v>
      </c>
      <c r="B513" s="1">
        <v>21140.7</v>
      </c>
      <c r="C513" s="1">
        <v>27.547979999999999</v>
      </c>
      <c r="D513" s="6">
        <f t="shared" si="109"/>
        <v>2.6901941663766138E-3</v>
      </c>
      <c r="E513" s="5">
        <f t="shared" si="108"/>
        <v>3.8965401410817613E-4</v>
      </c>
      <c r="G513" s="25" t="str">
        <f>IF(VLOOKUP(A513,Aux!B:C,2,FALSE)=0,"",VLOOKUP(A513,Aux!B:C,2,FALSE))</f>
        <v/>
      </c>
      <c r="H513" s="25" t="str">
        <f t="shared" si="97"/>
        <v/>
      </c>
      <c r="L513" s="13">
        <f t="shared" si="100"/>
        <v>110497.78960352676</v>
      </c>
      <c r="M513" s="14">
        <f t="shared" si="101"/>
        <v>152.95509121895438</v>
      </c>
      <c r="N513" s="14">
        <f t="shared" si="102"/>
        <v>20.833816624139221</v>
      </c>
      <c r="O513" s="1">
        <f t="shared" si="103"/>
        <v>2.6966694502635975</v>
      </c>
      <c r="P513" s="1">
        <f t="shared" si="104"/>
        <v>1941.6418102648238</v>
      </c>
      <c r="S513" s="6">
        <f t="shared" si="98"/>
        <v>0.51593321506015055</v>
      </c>
      <c r="T513" s="6">
        <f t="shared" si="99"/>
        <v>0.48406678493984978</v>
      </c>
      <c r="V513" s="1">
        <f t="shared" si="105"/>
        <v>110400.81471261356</v>
      </c>
      <c r="W513" s="7">
        <f t="shared" si="106"/>
        <v>1.5740198780957396E-3</v>
      </c>
      <c r="X513" s="7">
        <f t="shared" si="107"/>
        <v>1.4036868143274094E-3</v>
      </c>
      <c r="Y513">
        <f>LN(B513/B512)</f>
        <v>2.6865820707590374E-3</v>
      </c>
      <c r="Z513">
        <f>LN(C513/C512)</f>
        <v>3.8957811869748171E-4</v>
      </c>
    </row>
    <row r="514" spans="1:26" x14ac:dyDescent="0.3">
      <c r="A514" s="11">
        <v>40931</v>
      </c>
      <c r="B514" s="12">
        <v>21178.49</v>
      </c>
      <c r="C514" s="12">
        <v>27.558720000000001</v>
      </c>
      <c r="D514" s="16">
        <f t="shared" si="109"/>
        <v>1.7875472429957906E-3</v>
      </c>
      <c r="E514" s="15">
        <f t="shared" si="108"/>
        <v>3.8986524601813954E-4</v>
      </c>
      <c r="G514" s="25" t="str">
        <f>IF(VLOOKUP(A514,Aux!B:C,2,FALSE)=0,"",VLOOKUP(A514,Aux!B:C,2,FALSE))</f>
        <v/>
      </c>
      <c r="H514" s="25" t="str">
        <f t="shared" si="97"/>
        <v/>
      </c>
      <c r="L514" s="13">
        <f t="shared" si="100"/>
        <v>110620.54997509447</v>
      </c>
      <c r="M514" s="14">
        <f t="shared" si="101"/>
        <v>101.90713852546371</v>
      </c>
      <c r="N514" s="14">
        <f t="shared" si="102"/>
        <v>20.853233042248032</v>
      </c>
      <c r="O514" s="1">
        <f t="shared" si="103"/>
        <v>2.6966694502635975</v>
      </c>
      <c r="P514" s="1">
        <f t="shared" si="104"/>
        <v>1941.6418102648238</v>
      </c>
      <c r="S514" s="6">
        <f t="shared" si="98"/>
        <v>0.51628189336042329</v>
      </c>
      <c r="T514" s="6">
        <f t="shared" si="99"/>
        <v>0.48371810663957704</v>
      </c>
      <c r="V514" s="1">
        <f t="shared" si="105"/>
        <v>110512.02436715143</v>
      </c>
      <c r="W514" s="7">
        <f t="shared" si="106"/>
        <v>1.1103591354224493E-3</v>
      </c>
      <c r="X514" s="7">
        <f t="shared" si="107"/>
        <v>1.0068193808510147E-3</v>
      </c>
      <c r="Y514">
        <f>LN(B514/B513)</f>
        <v>1.7859514818054905E-3</v>
      </c>
      <c r="Z514">
        <f>LN(C514/C513)</f>
        <v>3.8978926830985034E-4</v>
      </c>
    </row>
    <row r="515" spans="1:26" x14ac:dyDescent="0.3">
      <c r="A515" s="9">
        <v>40932</v>
      </c>
      <c r="B515" s="1">
        <v>21236.799999999999</v>
      </c>
      <c r="C515" s="1">
        <v>27.569459999999999</v>
      </c>
      <c r="D515" s="6">
        <f t="shared" si="109"/>
        <v>2.7532652233468458E-3</v>
      </c>
      <c r="E515" s="5">
        <f t="shared" si="108"/>
        <v>3.8971331034232115E-4</v>
      </c>
      <c r="G515" s="25" t="str">
        <f>IF(VLOOKUP(A515,Aux!B:C,2,FALSE)=0,"",VLOOKUP(A515,Aux!B:C,2,FALSE))</f>
        <v/>
      </c>
      <c r="H515" s="25" t="str">
        <f t="shared" ref="H515:H578" si="110">IF(ISNUMBER(G515),1-G515,"")</f>
        <v/>
      </c>
      <c r="L515" s="13">
        <f t="shared" si="100"/>
        <v>110798.64600378159</v>
      </c>
      <c r="M515" s="14">
        <f t="shared" si="101"/>
        <v>157.24279564486409</v>
      </c>
      <c r="N515" s="14">
        <f t="shared" si="102"/>
        <v>20.853233042241136</v>
      </c>
      <c r="O515" s="1">
        <f t="shared" si="103"/>
        <v>2.6966694502635975</v>
      </c>
      <c r="P515" s="1">
        <f t="shared" si="104"/>
        <v>1941.6418102648238</v>
      </c>
      <c r="S515" s="6">
        <f t="shared" ref="S515:S578" si="111">O515*B515/L515</f>
        <v>0.51687120598390135</v>
      </c>
      <c r="T515" s="6">
        <f t="shared" ref="T515:T578" si="112">P515*C515/L515</f>
        <v>0.48312879401609887</v>
      </c>
      <c r="V515" s="1">
        <f t="shared" si="105"/>
        <v>110670.57437948274</v>
      </c>
      <c r="W515" s="7">
        <f t="shared" si="106"/>
        <v>1.6086777508772139E-3</v>
      </c>
      <c r="X515" s="7">
        <f t="shared" si="107"/>
        <v>1.433657443093522E-3</v>
      </c>
      <c r="Y515">
        <f>LN(B515/B514)</f>
        <v>2.7494819313317407E-3</v>
      </c>
      <c r="Z515">
        <f>LN(C515/C514)</f>
        <v>3.8963739183385391E-4</v>
      </c>
    </row>
    <row r="516" spans="1:26" x14ac:dyDescent="0.3">
      <c r="A516" s="11">
        <v>40934</v>
      </c>
      <c r="B516" s="12">
        <v>21287.13</v>
      </c>
      <c r="C516" s="12">
        <v>27.590979999999998</v>
      </c>
      <c r="D516" s="16">
        <f t="shared" si="109"/>
        <v>2.3699427409027418E-3</v>
      </c>
      <c r="E516" s="15">
        <f t="shared" si="108"/>
        <v>7.8057386688024089E-4</v>
      </c>
      <c r="G516" s="25" t="str">
        <f>IF(VLOOKUP(A516,Aux!B:C,2,FALSE)=0,"",VLOOKUP(A516,Aux!B:C,2,FALSE))</f>
        <v/>
      </c>
      <c r="H516" s="25" t="str">
        <f t="shared" si="110"/>
        <v/>
      </c>
      <c r="L516" s="13">
        <f t="shared" ref="L516:L579" si="113">L515+M516+N516</f>
        <v>110976.15350897025</v>
      </c>
      <c r="M516" s="14">
        <f t="shared" ref="M516:M579" si="114">O515*(B516-B515)</f>
        <v>135.72337343177156</v>
      </c>
      <c r="N516" s="14">
        <f t="shared" ref="N516:N579" si="115">P515*(C516-C515)</f>
        <v>41.784131756896819</v>
      </c>
      <c r="O516" s="1">
        <f t="shared" ref="O516:O579" si="116">IF(ISNUMBER(G516),L516*G516/B516,O515)</f>
        <v>2.6966694502635975</v>
      </c>
      <c r="P516" s="1">
        <f t="shared" ref="P516:P579" si="117">IF(ISNUMBER(H516),L516*H516/C516,P515)</f>
        <v>1941.6418102648238</v>
      </c>
      <c r="S516" s="6">
        <f t="shared" si="111"/>
        <v>0.51726746097890042</v>
      </c>
      <c r="T516" s="6">
        <f t="shared" si="112"/>
        <v>0.4827325390210998</v>
      </c>
      <c r="V516" s="1">
        <f t="shared" ref="V516:V579" si="118">$O$2*B516+$P$2*C516</f>
        <v>110834.83054060722</v>
      </c>
      <c r="W516" s="7">
        <f t="shared" ref="W516:W579" si="119">LN(L516/L515)</f>
        <v>1.6007909238054073E-3</v>
      </c>
      <c r="X516" s="7">
        <f t="shared" ref="X516:X579" si="120">LN(V516/V515)</f>
        <v>1.4830896906671803E-3</v>
      </c>
      <c r="Y516">
        <f>LN(B516/B515)</f>
        <v>2.3671388557628464E-3</v>
      </c>
      <c r="Z516">
        <f>LN(C516/C515)</f>
        <v>7.8026937754005791E-4</v>
      </c>
    </row>
    <row r="517" spans="1:26" x14ac:dyDescent="0.3">
      <c r="A517" s="9">
        <v>40935</v>
      </c>
      <c r="B517" s="1">
        <v>21232.95</v>
      </c>
      <c r="C517" s="1">
        <v>27.60172</v>
      </c>
      <c r="D517" s="6">
        <f t="shared" si="109"/>
        <v>-2.5451998461042402E-3</v>
      </c>
      <c r="E517" s="5">
        <f t="shared" ref="E517:E580" si="121">C517/C516-1</f>
        <v>3.8925764869546242E-4</v>
      </c>
      <c r="G517" s="25" t="str">
        <f>IF(VLOOKUP(A517,Aux!B:C,2,FALSE)=0,"",VLOOKUP(A517,Aux!B:C,2,FALSE))</f>
        <v/>
      </c>
      <c r="H517" s="25" t="str">
        <f t="shared" si="110"/>
        <v/>
      </c>
      <c r="L517" s="13">
        <f t="shared" si="113"/>
        <v>110850.90119119722</v>
      </c>
      <c r="M517" s="14">
        <f t="shared" si="114"/>
        <v>-146.1055508152825</v>
      </c>
      <c r="N517" s="14">
        <f t="shared" si="115"/>
        <v>20.853233042248032</v>
      </c>
      <c r="O517" s="1">
        <f t="shared" si="116"/>
        <v>2.6966694502635975</v>
      </c>
      <c r="P517" s="1">
        <f t="shared" si="117"/>
        <v>1941.6418102648238</v>
      </c>
      <c r="S517" s="6">
        <f t="shared" si="111"/>
        <v>0.51653389362360358</v>
      </c>
      <c r="T517" s="6">
        <f t="shared" si="112"/>
        <v>0.48346610637639664</v>
      </c>
      <c r="V517" s="1">
        <f t="shared" si="118"/>
        <v>110733.86218801726</v>
      </c>
      <c r="W517" s="7">
        <f t="shared" si="119"/>
        <v>-1.1292791247056882E-3</v>
      </c>
      <c r="X517" s="7">
        <f t="shared" si="120"/>
        <v>-9.1139554361739845E-4</v>
      </c>
      <c r="Y517">
        <f>LN(B517/B516)</f>
        <v>-2.548444373715928E-3</v>
      </c>
      <c r="Z517">
        <f>LN(C517/C516)</f>
        <v>3.8918190759149371E-4</v>
      </c>
    </row>
    <row r="518" spans="1:26" x14ac:dyDescent="0.3">
      <c r="A518" s="11">
        <v>40938</v>
      </c>
      <c r="B518" s="12">
        <v>21199.59</v>
      </c>
      <c r="C518" s="12">
        <v>27.612459999999999</v>
      </c>
      <c r="D518" s="16">
        <f t="shared" si="109"/>
        <v>-1.5711429641194208E-3</v>
      </c>
      <c r="E518" s="15">
        <f t="shared" si="121"/>
        <v>3.8910618613607895E-4</v>
      </c>
      <c r="G518" s="25" t="str">
        <f>IF(VLOOKUP(A518,Aux!B:C,2,FALSE)=0,"",VLOOKUP(A518,Aux!B:C,2,FALSE))</f>
        <v/>
      </c>
      <c r="H518" s="25" t="str">
        <f t="shared" si="110"/>
        <v/>
      </c>
      <c r="L518" s="13">
        <f t="shared" si="113"/>
        <v>110781.79353137867</v>
      </c>
      <c r="M518" s="14">
        <f t="shared" si="114"/>
        <v>-89.960892860795184</v>
      </c>
      <c r="N518" s="14">
        <f t="shared" si="115"/>
        <v>20.853233042241136</v>
      </c>
      <c r="O518" s="1">
        <f t="shared" si="116"/>
        <v>2.6966694502635975</v>
      </c>
      <c r="P518" s="1">
        <f t="shared" si="117"/>
        <v>1941.6418102648238</v>
      </c>
      <c r="S518" s="6">
        <f t="shared" si="111"/>
        <v>0.51604406183332718</v>
      </c>
      <c r="T518" s="6">
        <f t="shared" si="112"/>
        <v>0.48395593816667304</v>
      </c>
      <c r="V518" s="1">
        <f t="shared" si="118"/>
        <v>110680.9263037148</v>
      </c>
      <c r="W518" s="7">
        <f t="shared" si="119"/>
        <v>-6.2362335254502661E-4</v>
      </c>
      <c r="X518" s="7">
        <f t="shared" si="120"/>
        <v>-4.781603403425889E-4</v>
      </c>
      <c r="Y518">
        <f>LN(B518/B517)</f>
        <v>-1.5723785035352271E-3</v>
      </c>
      <c r="Z518">
        <f>LN(C518/C517)</f>
        <v>3.8903050395566751E-4</v>
      </c>
    </row>
    <row r="519" spans="1:26" x14ac:dyDescent="0.3">
      <c r="A519" s="9">
        <v>40939</v>
      </c>
      <c r="B519" s="1">
        <v>21267.93</v>
      </c>
      <c r="C519" s="1">
        <v>27.62321</v>
      </c>
      <c r="D519" s="6">
        <f t="shared" si="109"/>
        <v>3.223647249781747E-3</v>
      </c>
      <c r="E519" s="5">
        <f t="shared" si="121"/>
        <v>3.8931699674726872E-4</v>
      </c>
      <c r="G519" s="25" t="str">
        <f>IF(VLOOKUP(A519,Aux!B:C,2,FALSE)=0,"",VLOOKUP(A519,Aux!B:C,2,FALSE))</f>
        <v/>
      </c>
      <c r="H519" s="25" t="str">
        <f t="shared" si="110"/>
        <v/>
      </c>
      <c r="L519" s="13">
        <f t="shared" si="113"/>
        <v>110986.95657107004</v>
      </c>
      <c r="M519" s="14">
        <f t="shared" si="114"/>
        <v>184.29039023101464</v>
      </c>
      <c r="N519" s="14">
        <f t="shared" si="115"/>
        <v>20.872649460349948</v>
      </c>
      <c r="O519" s="1">
        <f t="shared" si="116"/>
        <v>2.6966694502635975</v>
      </c>
      <c r="P519" s="1">
        <f t="shared" si="117"/>
        <v>1941.6418102648238</v>
      </c>
      <c r="S519" s="6">
        <f t="shared" si="111"/>
        <v>0.51675060631669079</v>
      </c>
      <c r="T519" s="6">
        <f t="shared" si="112"/>
        <v>0.48324939368330933</v>
      </c>
      <c r="V519" s="1">
        <f t="shared" si="118"/>
        <v>110862.63824822201</v>
      </c>
      <c r="W519" s="7">
        <f t="shared" si="119"/>
        <v>1.8502435363522626E-3</v>
      </c>
      <c r="X519" s="7">
        <f t="shared" si="120"/>
        <v>1.6404176363520315E-3</v>
      </c>
      <c r="Y519">
        <f>LN(B519/B518)</f>
        <v>3.2184624386660966E-3</v>
      </c>
      <c r="Z519">
        <f>LN(C519/C518)</f>
        <v>3.892412325488462E-4</v>
      </c>
    </row>
    <row r="520" spans="1:26" x14ac:dyDescent="0.3">
      <c r="A520" s="11">
        <v>40940</v>
      </c>
      <c r="B520" s="12">
        <v>21630.16</v>
      </c>
      <c r="C520" s="12">
        <v>27.633959999999998</v>
      </c>
      <c r="D520" s="16">
        <f t="shared" si="109"/>
        <v>1.7031746860178609E-2</v>
      </c>
      <c r="E520" s="15">
        <f t="shared" si="121"/>
        <v>3.8916548800793649E-4</v>
      </c>
      <c r="G520" s="25" t="str">
        <f>IF(VLOOKUP(A520,Aux!B:C,2,FALSE)=0,"",VLOOKUP(A520,Aux!B:C,2,FALSE))</f>
        <v/>
      </c>
      <c r="H520" s="25" t="str">
        <f t="shared" si="110"/>
        <v/>
      </c>
      <c r="L520" s="13">
        <f t="shared" si="113"/>
        <v>111984.64379549937</v>
      </c>
      <c r="M520" s="14">
        <f t="shared" si="114"/>
        <v>976.81457496898179</v>
      </c>
      <c r="N520" s="14">
        <f t="shared" si="115"/>
        <v>20.872649460343048</v>
      </c>
      <c r="O520" s="1">
        <f t="shared" si="116"/>
        <v>2.6966694502635975</v>
      </c>
      <c r="P520" s="1">
        <f t="shared" si="117"/>
        <v>1941.6418102648238</v>
      </c>
      <c r="S520" s="6">
        <f t="shared" si="111"/>
        <v>0.5208695558547457</v>
      </c>
      <c r="T520" s="6">
        <f t="shared" si="112"/>
        <v>0.47913044414525441</v>
      </c>
      <c r="V520" s="1">
        <f t="shared" si="118"/>
        <v>111722.36470305643</v>
      </c>
      <c r="W520" s="7">
        <f t="shared" si="119"/>
        <v>8.949066887098461E-3</v>
      </c>
      <c r="X520" s="7">
        <f t="shared" si="120"/>
        <v>7.7249654629509461E-3</v>
      </c>
      <c r="Y520">
        <f>LN(B520/B519)</f>
        <v>1.6888332764240982E-2</v>
      </c>
      <c r="Z520">
        <f>LN(C520/C519)</f>
        <v>3.890897827600179E-4</v>
      </c>
    </row>
    <row r="521" spans="1:26" x14ac:dyDescent="0.3">
      <c r="A521" s="9">
        <v>40941</v>
      </c>
      <c r="B521" s="1">
        <v>21588.81</v>
      </c>
      <c r="C521" s="1">
        <v>27.64472</v>
      </c>
      <c r="D521" s="6">
        <f t="shared" si="109"/>
        <v>-1.9116825765504997E-3</v>
      </c>
      <c r="E521" s="5">
        <f t="shared" si="121"/>
        <v>3.8937597072585817E-4</v>
      </c>
      <c r="G521" s="25" t="str">
        <f>IF(VLOOKUP(A521,Aux!B:C,2,FALSE)=0,"",VLOOKUP(A521,Aux!B:C,2,FALSE))</f>
        <v/>
      </c>
      <c r="H521" s="25" t="str">
        <f t="shared" si="110"/>
        <v/>
      </c>
      <c r="L521" s="13">
        <f t="shared" si="113"/>
        <v>111894.02857960942</v>
      </c>
      <c r="M521" s="14">
        <f t="shared" si="114"/>
        <v>-111.50728176839583</v>
      </c>
      <c r="N521" s="14">
        <f t="shared" si="115"/>
        <v>20.892065878451859</v>
      </c>
      <c r="O521" s="1">
        <f t="shared" si="116"/>
        <v>2.6966694502635975</v>
      </c>
      <c r="P521" s="1">
        <f t="shared" si="117"/>
        <v>1941.6418102648238</v>
      </c>
      <c r="S521" s="6">
        <f t="shared" si="111"/>
        <v>0.5202948283618628</v>
      </c>
      <c r="T521" s="6">
        <f t="shared" si="112"/>
        <v>0.47970517163813731</v>
      </c>
      <c r="V521" s="1">
        <f t="shared" si="118"/>
        <v>111651.04035191151</v>
      </c>
      <c r="W521" s="7">
        <f t="shared" si="119"/>
        <v>-8.0950293189552042E-4</v>
      </c>
      <c r="X521" s="7">
        <f t="shared" si="120"/>
        <v>-6.3861097117948217E-4</v>
      </c>
      <c r="Y521">
        <f>LN(B521/B520)</f>
        <v>-1.9135121737985385E-3</v>
      </c>
      <c r="Z521">
        <f>LN(C521/C520)</f>
        <v>3.8930018357506089E-4</v>
      </c>
    </row>
    <row r="522" spans="1:26" x14ac:dyDescent="0.3">
      <c r="A522" s="11">
        <v>40942</v>
      </c>
      <c r="B522" s="12">
        <v>21735.919999999998</v>
      </c>
      <c r="C522" s="12">
        <v>27.655470000000001</v>
      </c>
      <c r="D522" s="16">
        <f t="shared" si="109"/>
        <v>6.8141782710577914E-3</v>
      </c>
      <c r="E522" s="15">
        <f t="shared" si="121"/>
        <v>3.8886268336235652E-4</v>
      </c>
      <c r="G522" s="25" t="str">
        <f>IF(VLOOKUP(A522,Aux!B:C,2,FALSE)=0,"",VLOOKUP(A522,Aux!B:C,2,FALSE))</f>
        <v/>
      </c>
      <c r="H522" s="25" t="str">
        <f t="shared" si="110"/>
        <v/>
      </c>
      <c r="L522" s="13">
        <f t="shared" si="113"/>
        <v>112311.60827189805</v>
      </c>
      <c r="M522" s="14">
        <f t="shared" si="114"/>
        <v>396.70704282826961</v>
      </c>
      <c r="N522" s="14">
        <f t="shared" si="115"/>
        <v>20.872649460349948</v>
      </c>
      <c r="O522" s="1">
        <f t="shared" si="116"/>
        <v>2.6966694502635975</v>
      </c>
      <c r="P522" s="1">
        <f t="shared" si="117"/>
        <v>1941.6418102648238</v>
      </c>
      <c r="S522" s="6">
        <f t="shared" si="111"/>
        <v>0.52189254823483577</v>
      </c>
      <c r="T522" s="6">
        <f t="shared" si="112"/>
        <v>0.47810745176516434</v>
      </c>
      <c r="V522" s="1">
        <f t="shared" si="118"/>
        <v>112014.47744180806</v>
      </c>
      <c r="W522" s="7">
        <f t="shared" si="119"/>
        <v>3.7249748132498401E-3</v>
      </c>
      <c r="X522" s="7">
        <f t="shared" si="120"/>
        <v>3.2498295968760031E-3</v>
      </c>
      <c r="Y522">
        <f>LN(B522/B521)</f>
        <v>6.7910666898559988E-3</v>
      </c>
      <c r="Z522">
        <f>LN(C522/C521)</f>
        <v>3.8878709586390408E-4</v>
      </c>
    </row>
    <row r="523" spans="1:26" x14ac:dyDescent="0.3">
      <c r="A523" s="9">
        <v>40945</v>
      </c>
      <c r="B523" s="1">
        <v>21766.19</v>
      </c>
      <c r="C523" s="1">
        <v>27.666250000000002</v>
      </c>
      <c r="D523" s="6">
        <f t="shared" si="109"/>
        <v>1.392625662957947E-3</v>
      </c>
      <c r="E523" s="5">
        <f t="shared" si="121"/>
        <v>3.8979630431157375E-4</v>
      </c>
      <c r="G523" s="25" t="str">
        <f>IF(VLOOKUP(A523,Aux!B:C,2,FALSE)=0,"",VLOOKUP(A523,Aux!B:C,2,FALSE))</f>
        <v/>
      </c>
      <c r="H523" s="25" t="str">
        <f t="shared" si="110"/>
        <v/>
      </c>
      <c r="L523" s="13">
        <f t="shared" si="113"/>
        <v>112414.16735487217</v>
      </c>
      <c r="M523" s="14">
        <f t="shared" si="114"/>
        <v>81.628184259480278</v>
      </c>
      <c r="N523" s="14">
        <f t="shared" si="115"/>
        <v>20.930898714655687</v>
      </c>
      <c r="O523" s="1">
        <f t="shared" si="116"/>
        <v>2.6966694502635975</v>
      </c>
      <c r="P523" s="1">
        <f t="shared" si="117"/>
        <v>1941.6418102648238</v>
      </c>
      <c r="S523" s="6">
        <f t="shared" si="111"/>
        <v>0.52214254664484727</v>
      </c>
      <c r="T523" s="6">
        <f t="shared" si="112"/>
        <v>0.47785745335515289</v>
      </c>
      <c r="V523" s="1">
        <f t="shared" si="118"/>
        <v>112108.42767859338</v>
      </c>
      <c r="W523" s="7">
        <f t="shared" si="119"/>
        <v>9.1274879179607446E-4</v>
      </c>
      <c r="X523" s="7">
        <f t="shared" si="120"/>
        <v>8.3838144287711489E-4</v>
      </c>
      <c r="Y523">
        <f>LN(B523/B522)</f>
        <v>1.3916568591890704E-3</v>
      </c>
      <c r="Z523">
        <f>LN(C523/C522)</f>
        <v>3.897203534684106E-4</v>
      </c>
    </row>
    <row r="524" spans="1:26" x14ac:dyDescent="0.3">
      <c r="A524" s="11">
        <v>40946</v>
      </c>
      <c r="B524" s="12">
        <v>21984.46</v>
      </c>
      <c r="C524" s="12">
        <v>27.677019999999999</v>
      </c>
      <c r="D524" s="16">
        <f t="shared" si="109"/>
        <v>1.0027937824672151E-2</v>
      </c>
      <c r="E524" s="15">
        <f t="shared" si="121"/>
        <v>3.8928297112894583E-4</v>
      </c>
      <c r="G524" s="25" t="str">
        <f>IF(VLOOKUP(A524,Aux!B:C,2,FALSE)=0,"",VLOOKUP(A524,Aux!B:C,2,FALSE))</f>
        <v/>
      </c>
      <c r="H524" s="25" t="str">
        <f t="shared" si="110"/>
        <v/>
      </c>
      <c r="L524" s="13">
        <f t="shared" si="113"/>
        <v>113023.68087807776</v>
      </c>
      <c r="M524" s="14">
        <f t="shared" si="114"/>
        <v>588.60204090903665</v>
      </c>
      <c r="N524" s="14">
        <f t="shared" si="115"/>
        <v>20.911482296546875</v>
      </c>
      <c r="O524" s="1">
        <f t="shared" si="116"/>
        <v>2.6966694502635975</v>
      </c>
      <c r="P524" s="1">
        <f t="shared" si="117"/>
        <v>1941.6418102648238</v>
      </c>
      <c r="S524" s="6">
        <f t="shared" si="111"/>
        <v>0.524534515262288</v>
      </c>
      <c r="T524" s="6">
        <f t="shared" si="112"/>
        <v>0.47546548473771216</v>
      </c>
      <c r="V524" s="1">
        <f t="shared" si="118"/>
        <v>112636.07812032927</v>
      </c>
      <c r="W524" s="7">
        <f t="shared" si="119"/>
        <v>5.4073884501302221E-3</v>
      </c>
      <c r="X524" s="7">
        <f t="shared" si="120"/>
        <v>4.695566722263976E-3</v>
      </c>
      <c r="Y524">
        <f>LN(B524/B523)</f>
        <v>9.9779916831504809E-3</v>
      </c>
      <c r="Z524">
        <f>LN(C524/C523)</f>
        <v>3.8920722017154124E-4</v>
      </c>
    </row>
    <row r="525" spans="1:26" x14ac:dyDescent="0.3">
      <c r="A525" s="9">
        <v>40947</v>
      </c>
      <c r="B525" s="1">
        <v>21967.119999999999</v>
      </c>
      <c r="C525" s="1">
        <v>27.68779</v>
      </c>
      <c r="D525" s="6">
        <f t="shared" si="109"/>
        <v>-7.8873895469799837E-4</v>
      </c>
      <c r="E525" s="5">
        <f t="shared" si="121"/>
        <v>3.8913148886687843E-4</v>
      </c>
      <c r="G525" s="25" t="str">
        <f>IF(VLOOKUP(A525,Aux!B:C,2,FALSE)=0,"",VLOOKUP(A525,Aux!B:C,2,FALSE))</f>
        <v/>
      </c>
      <c r="H525" s="25" t="str">
        <f t="shared" si="110"/>
        <v/>
      </c>
      <c r="L525" s="13">
        <f t="shared" si="113"/>
        <v>112997.83211210674</v>
      </c>
      <c r="M525" s="14">
        <f t="shared" si="114"/>
        <v>-46.760248267571171</v>
      </c>
      <c r="N525" s="14">
        <f t="shared" si="115"/>
        <v>20.911482296553771</v>
      </c>
      <c r="O525" s="1">
        <f t="shared" si="116"/>
        <v>2.6966694502635975</v>
      </c>
      <c r="P525" s="1">
        <f t="shared" si="117"/>
        <v>1941.6418102648238</v>
      </c>
      <c r="S525" s="6">
        <f t="shared" si="111"/>
        <v>0.52424068946299396</v>
      </c>
      <c r="T525" s="6">
        <f t="shared" si="112"/>
        <v>0.47575931053700621</v>
      </c>
      <c r="V525" s="1">
        <f t="shared" si="118"/>
        <v>112620.16805038328</v>
      </c>
      <c r="W525" s="7">
        <f t="shared" si="119"/>
        <v>-2.2872836962945474E-4</v>
      </c>
      <c r="X525" s="7">
        <f t="shared" si="120"/>
        <v>-1.4126196492149237E-4</v>
      </c>
      <c r="Y525">
        <f>LN(B525/B524)</f>
        <v>-7.8905017292471406E-4</v>
      </c>
      <c r="Z525">
        <f>LN(C525/C524)</f>
        <v>3.890557968445275E-4</v>
      </c>
    </row>
    <row r="526" spans="1:26" x14ac:dyDescent="0.3">
      <c r="A526" s="11">
        <v>40948</v>
      </c>
      <c r="B526" s="12">
        <v>21908.61</v>
      </c>
      <c r="C526" s="12">
        <v>27.698550000000001</v>
      </c>
      <c r="D526" s="16">
        <f t="shared" si="109"/>
        <v>-2.6635262155438877E-3</v>
      </c>
      <c r="E526" s="15">
        <f t="shared" si="121"/>
        <v>3.8861895441999472E-4</v>
      </c>
      <c r="G526" s="25" t="str">
        <f>IF(VLOOKUP(A526,Aux!B:C,2,FALSE)=0,"",VLOOKUP(A526,Aux!B:C,2,FALSE))</f>
        <v/>
      </c>
      <c r="H526" s="25" t="str">
        <f t="shared" si="110"/>
        <v/>
      </c>
      <c r="L526" s="13">
        <f t="shared" si="113"/>
        <v>112860.94204845028</v>
      </c>
      <c r="M526" s="14">
        <f t="shared" si="114"/>
        <v>-157.78212953491877</v>
      </c>
      <c r="N526" s="14">
        <f t="shared" si="115"/>
        <v>20.892065878451859</v>
      </c>
      <c r="O526" s="1">
        <f t="shared" si="116"/>
        <v>2.6966694502635975</v>
      </c>
      <c r="P526" s="1">
        <f t="shared" si="117"/>
        <v>1941.6418102648238</v>
      </c>
      <c r="S526" s="6">
        <f t="shared" si="111"/>
        <v>0.52347852332631495</v>
      </c>
      <c r="T526" s="6">
        <f t="shared" si="112"/>
        <v>0.47652147667368522</v>
      </c>
      <c r="V526" s="1">
        <f t="shared" si="118"/>
        <v>112509.25497897835</v>
      </c>
      <c r="W526" s="7">
        <f t="shared" si="119"/>
        <v>-1.2121741201070572E-3</v>
      </c>
      <c r="X526" s="7">
        <f t="shared" si="120"/>
        <v>-9.8532727429382358E-4</v>
      </c>
      <c r="Y526">
        <f>LN(B526/B525)</f>
        <v>-2.6670797127855785E-3</v>
      </c>
      <c r="Z526">
        <f>LN(C526/C525)</f>
        <v>3.8854346163211305E-4</v>
      </c>
    </row>
    <row r="527" spans="1:26" x14ac:dyDescent="0.3">
      <c r="A527" s="9">
        <v>40949</v>
      </c>
      <c r="B527" s="1">
        <v>21409.59</v>
      </c>
      <c r="C527" s="1">
        <v>27.709330000000001</v>
      </c>
      <c r="D527" s="6">
        <f t="shared" si="109"/>
        <v>-2.2777346440508994E-2</v>
      </c>
      <c r="E527" s="5">
        <f t="shared" si="121"/>
        <v>3.8919004785453737E-4</v>
      </c>
      <c r="G527" s="25" t="str">
        <f>IF(VLOOKUP(A527,Aux!B:C,2,FALSE)=0,"",VLOOKUP(A527,Aux!B:C,2,FALSE))</f>
        <v/>
      </c>
      <c r="H527" s="25" t="str">
        <f t="shared" si="110"/>
        <v/>
      </c>
      <c r="L527" s="13">
        <f t="shared" si="113"/>
        <v>111536.18095809438</v>
      </c>
      <c r="M527" s="14">
        <f t="shared" si="114"/>
        <v>-1345.6919890705417</v>
      </c>
      <c r="N527" s="14">
        <f t="shared" si="115"/>
        <v>20.930898714655687</v>
      </c>
      <c r="O527" s="1">
        <f t="shared" si="116"/>
        <v>2.6966694502635975</v>
      </c>
      <c r="P527" s="1">
        <f t="shared" si="117"/>
        <v>1941.6418102648238</v>
      </c>
      <c r="S527" s="6">
        <f t="shared" si="111"/>
        <v>0.51763102160868013</v>
      </c>
      <c r="T527" s="6">
        <f t="shared" si="112"/>
        <v>0.48236897839132009</v>
      </c>
      <c r="V527" s="1">
        <f t="shared" si="118"/>
        <v>111382.1146711004</v>
      </c>
      <c r="W527" s="7">
        <f t="shared" si="119"/>
        <v>-1.1807428398141988E-2</v>
      </c>
      <c r="X527" s="7">
        <f t="shared" si="120"/>
        <v>-1.0068720665735007E-2</v>
      </c>
      <c r="Y527">
        <f>LN(B527/B526)</f>
        <v>-2.3040757755616332E-2</v>
      </c>
      <c r="Z527">
        <f>LN(C527/C526)</f>
        <v>3.8911433305219089E-4</v>
      </c>
    </row>
    <row r="528" spans="1:26" x14ac:dyDescent="0.3">
      <c r="A528" s="11">
        <v>40952</v>
      </c>
      <c r="B528" s="12">
        <v>21861.919999999998</v>
      </c>
      <c r="C528" s="12">
        <v>27.720109999999998</v>
      </c>
      <c r="D528" s="16">
        <f t="shared" si="109"/>
        <v>2.1127448026795337E-2</v>
      </c>
      <c r="E528" s="15">
        <f t="shared" si="121"/>
        <v>3.8903863788819493E-4</v>
      </c>
      <c r="G528" s="25" t="str">
        <f>IF(VLOOKUP(A528,Aux!B:C,2,FALSE)=0,"",VLOOKUP(A528,Aux!B:C,2,FALSE))</f>
        <v/>
      </c>
      <c r="H528" s="25" t="str">
        <f t="shared" si="110"/>
        <v/>
      </c>
      <c r="L528" s="13">
        <f t="shared" si="113"/>
        <v>112776.89634924676</v>
      </c>
      <c r="M528" s="14">
        <f t="shared" si="114"/>
        <v>1219.784492437728</v>
      </c>
      <c r="N528" s="14">
        <f t="shared" si="115"/>
        <v>20.930898714648787</v>
      </c>
      <c r="O528" s="1">
        <f t="shared" si="116"/>
        <v>2.6966694502635975</v>
      </c>
      <c r="P528" s="1">
        <f t="shared" si="117"/>
        <v>1941.6418102648238</v>
      </c>
      <c r="S528" s="6">
        <f t="shared" si="111"/>
        <v>0.52275220986342119</v>
      </c>
      <c r="T528" s="6">
        <f t="shared" si="112"/>
        <v>0.47724779013657898</v>
      </c>
      <c r="V528" s="1">
        <f t="shared" si="118"/>
        <v>112449.77209162351</v>
      </c>
      <c r="W528" s="7">
        <f t="shared" si="119"/>
        <v>1.1062467325236601E-2</v>
      </c>
      <c r="X528" s="7">
        <f t="shared" si="120"/>
        <v>9.5398875754101522E-3</v>
      </c>
      <c r="Y528">
        <f>LN(B528/B527)</f>
        <v>2.0907358059121098E-2</v>
      </c>
      <c r="Z528">
        <f>LN(C528/C527)</f>
        <v>3.8896298197872194E-4</v>
      </c>
    </row>
    <row r="529" spans="1:26" x14ac:dyDescent="0.3">
      <c r="A529" s="9">
        <v>40953</v>
      </c>
      <c r="B529" s="1">
        <v>21589.57</v>
      </c>
      <c r="C529" s="1">
        <v>27.730879999999999</v>
      </c>
      <c r="D529" s="6">
        <f t="shared" si="109"/>
        <v>-1.2457734727782332E-2</v>
      </c>
      <c r="E529" s="5">
        <f t="shared" si="121"/>
        <v>3.8852659675603363E-4</v>
      </c>
      <c r="G529" s="25" t="str">
        <f>IF(VLOOKUP(A529,Aux!B:C,2,FALSE)=0,"",VLOOKUP(A529,Aux!B:C,2,FALSE))</f>
        <v/>
      </c>
      <c r="H529" s="25" t="str">
        <f t="shared" si="110"/>
        <v/>
      </c>
      <c r="L529" s="13">
        <f t="shared" si="113"/>
        <v>112063.36990676403</v>
      </c>
      <c r="M529" s="14">
        <f t="shared" si="114"/>
        <v>-734.43792477928685</v>
      </c>
      <c r="N529" s="14">
        <f t="shared" si="115"/>
        <v>20.911482296553771</v>
      </c>
      <c r="O529" s="1">
        <f t="shared" si="116"/>
        <v>2.6966694502635975</v>
      </c>
      <c r="P529" s="1">
        <f t="shared" si="117"/>
        <v>1941.6418102648238</v>
      </c>
      <c r="S529" s="6">
        <f t="shared" si="111"/>
        <v>0.51952688832904137</v>
      </c>
      <c r="T529" s="6">
        <f t="shared" si="112"/>
        <v>0.4804731116709588</v>
      </c>
      <c r="V529" s="1">
        <f t="shared" si="118"/>
        <v>111845.54503137997</v>
      </c>
      <c r="W529" s="7">
        <f t="shared" si="119"/>
        <v>-6.3469844586426403E-3</v>
      </c>
      <c r="X529" s="7">
        <f t="shared" si="120"/>
        <v>-5.3877943564310336E-3</v>
      </c>
      <c r="Y529">
        <f>LN(B529/B528)</f>
        <v>-1.2535982847102322E-2</v>
      </c>
      <c r="Z529">
        <f>LN(C529/C528)</f>
        <v>3.8845113984188622E-4</v>
      </c>
    </row>
    <row r="530" spans="1:26" x14ac:dyDescent="0.3">
      <c r="A530" s="11">
        <v>40954</v>
      </c>
      <c r="B530" s="12">
        <v>21586.77</v>
      </c>
      <c r="C530" s="12">
        <v>27.74166</v>
      </c>
      <c r="D530" s="16">
        <f t="shared" si="109"/>
        <v>-1.2969225417636121E-4</v>
      </c>
      <c r="E530" s="15">
        <f t="shared" si="121"/>
        <v>3.8873631128910624E-4</v>
      </c>
      <c r="G530" s="25" t="str">
        <f>IF(VLOOKUP(A530,Aux!B:C,2,FALSE)=0,"",VLOOKUP(A530,Aux!B:C,2,FALSE))</f>
        <v/>
      </c>
      <c r="H530" s="25" t="str">
        <f t="shared" si="110"/>
        <v/>
      </c>
      <c r="L530" s="13">
        <f t="shared" si="113"/>
        <v>112076.75013101794</v>
      </c>
      <c r="M530" s="14">
        <f t="shared" si="114"/>
        <v>-7.5506744607361105</v>
      </c>
      <c r="N530" s="14">
        <f t="shared" si="115"/>
        <v>20.930898714655687</v>
      </c>
      <c r="O530" s="1">
        <f t="shared" si="116"/>
        <v>2.6966694502635975</v>
      </c>
      <c r="P530" s="1">
        <f t="shared" si="117"/>
        <v>1941.6418102648238</v>
      </c>
      <c r="S530" s="6">
        <f t="shared" si="111"/>
        <v>0.51939749431364068</v>
      </c>
      <c r="T530" s="6">
        <f t="shared" si="112"/>
        <v>0.48060250568635959</v>
      </c>
      <c r="V530" s="1">
        <f t="shared" si="118"/>
        <v>111863.20162137051</v>
      </c>
      <c r="W530" s="7">
        <f t="shared" si="119"/>
        <v>1.19391604390489E-4</v>
      </c>
      <c r="X530" s="7">
        <f t="shared" si="120"/>
        <v>1.5785337222069552E-4</v>
      </c>
      <c r="Y530">
        <f>LN(B530/B529)</f>
        <v>-1.2970066494397335E-4</v>
      </c>
      <c r="Z530">
        <f>LN(C530/C529)</f>
        <v>3.8866077290495676E-4</v>
      </c>
    </row>
    <row r="531" spans="1:26" x14ac:dyDescent="0.3">
      <c r="A531" s="9">
        <v>40955</v>
      </c>
      <c r="B531" s="1">
        <v>21848.55</v>
      </c>
      <c r="C531" s="1">
        <v>27.75244</v>
      </c>
      <c r="D531" s="6">
        <f t="shared" si="109"/>
        <v>1.2126872153638502E-2</v>
      </c>
      <c r="E531" s="5">
        <f t="shared" si="121"/>
        <v>3.885852540908008E-4</v>
      </c>
      <c r="G531" s="25" t="str">
        <f>IF(VLOOKUP(A531,Aux!B:C,2,FALSE)=0,"",VLOOKUP(A531,Aux!B:C,2,FALSE))</f>
        <v/>
      </c>
      <c r="H531" s="25" t="str">
        <f t="shared" si="110"/>
        <v/>
      </c>
      <c r="L531" s="13">
        <f t="shared" si="113"/>
        <v>112803.61515842259</v>
      </c>
      <c r="M531" s="14">
        <f t="shared" si="114"/>
        <v>705.93412869000144</v>
      </c>
      <c r="N531" s="14">
        <f t="shared" si="115"/>
        <v>20.930898714655687</v>
      </c>
      <c r="O531" s="1">
        <f t="shared" si="116"/>
        <v>2.6966694502635975</v>
      </c>
      <c r="P531" s="1">
        <f t="shared" si="117"/>
        <v>1941.6418102648238</v>
      </c>
      <c r="S531" s="6">
        <f t="shared" si="111"/>
        <v>0.522308768516073</v>
      </c>
      <c r="T531" s="6">
        <f t="shared" si="112"/>
        <v>0.47769123148392739</v>
      </c>
      <c r="V531" s="1">
        <f t="shared" si="118"/>
        <v>112491.25352641896</v>
      </c>
      <c r="W531" s="7">
        <f t="shared" si="119"/>
        <v>6.4644821947558665E-3</v>
      </c>
      <c r="X531" s="7">
        <f t="shared" si="120"/>
        <v>5.5987615241869263E-3</v>
      </c>
      <c r="Y531">
        <f>LN(B531/B530)</f>
        <v>1.2053930748144842E-2</v>
      </c>
      <c r="Z531">
        <f>LN(C531/C530)</f>
        <v>3.8850977439385085E-4</v>
      </c>
    </row>
    <row r="532" spans="1:26" x14ac:dyDescent="0.3">
      <c r="A532" s="11">
        <v>40956</v>
      </c>
      <c r="B532" s="12">
        <v>21906.91</v>
      </c>
      <c r="C532" s="12">
        <v>27.76322</v>
      </c>
      <c r="D532" s="16">
        <f t="shared" si="109"/>
        <v>2.6711154744822885E-3</v>
      </c>
      <c r="E532" s="15">
        <f t="shared" si="121"/>
        <v>3.8843431424417929E-4</v>
      </c>
      <c r="G532" s="25" t="str">
        <f>IF(VLOOKUP(A532,Aux!B:C,2,FALSE)=0,"",VLOOKUP(A532,Aux!B:C,2,FALSE))</f>
        <v/>
      </c>
      <c r="H532" s="25" t="str">
        <f t="shared" si="110"/>
        <v/>
      </c>
      <c r="L532" s="13">
        <f t="shared" si="113"/>
        <v>112981.92368625462</v>
      </c>
      <c r="M532" s="14">
        <f t="shared" si="114"/>
        <v>157.37762911738511</v>
      </c>
      <c r="N532" s="14">
        <f t="shared" si="115"/>
        <v>20.930898714655687</v>
      </c>
      <c r="O532" s="1">
        <f t="shared" si="116"/>
        <v>2.6966694502635975</v>
      </c>
      <c r="P532" s="1">
        <f t="shared" si="117"/>
        <v>1941.6418102648238</v>
      </c>
      <c r="S532" s="6">
        <f t="shared" si="111"/>
        <v>0.5228774039175017</v>
      </c>
      <c r="T532" s="6">
        <f t="shared" si="112"/>
        <v>0.47712259608249874</v>
      </c>
      <c r="V532" s="1">
        <f t="shared" si="118"/>
        <v>112650.00837579774</v>
      </c>
      <c r="W532" s="7">
        <f t="shared" si="119"/>
        <v>1.5794507107297631E-3</v>
      </c>
      <c r="X532" s="7">
        <f t="shared" si="120"/>
        <v>1.4102690404167049E-3</v>
      </c>
      <c r="Y532">
        <f>LN(B532/B531)</f>
        <v>2.6675543855202936E-3</v>
      </c>
      <c r="Z532">
        <f>LN(C532/C531)</f>
        <v>3.8835889316606254E-4</v>
      </c>
    </row>
    <row r="533" spans="1:26" x14ac:dyDescent="0.3">
      <c r="A533" s="9">
        <v>40961</v>
      </c>
      <c r="B533" s="1">
        <v>21908.31</v>
      </c>
      <c r="C533" s="1">
        <v>27.774039999999999</v>
      </c>
      <c r="D533" s="6">
        <f t="shared" si="109"/>
        <v>6.3906776446298608E-5</v>
      </c>
      <c r="E533" s="5">
        <f t="shared" si="121"/>
        <v>3.8972424668326511E-4</v>
      </c>
      <c r="G533" s="25" t="str">
        <f>IF(VLOOKUP(A533,Aux!B:C,2,FALSE)=0,"",VLOOKUP(A533,Aux!B:C,2,FALSE))</f>
        <v/>
      </c>
      <c r="H533" s="25" t="str">
        <f t="shared" si="110"/>
        <v/>
      </c>
      <c r="L533" s="13">
        <f t="shared" si="113"/>
        <v>113006.70758787206</v>
      </c>
      <c r="M533" s="14">
        <f t="shared" si="114"/>
        <v>3.7753372303729607</v>
      </c>
      <c r="N533" s="14">
        <f t="shared" si="115"/>
        <v>21.008564387063338</v>
      </c>
      <c r="O533" s="1">
        <f t="shared" si="116"/>
        <v>2.6966694502635975</v>
      </c>
      <c r="P533" s="1">
        <f t="shared" si="117"/>
        <v>1941.6418102648238</v>
      </c>
      <c r="S533" s="6">
        <f t="shared" si="111"/>
        <v>0.52279613790150736</v>
      </c>
      <c r="T533" s="6">
        <f t="shared" si="112"/>
        <v>0.47720386209849303</v>
      </c>
      <c r="V533" s="1">
        <f t="shared" si="118"/>
        <v>112677.44399800352</v>
      </c>
      <c r="W533" s="7">
        <f t="shared" si="119"/>
        <v>2.1933759744513081E-4</v>
      </c>
      <c r="X533" s="7">
        <f t="shared" si="120"/>
        <v>2.4351779645432342E-4</v>
      </c>
      <c r="Y533">
        <f>LN(B533/B532)</f>
        <v>6.3904734495256611E-5</v>
      </c>
      <c r="Z533">
        <f>LN(C533/C532)</f>
        <v>3.8964832391436081E-4</v>
      </c>
    </row>
    <row r="534" spans="1:26" x14ac:dyDescent="0.3">
      <c r="A534" s="11">
        <v>40962</v>
      </c>
      <c r="B534" s="12">
        <v>21832.52</v>
      </c>
      <c r="C534" s="12">
        <v>27.784839999999999</v>
      </c>
      <c r="D534" s="16">
        <f t="shared" si="109"/>
        <v>-3.4594179103728528E-3</v>
      </c>
      <c r="E534" s="15">
        <f t="shared" si="121"/>
        <v>3.8885232396879132E-4</v>
      </c>
      <c r="G534" s="25" t="str">
        <f>IF(VLOOKUP(A534,Aux!B:C,2,FALSE)=0,"",VLOOKUP(A534,Aux!B:C,2,FALSE))</f>
        <v/>
      </c>
      <c r="H534" s="25" t="str">
        <f t="shared" si="110"/>
        <v/>
      </c>
      <c r="L534" s="13">
        <f t="shared" si="113"/>
        <v>112823.29674178743</v>
      </c>
      <c r="M534" s="14">
        <f t="shared" si="114"/>
        <v>-204.38057763548042</v>
      </c>
      <c r="N534" s="14">
        <f t="shared" si="115"/>
        <v>20.96973155085951</v>
      </c>
      <c r="O534" s="1">
        <f t="shared" si="116"/>
        <v>2.6966694502635975</v>
      </c>
      <c r="P534" s="1">
        <f t="shared" si="117"/>
        <v>1941.6418102648238</v>
      </c>
      <c r="S534" s="6">
        <f t="shared" si="111"/>
        <v>0.521834509418859</v>
      </c>
      <c r="T534" s="6">
        <f t="shared" si="112"/>
        <v>0.47816549058114144</v>
      </c>
      <c r="V534" s="1">
        <f t="shared" si="118"/>
        <v>112526.75484743941</v>
      </c>
      <c r="W534" s="7">
        <f t="shared" si="119"/>
        <v>-1.6243269972523705E-3</v>
      </c>
      <c r="X534" s="7">
        <f t="shared" si="120"/>
        <v>-1.3382447914002946E-3</v>
      </c>
      <c r="Y534">
        <f>LN(B534/B533)</f>
        <v>-3.4654155326951951E-3</v>
      </c>
      <c r="Z534">
        <f>LN(C534/C533)</f>
        <v>3.8877674049710099E-4</v>
      </c>
    </row>
    <row r="535" spans="1:26" x14ac:dyDescent="0.3">
      <c r="A535" s="9">
        <v>40963</v>
      </c>
      <c r="B535" s="1">
        <v>21956.880000000001</v>
      </c>
      <c r="C535" s="1">
        <v>27.795639999999999</v>
      </c>
      <c r="D535" s="6">
        <f t="shared" si="109"/>
        <v>5.6960900528202352E-3</v>
      </c>
      <c r="E535" s="5">
        <f t="shared" si="121"/>
        <v>3.8870117661282677E-4</v>
      </c>
      <c r="G535" s="25" t="str">
        <f>IF(VLOOKUP(A535,Aux!B:C,2,FALSE)=0,"",VLOOKUP(A535,Aux!B:C,2,FALSE))</f>
        <v/>
      </c>
      <c r="H535" s="25" t="str">
        <f t="shared" si="110"/>
        <v/>
      </c>
      <c r="L535" s="13">
        <f t="shared" si="113"/>
        <v>113179.62428617307</v>
      </c>
      <c r="M535" s="14">
        <f t="shared" si="114"/>
        <v>335.35781283478258</v>
      </c>
      <c r="N535" s="14">
        <f t="shared" si="115"/>
        <v>20.96973155085951</v>
      </c>
      <c r="O535" s="1">
        <f t="shared" si="116"/>
        <v>2.6966694502635975</v>
      </c>
      <c r="P535" s="1">
        <f t="shared" si="117"/>
        <v>1941.6418102648238</v>
      </c>
      <c r="S535" s="6">
        <f t="shared" si="111"/>
        <v>0.52315465696714991</v>
      </c>
      <c r="T535" s="6">
        <f t="shared" si="112"/>
        <v>0.47684534303285059</v>
      </c>
      <c r="V535" s="1">
        <f t="shared" si="118"/>
        <v>112837.81874815979</v>
      </c>
      <c r="W535" s="7">
        <f t="shared" si="119"/>
        <v>3.1533029575141042E-3</v>
      </c>
      <c r="X535" s="7">
        <f t="shared" si="120"/>
        <v>2.7605412270284703E-3</v>
      </c>
      <c r="Y535">
        <f>LN(B535/B534)</f>
        <v>5.6799286739451747E-3</v>
      </c>
      <c r="Z535">
        <f>LN(C535/C534)</f>
        <v>3.8862565188087765E-4</v>
      </c>
    </row>
    <row r="536" spans="1:26" x14ac:dyDescent="0.3">
      <c r="A536" s="11">
        <v>40966</v>
      </c>
      <c r="B536" s="12">
        <v>21806.7</v>
      </c>
      <c r="C536" s="12">
        <v>27.806470000000001</v>
      </c>
      <c r="D536" s="16">
        <f t="shared" si="109"/>
        <v>-6.8397695847497442E-3</v>
      </c>
      <c r="E536" s="15">
        <f t="shared" si="121"/>
        <v>3.896294526768429E-4</v>
      </c>
      <c r="G536" s="25" t="str">
        <f>IF(VLOOKUP(A536,Aux!B:C,2,FALSE)=0,"",VLOOKUP(A536,Aux!B:C,2,FALSE))</f>
        <v/>
      </c>
      <c r="H536" s="25" t="str">
        <f t="shared" si="110"/>
        <v/>
      </c>
      <c r="L536" s="13">
        <f t="shared" si="113"/>
        <v>112795.66644893766</v>
      </c>
      <c r="M536" s="14">
        <f t="shared" si="114"/>
        <v>-404.98581804058784</v>
      </c>
      <c r="N536" s="14">
        <f t="shared" si="115"/>
        <v>21.027980805172149</v>
      </c>
      <c r="O536" s="1">
        <f t="shared" si="116"/>
        <v>2.6966694502635975</v>
      </c>
      <c r="P536" s="1">
        <f t="shared" si="117"/>
        <v>1941.6418102648238</v>
      </c>
      <c r="S536" s="6">
        <f t="shared" si="111"/>
        <v>0.52134504411731364</v>
      </c>
      <c r="T536" s="6">
        <f t="shared" si="112"/>
        <v>0.47865495588268686</v>
      </c>
      <c r="V536" s="1">
        <f t="shared" si="118"/>
        <v>112515.5763793934</v>
      </c>
      <c r="W536" s="7">
        <f t="shared" si="119"/>
        <v>-3.3982317755279164E-3</v>
      </c>
      <c r="X536" s="7">
        <f t="shared" si="120"/>
        <v>-2.8598866967830274E-3</v>
      </c>
      <c r="Y536">
        <f>LN(B536/B535)</f>
        <v>-6.8632680192846508E-3</v>
      </c>
      <c r="Z536">
        <f>LN(C536/C535)</f>
        <v>3.8955356683257968E-4</v>
      </c>
    </row>
    <row r="537" spans="1:26" x14ac:dyDescent="0.3">
      <c r="A537" s="9">
        <v>40967</v>
      </c>
      <c r="B537" s="1">
        <v>22035.68</v>
      </c>
      <c r="C537" s="1">
        <v>27.817299999999999</v>
      </c>
      <c r="D537" s="6">
        <f t="shared" si="109"/>
        <v>1.0500442524545184E-2</v>
      </c>
      <c r="E537" s="5">
        <f t="shared" si="121"/>
        <v>3.8947770069341914E-4</v>
      </c>
      <c r="G537" s="25" t="str">
        <f>IF(VLOOKUP(A537,Aux!B:C,2,FALSE)=0,"",VLOOKUP(A537,Aux!B:C,2,FALSE))</f>
        <v/>
      </c>
      <c r="H537" s="25" t="str">
        <f t="shared" si="110"/>
        <v/>
      </c>
      <c r="L537" s="13">
        <f t="shared" si="113"/>
        <v>113434.17780046418</v>
      </c>
      <c r="M537" s="14">
        <f t="shared" si="114"/>
        <v>617.48337072135735</v>
      </c>
      <c r="N537" s="14">
        <f t="shared" si="115"/>
        <v>21.027980805165253</v>
      </c>
      <c r="O537" s="1">
        <f t="shared" si="116"/>
        <v>2.6966694502635975</v>
      </c>
      <c r="P537" s="1">
        <f t="shared" si="117"/>
        <v>1941.6418102648238</v>
      </c>
      <c r="S537" s="6">
        <f t="shared" si="111"/>
        <v>0.52385397614740226</v>
      </c>
      <c r="T537" s="6">
        <f t="shared" si="112"/>
        <v>0.47614602385259813</v>
      </c>
      <c r="V537" s="1">
        <f t="shared" si="118"/>
        <v>113068.0693937148</v>
      </c>
      <c r="W537" s="7">
        <f t="shared" si="119"/>
        <v>5.6448171027344771E-3</v>
      </c>
      <c r="X537" s="7">
        <f t="shared" si="120"/>
        <v>4.898352601144758E-3</v>
      </c>
      <c r="Y537">
        <f>LN(B537/B536)</f>
        <v>1.0445695787761595E-2</v>
      </c>
      <c r="Z537">
        <f>LN(C537/C536)</f>
        <v>3.8940187394166415E-4</v>
      </c>
    </row>
    <row r="538" spans="1:26" x14ac:dyDescent="0.3">
      <c r="A538" s="11">
        <v>40968</v>
      </c>
      <c r="B538" s="12">
        <v>22086.48</v>
      </c>
      <c r="C538" s="12">
        <v>27.828099999999999</v>
      </c>
      <c r="D538" s="16">
        <f t="shared" si="109"/>
        <v>2.305352047225151E-3</v>
      </c>
      <c r="E538" s="15">
        <f t="shared" si="121"/>
        <v>3.8824760131284108E-4</v>
      </c>
      <c r="G538" s="25" t="str">
        <f>IF(VLOOKUP(A538,Aux!B:C,2,FALSE)=0,"",VLOOKUP(A538,Aux!B:C,2,FALSE))</f>
        <v/>
      </c>
      <c r="H538" s="25" t="str">
        <f t="shared" si="110"/>
        <v/>
      </c>
      <c r="L538" s="13">
        <f t="shared" si="113"/>
        <v>113592.13834008842</v>
      </c>
      <c r="M538" s="14">
        <f t="shared" si="114"/>
        <v>136.99080807338879</v>
      </c>
      <c r="N538" s="14">
        <f t="shared" si="115"/>
        <v>20.96973155085951</v>
      </c>
      <c r="O538" s="1">
        <f t="shared" si="116"/>
        <v>2.6966694502635975</v>
      </c>
      <c r="P538" s="1">
        <f t="shared" si="117"/>
        <v>1941.6418102648238</v>
      </c>
      <c r="S538" s="6">
        <f t="shared" si="111"/>
        <v>0.52433149644158361</v>
      </c>
      <c r="T538" s="6">
        <f t="shared" si="112"/>
        <v>0.47566850355841694</v>
      </c>
      <c r="V538" s="1">
        <f t="shared" si="118"/>
        <v>113209.42780129259</v>
      </c>
      <c r="W538" s="7">
        <f t="shared" si="119"/>
        <v>1.3915617167182441E-3</v>
      </c>
      <c r="X538" s="7">
        <f t="shared" si="120"/>
        <v>1.2494253977458922E-3</v>
      </c>
      <c r="Y538">
        <f>LN(B538/B537)</f>
        <v>2.3026988001908855E-3</v>
      </c>
      <c r="Z538">
        <f>LN(C538/C537)</f>
        <v>3.8817225271485593E-4</v>
      </c>
    </row>
    <row r="539" spans="1:26" x14ac:dyDescent="0.3">
      <c r="A539" s="9">
        <v>40969</v>
      </c>
      <c r="B539" s="1">
        <v>22415.93</v>
      </c>
      <c r="C539" s="1">
        <v>27.838899999999999</v>
      </c>
      <c r="D539" s="6">
        <f t="shared" ref="D539:D602" si="122">B539/B538-1</f>
        <v>1.4916365124727937E-2</v>
      </c>
      <c r="E539" s="5">
        <f t="shared" si="121"/>
        <v>3.8809692361319037E-4</v>
      </c>
      <c r="G539" s="25" t="str">
        <f>IF(VLOOKUP(A539,Aux!B:C,2,FALSE)=0,"",VLOOKUP(A539,Aux!B:C,2,FALSE))</f>
        <v/>
      </c>
      <c r="H539" s="25" t="str">
        <f t="shared" si="110"/>
        <v/>
      </c>
      <c r="L539" s="13">
        <f t="shared" si="113"/>
        <v>114501.52582202862</v>
      </c>
      <c r="M539" s="14">
        <f t="shared" si="114"/>
        <v>888.41775038934418</v>
      </c>
      <c r="N539" s="14">
        <f t="shared" si="115"/>
        <v>20.96973155085951</v>
      </c>
      <c r="O539" s="1">
        <f t="shared" si="116"/>
        <v>2.6966694502635975</v>
      </c>
      <c r="P539" s="1">
        <f t="shared" si="117"/>
        <v>1941.6418102648238</v>
      </c>
      <c r="S539" s="6">
        <f t="shared" si="111"/>
        <v>0.52792618435673111</v>
      </c>
      <c r="T539" s="6">
        <f t="shared" si="112"/>
        <v>0.4720738156432695</v>
      </c>
      <c r="V539" s="1">
        <f t="shared" si="118"/>
        <v>113993.64150609955</v>
      </c>
      <c r="W539" s="7">
        <f t="shared" si="119"/>
        <v>7.973849722537462E-3</v>
      </c>
      <c r="X539" s="7">
        <f t="shared" si="120"/>
        <v>6.9032238118176071E-3</v>
      </c>
      <c r="Y539">
        <f>LN(B539/B538)</f>
        <v>1.4806210206881809E-2</v>
      </c>
      <c r="Z539">
        <f>LN(C539/C538)</f>
        <v>3.8802163348141381E-4</v>
      </c>
    </row>
    <row r="540" spans="1:26" x14ac:dyDescent="0.3">
      <c r="A540" s="11">
        <v>40970</v>
      </c>
      <c r="B540" s="12">
        <v>22671.54</v>
      </c>
      <c r="C540" s="12">
        <v>27.849699999999999</v>
      </c>
      <c r="D540" s="16">
        <f t="shared" si="122"/>
        <v>1.1403051312169454E-2</v>
      </c>
      <c r="E540" s="15">
        <f t="shared" si="121"/>
        <v>3.8794636282313277E-4</v>
      </c>
      <c r="G540" s="25" t="str">
        <f>IF(VLOOKUP(A540,Aux!B:C,2,FALSE)=0,"",VLOOKUP(A540,Aux!B:C,2,FALSE))</f>
        <v/>
      </c>
      <c r="H540" s="25" t="str">
        <f t="shared" si="110"/>
        <v/>
      </c>
      <c r="L540" s="13">
        <f t="shared" si="113"/>
        <v>115211.79123176135</v>
      </c>
      <c r="M540" s="14">
        <f t="shared" si="114"/>
        <v>689.29567818187968</v>
      </c>
      <c r="N540" s="14">
        <f t="shared" si="115"/>
        <v>20.96973155085951</v>
      </c>
      <c r="O540" s="1">
        <f t="shared" si="116"/>
        <v>2.6966694502635975</v>
      </c>
      <c r="P540" s="1">
        <f t="shared" si="117"/>
        <v>1941.6418102648238</v>
      </c>
      <c r="S540" s="6">
        <f t="shared" si="111"/>
        <v>0.53065444651792604</v>
      </c>
      <c r="T540" s="6">
        <f t="shared" si="112"/>
        <v>0.46934555348207457</v>
      </c>
      <c r="V540" s="1">
        <f t="shared" si="118"/>
        <v>114607.50374796947</v>
      </c>
      <c r="W540" s="7">
        <f t="shared" si="119"/>
        <v>6.1839486042186819E-3</v>
      </c>
      <c r="X540" s="7">
        <f t="shared" si="120"/>
        <v>5.3706092913815302E-3</v>
      </c>
      <c r="Y540">
        <f>LN(B540/B539)</f>
        <v>1.1338526578484264E-2</v>
      </c>
      <c r="Z540">
        <f>LN(C540/C539)</f>
        <v>3.8787113108954165E-4</v>
      </c>
    </row>
    <row r="541" spans="1:26" x14ac:dyDescent="0.3">
      <c r="A541" s="9">
        <v>40973</v>
      </c>
      <c r="B541" s="1">
        <v>22389.88</v>
      </c>
      <c r="C541" s="1">
        <v>27.860489999999999</v>
      </c>
      <c r="D541" s="6">
        <f t="shared" si="122"/>
        <v>-1.2423505416923608E-2</v>
      </c>
      <c r="E541" s="5">
        <f t="shared" si="121"/>
        <v>3.8743684851194615E-4</v>
      </c>
      <c r="G541" s="25" t="str">
        <f>IF(VLOOKUP(A541,Aux!B:C,2,FALSE)=0,"",VLOOKUP(A541,Aux!B:C,2,FALSE))</f>
        <v/>
      </c>
      <c r="H541" s="25" t="str">
        <f t="shared" si="110"/>
        <v/>
      </c>
      <c r="L541" s="13">
        <f t="shared" si="113"/>
        <v>114473.19762953286</v>
      </c>
      <c r="M541" s="14">
        <f t="shared" si="114"/>
        <v>-759.54391736124444</v>
      </c>
      <c r="N541" s="14">
        <f t="shared" si="115"/>
        <v>20.950315132757598</v>
      </c>
      <c r="O541" s="1">
        <f t="shared" si="116"/>
        <v>2.6966694502635975</v>
      </c>
      <c r="P541" s="1">
        <f t="shared" si="117"/>
        <v>1941.6418102648238</v>
      </c>
      <c r="S541" s="6">
        <f t="shared" si="111"/>
        <v>0.52744316260360158</v>
      </c>
      <c r="T541" s="6">
        <f t="shared" si="112"/>
        <v>0.47255683739639909</v>
      </c>
      <c r="V541" s="1">
        <f t="shared" si="118"/>
        <v>113981.84293470962</v>
      </c>
      <c r="W541" s="7">
        <f t="shared" si="119"/>
        <v>-6.4313837115814029E-3</v>
      </c>
      <c r="X541" s="7">
        <f t="shared" si="120"/>
        <v>-5.4741166613025546E-3</v>
      </c>
      <c r="Y541">
        <f>LN(B541/B540)</f>
        <v>-1.2501322338015102E-2</v>
      </c>
      <c r="Z541">
        <f>LN(C541/C540)</f>
        <v>3.8736181423622366E-4</v>
      </c>
    </row>
    <row r="542" spans="1:26" x14ac:dyDescent="0.3">
      <c r="A542" s="11">
        <v>40974</v>
      </c>
      <c r="B542" s="12">
        <v>21816.76</v>
      </c>
      <c r="C542" s="12">
        <v>27.871300000000002</v>
      </c>
      <c r="D542" s="16">
        <f t="shared" si="122"/>
        <v>-2.5597278770587595E-2</v>
      </c>
      <c r="E542" s="15">
        <f t="shared" si="121"/>
        <v>3.8800466179900184E-4</v>
      </c>
      <c r="G542" s="25" t="str">
        <f>IF(VLOOKUP(A542,Aux!B:C,2,FALSE)=0,"",VLOOKUP(A542,Aux!B:C,2,FALSE))</f>
        <v/>
      </c>
      <c r="H542" s="25" t="str">
        <f t="shared" si="110"/>
        <v/>
      </c>
      <c r="L542" s="13">
        <f t="shared" si="113"/>
        <v>112948.67158216675</v>
      </c>
      <c r="M542" s="14">
        <f t="shared" si="114"/>
        <v>-1545.5151953350801</v>
      </c>
      <c r="N542" s="14">
        <f t="shared" si="115"/>
        <v>20.989147968968322</v>
      </c>
      <c r="O542" s="1">
        <f t="shared" si="116"/>
        <v>2.6966694502635975</v>
      </c>
      <c r="P542" s="1">
        <f t="shared" si="117"/>
        <v>1941.6418102648238</v>
      </c>
      <c r="S542" s="6">
        <f t="shared" si="111"/>
        <v>0.52087899194931131</v>
      </c>
      <c r="T542" s="6">
        <f t="shared" si="112"/>
        <v>0.47912100805068941</v>
      </c>
      <c r="V542" s="1">
        <f t="shared" si="118"/>
        <v>112683.81844877364</v>
      </c>
      <c r="W542" s="7">
        <f t="shared" si="119"/>
        <v>-1.3407232023935475E-2</v>
      </c>
      <c r="X542" s="7">
        <f t="shared" si="120"/>
        <v>-1.1453333225932501E-2</v>
      </c>
      <c r="Y542">
        <f>LN(B542/B541)</f>
        <v>-2.593058930727973E-2</v>
      </c>
      <c r="Z542">
        <f>LN(C542/C541)</f>
        <v>3.8792940745560774E-4</v>
      </c>
    </row>
    <row r="543" spans="1:26" x14ac:dyDescent="0.3">
      <c r="A543" s="9">
        <v>40975</v>
      </c>
      <c r="B543" s="1">
        <v>22085.21</v>
      </c>
      <c r="C543" s="1">
        <v>27.882090000000002</v>
      </c>
      <c r="D543" s="6">
        <f t="shared" si="122"/>
        <v>1.2304760193539321E-2</v>
      </c>
      <c r="E543" s="5">
        <f t="shared" si="121"/>
        <v>3.871365885337319E-4</v>
      </c>
      <c r="G543" s="25" t="str">
        <f>IF(VLOOKUP(A543,Aux!B:C,2,FALSE)=0,"",VLOOKUP(A543,Aux!B:C,2,FALSE))</f>
        <v/>
      </c>
      <c r="H543" s="25" t="str">
        <f t="shared" si="110"/>
        <v/>
      </c>
      <c r="L543" s="13">
        <f t="shared" si="113"/>
        <v>113693.54281122277</v>
      </c>
      <c r="M543" s="14">
        <f t="shared" si="114"/>
        <v>723.92091392326472</v>
      </c>
      <c r="N543" s="14">
        <f t="shared" si="115"/>
        <v>20.950315132757598</v>
      </c>
      <c r="O543" s="1">
        <f t="shared" si="116"/>
        <v>2.6966694502635975</v>
      </c>
      <c r="P543" s="1">
        <f t="shared" si="117"/>
        <v>1941.6418102648238</v>
      </c>
      <c r="S543" s="6">
        <f t="shared" si="111"/>
        <v>0.52383371682368962</v>
      </c>
      <c r="T543" s="6">
        <f t="shared" si="112"/>
        <v>0.47616628317631104</v>
      </c>
      <c r="V543" s="1">
        <f t="shared" si="118"/>
        <v>113327.28064846457</v>
      </c>
      <c r="W543" s="7">
        <f t="shared" si="119"/>
        <v>6.5731259549829512E-3</v>
      </c>
      <c r="X543" s="7">
        <f t="shared" si="120"/>
        <v>5.6940914921804527E-3</v>
      </c>
      <c r="Y543">
        <f>LN(B543/B542)</f>
        <v>1.2229671966090948E-2</v>
      </c>
      <c r="Z543">
        <f>LN(C543/C542)</f>
        <v>3.8706167049969219E-4</v>
      </c>
    </row>
    <row r="544" spans="1:26" x14ac:dyDescent="0.3">
      <c r="A544" s="11">
        <v>40976</v>
      </c>
      <c r="B544" s="12">
        <v>22350.83</v>
      </c>
      <c r="C544" s="12">
        <v>27.892859999999999</v>
      </c>
      <c r="D544" s="16">
        <f t="shared" si="122"/>
        <v>1.2027053399084942E-2</v>
      </c>
      <c r="E544" s="15">
        <f t="shared" si="121"/>
        <v>3.8626946545239349E-4</v>
      </c>
      <c r="G544" s="25" t="str">
        <f>IF(VLOOKUP(A544,Aux!B:C,2,FALSE)=0,"",VLOOKUP(A544,Aux!B:C,2,FALSE))</f>
        <v/>
      </c>
      <c r="H544" s="25" t="str">
        <f t="shared" si="110"/>
        <v/>
      </c>
      <c r="L544" s="13">
        <f t="shared" si="113"/>
        <v>114430.74363289835</v>
      </c>
      <c r="M544" s="14">
        <f t="shared" si="114"/>
        <v>716.28933937902389</v>
      </c>
      <c r="N544" s="14">
        <f t="shared" si="115"/>
        <v>20.911482296546875</v>
      </c>
      <c r="O544" s="1">
        <f t="shared" si="116"/>
        <v>2.6966694502635975</v>
      </c>
      <c r="P544" s="1">
        <f t="shared" si="117"/>
        <v>1941.6418102648238</v>
      </c>
      <c r="S544" s="6">
        <f t="shared" si="111"/>
        <v>0.52671859445739855</v>
      </c>
      <c r="T544" s="6">
        <f t="shared" si="112"/>
        <v>0.47328140554260206</v>
      </c>
      <c r="V544" s="1">
        <f t="shared" si="118"/>
        <v>113964.16919651232</v>
      </c>
      <c r="W544" s="7">
        <f t="shared" si="119"/>
        <v>6.4631732061353978E-3</v>
      </c>
      <c r="X544" s="7">
        <f t="shared" si="120"/>
        <v>5.604172223498489E-3</v>
      </c>
      <c r="Y544">
        <f>LN(B544/B543)</f>
        <v>1.1955303115755454E-2</v>
      </c>
      <c r="Z544">
        <f>LN(C544/C543)</f>
        <v>3.8619488260785526E-4</v>
      </c>
    </row>
    <row r="545" spans="1:26" x14ac:dyDescent="0.3">
      <c r="A545" s="9">
        <v>40977</v>
      </c>
      <c r="B545" s="1">
        <v>22424.1</v>
      </c>
      <c r="C545" s="1">
        <v>27.902940000000001</v>
      </c>
      <c r="D545" s="6">
        <f t="shared" si="122"/>
        <v>3.2781780363413393E-3</v>
      </c>
      <c r="E545" s="5">
        <f t="shared" si="121"/>
        <v>3.6138280549224966E-4</v>
      </c>
      <c r="G545" s="25" t="str">
        <f>IF(VLOOKUP(A545,Aux!B:C,2,FALSE)=0,"",VLOOKUP(A545,Aux!B:C,2,FALSE))</f>
        <v/>
      </c>
      <c r="H545" s="25" t="str">
        <f t="shared" si="110"/>
        <v/>
      </c>
      <c r="L545" s="13">
        <f t="shared" si="113"/>
        <v>114647.90035296662</v>
      </c>
      <c r="M545" s="14">
        <f t="shared" si="114"/>
        <v>197.58497062080517</v>
      </c>
      <c r="N545" s="14">
        <f t="shared" si="115"/>
        <v>19.571749447473476</v>
      </c>
      <c r="O545" s="1">
        <f t="shared" si="116"/>
        <v>2.6966694502635975</v>
      </c>
      <c r="P545" s="1">
        <f t="shared" si="117"/>
        <v>1941.6418102648238</v>
      </c>
      <c r="S545" s="6">
        <f t="shared" si="111"/>
        <v>0.52744433376874489</v>
      </c>
      <c r="T545" s="6">
        <f t="shared" si="112"/>
        <v>0.47255566623125572</v>
      </c>
      <c r="V545" s="1">
        <f t="shared" si="118"/>
        <v>114155.75594472262</v>
      </c>
      <c r="W545" s="7">
        <f t="shared" si="119"/>
        <v>1.8959147071694791E-3</v>
      </c>
      <c r="X545" s="7">
        <f t="shared" si="120"/>
        <v>1.6797024033470052E-3</v>
      </c>
      <c r="Y545">
        <f>LN(B545/B544)</f>
        <v>3.2728165248531267E-3</v>
      </c>
      <c r="Z545">
        <f>LN(C545/C544)</f>
        <v>3.6131752245383507E-4</v>
      </c>
    </row>
    <row r="546" spans="1:26" x14ac:dyDescent="0.3">
      <c r="A546" s="11">
        <v>40980</v>
      </c>
      <c r="B546" s="12">
        <v>22302.89</v>
      </c>
      <c r="C546" s="12">
        <v>27.913</v>
      </c>
      <c r="D546" s="16">
        <f t="shared" si="122"/>
        <v>-5.4053451420569276E-3</v>
      </c>
      <c r="E546" s="15">
        <f t="shared" si="121"/>
        <v>3.6053548479109132E-4</v>
      </c>
      <c r="G546" s="25" t="str">
        <f>IF(VLOOKUP(A546,Aux!B:C,2,FALSE)=0,"",VLOOKUP(A546,Aux!B:C,2,FALSE))</f>
        <v/>
      </c>
      <c r="H546" s="25" t="str">
        <f t="shared" si="110"/>
        <v/>
      </c>
      <c r="L546" s="13">
        <f t="shared" si="113"/>
        <v>114340.56996551144</v>
      </c>
      <c r="M546" s="14">
        <f t="shared" si="114"/>
        <v>-326.86330406644828</v>
      </c>
      <c r="N546" s="14">
        <f t="shared" si="115"/>
        <v>19.532916611262753</v>
      </c>
      <c r="O546" s="1">
        <f t="shared" si="116"/>
        <v>2.6966694502635975</v>
      </c>
      <c r="P546" s="1">
        <f t="shared" si="117"/>
        <v>1941.6418102648238</v>
      </c>
      <c r="S546" s="6">
        <f t="shared" si="111"/>
        <v>0.52600334364023704</v>
      </c>
      <c r="T546" s="6">
        <f t="shared" si="112"/>
        <v>0.47399665635976351</v>
      </c>
      <c r="V546" s="1">
        <f t="shared" si="118"/>
        <v>113898.6257873369</v>
      </c>
      <c r="W546" s="7">
        <f t="shared" si="119"/>
        <v>-2.6842449452444688E-3</v>
      </c>
      <c r="X546" s="7">
        <f t="shared" si="120"/>
        <v>-2.2549907999256866E-3</v>
      </c>
      <c r="Y546">
        <f>LN(B546/B545)</f>
        <v>-5.4200068784743599E-3</v>
      </c>
      <c r="Z546">
        <f>LN(C546/C545)</f>
        <v>3.6047050749047379E-4</v>
      </c>
    </row>
    <row r="547" spans="1:26" x14ac:dyDescent="0.3">
      <c r="A547" s="9">
        <v>40981</v>
      </c>
      <c r="B547" s="1">
        <v>22857.99</v>
      </c>
      <c r="C547" s="1">
        <v>27.923030000000001</v>
      </c>
      <c r="D547" s="6">
        <f t="shared" si="122"/>
        <v>2.4889151136915588E-2</v>
      </c>
      <c r="E547" s="5">
        <f t="shared" si="121"/>
        <v>3.5933077777383637E-4</v>
      </c>
      <c r="G547" s="25" t="str">
        <f>IF(VLOOKUP(A547,Aux!B:C,2,FALSE)=0,"",VLOOKUP(A547,Aux!B:C,2,FALSE))</f>
        <v/>
      </c>
      <c r="H547" s="25" t="str">
        <f t="shared" si="110"/>
        <v/>
      </c>
      <c r="L547" s="13">
        <f t="shared" si="113"/>
        <v>115856.96584470973</v>
      </c>
      <c r="M547" s="14">
        <f t="shared" si="114"/>
        <v>1496.9212118413288</v>
      </c>
      <c r="N547" s="14">
        <f t="shared" si="115"/>
        <v>19.474667356957013</v>
      </c>
      <c r="O547" s="1">
        <f t="shared" si="116"/>
        <v>2.6966694502635975</v>
      </c>
      <c r="P547" s="1">
        <f t="shared" si="117"/>
        <v>1941.6418102648238</v>
      </c>
      <c r="S547" s="6">
        <f t="shared" si="111"/>
        <v>0.53203916465455614</v>
      </c>
      <c r="T547" s="6">
        <f t="shared" si="112"/>
        <v>0.46796083534544441</v>
      </c>
      <c r="V547" s="1">
        <f t="shared" si="118"/>
        <v>115201.69934342775</v>
      </c>
      <c r="W547" s="7">
        <f t="shared" si="119"/>
        <v>1.3174926554259921E-2</v>
      </c>
      <c r="X547" s="7">
        <f t="shared" si="120"/>
        <v>1.137569409812067E-2</v>
      </c>
      <c r="Y547">
        <f>LN(B547/B546)</f>
        <v>2.4584461509976761E-2</v>
      </c>
      <c r="Z547">
        <f>LN(C547/C546)</f>
        <v>3.5926623393117181E-4</v>
      </c>
    </row>
    <row r="548" spans="1:26" x14ac:dyDescent="0.3">
      <c r="A548" s="11">
        <v>40982</v>
      </c>
      <c r="B548" s="12">
        <v>22872.31</v>
      </c>
      <c r="C548" s="12">
        <v>27.933050000000001</v>
      </c>
      <c r="D548" s="16">
        <f t="shared" si="122"/>
        <v>6.2647678120431038E-4</v>
      </c>
      <c r="E548" s="15">
        <f t="shared" si="121"/>
        <v>3.588435782220234E-4</v>
      </c>
      <c r="G548" s="25" t="str">
        <f>IF(VLOOKUP(A548,Aux!B:C,2,FALSE)=0,"",VLOOKUP(A548,Aux!B:C,2,FALSE))</f>
        <v/>
      </c>
      <c r="H548" s="25" t="str">
        <f t="shared" si="110"/>
        <v/>
      </c>
      <c r="L548" s="13">
        <f t="shared" si="113"/>
        <v>115915.03740217637</v>
      </c>
      <c r="M548" s="14">
        <f t="shared" si="114"/>
        <v>38.616306527773929</v>
      </c>
      <c r="N548" s="14">
        <f t="shared" si="115"/>
        <v>19.455250938855098</v>
      </c>
      <c r="O548" s="1">
        <f t="shared" si="116"/>
        <v>2.6966694502635975</v>
      </c>
      <c r="P548" s="1">
        <f t="shared" si="117"/>
        <v>1941.6418102648238</v>
      </c>
      <c r="S548" s="6">
        <f t="shared" si="111"/>
        <v>0.53210576484531702</v>
      </c>
      <c r="T548" s="6">
        <f t="shared" si="112"/>
        <v>0.46789423515468348</v>
      </c>
      <c r="V548" s="1">
        <f t="shared" si="118"/>
        <v>115257.15215160834</v>
      </c>
      <c r="W548" s="7">
        <f t="shared" si="119"/>
        <v>5.0110934770646704E-4</v>
      </c>
      <c r="X548" s="7">
        <f t="shared" si="120"/>
        <v>4.8123826783867619E-4</v>
      </c>
      <c r="Y548">
        <f>LN(B548/B547)</f>
        <v>6.2628062654556695E-4</v>
      </c>
      <c r="Z548">
        <f>LN(C548/C547)</f>
        <v>3.587792092636723E-4</v>
      </c>
    </row>
    <row r="549" spans="1:26" x14ac:dyDescent="0.3">
      <c r="A549" s="9">
        <v>40983</v>
      </c>
      <c r="B549" s="1">
        <v>22714.77</v>
      </c>
      <c r="C549" s="1">
        <v>27.943059999999999</v>
      </c>
      <c r="D549" s="6">
        <f t="shared" si="122"/>
        <v>-6.8878045112190645E-3</v>
      </c>
      <c r="E549" s="5">
        <f t="shared" si="121"/>
        <v>3.5835685684149077E-4</v>
      </c>
      <c r="G549" s="25" t="str">
        <f>IF(VLOOKUP(A549,Aux!B:C,2,FALSE)=0,"",VLOOKUP(A549,Aux!B:C,2,FALSE))</f>
        <v/>
      </c>
      <c r="H549" s="25" t="str">
        <f t="shared" si="110"/>
        <v/>
      </c>
      <c r="L549" s="13">
        <f t="shared" si="113"/>
        <v>115509.63993150259</v>
      </c>
      <c r="M549" s="14">
        <f t="shared" si="114"/>
        <v>-424.83330519452949</v>
      </c>
      <c r="N549" s="14">
        <f t="shared" si="115"/>
        <v>19.435834520746287</v>
      </c>
      <c r="O549" s="1">
        <f t="shared" si="116"/>
        <v>2.6966694502635975</v>
      </c>
      <c r="P549" s="1">
        <f t="shared" si="117"/>
        <v>1941.6418102648238</v>
      </c>
      <c r="S549" s="6">
        <f t="shared" si="111"/>
        <v>0.5302953620588543</v>
      </c>
      <c r="T549" s="6">
        <f t="shared" si="112"/>
        <v>0.46970463794114614</v>
      </c>
      <c r="V549" s="1">
        <f t="shared" si="118"/>
        <v>114916.09555676935</v>
      </c>
      <c r="W549" s="7">
        <f t="shared" si="119"/>
        <v>-3.503497466347729E-3</v>
      </c>
      <c r="X549" s="7">
        <f t="shared" si="120"/>
        <v>-2.9634794472174295E-3</v>
      </c>
      <c r="Y549">
        <f>LN(B549/B548)</f>
        <v>-6.911634925910585E-3</v>
      </c>
      <c r="Z549">
        <f>LN(C549/C548)</f>
        <v>3.5829266235896554E-4</v>
      </c>
    </row>
    <row r="550" spans="1:26" x14ac:dyDescent="0.3">
      <c r="A550" s="11">
        <v>40984</v>
      </c>
      <c r="B550" s="12">
        <v>22743.91</v>
      </c>
      <c r="C550" s="12">
        <v>27.95307</v>
      </c>
      <c r="D550" s="16">
        <f t="shared" si="122"/>
        <v>1.282865730095395E-3</v>
      </c>
      <c r="E550" s="15">
        <f t="shared" si="121"/>
        <v>3.582284832084337E-4</v>
      </c>
      <c r="G550" s="25" t="str">
        <f>IF(VLOOKUP(A550,Aux!B:C,2,FALSE)=0,"",VLOOKUP(A550,Aux!B:C,2,FALSE))</f>
        <v/>
      </c>
      <c r="H550" s="25" t="str">
        <f t="shared" si="110"/>
        <v/>
      </c>
      <c r="L550" s="13">
        <f t="shared" si="113"/>
        <v>115607.65671380403</v>
      </c>
      <c r="M550" s="14">
        <f t="shared" si="114"/>
        <v>78.580947780679665</v>
      </c>
      <c r="N550" s="14">
        <f t="shared" si="115"/>
        <v>19.435834520753186</v>
      </c>
      <c r="O550" s="1">
        <f t="shared" si="116"/>
        <v>2.6966694502635975</v>
      </c>
      <c r="P550" s="1">
        <f t="shared" si="117"/>
        <v>1941.6418102648238</v>
      </c>
      <c r="S550" s="6">
        <f t="shared" si="111"/>
        <v>0.53052547746365097</v>
      </c>
      <c r="T550" s="6">
        <f t="shared" si="112"/>
        <v>0.46947452253634947</v>
      </c>
      <c r="V550" s="1">
        <f t="shared" si="118"/>
        <v>115005.71625203169</v>
      </c>
      <c r="W550" s="7">
        <f t="shared" si="119"/>
        <v>8.481995038935997E-4</v>
      </c>
      <c r="X550" s="7">
        <f t="shared" si="120"/>
        <v>7.7957544868077473E-4</v>
      </c>
      <c r="Y550">
        <f>LN(B550/B549)</f>
        <v>1.2820435609346423E-3</v>
      </c>
      <c r="Z550">
        <f>LN(C550/C549)</f>
        <v>3.5816433470476635E-4</v>
      </c>
    </row>
    <row r="551" spans="1:26" x14ac:dyDescent="0.3">
      <c r="A551" s="9">
        <v>40987</v>
      </c>
      <c r="B551" s="1">
        <v>22787.33</v>
      </c>
      <c r="C551" s="1">
        <v>27.96313</v>
      </c>
      <c r="D551" s="6">
        <f t="shared" si="122"/>
        <v>1.9090824752650004E-3</v>
      </c>
      <c r="E551" s="5">
        <f t="shared" si="121"/>
        <v>3.5988891381166788E-4</v>
      </c>
      <c r="G551" s="25" t="str">
        <f>IF(VLOOKUP(A551,Aux!B:C,2,FALSE)=0,"",VLOOKUP(A551,Aux!B:C,2,FALSE))</f>
        <v/>
      </c>
      <c r="H551" s="25" t="str">
        <f t="shared" si="110"/>
        <v/>
      </c>
      <c r="L551" s="13">
        <f t="shared" si="113"/>
        <v>115744.27901794574</v>
      </c>
      <c r="M551" s="14">
        <f t="shared" si="114"/>
        <v>117.08938753045051</v>
      </c>
      <c r="N551" s="14">
        <f t="shared" si="115"/>
        <v>19.532916611262753</v>
      </c>
      <c r="O551" s="1">
        <f t="shared" si="116"/>
        <v>2.6966694502635975</v>
      </c>
      <c r="P551" s="1">
        <f t="shared" si="117"/>
        <v>1941.6418102648238</v>
      </c>
      <c r="S551" s="6">
        <f t="shared" si="111"/>
        <v>0.53091087685247584</v>
      </c>
      <c r="T551" s="6">
        <f t="shared" si="112"/>
        <v>0.4690891231475246</v>
      </c>
      <c r="V551" s="1">
        <f t="shared" si="118"/>
        <v>115128.39326343419</v>
      </c>
      <c r="W551" s="7">
        <f t="shared" si="119"/>
        <v>1.1810778206052927E-3</v>
      </c>
      <c r="X551" s="7">
        <f t="shared" si="120"/>
        <v>1.0661350747248708E-3</v>
      </c>
      <c r="Y551">
        <f>LN(B551/B550)</f>
        <v>1.9072624932786647E-3</v>
      </c>
      <c r="Z551">
        <f>LN(C551/C550)</f>
        <v>3.598241693299406E-4</v>
      </c>
    </row>
    <row r="552" spans="1:26" x14ac:dyDescent="0.3">
      <c r="A552" s="11">
        <v>40988</v>
      </c>
      <c r="B552" s="12">
        <v>22618.29</v>
      </c>
      <c r="C552" s="12">
        <v>27.973179999999999</v>
      </c>
      <c r="D552" s="16">
        <f t="shared" si="122"/>
        <v>-7.4181573707845505E-3</v>
      </c>
      <c r="E552" s="15">
        <f t="shared" si="121"/>
        <v>3.5940182661953202E-4</v>
      </c>
      <c r="G552" s="25" t="str">
        <f>IF(VLOOKUP(A552,Aux!B:C,2,FALSE)=0,"",VLOOKUP(A552,Aux!B:C,2,FALSE))</f>
        <v/>
      </c>
      <c r="H552" s="25" t="str">
        <f t="shared" si="110"/>
        <v/>
      </c>
      <c r="L552" s="13">
        <f t="shared" si="113"/>
        <v>115307.94751426634</v>
      </c>
      <c r="M552" s="14">
        <f t="shared" si="114"/>
        <v>-455.84500387256088</v>
      </c>
      <c r="N552" s="14">
        <f t="shared" si="115"/>
        <v>19.513500193160837</v>
      </c>
      <c r="O552" s="1">
        <f t="shared" si="116"/>
        <v>2.6966694502635975</v>
      </c>
      <c r="P552" s="1">
        <f t="shared" si="117"/>
        <v>1941.6418102648238</v>
      </c>
      <c r="S552" s="6">
        <f t="shared" si="111"/>
        <v>0.52896658881779335</v>
      </c>
      <c r="T552" s="6">
        <f t="shared" si="112"/>
        <v>0.47103341118220698</v>
      </c>
      <c r="V552" s="1">
        <f t="shared" si="118"/>
        <v>114760.89525162149</v>
      </c>
      <c r="W552" s="7">
        <f t="shared" si="119"/>
        <v>-3.7769125095186138E-3</v>
      </c>
      <c r="X552" s="7">
        <f t="shared" si="120"/>
        <v>-3.1971765820984228E-3</v>
      </c>
      <c r="Y552">
        <f>LN(B552/B551)</f>
        <v>-7.4458087331494135E-3</v>
      </c>
      <c r="Z552">
        <f>LN(C552/C551)</f>
        <v>3.5933725725347877E-4</v>
      </c>
    </row>
    <row r="553" spans="1:26" x14ac:dyDescent="0.3">
      <c r="A553" s="9">
        <v>40989</v>
      </c>
      <c r="B553" s="1">
        <v>22544.74</v>
      </c>
      <c r="C553" s="1">
        <v>27.983239999999999</v>
      </c>
      <c r="D553" s="6">
        <f t="shared" si="122"/>
        <v>-3.2517931284813395E-3</v>
      </c>
      <c r="E553" s="5">
        <f t="shared" si="121"/>
        <v>3.596301886306108E-4</v>
      </c>
      <c r="G553" s="25" t="str">
        <f>IF(VLOOKUP(A553,Aux!B:C,2,FALSE)=0,"",VLOOKUP(A553,Aux!B:C,2,FALSE))</f>
        <v/>
      </c>
      <c r="H553" s="25" t="str">
        <f t="shared" si="110"/>
        <v/>
      </c>
      <c r="L553" s="13">
        <f t="shared" si="113"/>
        <v>115129.14039281072</v>
      </c>
      <c r="M553" s="14">
        <f t="shared" si="114"/>
        <v>-198.34003806688563</v>
      </c>
      <c r="N553" s="14">
        <f t="shared" si="115"/>
        <v>19.532916611262753</v>
      </c>
      <c r="O553" s="1">
        <f t="shared" si="116"/>
        <v>2.6966694502635975</v>
      </c>
      <c r="P553" s="1">
        <f t="shared" si="117"/>
        <v>1941.6418102648238</v>
      </c>
      <c r="S553" s="6">
        <f t="shared" si="111"/>
        <v>0.52806536568158169</v>
      </c>
      <c r="T553" s="6">
        <f t="shared" si="112"/>
        <v>0.47193463431841881</v>
      </c>
      <c r="V553" s="1">
        <f t="shared" si="118"/>
        <v>114613.7183813915</v>
      </c>
      <c r="W553" s="7">
        <f t="shared" si="119"/>
        <v>-1.5518956515716289E-3</v>
      </c>
      <c r="X553" s="7">
        <f t="shared" si="120"/>
        <v>-1.2832883996778709E-3</v>
      </c>
      <c r="Y553">
        <f>LN(B553/B552)</f>
        <v>-3.2570916974413865E-3</v>
      </c>
      <c r="Z553">
        <f>LN(C553/C552)</f>
        <v>3.5956553719426461E-4</v>
      </c>
    </row>
    <row r="554" spans="1:26" x14ac:dyDescent="0.3">
      <c r="A554" s="11">
        <v>40990</v>
      </c>
      <c r="B554" s="12">
        <v>22242.29</v>
      </c>
      <c r="C554" s="12">
        <v>27.993300000000001</v>
      </c>
      <c r="D554" s="16">
        <f t="shared" si="122"/>
        <v>-1.3415546154003088E-2</v>
      </c>
      <c r="E554" s="15">
        <f t="shared" si="121"/>
        <v>3.595009012538064E-4</v>
      </c>
      <c r="G554" s="25" t="str">
        <f>IF(VLOOKUP(A554,Aux!B:C,2,FALSE)=0,"",VLOOKUP(A554,Aux!B:C,2,FALSE))</f>
        <v/>
      </c>
      <c r="H554" s="25" t="str">
        <f t="shared" si="110"/>
        <v/>
      </c>
      <c r="L554" s="13">
        <f t="shared" si="113"/>
        <v>114333.06563418976</v>
      </c>
      <c r="M554" s="14">
        <f t="shared" si="114"/>
        <v>-815.60767523222705</v>
      </c>
      <c r="N554" s="14">
        <f t="shared" si="115"/>
        <v>19.532916611269652</v>
      </c>
      <c r="O554" s="1">
        <f t="shared" si="116"/>
        <v>2.6966694502635975</v>
      </c>
      <c r="P554" s="1">
        <f t="shared" si="117"/>
        <v>1941.6418102648238</v>
      </c>
      <c r="S554" s="6">
        <f t="shared" si="111"/>
        <v>0.52460855146498653</v>
      </c>
      <c r="T554" s="6">
        <f t="shared" si="112"/>
        <v>0.47539144853501403</v>
      </c>
      <c r="V554" s="1">
        <f t="shared" si="118"/>
        <v>113938.46120419666</v>
      </c>
      <c r="W554" s="7">
        <f t="shared" si="119"/>
        <v>-6.9386411496960704E-3</v>
      </c>
      <c r="X554" s="7">
        <f t="shared" si="120"/>
        <v>-5.9090151160863516E-3</v>
      </c>
      <c r="Y554">
        <f>LN(B554/B553)</f>
        <v>-1.3506347608494611E-2</v>
      </c>
      <c r="Z554">
        <f>LN(C554/C553)</f>
        <v>3.5943629628803711E-4</v>
      </c>
    </row>
    <row r="555" spans="1:26" x14ac:dyDescent="0.3">
      <c r="A555" s="9">
        <v>40991</v>
      </c>
      <c r="B555" s="1">
        <v>22247</v>
      </c>
      <c r="C555" s="1">
        <v>28.003360000000001</v>
      </c>
      <c r="D555" s="6">
        <f t="shared" si="122"/>
        <v>2.1175877124157694E-4</v>
      </c>
      <c r="E555" s="5">
        <f t="shared" si="121"/>
        <v>3.593717068013369E-4</v>
      </c>
      <c r="G555" s="25" t="str">
        <f>IF(VLOOKUP(A555,Aux!B:C,2,FALSE)=0,"",VLOOKUP(A555,Aux!B:C,2,FALSE))</f>
        <v/>
      </c>
      <c r="H555" s="25" t="str">
        <f t="shared" si="110"/>
        <v/>
      </c>
      <c r="L555" s="13">
        <f t="shared" si="113"/>
        <v>114365.29986391176</v>
      </c>
      <c r="M555" s="14">
        <f t="shared" si="114"/>
        <v>12.701313110739189</v>
      </c>
      <c r="N555" s="14">
        <f t="shared" si="115"/>
        <v>19.532916611262753</v>
      </c>
      <c r="O555" s="1">
        <f t="shared" si="116"/>
        <v>2.6966694502635975</v>
      </c>
      <c r="P555" s="1">
        <f t="shared" si="117"/>
        <v>1941.6418102648238</v>
      </c>
      <c r="S555" s="6">
        <f t="shared" si="111"/>
        <v>0.5245717479987575</v>
      </c>
      <c r="T555" s="6">
        <f t="shared" si="112"/>
        <v>0.47542825200124295</v>
      </c>
      <c r="V555" s="1">
        <f t="shared" si="118"/>
        <v>113971.83289151611</v>
      </c>
      <c r="W555" s="7">
        <f t="shared" si="119"/>
        <v>2.8189296294482712E-4</v>
      </c>
      <c r="X555" s="7">
        <f t="shared" si="120"/>
        <v>2.9284932205770453E-4</v>
      </c>
      <c r="Y555">
        <f>LN(B555/B554)</f>
        <v>2.1173635351768867E-4</v>
      </c>
      <c r="Z555">
        <f>LN(C555/C554)</f>
        <v>3.5930714825605886E-4</v>
      </c>
    </row>
    <row r="556" spans="1:26" x14ac:dyDescent="0.3">
      <c r="A556" s="11">
        <v>40994</v>
      </c>
      <c r="B556" s="12">
        <v>22624.14</v>
      </c>
      <c r="C556" s="12">
        <v>28.013470000000002</v>
      </c>
      <c r="D556" s="16">
        <f t="shared" si="122"/>
        <v>1.6952398076145014E-2</v>
      </c>
      <c r="E556" s="15">
        <f t="shared" si="121"/>
        <v>3.6102810519889061E-4</v>
      </c>
      <c r="G556" s="25" t="str">
        <f>IF(VLOOKUP(A556,Aux!B:C,2,FALSE)=0,"",VLOOKUP(A556,Aux!B:C,2,FALSE))</f>
        <v/>
      </c>
      <c r="H556" s="25" t="str">
        <f t="shared" si="110"/>
        <v/>
      </c>
      <c r="L556" s="13">
        <f t="shared" si="113"/>
        <v>115401.95177908595</v>
      </c>
      <c r="M556" s="14">
        <f t="shared" si="114"/>
        <v>1017.0219164724116</v>
      </c>
      <c r="N556" s="14">
        <f t="shared" si="115"/>
        <v>19.629998701779215</v>
      </c>
      <c r="O556" s="1">
        <f t="shared" si="116"/>
        <v>2.6966694502635975</v>
      </c>
      <c r="P556" s="1">
        <f t="shared" si="117"/>
        <v>1941.6418102648238</v>
      </c>
      <c r="S556" s="6">
        <f t="shared" si="111"/>
        <v>0.52867240316071795</v>
      </c>
      <c r="T556" s="6">
        <f t="shared" si="112"/>
        <v>0.47132759683928244</v>
      </c>
      <c r="V556" s="1">
        <f t="shared" si="118"/>
        <v>114864.52547312976</v>
      </c>
      <c r="W556" s="7">
        <f t="shared" si="119"/>
        <v>9.0235570285218981E-3</v>
      </c>
      <c r="X556" s="7">
        <f t="shared" si="120"/>
        <v>7.8020565991086749E-3</v>
      </c>
      <c r="Y556">
        <f>LN(B556/B555)</f>
        <v>1.6810309752831192E-2</v>
      </c>
      <c r="Z556">
        <f>LN(C556/C555)</f>
        <v>3.6096295023389617E-4</v>
      </c>
    </row>
    <row r="557" spans="1:26" x14ac:dyDescent="0.3">
      <c r="A557" s="9">
        <v>40995</v>
      </c>
      <c r="B557" s="1">
        <v>22518.47</v>
      </c>
      <c r="C557" s="1">
        <v>28.02355</v>
      </c>
      <c r="D557" s="6">
        <f t="shared" si="122"/>
        <v>-4.6706747748200828E-3</v>
      </c>
      <c r="E557" s="5">
        <f t="shared" si="121"/>
        <v>3.5982689756020036E-4</v>
      </c>
      <c r="G557" s="25" t="str">
        <f>IF(VLOOKUP(A557,Aux!B:C,2,FALSE)=0,"",VLOOKUP(A557,Aux!B:C,2,FALSE))</f>
        <v/>
      </c>
      <c r="H557" s="25" t="str">
        <f t="shared" si="110"/>
        <v/>
      </c>
      <c r="L557" s="13">
        <f t="shared" si="113"/>
        <v>115136.56646772407</v>
      </c>
      <c r="M557" s="14">
        <f t="shared" si="114"/>
        <v>-284.95706080934963</v>
      </c>
      <c r="N557" s="14">
        <f t="shared" si="115"/>
        <v>19.57174944746658</v>
      </c>
      <c r="O557" s="1">
        <f t="shared" si="116"/>
        <v>2.6966694502635975</v>
      </c>
      <c r="P557" s="1">
        <f t="shared" si="117"/>
        <v>1941.6418102648238</v>
      </c>
      <c r="S557" s="6">
        <f t="shared" si="111"/>
        <v>0.52741602410646982</v>
      </c>
      <c r="T557" s="6">
        <f t="shared" si="112"/>
        <v>0.47258397589353068</v>
      </c>
      <c r="V557" s="1">
        <f t="shared" si="118"/>
        <v>114643.29138198537</v>
      </c>
      <c r="W557" s="7">
        <f t="shared" si="119"/>
        <v>-2.302308790789099E-3</v>
      </c>
      <c r="X557" s="7">
        <f t="shared" si="120"/>
        <v>-1.9279008680357901E-3</v>
      </c>
      <c r="Y557">
        <f>LN(B557/B556)</f>
        <v>-4.6816164595741066E-3</v>
      </c>
      <c r="Z557">
        <f>LN(C557/C556)</f>
        <v>3.5976217538748342E-4</v>
      </c>
    </row>
    <row r="558" spans="1:26" x14ac:dyDescent="0.3">
      <c r="A558" s="11">
        <v>40996</v>
      </c>
      <c r="B558" s="12">
        <v>22134.26</v>
      </c>
      <c r="C558" s="12">
        <v>28.033629999999999</v>
      </c>
      <c r="D558" s="16">
        <f t="shared" si="122"/>
        <v>-1.7061993998704339E-2</v>
      </c>
      <c r="E558" s="15">
        <f t="shared" si="121"/>
        <v>3.5969746873609765E-4</v>
      </c>
      <c r="G558" s="25" t="str">
        <f>IF(VLOOKUP(A558,Aux!B:C,2,FALSE)=0,"",VLOOKUP(A558,Aux!B:C,2,FALSE))</f>
        <v/>
      </c>
      <c r="H558" s="25" t="str">
        <f t="shared" si="110"/>
        <v/>
      </c>
      <c r="L558" s="13">
        <f t="shared" si="113"/>
        <v>114120.05084768575</v>
      </c>
      <c r="M558" s="14">
        <f t="shared" si="114"/>
        <v>-1036.0873694857842</v>
      </c>
      <c r="N558" s="14">
        <f t="shared" si="115"/>
        <v>19.57174944746658</v>
      </c>
      <c r="O558" s="1">
        <f t="shared" si="116"/>
        <v>2.6966694502635975</v>
      </c>
      <c r="P558" s="1">
        <f t="shared" si="117"/>
        <v>1941.6418102648238</v>
      </c>
      <c r="S558" s="6">
        <f t="shared" si="111"/>
        <v>0.52303501709666445</v>
      </c>
      <c r="T558" s="6">
        <f t="shared" si="112"/>
        <v>0.476964982903336</v>
      </c>
      <c r="V558" s="1">
        <f t="shared" si="118"/>
        <v>113779.45576745964</v>
      </c>
      <c r="W558" s="7">
        <f t="shared" si="119"/>
        <v>-8.8679863953235443E-3</v>
      </c>
      <c r="X558" s="7">
        <f t="shared" si="120"/>
        <v>-7.5635175866477925E-3</v>
      </c>
      <c r="Y558">
        <f>LN(B558/B557)</f>
        <v>-1.7209226946513837E-2</v>
      </c>
      <c r="Z558">
        <f>LN(C558/C557)</f>
        <v>3.5963279311023122E-4</v>
      </c>
    </row>
    <row r="559" spans="1:26" x14ac:dyDescent="0.3">
      <c r="A559" s="9">
        <v>40997</v>
      </c>
      <c r="B559" s="1">
        <v>22092.58</v>
      </c>
      <c r="C559" s="1">
        <v>28.043710000000001</v>
      </c>
      <c r="D559" s="6">
        <f t="shared" si="122"/>
        <v>-1.8830536914266061E-3</v>
      </c>
      <c r="E559" s="5">
        <f t="shared" si="121"/>
        <v>3.5956813298887447E-4</v>
      </c>
      <c r="G559" s="25" t="str">
        <f>IF(VLOOKUP(A559,Aux!B:C,2,FALSE)=0,"",VLOOKUP(A559,Aux!B:C,2,FALSE))</f>
        <v/>
      </c>
      <c r="H559" s="25" t="str">
        <f t="shared" si="110"/>
        <v/>
      </c>
      <c r="L559" s="13">
        <f t="shared" si="113"/>
        <v>114027.22541444623</v>
      </c>
      <c r="M559" s="14">
        <f t="shared" si="114"/>
        <v>-112.39718268697771</v>
      </c>
      <c r="N559" s="14">
        <f t="shared" si="115"/>
        <v>19.571749447473476</v>
      </c>
      <c r="O559" s="1">
        <f t="shared" si="116"/>
        <v>2.6966694502635975</v>
      </c>
      <c r="P559" s="1">
        <f t="shared" si="117"/>
        <v>1941.6418102648238</v>
      </c>
      <c r="S559" s="6">
        <f t="shared" si="111"/>
        <v>0.52247509616205001</v>
      </c>
      <c r="T559" s="6">
        <f t="shared" si="112"/>
        <v>0.47752490383795054</v>
      </c>
      <c r="V559" s="1">
        <f t="shared" si="118"/>
        <v>113705.84884469745</v>
      </c>
      <c r="W559" s="7">
        <f t="shared" si="119"/>
        <v>-8.1373260187404676E-4</v>
      </c>
      <c r="X559" s="7">
        <f t="shared" si="120"/>
        <v>-6.4713565086295388E-4</v>
      </c>
      <c r="Y559">
        <f>LN(B559/B558)</f>
        <v>-1.8848288658782567E-3</v>
      </c>
      <c r="Z559">
        <f>LN(C559/C558)</f>
        <v>3.5950350385966336E-4</v>
      </c>
    </row>
    <row r="560" spans="1:26" x14ac:dyDescent="0.3">
      <c r="A560" s="11">
        <v>40998</v>
      </c>
      <c r="B560" s="12">
        <v>22035.94</v>
      </c>
      <c r="C560" s="12">
        <v>28.053789999999999</v>
      </c>
      <c r="D560" s="16">
        <f t="shared" si="122"/>
        <v>-2.5637567002134709E-3</v>
      </c>
      <c r="E560" s="15">
        <f t="shared" si="121"/>
        <v>3.5943889021816666E-4</v>
      </c>
      <c r="G560" s="25" t="str">
        <f>IF(VLOOKUP(A560,Aux!B:C,2,FALSE)=0,"",VLOOKUP(A560,Aux!B:C,2,FALSE))</f>
        <v/>
      </c>
      <c r="H560" s="25" t="str">
        <f t="shared" si="110"/>
        <v/>
      </c>
      <c r="L560" s="13">
        <f t="shared" si="113"/>
        <v>113894.05780623076</v>
      </c>
      <c r="M560" s="14">
        <f t="shared" si="114"/>
        <v>-152.7393576629384</v>
      </c>
      <c r="N560" s="14">
        <f t="shared" si="115"/>
        <v>19.57174944746658</v>
      </c>
      <c r="O560" s="1">
        <f t="shared" si="116"/>
        <v>2.6966694502635975</v>
      </c>
      <c r="P560" s="1">
        <f t="shared" si="117"/>
        <v>1941.6418102648238</v>
      </c>
      <c r="S560" s="6">
        <f t="shared" si="111"/>
        <v>0.52174492111730475</v>
      </c>
      <c r="T560" s="6">
        <f t="shared" si="112"/>
        <v>0.47825507888269586</v>
      </c>
      <c r="V560" s="1">
        <f t="shared" si="118"/>
        <v>113597.72867863164</v>
      </c>
      <c r="W560" s="7">
        <f t="shared" si="119"/>
        <v>-1.1685404845650749E-3</v>
      </c>
      <c r="X560" s="7">
        <f t="shared" si="120"/>
        <v>-9.5132839877110249E-4</v>
      </c>
      <c r="Y560">
        <f>LN(B560/B559)</f>
        <v>-2.5670487523065896E-3</v>
      </c>
      <c r="Z560">
        <f>LN(C560/C559)</f>
        <v>3.5937430753548778E-4</v>
      </c>
    </row>
    <row r="561" spans="1:26" x14ac:dyDescent="0.3">
      <c r="A561" s="9">
        <v>41001</v>
      </c>
      <c r="B561" s="1">
        <v>22319.22</v>
      </c>
      <c r="C561" s="1">
        <v>28.06392</v>
      </c>
      <c r="D561" s="6">
        <f t="shared" si="122"/>
        <v>1.2855362648473534E-2</v>
      </c>
      <c r="E561" s="5">
        <f t="shared" si="121"/>
        <v>3.6109203070244789E-4</v>
      </c>
      <c r="G561" s="25" t="str">
        <f>IF(VLOOKUP(A561,Aux!B:C,2,FALSE)=0,"",VLOOKUP(A561,Aux!B:C,2,FALSE))</f>
        <v/>
      </c>
      <c r="H561" s="25" t="str">
        <f t="shared" si="110"/>
        <v/>
      </c>
      <c r="L561" s="13">
        <f t="shared" si="113"/>
        <v>114677.63915963942</v>
      </c>
      <c r="M561" s="14">
        <f t="shared" si="114"/>
        <v>763.91252187067857</v>
      </c>
      <c r="N561" s="14">
        <f t="shared" si="115"/>
        <v>19.668831537983042</v>
      </c>
      <c r="O561" s="1">
        <f t="shared" si="116"/>
        <v>2.6966694502635975</v>
      </c>
      <c r="P561" s="1">
        <f t="shared" si="117"/>
        <v>1941.6418102648238</v>
      </c>
      <c r="S561" s="6">
        <f t="shared" si="111"/>
        <v>0.52484127828902138</v>
      </c>
      <c r="T561" s="6">
        <f t="shared" si="112"/>
        <v>0.47515872171097912</v>
      </c>
      <c r="V561" s="1">
        <f t="shared" si="118"/>
        <v>114273.92769965416</v>
      </c>
      <c r="W561" s="7">
        <f t="shared" si="119"/>
        <v>6.8563556508741399E-3</v>
      </c>
      <c r="X561" s="7">
        <f t="shared" si="120"/>
        <v>5.934928605014894E-3</v>
      </c>
      <c r="Y561">
        <f>LN(B561/B560)</f>
        <v>1.2773433876362251E-2</v>
      </c>
      <c r="Z561">
        <f>LN(C561/C560)</f>
        <v>3.6102685266483741E-4</v>
      </c>
    </row>
    <row r="562" spans="1:26" x14ac:dyDescent="0.3">
      <c r="A562" s="11">
        <v>41002</v>
      </c>
      <c r="B562" s="12">
        <v>22019.62</v>
      </c>
      <c r="C562" s="12">
        <v>28.07403</v>
      </c>
      <c r="D562" s="16">
        <f t="shared" si="122"/>
        <v>-1.3423408165697648E-2</v>
      </c>
      <c r="E562" s="15">
        <f t="shared" si="121"/>
        <v>3.6024903149667331E-4</v>
      </c>
      <c r="G562" s="25" t="str">
        <f>IF(VLOOKUP(A562,Aux!B:C,2,FALSE)=0,"",VLOOKUP(A562,Aux!B:C,2,FALSE))</f>
        <v/>
      </c>
      <c r="H562" s="25" t="str">
        <f t="shared" si="110"/>
        <v/>
      </c>
      <c r="L562" s="13">
        <f t="shared" si="113"/>
        <v>113889.34699104223</v>
      </c>
      <c r="M562" s="14">
        <f t="shared" si="114"/>
        <v>-807.92216729897973</v>
      </c>
      <c r="N562" s="14">
        <f t="shared" si="115"/>
        <v>19.629998701779215</v>
      </c>
      <c r="O562" s="1">
        <f t="shared" si="116"/>
        <v>2.6966694502635975</v>
      </c>
      <c r="P562" s="1">
        <f t="shared" si="117"/>
        <v>1941.6418102648238</v>
      </c>
      <c r="S562" s="6">
        <f t="shared" si="111"/>
        <v>0.521380077498238</v>
      </c>
      <c r="T562" s="6">
        <f t="shared" si="112"/>
        <v>0.4786199225017625</v>
      </c>
      <c r="V562" s="1">
        <f t="shared" si="118"/>
        <v>113605.35742877591</v>
      </c>
      <c r="W562" s="7">
        <f t="shared" si="119"/>
        <v>-6.8977178843819828E-3</v>
      </c>
      <c r="X562" s="7">
        <f t="shared" si="120"/>
        <v>-5.8677750264448086E-3</v>
      </c>
      <c r="Y562">
        <f>LN(B562/B561)</f>
        <v>-1.3514316559343112E-2</v>
      </c>
      <c r="Z562">
        <f>LN(C562/C561)</f>
        <v>3.6018415739441352E-4</v>
      </c>
    </row>
    <row r="563" spans="1:26" x14ac:dyDescent="0.3">
      <c r="A563" s="9">
        <v>41003</v>
      </c>
      <c r="B563" s="1">
        <v>21644.79</v>
      </c>
      <c r="C563" s="1">
        <v>28.084140000000001</v>
      </c>
      <c r="D563" s="6">
        <f t="shared" si="122"/>
        <v>-1.7022546256474813E-2</v>
      </c>
      <c r="E563" s="5">
        <f t="shared" si="121"/>
        <v>3.6011929886803351E-4</v>
      </c>
      <c r="G563" s="25" t="str">
        <f>IF(VLOOKUP(A563,Aux!B:C,2,FALSE)=0,"",VLOOKUP(A563,Aux!B:C,2,FALSE))</f>
        <v/>
      </c>
      <c r="H563" s="25" t="str">
        <f t="shared" si="110"/>
        <v/>
      </c>
      <c r="L563" s="13">
        <f t="shared" si="113"/>
        <v>112898.18437970172</v>
      </c>
      <c r="M563" s="14">
        <f t="shared" si="114"/>
        <v>-1010.7926100422992</v>
      </c>
      <c r="N563" s="14">
        <f t="shared" si="115"/>
        <v>19.629998701779215</v>
      </c>
      <c r="O563" s="1">
        <f t="shared" si="116"/>
        <v>2.6966694502635975</v>
      </c>
      <c r="P563" s="1">
        <f t="shared" si="117"/>
        <v>1941.6418102648238</v>
      </c>
      <c r="S563" s="6">
        <f t="shared" si="111"/>
        <v>0.51700427487889089</v>
      </c>
      <c r="T563" s="6">
        <f t="shared" si="112"/>
        <v>0.48299572512110955</v>
      </c>
      <c r="V563" s="1">
        <f t="shared" si="118"/>
        <v>112763.22891633819</v>
      </c>
      <c r="W563" s="7">
        <f t="shared" si="119"/>
        <v>-8.7409472300978026E-3</v>
      </c>
      <c r="X563" s="7">
        <f t="shared" si="120"/>
        <v>-7.4403645044748973E-3</v>
      </c>
      <c r="Y563">
        <f>LN(B563/B562)</f>
        <v>-1.7169095269396917E-2</v>
      </c>
      <c r="Z563">
        <f>LN(C563/C562)</f>
        <v>3.6005447147658776E-4</v>
      </c>
    </row>
    <row r="564" spans="1:26" x14ac:dyDescent="0.3">
      <c r="A564" s="11">
        <v>41004</v>
      </c>
      <c r="B564" s="12">
        <v>21645.8</v>
      </c>
      <c r="C564" s="12">
        <v>28.094290000000001</v>
      </c>
      <c r="D564" s="16">
        <f t="shared" si="122"/>
        <v>4.6662499382010836E-5</v>
      </c>
      <c r="E564" s="15">
        <f t="shared" si="121"/>
        <v>3.6141395107702756E-4</v>
      </c>
      <c r="G564" s="25" t="str">
        <f>IF(VLOOKUP(A564,Aux!B:C,2,FALSE)=0,"",VLOOKUP(A564,Aux!B:C,2,FALSE))</f>
        <v/>
      </c>
      <c r="H564" s="25" t="str">
        <f t="shared" si="110"/>
        <v/>
      </c>
      <c r="L564" s="13">
        <f t="shared" si="113"/>
        <v>112920.61568022067</v>
      </c>
      <c r="M564" s="14">
        <f t="shared" si="114"/>
        <v>2.7236361447619171</v>
      </c>
      <c r="N564" s="14">
        <f t="shared" si="115"/>
        <v>19.707664374186869</v>
      </c>
      <c r="O564" s="1">
        <f t="shared" si="116"/>
        <v>2.6966694502635975</v>
      </c>
      <c r="P564" s="1">
        <f t="shared" si="117"/>
        <v>1941.6418102648238</v>
      </c>
      <c r="S564" s="6">
        <f t="shared" si="111"/>
        <v>0.51692569363789098</v>
      </c>
      <c r="T564" s="6">
        <f t="shared" si="112"/>
        <v>0.48307430636210941</v>
      </c>
      <c r="V564" s="1">
        <f t="shared" si="118"/>
        <v>112788.26591615248</v>
      </c>
      <c r="W564" s="7">
        <f t="shared" si="119"/>
        <v>1.9866636955616953E-4</v>
      </c>
      <c r="X564" s="7">
        <f t="shared" si="120"/>
        <v>2.2200695176686786E-4</v>
      </c>
      <c r="Y564">
        <f>LN(B564/B563)</f>
        <v>4.6661410721452833E-5</v>
      </c>
      <c r="Z564">
        <f>LN(C564/C563)</f>
        <v>3.6134865678671556E-4</v>
      </c>
    </row>
    <row r="565" spans="1:26" x14ac:dyDescent="0.3">
      <c r="A565" s="9">
        <v>41008</v>
      </c>
      <c r="B565" s="1">
        <v>21415.35</v>
      </c>
      <c r="C565" s="1">
        <v>28.104430000000001</v>
      </c>
      <c r="D565" s="6">
        <f t="shared" si="122"/>
        <v>-1.0646407155198712E-2</v>
      </c>
      <c r="E565" s="5">
        <f t="shared" si="121"/>
        <v>3.6092743400883975E-4</v>
      </c>
      <c r="G565" s="25" t="str">
        <f>IF(VLOOKUP(A565,Aux!B:C,2,FALSE)=0,"",VLOOKUP(A565,Aux!B:C,2,FALSE))</f>
        <v/>
      </c>
      <c r="H565" s="25" t="str">
        <f t="shared" si="110"/>
        <v/>
      </c>
      <c r="L565" s="13">
        <f t="shared" si="113"/>
        <v>112318.85645336351</v>
      </c>
      <c r="M565" s="14">
        <f t="shared" si="114"/>
        <v>-621.44747481324805</v>
      </c>
      <c r="N565" s="14">
        <f t="shared" si="115"/>
        <v>19.688247956084954</v>
      </c>
      <c r="O565" s="1">
        <f t="shared" si="116"/>
        <v>2.6966694502635975</v>
      </c>
      <c r="P565" s="1">
        <f t="shared" si="117"/>
        <v>1941.6418102648238</v>
      </c>
      <c r="S565" s="6">
        <f t="shared" si="111"/>
        <v>0.51416228703932054</v>
      </c>
      <c r="T565" s="6">
        <f t="shared" si="112"/>
        <v>0.48583771296067985</v>
      </c>
      <c r="V565" s="1">
        <f t="shared" si="118"/>
        <v>112279.29422812804</v>
      </c>
      <c r="W565" s="7">
        <f t="shared" si="119"/>
        <v>-5.3432966511852151E-3</v>
      </c>
      <c r="X565" s="7">
        <f t="shared" si="120"/>
        <v>-4.5228424329950244E-3</v>
      </c>
      <c r="Y565">
        <f>LN(B565/B564)</f>
        <v>-1.070348562978744E-2</v>
      </c>
      <c r="Z565">
        <f>LN(C565/C564)</f>
        <v>3.6086231537079376E-4</v>
      </c>
    </row>
    <row r="566" spans="1:26" x14ac:dyDescent="0.3">
      <c r="A566" s="11">
        <v>41009</v>
      </c>
      <c r="B566" s="12">
        <v>21156.55</v>
      </c>
      <c r="C566" s="12">
        <v>28.114550000000001</v>
      </c>
      <c r="D566" s="16">
        <f t="shared" si="122"/>
        <v>-1.2084789648546423E-2</v>
      </c>
      <c r="E566" s="15">
        <f t="shared" si="121"/>
        <v>3.60085580814129E-4</v>
      </c>
      <c r="G566" s="25" t="str">
        <f>IF(VLOOKUP(A566,Aux!B:C,2,FALSE)=0,"",VLOOKUP(A566,Aux!B:C,2,FALSE))</f>
        <v/>
      </c>
      <c r="H566" s="25" t="str">
        <f t="shared" si="110"/>
        <v/>
      </c>
      <c r="L566" s="13">
        <f t="shared" si="113"/>
        <v>111640.60781475517</v>
      </c>
      <c r="M566" s="14">
        <f t="shared" si="114"/>
        <v>-697.89805372821706</v>
      </c>
      <c r="N566" s="14">
        <f t="shared" si="115"/>
        <v>19.64941511988113</v>
      </c>
      <c r="O566" s="1">
        <f t="shared" si="116"/>
        <v>2.6966694502635975</v>
      </c>
      <c r="P566" s="1">
        <f t="shared" si="117"/>
        <v>1941.6418102648238</v>
      </c>
      <c r="S566" s="6">
        <f t="shared" si="111"/>
        <v>0.51103467792508661</v>
      </c>
      <c r="T566" s="6">
        <f t="shared" si="112"/>
        <v>0.48896532207491378</v>
      </c>
      <c r="V566" s="1">
        <f t="shared" si="118"/>
        <v>111704.87335576606</v>
      </c>
      <c r="W566" s="7">
        <f t="shared" si="119"/>
        <v>-6.0569060061730689E-3</v>
      </c>
      <c r="X566" s="7">
        <f t="shared" si="120"/>
        <v>-5.1291315621033529E-3</v>
      </c>
      <c r="Y566">
        <f>LN(B566/B565)</f>
        <v>-1.2158404399306148E-2</v>
      </c>
      <c r="Z566">
        <f>LN(C566/C565)</f>
        <v>3.6002076556026596E-4</v>
      </c>
    </row>
    <row r="567" spans="1:26" x14ac:dyDescent="0.3">
      <c r="A567" s="9">
        <v>41010</v>
      </c>
      <c r="B567" s="1">
        <v>21136.21</v>
      </c>
      <c r="C567" s="1">
        <v>28.124700000000001</v>
      </c>
      <c r="D567" s="6">
        <f t="shared" si="122"/>
        <v>-9.6140438776648462E-4</v>
      </c>
      <c r="E567" s="5">
        <f t="shared" si="121"/>
        <v>3.6102302900098415E-4</v>
      </c>
      <c r="G567" s="25" t="str">
        <f>IF(VLOOKUP(A567,Aux!B:C,2,FALSE)=0,"",VLOOKUP(A567,Aux!B:C,2,FALSE))</f>
        <v/>
      </c>
      <c r="H567" s="25" t="str">
        <f t="shared" si="110"/>
        <v/>
      </c>
      <c r="L567" s="13">
        <f t="shared" si="113"/>
        <v>111605.465222511</v>
      </c>
      <c r="M567" s="14">
        <f t="shared" si="114"/>
        <v>-54.850256618361968</v>
      </c>
      <c r="N567" s="14">
        <f t="shared" si="115"/>
        <v>19.707664374186869</v>
      </c>
      <c r="O567" s="1">
        <f t="shared" si="116"/>
        <v>2.6966694502635975</v>
      </c>
      <c r="P567" s="1">
        <f t="shared" si="117"/>
        <v>1941.6418102648238</v>
      </c>
      <c r="S567" s="6">
        <f t="shared" si="111"/>
        <v>0.5107041280435386</v>
      </c>
      <c r="T567" s="6">
        <f t="shared" si="112"/>
        <v>0.48929587195646179</v>
      </c>
      <c r="V567" s="1">
        <f t="shared" si="118"/>
        <v>111680.65515875336</v>
      </c>
      <c r="W567" s="7">
        <f t="shared" si="119"/>
        <v>-3.1483279464968158E-4</v>
      </c>
      <c r="X567" s="7">
        <f t="shared" si="120"/>
        <v>-2.168287020974922E-4</v>
      </c>
      <c r="Y567">
        <f>LN(B567/B566)</f>
        <v>-9.6186683338681737E-4</v>
      </c>
      <c r="Z567">
        <f>LN(C567/C566)</f>
        <v>3.6095787586796558E-4</v>
      </c>
    </row>
    <row r="568" spans="1:26" x14ac:dyDescent="0.3">
      <c r="A568" s="11">
        <v>41011</v>
      </c>
      <c r="B568" s="12">
        <v>21700.21</v>
      </c>
      <c r="C568" s="12">
        <v>28.134820000000001</v>
      </c>
      <c r="D568" s="16">
        <f t="shared" si="122"/>
        <v>2.6684064929332285E-2</v>
      </c>
      <c r="E568" s="15">
        <f t="shared" si="121"/>
        <v>3.5982606036699671E-4</v>
      </c>
      <c r="G568" s="25" t="str">
        <f>IF(VLOOKUP(A568,Aux!B:C,2,FALSE)=0,"",VLOOKUP(A568,Aux!B:C,2,FALSE))</f>
        <v/>
      </c>
      <c r="H568" s="25" t="str">
        <f t="shared" si="110"/>
        <v/>
      </c>
      <c r="L568" s="13">
        <f t="shared" si="113"/>
        <v>113146.03620757956</v>
      </c>
      <c r="M568" s="14">
        <f t="shared" si="114"/>
        <v>1520.921569948669</v>
      </c>
      <c r="N568" s="14">
        <f t="shared" si="115"/>
        <v>19.64941511988113</v>
      </c>
      <c r="O568" s="1">
        <f t="shared" si="116"/>
        <v>2.6966694502635975</v>
      </c>
      <c r="P568" s="1">
        <f t="shared" si="117"/>
        <v>1941.6418102648238</v>
      </c>
      <c r="S568" s="6">
        <f t="shared" si="111"/>
        <v>0.51719260641129317</v>
      </c>
      <c r="T568" s="6">
        <f t="shared" si="112"/>
        <v>0.48280739358870711</v>
      </c>
      <c r="V568" s="1">
        <f t="shared" si="118"/>
        <v>113004.46266808939</v>
      </c>
      <c r="W568" s="7">
        <f t="shared" si="119"/>
        <v>1.3709319882619893E-2</v>
      </c>
      <c r="X568" s="7">
        <f t="shared" si="120"/>
        <v>1.1783805180782146E-2</v>
      </c>
      <c r="Y568">
        <f>LN(B568/B567)</f>
        <v>2.6334254533524715E-2</v>
      </c>
      <c r="Z568">
        <f>LN(C568/C567)</f>
        <v>3.5976133849541567E-4</v>
      </c>
    </row>
    <row r="569" spans="1:26" x14ac:dyDescent="0.3">
      <c r="A569" s="9">
        <v>41012</v>
      </c>
      <c r="B569" s="1">
        <v>21392.14</v>
      </c>
      <c r="C569" s="1">
        <v>28.144929999999999</v>
      </c>
      <c r="D569" s="6">
        <f t="shared" si="122"/>
        <v>-1.4196636806740548E-2</v>
      </c>
      <c r="E569" s="5">
        <f t="shared" si="121"/>
        <v>3.5934120068992215E-4</v>
      </c>
      <c r="G569" s="25" t="str">
        <f>IF(VLOOKUP(A569,Aux!B:C,2,FALSE)=0,"",VLOOKUP(A569,Aux!B:C,2,FALSE))</f>
        <v/>
      </c>
      <c r="H569" s="25" t="str">
        <f t="shared" si="110"/>
        <v/>
      </c>
      <c r="L569" s="13">
        <f t="shared" si="113"/>
        <v>112334.90324873861</v>
      </c>
      <c r="M569" s="14">
        <f t="shared" si="114"/>
        <v>-830.76295754270575</v>
      </c>
      <c r="N569" s="14">
        <f t="shared" si="115"/>
        <v>19.629998701772319</v>
      </c>
      <c r="O569" s="1">
        <f t="shared" si="116"/>
        <v>2.6966694502635975</v>
      </c>
      <c r="P569" s="1">
        <f t="shared" si="117"/>
        <v>1941.6418102648238</v>
      </c>
      <c r="S569" s="6">
        <f t="shared" si="111"/>
        <v>0.51353166954732454</v>
      </c>
      <c r="T569" s="6">
        <f t="shared" si="112"/>
        <v>0.48646833045267585</v>
      </c>
      <c r="V569" s="1">
        <f t="shared" si="118"/>
        <v>112316.35181092896</v>
      </c>
      <c r="W569" s="7">
        <f t="shared" si="119"/>
        <v>-7.1947230639862652E-3</v>
      </c>
      <c r="X569" s="7">
        <f t="shared" si="120"/>
        <v>-6.1078511362853468E-3</v>
      </c>
      <c r="Y569">
        <f>LN(B569/B568)</f>
        <v>-1.4298373078152751E-2</v>
      </c>
      <c r="Z569">
        <f>LN(C569/C568)</f>
        <v>3.5927665310327411E-4</v>
      </c>
    </row>
    <row r="570" spans="1:26" x14ac:dyDescent="0.3">
      <c r="A570" s="11">
        <v>41015</v>
      </c>
      <c r="B570" s="12">
        <v>21310.44</v>
      </c>
      <c r="C570" s="12">
        <v>28.155049999999999</v>
      </c>
      <c r="D570" s="16">
        <f t="shared" si="122"/>
        <v>-3.8191597474587224E-3</v>
      </c>
      <c r="E570" s="15">
        <f t="shared" si="121"/>
        <v>3.5956742475473646E-4</v>
      </c>
      <c r="G570" s="25" t="str">
        <f>IF(VLOOKUP(A570,Aux!B:C,2,FALSE)=0,"",VLOOKUP(A570,Aux!B:C,2,FALSE))</f>
        <v/>
      </c>
      <c r="H570" s="25" t="str">
        <f t="shared" si="110"/>
        <v/>
      </c>
      <c r="L570" s="13">
        <f t="shared" si="113"/>
        <v>112134.23476977197</v>
      </c>
      <c r="M570" s="14">
        <f t="shared" si="114"/>
        <v>-220.31789408653788</v>
      </c>
      <c r="N570" s="14">
        <f t="shared" si="115"/>
        <v>19.64941511988113</v>
      </c>
      <c r="O570" s="1">
        <f t="shared" si="116"/>
        <v>2.6966694502635975</v>
      </c>
      <c r="P570" s="1">
        <f t="shared" si="117"/>
        <v>1941.6418102648238</v>
      </c>
      <c r="S570" s="6">
        <f t="shared" si="111"/>
        <v>0.51248588477608104</v>
      </c>
      <c r="T570" s="6">
        <f t="shared" si="112"/>
        <v>0.4875141152239193</v>
      </c>
      <c r="V570" s="1">
        <f t="shared" si="118"/>
        <v>112150.50683355813</v>
      </c>
      <c r="W570" s="7">
        <f t="shared" si="119"/>
        <v>-1.7879387268544982E-3</v>
      </c>
      <c r="X570" s="7">
        <f t="shared" si="120"/>
        <v>-1.477679231131959E-3</v>
      </c>
      <c r="Y570">
        <f>LN(B570/B569)</f>
        <v>-3.8264713601284923E-3</v>
      </c>
      <c r="Z570">
        <f>LN(C570/C569)</f>
        <v>3.5950279588009196E-4</v>
      </c>
    </row>
    <row r="571" spans="1:26" x14ac:dyDescent="0.3">
      <c r="A571" s="9">
        <v>41016</v>
      </c>
      <c r="B571" s="1">
        <v>21486.98</v>
      </c>
      <c r="C571" s="1">
        <v>28.16516</v>
      </c>
      <c r="D571" s="6">
        <f t="shared" si="122"/>
        <v>8.2842024847915585E-3</v>
      </c>
      <c r="E571" s="5">
        <f t="shared" si="121"/>
        <v>3.5908300642328861E-4</v>
      </c>
      <c r="G571" s="25" t="str">
        <f>IF(VLOOKUP(A571,Aux!B:C,2,FALSE)=0,"",VLOOKUP(A571,Aux!B:C,2,FALSE))</f>
        <v/>
      </c>
      <c r="H571" s="25" t="str">
        <f t="shared" si="110"/>
        <v/>
      </c>
      <c r="L571" s="13">
        <f t="shared" si="113"/>
        <v>112629.93479322329</v>
      </c>
      <c r="M571" s="14">
        <f t="shared" si="114"/>
        <v>476.07002474953788</v>
      </c>
      <c r="N571" s="14">
        <f t="shared" si="115"/>
        <v>19.629998701779215</v>
      </c>
      <c r="O571" s="1">
        <f t="shared" si="116"/>
        <v>2.6966694502635975</v>
      </c>
      <c r="P571" s="1">
        <f t="shared" si="117"/>
        <v>1941.6418102648238</v>
      </c>
      <c r="S571" s="6">
        <f t="shared" si="111"/>
        <v>0.51445721468988403</v>
      </c>
      <c r="T571" s="6">
        <f t="shared" si="112"/>
        <v>0.48554278531011619</v>
      </c>
      <c r="V571" s="1">
        <f t="shared" si="118"/>
        <v>112580.40819814622</v>
      </c>
      <c r="W571" s="7">
        <f t="shared" si="119"/>
        <v>4.4108527448498075E-3</v>
      </c>
      <c r="X571" s="7">
        <f t="shared" si="120"/>
        <v>3.825925675822993E-3</v>
      </c>
      <c r="Y571">
        <f>LN(B571/B570)</f>
        <v>8.250076819131872E-3</v>
      </c>
      <c r="Z571">
        <f>LN(C571/C570)</f>
        <v>3.5901855154984248E-4</v>
      </c>
    </row>
    <row r="572" spans="1:26" x14ac:dyDescent="0.3">
      <c r="A572" s="11">
        <v>41017</v>
      </c>
      <c r="B572" s="12">
        <v>21645.42</v>
      </c>
      <c r="C572" s="12">
        <v>28.175260000000002</v>
      </c>
      <c r="D572" s="16">
        <f t="shared" si="122"/>
        <v>7.373767742139492E-3</v>
      </c>
      <c r="E572" s="15">
        <f t="shared" si="121"/>
        <v>3.5859906352397886E-4</v>
      </c>
      <c r="G572" s="25" t="str">
        <f>IF(VLOOKUP(A572,Aux!B:C,2,FALSE)=0,"",VLOOKUP(A572,Aux!B:C,2,FALSE))</f>
        <v/>
      </c>
      <c r="H572" s="25" t="str">
        <f t="shared" si="110"/>
        <v/>
      </c>
      <c r="L572" s="13">
        <f t="shared" si="113"/>
        <v>113076.80568320674</v>
      </c>
      <c r="M572" s="14">
        <f t="shared" si="114"/>
        <v>427.26030769976086</v>
      </c>
      <c r="N572" s="14">
        <f t="shared" si="115"/>
        <v>19.610582283677303</v>
      </c>
      <c r="O572" s="1">
        <f t="shared" si="116"/>
        <v>2.6966694502635975</v>
      </c>
      <c r="P572" s="1">
        <f t="shared" si="117"/>
        <v>1941.6418102648238</v>
      </c>
      <c r="S572" s="6">
        <f t="shared" si="111"/>
        <v>0.51620261555366342</v>
      </c>
      <c r="T572" s="6">
        <f t="shared" si="112"/>
        <v>0.48379738444633669</v>
      </c>
      <c r="V572" s="1">
        <f t="shared" si="118"/>
        <v>112968.5298582683</v>
      </c>
      <c r="W572" s="7">
        <f t="shared" si="119"/>
        <v>3.9597530223337432E-3</v>
      </c>
      <c r="X572" s="7">
        <f t="shared" si="120"/>
        <v>3.4415772165213229E-3</v>
      </c>
      <c r="Y572">
        <f>LN(B572/B571)</f>
        <v>7.3467144252988004E-3</v>
      </c>
      <c r="Z572">
        <f>LN(C572/C571)</f>
        <v>3.5853478224681011E-4</v>
      </c>
    </row>
    <row r="573" spans="1:26" x14ac:dyDescent="0.3">
      <c r="A573" s="9">
        <v>41018</v>
      </c>
      <c r="B573" s="1">
        <v>21588.05</v>
      </c>
      <c r="C573" s="1">
        <v>28.185379999999999</v>
      </c>
      <c r="D573" s="6">
        <f t="shared" si="122"/>
        <v>-2.6504452212060547E-3</v>
      </c>
      <c r="E573" s="5">
        <f t="shared" si="121"/>
        <v>3.5918035893889311E-4</v>
      </c>
      <c r="G573" s="25" t="str">
        <f>IF(VLOOKUP(A573,Aux!B:C,2,FALSE)=0,"",VLOOKUP(A573,Aux!B:C,2,FALSE))</f>
        <v/>
      </c>
      <c r="H573" s="25" t="str">
        <f t="shared" si="110"/>
        <v/>
      </c>
      <c r="L573" s="13">
        <f t="shared" si="113"/>
        <v>112941.74717196499</v>
      </c>
      <c r="M573" s="14">
        <f t="shared" si="114"/>
        <v>-154.70792636161985</v>
      </c>
      <c r="N573" s="14">
        <f t="shared" si="115"/>
        <v>19.649415119874231</v>
      </c>
      <c r="O573" s="1">
        <f t="shared" si="116"/>
        <v>2.6966694502635975</v>
      </c>
      <c r="P573" s="1">
        <f t="shared" si="117"/>
        <v>1941.6418102648238</v>
      </c>
      <c r="S573" s="6">
        <f t="shared" si="111"/>
        <v>0.51545010045863449</v>
      </c>
      <c r="T573" s="6">
        <f t="shared" si="112"/>
        <v>0.48454989954136568</v>
      </c>
      <c r="V573" s="1">
        <f t="shared" si="118"/>
        <v>112858.81504196543</v>
      </c>
      <c r="W573" s="7">
        <f t="shared" si="119"/>
        <v>-1.1951100970325639E-3</v>
      </c>
      <c r="X573" s="7">
        <f t="shared" si="120"/>
        <v>-9.7166997188533489E-4</v>
      </c>
      <c r="Y573">
        <f>LN(B573/B572)</f>
        <v>-2.6539638698401674E-3</v>
      </c>
      <c r="Z573">
        <f>LN(C573/C572)</f>
        <v>3.5911586911562584E-4</v>
      </c>
    </row>
    <row r="574" spans="1:26" x14ac:dyDescent="0.3">
      <c r="A574" s="11">
        <v>41019</v>
      </c>
      <c r="B574" s="12">
        <v>21630.29</v>
      </c>
      <c r="C574" s="12">
        <v>28.19473</v>
      </c>
      <c r="D574" s="16">
        <f t="shared" si="122"/>
        <v>1.9566380474382861E-3</v>
      </c>
      <c r="E574" s="15">
        <f t="shared" si="121"/>
        <v>3.3173226687033264E-4</v>
      </c>
      <c r="G574" s="25" t="str">
        <f>IF(VLOOKUP(A574,Aux!B:C,2,FALSE)=0,"",VLOOKUP(A574,Aux!B:C,2,FALSE))</f>
        <v/>
      </c>
      <c r="H574" s="25" t="str">
        <f t="shared" si="110"/>
        <v/>
      </c>
      <c r="L574" s="13">
        <f t="shared" si="113"/>
        <v>113073.80884047011</v>
      </c>
      <c r="M574" s="14">
        <f t="shared" si="114"/>
        <v>113.90731757913868</v>
      </c>
      <c r="N574" s="14">
        <f t="shared" si="115"/>
        <v>18.15435092597863</v>
      </c>
      <c r="O574" s="1">
        <f t="shared" si="116"/>
        <v>2.6966694502635975</v>
      </c>
      <c r="P574" s="1">
        <f t="shared" si="117"/>
        <v>1941.6418102648238</v>
      </c>
      <c r="S574" s="6">
        <f t="shared" si="111"/>
        <v>0.51585546504086155</v>
      </c>
      <c r="T574" s="6">
        <f t="shared" si="112"/>
        <v>0.48414453495913862</v>
      </c>
      <c r="V574" s="1">
        <f t="shared" si="118"/>
        <v>112977.18138804364</v>
      </c>
      <c r="W574" s="7">
        <f t="shared" si="119"/>
        <v>1.1686070274467776E-3</v>
      </c>
      <c r="X574" s="7">
        <f t="shared" si="120"/>
        <v>1.0482505781896998E-3</v>
      </c>
      <c r="Y574">
        <f>LN(B574/B573)</f>
        <v>1.9547263245076442E-3</v>
      </c>
      <c r="Z574">
        <f>LN(C574/C573)</f>
        <v>3.3167725588750026E-4</v>
      </c>
    </row>
    <row r="575" spans="1:26" x14ac:dyDescent="0.3">
      <c r="A575" s="9">
        <v>41022</v>
      </c>
      <c r="B575" s="1">
        <v>21400.75</v>
      </c>
      <c r="C575" s="1">
        <v>28.2041</v>
      </c>
      <c r="D575" s="6">
        <f t="shared" si="122"/>
        <v>-1.06119705283656E-2</v>
      </c>
      <c r="E575" s="5">
        <f t="shared" si="121"/>
        <v>3.3233160948875629E-4</v>
      </c>
      <c r="G575" s="25" t="str">
        <f>IF(VLOOKUP(A575,Aux!B:C,2,FALSE)=0,"",VLOOKUP(A575,Aux!B:C,2,FALSE))</f>
        <v/>
      </c>
      <c r="H575" s="25" t="str">
        <f t="shared" si="110"/>
        <v/>
      </c>
      <c r="L575" s="13">
        <f t="shared" si="113"/>
        <v>112473.00851861878</v>
      </c>
      <c r="M575" s="14">
        <f t="shared" si="114"/>
        <v>-618.99350561350855</v>
      </c>
      <c r="N575" s="14">
        <f t="shared" si="115"/>
        <v>18.193183762182457</v>
      </c>
      <c r="O575" s="1">
        <f t="shared" si="116"/>
        <v>2.6966694502635975</v>
      </c>
      <c r="P575" s="1">
        <f t="shared" si="117"/>
        <v>1941.6418102648238</v>
      </c>
      <c r="S575" s="6">
        <f t="shared" si="111"/>
        <v>0.51310754018085369</v>
      </c>
      <c r="T575" s="6">
        <f t="shared" si="112"/>
        <v>0.48689245981914653</v>
      </c>
      <c r="V575" s="1">
        <f t="shared" si="118"/>
        <v>112468.58650985581</v>
      </c>
      <c r="W575" s="7">
        <f t="shared" si="119"/>
        <v>-5.3275124863014231E-3</v>
      </c>
      <c r="X575" s="7">
        <f t="shared" si="120"/>
        <v>-4.5119120729873148E-3</v>
      </c>
      <c r="Y575">
        <f>LN(B575/B574)</f>
        <v>-1.0668679037104284E-2</v>
      </c>
      <c r="Z575">
        <f>LN(C575/C574)</f>
        <v>3.3227639957108542E-4</v>
      </c>
    </row>
    <row r="576" spans="1:26" x14ac:dyDescent="0.3">
      <c r="A576" s="11">
        <v>41023</v>
      </c>
      <c r="B576" s="12">
        <v>21468.23</v>
      </c>
      <c r="C576" s="12">
        <v>28.213509999999999</v>
      </c>
      <c r="D576" s="16">
        <f t="shared" si="122"/>
        <v>3.1531605200751933E-3</v>
      </c>
      <c r="E576" s="15">
        <f t="shared" si="121"/>
        <v>3.3363943540121177E-4</v>
      </c>
      <c r="G576" s="25" t="str">
        <f>IF(VLOOKUP(A576,Aux!B:C,2,FALSE)=0,"",VLOOKUP(A576,Aux!B:C,2,FALSE))</f>
        <v/>
      </c>
      <c r="H576" s="25" t="str">
        <f t="shared" si="110"/>
        <v/>
      </c>
      <c r="L576" s="13">
        <f t="shared" si="113"/>
        <v>112673.25062255716</v>
      </c>
      <c r="M576" s="14">
        <f t="shared" si="114"/>
        <v>181.97125450378638</v>
      </c>
      <c r="N576" s="14">
        <f t="shared" si="115"/>
        <v>18.270849434590108</v>
      </c>
      <c r="O576" s="1">
        <f t="shared" si="116"/>
        <v>2.6966694502635975</v>
      </c>
      <c r="P576" s="1">
        <f t="shared" si="117"/>
        <v>1941.6418102648238</v>
      </c>
      <c r="S576" s="6">
        <f t="shared" si="111"/>
        <v>0.51381068418951215</v>
      </c>
      <c r="T576" s="6">
        <f t="shared" si="112"/>
        <v>0.48618931581048802</v>
      </c>
      <c r="V576" s="1">
        <f t="shared" si="118"/>
        <v>112645.31664678162</v>
      </c>
      <c r="W576" s="7">
        <f t="shared" si="119"/>
        <v>1.7787740067277428E-3</v>
      </c>
      <c r="X576" s="7">
        <f t="shared" si="120"/>
        <v>1.570140011398057E-3</v>
      </c>
      <c r="Y576">
        <f>LN(B576/B575)</f>
        <v>3.1481997348084896E-3</v>
      </c>
      <c r="Z576">
        <f>LN(C576/C575)</f>
        <v>3.3358379014140899E-4</v>
      </c>
    </row>
    <row r="577" spans="1:26" x14ac:dyDescent="0.3">
      <c r="A577" s="9">
        <v>41024</v>
      </c>
      <c r="B577" s="1">
        <v>21299.09</v>
      </c>
      <c r="C577" s="1">
        <v>28.22287</v>
      </c>
      <c r="D577" s="6">
        <f t="shared" si="122"/>
        <v>-7.8786187776076488E-3</v>
      </c>
      <c r="E577" s="5">
        <f t="shared" si="121"/>
        <v>3.3175595663226254E-4</v>
      </c>
      <c r="G577" s="25" t="str">
        <f>IF(VLOOKUP(A577,Aux!B:C,2,FALSE)=0,"",VLOOKUP(A577,Aux!B:C,2,FALSE))</f>
        <v/>
      </c>
      <c r="H577" s="25" t="str">
        <f t="shared" si="110"/>
        <v/>
      </c>
      <c r="L577" s="13">
        <f t="shared" si="113"/>
        <v>112235.30971908366</v>
      </c>
      <c r="M577" s="14">
        <f t="shared" si="114"/>
        <v>-456.11467081758332</v>
      </c>
      <c r="N577" s="14">
        <f t="shared" si="115"/>
        <v>18.173767344080542</v>
      </c>
      <c r="O577" s="1">
        <f t="shared" si="116"/>
        <v>2.6966694502635975</v>
      </c>
      <c r="P577" s="1">
        <f t="shared" si="117"/>
        <v>1941.6418102648238</v>
      </c>
      <c r="S577" s="6">
        <f t="shared" si="111"/>
        <v>0.51175165342506101</v>
      </c>
      <c r="T577" s="6">
        <f t="shared" si="112"/>
        <v>0.4882483465749391</v>
      </c>
      <c r="V577" s="1">
        <f t="shared" si="118"/>
        <v>112276.04431007247</v>
      </c>
      <c r="W577" s="7">
        <f t="shared" si="119"/>
        <v>-3.8943956273074644E-3</v>
      </c>
      <c r="X577" s="7">
        <f t="shared" si="120"/>
        <v>-3.283571350666164E-3</v>
      </c>
      <c r="Y577">
        <f>LN(B577/B576)</f>
        <v>-7.9098190794329899E-3</v>
      </c>
      <c r="Z577">
        <f>LN(C577/C576)</f>
        <v>3.3170093779309745E-4</v>
      </c>
    </row>
    <row r="578" spans="1:26" x14ac:dyDescent="0.3">
      <c r="A578" s="11">
        <v>41025</v>
      </c>
      <c r="B578" s="12">
        <v>21442.49</v>
      </c>
      <c r="C578" s="12">
        <v>28.232240000000001</v>
      </c>
      <c r="D578" s="16">
        <f t="shared" si="122"/>
        <v>6.7326820066022641E-3</v>
      </c>
      <c r="E578" s="15">
        <f t="shared" si="121"/>
        <v>3.3200025369506392E-4</v>
      </c>
      <c r="G578" s="25" t="str">
        <f>IF(VLOOKUP(A578,Aux!B:C,2,FALSE)=0,"",VLOOKUP(A578,Aux!B:C,2,FALSE))</f>
        <v/>
      </c>
      <c r="H578" s="25" t="str">
        <f t="shared" si="110"/>
        <v/>
      </c>
      <c r="L578" s="13">
        <f t="shared" si="113"/>
        <v>112640.20530201364</v>
      </c>
      <c r="M578" s="14">
        <f t="shared" si="114"/>
        <v>386.70239916780383</v>
      </c>
      <c r="N578" s="14">
        <f t="shared" si="115"/>
        <v>18.193183762182457</v>
      </c>
      <c r="O578" s="1">
        <f t="shared" si="116"/>
        <v>2.6966694502635975</v>
      </c>
      <c r="P578" s="1">
        <f t="shared" si="117"/>
        <v>1941.6418102648238</v>
      </c>
      <c r="S578" s="6">
        <f t="shared" si="111"/>
        <v>0.51334519113797283</v>
      </c>
      <c r="T578" s="6">
        <f t="shared" si="112"/>
        <v>0.48665480886202733</v>
      </c>
      <c r="V578" s="1">
        <f t="shared" si="118"/>
        <v>112627.83505739566</v>
      </c>
      <c r="W578" s="7">
        <f t="shared" si="119"/>
        <v>3.6010680881699442E-3</v>
      </c>
      <c r="X578" s="7">
        <f t="shared" si="120"/>
        <v>3.1283678629108907E-3</v>
      </c>
      <c r="Y578">
        <f>LN(B578/B577)</f>
        <v>6.7101187207694582E-3</v>
      </c>
      <c r="Z578">
        <f>LN(C578/C577)</f>
        <v>3.319451538059512E-4</v>
      </c>
    </row>
    <row r="579" spans="1:26" x14ac:dyDescent="0.3">
      <c r="A579" s="9">
        <v>41026</v>
      </c>
      <c r="B579" s="1">
        <v>21410.32</v>
      </c>
      <c r="C579" s="1">
        <v>28.241599999999998</v>
      </c>
      <c r="D579" s="6">
        <f t="shared" si="122"/>
        <v>-1.5002921768880739E-3</v>
      </c>
      <c r="E579" s="5">
        <f t="shared" si="121"/>
        <v>3.3153586112888433E-4</v>
      </c>
      <c r="G579" s="25" t="str">
        <f>IF(VLOOKUP(A579,Aux!B:C,2,FALSE)=0,"",VLOOKUP(A579,Aux!B:C,2,FALSE))</f>
        <v/>
      </c>
      <c r="H579" s="25" t="str">
        <f t="shared" ref="H579:H642" si="123">IF(ISNUMBER(G579),1-G579,"")</f>
        <v/>
      </c>
      <c r="L579" s="13">
        <f t="shared" si="113"/>
        <v>112571.62721314274</v>
      </c>
      <c r="M579" s="14">
        <f t="shared" si="114"/>
        <v>-86.75185621498504</v>
      </c>
      <c r="N579" s="14">
        <f t="shared" si="115"/>
        <v>18.173767344073646</v>
      </c>
      <c r="O579" s="1">
        <f t="shared" si="116"/>
        <v>2.6966694502635975</v>
      </c>
      <c r="P579" s="1">
        <f t="shared" si="117"/>
        <v>1941.6418102648238</v>
      </c>
      <c r="S579" s="6">
        <f t="shared" ref="S579:S642" si="124">O579*B579/L579</f>
        <v>0.51288728157983809</v>
      </c>
      <c r="T579" s="6">
        <f t="shared" ref="T579:T642" si="125">P579*C579/L579</f>
        <v>0.48711271842016202</v>
      </c>
      <c r="V579" s="1">
        <f t="shared" si="118"/>
        <v>112574.55730192273</v>
      </c>
      <c r="W579" s="7">
        <f t="shared" si="119"/>
        <v>-6.0900966192243872E-4</v>
      </c>
      <c r="X579" s="7">
        <f t="shared" si="120"/>
        <v>-4.7315444484158484E-4</v>
      </c>
      <c r="Y579">
        <f>LN(B579/B578)</f>
        <v>-1.5014187421217493E-3</v>
      </c>
      <c r="Z579">
        <f>LN(C579/C578)</f>
        <v>3.3148091525929245E-4</v>
      </c>
    </row>
    <row r="580" spans="1:26" x14ac:dyDescent="0.3">
      <c r="A580" s="11">
        <v>41029</v>
      </c>
      <c r="B580" s="12">
        <v>21489.49</v>
      </c>
      <c r="C580" s="12">
        <v>28.250990000000002</v>
      </c>
      <c r="D580" s="16">
        <f t="shared" si="122"/>
        <v>3.6977494965044766E-3</v>
      </c>
      <c r="E580" s="15">
        <f t="shared" si="121"/>
        <v>3.3248824429232826E-4</v>
      </c>
      <c r="G580" s="25" t="str">
        <f>IF(VLOOKUP(A580,Aux!B:C,2,FALSE)=0,"",VLOOKUP(A580,Aux!B:C,2,FALSE))</f>
        <v/>
      </c>
      <c r="H580" s="25" t="str">
        <f t="shared" si="123"/>
        <v/>
      </c>
      <c r="L580" s="13">
        <f t="shared" ref="L580:L643" si="126">L579+M580+N580</f>
        <v>112803.35455011851</v>
      </c>
      <c r="M580" s="14">
        <f t="shared" ref="M580:M643" si="127">O579*(B580-B579)</f>
        <v>213.49532037737413</v>
      </c>
      <c r="N580" s="14">
        <f t="shared" ref="N580:N643" si="128">P579*(C580-C579)</f>
        <v>18.23201659839318</v>
      </c>
      <c r="O580" s="1">
        <f t="shared" ref="O580:O643" si="129">IF(ISNUMBER(G580),L580*G580/B580,O579)</f>
        <v>2.6966694502635975</v>
      </c>
      <c r="P580" s="1">
        <f t="shared" ref="P580:P643" si="130">IF(ISNUMBER(H580),L580*H580/C580,P579)</f>
        <v>1941.6418102648238</v>
      </c>
      <c r="S580" s="6">
        <f t="shared" si="124"/>
        <v>0.51372631085184517</v>
      </c>
      <c r="T580" s="6">
        <f t="shared" si="125"/>
        <v>0.48627368914815494</v>
      </c>
      <c r="V580" s="1">
        <f t="shared" ref="V580:V643" si="131">$O$2*B580+$P$2*C580</f>
        <v>112778.21193511772</v>
      </c>
      <c r="W580" s="7">
        <f t="shared" ref="W580:W643" si="132">LN(L580/L579)</f>
        <v>2.0563721564916962E-3</v>
      </c>
      <c r="X580" s="7">
        <f t="shared" ref="X580:X643" si="133">LN(V580/V579)</f>
        <v>1.8074300957217578E-3</v>
      </c>
      <c r="Y580">
        <f>LN(B580/B579)</f>
        <v>3.690929627775411E-3</v>
      </c>
      <c r="Z580">
        <f>LN(C580/C579)</f>
        <v>3.3243298232499562E-4</v>
      </c>
    </row>
    <row r="581" spans="1:26" x14ac:dyDescent="0.3">
      <c r="A581" s="9">
        <v>41031</v>
      </c>
      <c r="B581" s="1">
        <v>21618.22</v>
      </c>
      <c r="C581" s="1">
        <v>28.260339999999999</v>
      </c>
      <c r="D581" s="6">
        <f t="shared" si="122"/>
        <v>5.9903701763046602E-3</v>
      </c>
      <c r="E581" s="5">
        <f t="shared" ref="E581:E644" si="134">C581/C580-1</f>
        <v>3.3096185301806358E-4</v>
      </c>
      <c r="G581" s="25" t="str">
        <f>IF(VLOOKUP(A581,Aux!B:C,2,FALSE)=0,"",VLOOKUP(A581,Aux!B:C,2,FALSE))</f>
        <v/>
      </c>
      <c r="H581" s="25" t="str">
        <f t="shared" si="123"/>
        <v/>
      </c>
      <c r="L581" s="13">
        <f t="shared" si="126"/>
        <v>113168.65115937691</v>
      </c>
      <c r="M581" s="14">
        <f t="shared" si="127"/>
        <v>347.14225833243171</v>
      </c>
      <c r="N581" s="14">
        <f t="shared" si="128"/>
        <v>18.15435092597173</v>
      </c>
      <c r="O581" s="1">
        <f t="shared" si="129"/>
        <v>2.6966694502635975</v>
      </c>
      <c r="P581" s="1">
        <f t="shared" si="130"/>
        <v>1941.6418102648238</v>
      </c>
      <c r="S581" s="6">
        <f t="shared" si="124"/>
        <v>0.51513553308130189</v>
      </c>
      <c r="T581" s="6">
        <f t="shared" si="125"/>
        <v>0.48486446691869828</v>
      </c>
      <c r="V581" s="1">
        <f t="shared" si="131"/>
        <v>113096.11373663231</v>
      </c>
      <c r="W581" s="7">
        <f t="shared" si="132"/>
        <v>3.2331166536889813E-3</v>
      </c>
      <c r="X581" s="7">
        <f t="shared" si="133"/>
        <v>2.8148574254729403E-3</v>
      </c>
      <c r="Y581">
        <f>LN(B581/B580)</f>
        <v>5.972499242372668E-3</v>
      </c>
      <c r="Z581">
        <f>LN(C581/C580)</f>
        <v>3.3090709722503967E-4</v>
      </c>
    </row>
    <row r="582" spans="1:26" x14ac:dyDescent="0.3">
      <c r="A582" s="11">
        <v>41032</v>
      </c>
      <c r="B582" s="12">
        <v>21443.14</v>
      </c>
      <c r="C582" s="12">
        <v>28.269760000000002</v>
      </c>
      <c r="D582" s="16">
        <f t="shared" si="122"/>
        <v>-8.0987241317741487E-3</v>
      </c>
      <c r="E582" s="15">
        <f t="shared" si="134"/>
        <v>3.3332932300189633E-4</v>
      </c>
      <c r="G582" s="25" t="str">
        <f>IF(VLOOKUP(A582,Aux!B:C,2,FALSE)=0,"",VLOOKUP(A582,Aux!B:C,2,FALSE))</f>
        <v/>
      </c>
      <c r="H582" s="25" t="str">
        <f t="shared" si="123"/>
        <v/>
      </c>
      <c r="L582" s="13">
        <f t="shared" si="126"/>
        <v>112714.80853787746</v>
      </c>
      <c r="M582" s="14">
        <f t="shared" si="127"/>
        <v>-472.13288735215536</v>
      </c>
      <c r="N582" s="14">
        <f t="shared" si="128"/>
        <v>18.290265852698919</v>
      </c>
      <c r="O582" s="1">
        <f t="shared" si="129"/>
        <v>2.6966694502635975</v>
      </c>
      <c r="P582" s="1">
        <f t="shared" si="130"/>
        <v>1941.6418102648238</v>
      </c>
      <c r="S582" s="6">
        <f t="shared" si="124"/>
        <v>0.51302097129760393</v>
      </c>
      <c r="T582" s="6">
        <f t="shared" si="125"/>
        <v>0.48697902870239607</v>
      </c>
      <c r="V582" s="1">
        <f t="shared" si="131"/>
        <v>112713.27184008855</v>
      </c>
      <c r="W582" s="7">
        <f t="shared" si="132"/>
        <v>-4.0183839295370562E-3</v>
      </c>
      <c r="X582" s="7">
        <f t="shared" si="133"/>
        <v>-3.3908445602180873E-3</v>
      </c>
      <c r="Y582">
        <f>LN(B582/B581)</f>
        <v>-8.1316969438644804E-3</v>
      </c>
      <c r="Z582">
        <f>LN(C582/C581)</f>
        <v>3.3327378112525788E-4</v>
      </c>
    </row>
    <row r="583" spans="1:26" x14ac:dyDescent="0.3">
      <c r="A583" s="9">
        <v>41033</v>
      </c>
      <c r="B583" s="1">
        <v>21036.61</v>
      </c>
      <c r="C583" s="1">
        <v>28.27918</v>
      </c>
      <c r="D583" s="6">
        <f t="shared" si="122"/>
        <v>-1.8958510740497814E-2</v>
      </c>
      <c r="E583" s="5">
        <f t="shared" si="134"/>
        <v>3.3321825158760809E-4</v>
      </c>
      <c r="G583" s="25" t="str">
        <f>IF(VLOOKUP(A583,Aux!B:C,2,FALSE)=0,"",VLOOKUP(A583,Aux!B:C,2,FALSE))</f>
        <v/>
      </c>
      <c r="H583" s="25" t="str">
        <f t="shared" si="123"/>
        <v/>
      </c>
      <c r="L583" s="13">
        <f t="shared" si="126"/>
        <v>111636.82177211449</v>
      </c>
      <c r="M583" s="14">
        <f t="shared" si="127"/>
        <v>-1096.2770316156571</v>
      </c>
      <c r="N583" s="14">
        <f t="shared" si="128"/>
        <v>18.290265852692023</v>
      </c>
      <c r="O583" s="1">
        <f t="shared" si="129"/>
        <v>2.6966694502635975</v>
      </c>
      <c r="P583" s="1">
        <f t="shared" si="130"/>
        <v>1941.6418102648238</v>
      </c>
      <c r="S583" s="6">
        <f t="shared" si="124"/>
        <v>0.50815477029533151</v>
      </c>
      <c r="T583" s="6">
        <f t="shared" si="125"/>
        <v>0.4918452297046686</v>
      </c>
      <c r="V583" s="1">
        <f t="shared" si="131"/>
        <v>111796.46669738046</v>
      </c>
      <c r="W583" s="7">
        <f t="shared" si="132"/>
        <v>-9.6098705432389117E-3</v>
      </c>
      <c r="X583" s="7">
        <f t="shared" si="133"/>
        <v>-8.1672202270580228E-3</v>
      </c>
      <c r="Y583">
        <f>LN(B583/B582)</f>
        <v>-1.9140527487948315E-2</v>
      </c>
      <c r="Z583">
        <f>LN(C583/C582)</f>
        <v>3.3316274671582775E-4</v>
      </c>
    </row>
    <row r="584" spans="1:26" x14ac:dyDescent="0.3">
      <c r="A584" s="11">
        <v>41036</v>
      </c>
      <c r="B584" s="12">
        <v>21167.58</v>
      </c>
      <c r="C584" s="12">
        <v>28.288550000000001</v>
      </c>
      <c r="D584" s="16">
        <f t="shared" si="122"/>
        <v>6.2258129993377764E-3</v>
      </c>
      <c r="E584" s="15">
        <f t="shared" si="134"/>
        <v>3.313391689574452E-4</v>
      </c>
      <c r="G584" s="25" t="str">
        <f>IF(VLOOKUP(A584,Aux!B:C,2,FALSE)=0,"",VLOOKUP(A584,Aux!B:C,2,FALSE))</f>
        <v/>
      </c>
      <c r="H584" s="25" t="str">
        <f t="shared" si="123"/>
        <v/>
      </c>
      <c r="L584" s="13">
        <f t="shared" si="126"/>
        <v>112008.1977537777</v>
      </c>
      <c r="M584" s="14">
        <f t="shared" si="127"/>
        <v>353.1827979010265</v>
      </c>
      <c r="N584" s="14">
        <f t="shared" si="128"/>
        <v>18.193183762182457</v>
      </c>
      <c r="O584" s="1">
        <f t="shared" si="129"/>
        <v>2.6966694502635975</v>
      </c>
      <c r="P584" s="1">
        <f t="shared" si="130"/>
        <v>1941.6418102648238</v>
      </c>
      <c r="S584" s="6">
        <f t="shared" si="124"/>
        <v>0.50962311211801925</v>
      </c>
      <c r="T584" s="6">
        <f t="shared" si="125"/>
        <v>0.49037688788198081</v>
      </c>
      <c r="V584" s="1">
        <f t="shared" si="131"/>
        <v>112119.5809998999</v>
      </c>
      <c r="W584" s="7">
        <f t="shared" si="132"/>
        <v>3.3211231245165946E-3</v>
      </c>
      <c r="X584" s="7">
        <f t="shared" si="133"/>
        <v>2.8860327798343279E-3</v>
      </c>
      <c r="Y584">
        <f>LN(B584/B583)</f>
        <v>6.2065126909038228E-3</v>
      </c>
      <c r="Z584">
        <f>LN(C584/C583)</f>
        <v>3.312842882574182E-4</v>
      </c>
    </row>
    <row r="585" spans="1:26" x14ac:dyDescent="0.3">
      <c r="A585" s="9">
        <v>41037</v>
      </c>
      <c r="B585" s="1">
        <v>20894.22</v>
      </c>
      <c r="C585" s="1">
        <v>28.297930000000001</v>
      </c>
      <c r="D585" s="6">
        <f t="shared" si="122"/>
        <v>-1.2914088431459803E-2</v>
      </c>
      <c r="E585" s="5">
        <f t="shared" si="134"/>
        <v>3.315829195911224E-4</v>
      </c>
      <c r="G585" s="25" t="str">
        <f>IF(VLOOKUP(A585,Aux!B:C,2,FALSE)=0,"",VLOOKUP(A585,Aux!B:C,2,FALSE))</f>
        <v/>
      </c>
      <c r="H585" s="25" t="str">
        <f t="shared" si="123"/>
        <v/>
      </c>
      <c r="L585" s="13">
        <f t="shared" si="126"/>
        <v>111289.24879303393</v>
      </c>
      <c r="M585" s="14">
        <f t="shared" si="127"/>
        <v>-737.16156092405856</v>
      </c>
      <c r="N585" s="14">
        <f t="shared" si="128"/>
        <v>18.212600180284369</v>
      </c>
      <c r="O585" s="1">
        <f t="shared" si="129"/>
        <v>2.6966694502635975</v>
      </c>
      <c r="P585" s="1">
        <f t="shared" si="130"/>
        <v>1941.6418102648238</v>
      </c>
      <c r="S585" s="6">
        <f t="shared" si="124"/>
        <v>0.50629153644366709</v>
      </c>
      <c r="T585" s="6">
        <f t="shared" si="125"/>
        <v>0.49370846355633297</v>
      </c>
      <c r="V585" s="1">
        <f t="shared" si="131"/>
        <v>111509.91422020487</v>
      </c>
      <c r="W585" s="7">
        <f t="shared" si="132"/>
        <v>-6.4394058793355987E-3</v>
      </c>
      <c r="X585" s="7">
        <f t="shared" si="133"/>
        <v>-5.4524855008348415E-3</v>
      </c>
      <c r="Y585">
        <f>LN(B585/B584)</f>
        <v>-1.2998200207468769E-2</v>
      </c>
      <c r="Z585">
        <f>LN(C585/C584)</f>
        <v>3.3152795812402692E-4</v>
      </c>
    </row>
    <row r="586" spans="1:26" x14ac:dyDescent="0.3">
      <c r="A586" s="11">
        <v>41038</v>
      </c>
      <c r="B586" s="12">
        <v>20738.12</v>
      </c>
      <c r="C586" s="12">
        <v>28.307289999999998</v>
      </c>
      <c r="D586" s="16">
        <f t="shared" si="122"/>
        <v>-7.4709656546165792E-3</v>
      </c>
      <c r="E586" s="15">
        <f t="shared" si="134"/>
        <v>3.3076624332584181E-4</v>
      </c>
      <c r="G586" s="25" t="str">
        <f>IF(VLOOKUP(A586,Aux!B:C,2,FALSE)=0,"",VLOOKUP(A586,Aux!B:C,2,FALSE))</f>
        <v/>
      </c>
      <c r="H586" s="25" t="str">
        <f t="shared" si="123"/>
        <v/>
      </c>
      <c r="L586" s="13">
        <f t="shared" si="126"/>
        <v>110886.47245919185</v>
      </c>
      <c r="M586" s="14">
        <f t="shared" si="127"/>
        <v>-420.95010118615346</v>
      </c>
      <c r="N586" s="14">
        <f t="shared" si="128"/>
        <v>18.173767344073646</v>
      </c>
      <c r="O586" s="1">
        <f t="shared" si="129"/>
        <v>2.6966694502635975</v>
      </c>
      <c r="P586" s="1">
        <f t="shared" si="130"/>
        <v>1941.6418102648238</v>
      </c>
      <c r="S586" s="6">
        <f t="shared" si="124"/>
        <v>0.5043343287927341</v>
      </c>
      <c r="T586" s="6">
        <f t="shared" si="125"/>
        <v>0.49566567120726601</v>
      </c>
      <c r="V586" s="1">
        <f t="shared" si="131"/>
        <v>111170.72561963736</v>
      </c>
      <c r="W586" s="7">
        <f t="shared" si="132"/>
        <v>-3.6257496797162132E-3</v>
      </c>
      <c r="X586" s="7">
        <f t="shared" si="133"/>
        <v>-3.0464153788631394E-3</v>
      </c>
      <c r="Y586">
        <f>LN(B586/B585)</f>
        <v>-7.4990131001769801E-3</v>
      </c>
      <c r="Z586">
        <f>LN(C586/C585)</f>
        <v>3.3071155223162601E-4</v>
      </c>
    </row>
    <row r="587" spans="1:26" x14ac:dyDescent="0.3">
      <c r="A587" s="9">
        <v>41039</v>
      </c>
      <c r="B587" s="1">
        <v>20769.28</v>
      </c>
      <c r="C587" s="1">
        <v>28.316649999999999</v>
      </c>
      <c r="D587" s="6">
        <f t="shared" si="122"/>
        <v>1.5025470004030872E-3</v>
      </c>
      <c r="E587" s="5">
        <f t="shared" si="134"/>
        <v>3.3065687319422388E-4</v>
      </c>
      <c r="G587" s="25" t="str">
        <f>IF(VLOOKUP(A587,Aux!B:C,2,FALSE)=0,"",VLOOKUP(A587,Aux!B:C,2,FALSE))</f>
        <v/>
      </c>
      <c r="H587" s="25" t="str">
        <f t="shared" si="123"/>
        <v/>
      </c>
      <c r="L587" s="13">
        <f t="shared" si="126"/>
        <v>110988.67444660615</v>
      </c>
      <c r="M587" s="14">
        <f t="shared" si="127"/>
        <v>84.028220070213308</v>
      </c>
      <c r="N587" s="14">
        <f t="shared" si="128"/>
        <v>18.173767344080542</v>
      </c>
      <c r="O587" s="1">
        <f t="shared" si="129"/>
        <v>2.6966694502635975</v>
      </c>
      <c r="P587" s="1">
        <f t="shared" si="130"/>
        <v>1941.6418102648238</v>
      </c>
      <c r="S587" s="6">
        <f t="shared" si="124"/>
        <v>0.50462700955055284</v>
      </c>
      <c r="T587" s="6">
        <f t="shared" si="125"/>
        <v>0.4953729904494471</v>
      </c>
      <c r="V587" s="1">
        <f t="shared" si="131"/>
        <v>111263.55238945971</v>
      </c>
      <c r="W587" s="7">
        <f t="shared" si="132"/>
        <v>9.2125680652326556E-4</v>
      </c>
      <c r="X587" s="7">
        <f t="shared" si="133"/>
        <v>8.346445165020428E-4</v>
      </c>
      <c r="Y587">
        <f>LN(B587/B586)</f>
        <v>1.5014193061266511E-3</v>
      </c>
      <c r="Z587">
        <f>LN(C587/C586)</f>
        <v>3.3060221825801685E-4</v>
      </c>
    </row>
    <row r="588" spans="1:26" x14ac:dyDescent="0.3">
      <c r="A588" s="11">
        <v>41040</v>
      </c>
      <c r="B588" s="12">
        <v>20650.689999999999</v>
      </c>
      <c r="C588" s="12">
        <v>28.32601</v>
      </c>
      <c r="D588" s="16">
        <f t="shared" si="122"/>
        <v>-5.7098753543695091E-3</v>
      </c>
      <c r="E588" s="15">
        <f t="shared" si="134"/>
        <v>3.3054757536654655E-4</v>
      </c>
      <c r="G588" s="25" t="str">
        <f>IF(VLOOKUP(A588,Aux!B:C,2,FALSE)=0,"",VLOOKUP(A588,Aux!B:C,2,FALSE))</f>
        <v/>
      </c>
      <c r="H588" s="25" t="str">
        <f t="shared" si="123"/>
        <v/>
      </c>
      <c r="L588" s="13">
        <f t="shared" si="126"/>
        <v>110687.05018384347</v>
      </c>
      <c r="M588" s="14">
        <f t="shared" si="127"/>
        <v>-319.79803010676039</v>
      </c>
      <c r="N588" s="14">
        <f t="shared" si="128"/>
        <v>18.173767344080542</v>
      </c>
      <c r="O588" s="1">
        <f t="shared" si="129"/>
        <v>2.6966694502635975</v>
      </c>
      <c r="P588" s="1">
        <f t="shared" si="130"/>
        <v>1941.6418102648238</v>
      </c>
      <c r="S588" s="6">
        <f t="shared" si="124"/>
        <v>0.50311291842514494</v>
      </c>
      <c r="T588" s="6">
        <f t="shared" si="125"/>
        <v>0.49688708157485506</v>
      </c>
      <c r="V588" s="1">
        <f t="shared" si="131"/>
        <v>111010.90067099902</v>
      </c>
      <c r="W588" s="7">
        <f t="shared" si="132"/>
        <v>-2.7213123981563144E-3</v>
      </c>
      <c r="X588" s="7">
        <f t="shared" si="133"/>
        <v>-2.2733321242406597E-3</v>
      </c>
      <c r="Y588">
        <f>LN(B588/B587)</f>
        <v>-5.7262390120104692E-3</v>
      </c>
      <c r="Z588">
        <f>LN(C588/C587)</f>
        <v>3.304929565525024E-4</v>
      </c>
    </row>
    <row r="589" spans="1:26" x14ac:dyDescent="0.3">
      <c r="A589" s="9">
        <v>41043</v>
      </c>
      <c r="B589" s="1">
        <v>20164.650000000001</v>
      </c>
      <c r="C589" s="1">
        <v>28.335360000000001</v>
      </c>
      <c r="D589" s="6">
        <f t="shared" si="122"/>
        <v>-2.3536259563239681E-2</v>
      </c>
      <c r="E589" s="5">
        <f t="shared" si="134"/>
        <v>3.3008531734624036E-4</v>
      </c>
      <c r="G589" s="25" t="str">
        <f>IF(VLOOKUP(A589,Aux!B:C,2,FALSE)=0,"",VLOOKUP(A589,Aux!B:C,2,FALSE))</f>
        <v/>
      </c>
      <c r="H589" s="25" t="str">
        <f t="shared" si="123"/>
        <v/>
      </c>
      <c r="L589" s="13">
        <f t="shared" si="126"/>
        <v>109394.51531516334</v>
      </c>
      <c r="M589" s="14">
        <f t="shared" si="127"/>
        <v>-1310.6892196061115</v>
      </c>
      <c r="N589" s="14">
        <f t="shared" si="128"/>
        <v>18.15435092597863</v>
      </c>
      <c r="O589" s="1">
        <f t="shared" si="129"/>
        <v>2.6966694502635975</v>
      </c>
      <c r="P589" s="1">
        <f t="shared" si="130"/>
        <v>1941.6418102648238</v>
      </c>
      <c r="S589" s="6">
        <f t="shared" si="124"/>
        <v>0.49707606888332284</v>
      </c>
      <c r="T589" s="6">
        <f t="shared" si="125"/>
        <v>0.5029239311166771</v>
      </c>
      <c r="V589" s="1">
        <f t="shared" si="131"/>
        <v>109910.50657774396</v>
      </c>
      <c r="W589" s="7">
        <f t="shared" si="132"/>
        <v>-1.1746097195564902E-2</v>
      </c>
      <c r="X589" s="7">
        <f t="shared" si="133"/>
        <v>-9.9619426404231621E-3</v>
      </c>
      <c r="Y589">
        <f>LN(B589/B588)</f>
        <v>-2.3817661524035753E-2</v>
      </c>
      <c r="Z589">
        <f>LN(C589/C588)</f>
        <v>3.3003085117320298E-4</v>
      </c>
    </row>
    <row r="590" spans="1:26" x14ac:dyDescent="0.3">
      <c r="A590" s="11">
        <v>41044</v>
      </c>
      <c r="B590" s="12">
        <v>19874.009999999998</v>
      </c>
      <c r="C590" s="12">
        <v>28.344670000000001</v>
      </c>
      <c r="D590" s="16">
        <f t="shared" si="122"/>
        <v>-1.4413342160662479E-2</v>
      </c>
      <c r="E590" s="15">
        <f t="shared" si="134"/>
        <v>3.2856473325204583E-4</v>
      </c>
      <c r="G590" s="25" t="str">
        <f>IF(VLOOKUP(A590,Aux!B:C,2,FALSE)=0,"",VLOOKUP(A590,Aux!B:C,2,FALSE))</f>
        <v/>
      </c>
      <c r="H590" s="25" t="str">
        <f t="shared" si="123"/>
        <v/>
      </c>
      <c r="L590" s="13">
        <f t="shared" si="126"/>
        <v>108628.83199139228</v>
      </c>
      <c r="M590" s="14">
        <f t="shared" si="127"/>
        <v>-783.76000902462022</v>
      </c>
      <c r="N590" s="14">
        <f t="shared" si="128"/>
        <v>18.076685253564079</v>
      </c>
      <c r="O590" s="1">
        <f t="shared" si="129"/>
        <v>2.6966694502635975</v>
      </c>
      <c r="P590" s="1">
        <f t="shared" si="130"/>
        <v>1941.6418102648238</v>
      </c>
      <c r="S590" s="6">
        <f t="shared" si="124"/>
        <v>0.49336474155848403</v>
      </c>
      <c r="T590" s="6">
        <f t="shared" si="125"/>
        <v>0.50663525844151602</v>
      </c>
      <c r="V590" s="1">
        <f t="shared" si="131"/>
        <v>109260.81763431898</v>
      </c>
      <c r="W590" s="7">
        <f t="shared" si="132"/>
        <v>-7.0238942860852823E-3</v>
      </c>
      <c r="X590" s="7">
        <f t="shared" si="133"/>
        <v>-5.9286117718378448E-3</v>
      </c>
      <c r="Y590">
        <f>LN(B590/B589)</f>
        <v>-1.4518223389337018E-2</v>
      </c>
      <c r="Z590">
        <f>LN(C590/C589)</f>
        <v>3.2851076768054279E-4</v>
      </c>
    </row>
    <row r="591" spans="1:26" x14ac:dyDescent="0.3">
      <c r="A591" s="9">
        <v>41045</v>
      </c>
      <c r="B591" s="1">
        <v>19781.55</v>
      </c>
      <c r="C591" s="1">
        <v>28.35408</v>
      </c>
      <c r="D591" s="6">
        <f t="shared" si="122"/>
        <v>-4.6523072092646833E-3</v>
      </c>
      <c r="E591" s="5">
        <f t="shared" si="134"/>
        <v>3.3198481407614722E-4</v>
      </c>
      <c r="G591" s="25" t="str">
        <f>IF(VLOOKUP(A591,Aux!B:C,2,FALSE)=0,"",VLOOKUP(A591,Aux!B:C,2,FALSE))</f>
        <v/>
      </c>
      <c r="H591" s="25" t="str">
        <f t="shared" si="123"/>
        <v/>
      </c>
      <c r="L591" s="13">
        <f t="shared" si="126"/>
        <v>108397.7687834555</v>
      </c>
      <c r="M591" s="14">
        <f t="shared" si="127"/>
        <v>-249.33405737136988</v>
      </c>
      <c r="N591" s="14">
        <f t="shared" si="128"/>
        <v>18.270849434590108</v>
      </c>
      <c r="O591" s="1">
        <f t="shared" si="129"/>
        <v>2.6966694502635975</v>
      </c>
      <c r="P591" s="1">
        <f t="shared" si="130"/>
        <v>1941.6418102648238</v>
      </c>
      <c r="S591" s="6">
        <f t="shared" si="124"/>
        <v>0.49211623230388563</v>
      </c>
      <c r="T591" s="6">
        <f t="shared" si="125"/>
        <v>0.50788376769611443</v>
      </c>
      <c r="V591" s="1">
        <f t="shared" si="131"/>
        <v>109068.56059651366</v>
      </c>
      <c r="W591" s="7">
        <f t="shared" si="132"/>
        <v>-2.1293545990961316E-3</v>
      </c>
      <c r="X591" s="7">
        <f t="shared" si="133"/>
        <v>-1.7611655294117678E-3</v>
      </c>
      <c r="Y591">
        <f>LN(B591/B590)</f>
        <v>-4.6631628727896194E-3</v>
      </c>
      <c r="Z591">
        <f>LN(C591/C590)</f>
        <v>3.3192971931117157E-4</v>
      </c>
    </row>
    <row r="592" spans="1:26" x14ac:dyDescent="0.3">
      <c r="A592" s="11">
        <v>41046</v>
      </c>
      <c r="B592" s="12">
        <v>19203.64</v>
      </c>
      <c r="C592" s="12">
        <v>28.363499999999998</v>
      </c>
      <c r="D592" s="16">
        <f t="shared" si="122"/>
        <v>-2.9214596429501194E-2</v>
      </c>
      <c r="E592" s="15">
        <f t="shared" si="134"/>
        <v>3.3222731966620067E-4</v>
      </c>
      <c r="G592" s="25" t="str">
        <f>IF(VLOOKUP(A592,Aux!B:C,2,FALSE)=0,"",VLOOKUP(A592,Aux!B:C,2,FALSE))</f>
        <v/>
      </c>
      <c r="H592" s="25" t="str">
        <f t="shared" si="123"/>
        <v/>
      </c>
      <c r="L592" s="13">
        <f t="shared" si="126"/>
        <v>106857.62680730635</v>
      </c>
      <c r="M592" s="14">
        <f t="shared" si="127"/>
        <v>-1558.4322420018352</v>
      </c>
      <c r="N592" s="14">
        <f t="shared" si="128"/>
        <v>18.290265852692023</v>
      </c>
      <c r="O592" s="1">
        <f t="shared" si="129"/>
        <v>2.6966694502635975</v>
      </c>
      <c r="P592" s="1">
        <f t="shared" si="130"/>
        <v>1941.6418102648238</v>
      </c>
      <c r="S592" s="6">
        <f t="shared" si="124"/>
        <v>0.48462492448240663</v>
      </c>
      <c r="T592" s="6">
        <f t="shared" si="125"/>
        <v>0.51537507551759343</v>
      </c>
      <c r="V592" s="1">
        <f t="shared" si="131"/>
        <v>107756.37579890109</v>
      </c>
      <c r="W592" s="7">
        <f t="shared" si="132"/>
        <v>-1.4310147760965872E-2</v>
      </c>
      <c r="X592" s="7">
        <f t="shared" si="133"/>
        <v>-1.2103781411346043E-2</v>
      </c>
      <c r="Y592">
        <f>LN(B592/B591)</f>
        <v>-2.964984070780605E-2</v>
      </c>
      <c r="Z592">
        <f>LN(C592/C591)</f>
        <v>3.3217214439038543E-4</v>
      </c>
    </row>
    <row r="593" spans="1:26" x14ac:dyDescent="0.3">
      <c r="A593" s="9">
        <v>41047</v>
      </c>
      <c r="B593" s="1">
        <v>19364.59</v>
      </c>
      <c r="C593" s="1">
        <v>28.37293</v>
      </c>
      <c r="D593" s="6">
        <f t="shared" si="122"/>
        <v>8.3812235597002793E-3</v>
      </c>
      <c r="E593" s="5">
        <f t="shared" si="134"/>
        <v>3.3246954712939925E-4</v>
      </c>
      <c r="G593" s="25" t="str">
        <f>IF(VLOOKUP(A593,Aux!B:C,2,FALSE)=0,"",VLOOKUP(A593,Aux!B:C,2,FALSE))</f>
        <v/>
      </c>
      <c r="H593" s="25" t="str">
        <f t="shared" si="123"/>
        <v/>
      </c>
      <c r="L593" s="13">
        <f t="shared" si="126"/>
        <v>107309.96543759709</v>
      </c>
      <c r="M593" s="14">
        <f t="shared" si="127"/>
        <v>434.02894801992795</v>
      </c>
      <c r="N593" s="14">
        <f t="shared" si="128"/>
        <v>18.309682270800835</v>
      </c>
      <c r="O593" s="1">
        <f t="shared" si="129"/>
        <v>2.6966694502635975</v>
      </c>
      <c r="P593" s="1">
        <f t="shared" si="130"/>
        <v>1941.6418102648238</v>
      </c>
      <c r="S593" s="6">
        <f t="shared" si="124"/>
        <v>0.48662673645391197</v>
      </c>
      <c r="T593" s="6">
        <f t="shared" si="125"/>
        <v>0.51337326354608803</v>
      </c>
      <c r="V593" s="1">
        <f t="shared" si="131"/>
        <v>108148.78923807424</v>
      </c>
      <c r="W593" s="7">
        <f t="shared" si="132"/>
        <v>4.2241620047131006E-3</v>
      </c>
      <c r="X593" s="7">
        <f t="shared" si="133"/>
        <v>3.6350577459027E-3</v>
      </c>
      <c r="Y593">
        <f>LN(B593/B592)</f>
        <v>8.3462961262420962E-3</v>
      </c>
      <c r="Z593">
        <f>LN(C593/C592)</f>
        <v>3.3241429137641253E-4</v>
      </c>
    </row>
    <row r="594" spans="1:26" x14ac:dyDescent="0.3">
      <c r="A594" s="11">
        <v>41050</v>
      </c>
      <c r="B594" s="12">
        <v>20055.919999999998</v>
      </c>
      <c r="C594" s="12">
        <v>28.382390000000001</v>
      </c>
      <c r="D594" s="16">
        <f t="shared" si="122"/>
        <v>3.570073004385832E-2</v>
      </c>
      <c r="E594" s="15">
        <f t="shared" si="134"/>
        <v>3.3341639372452825E-4</v>
      </c>
      <c r="G594" s="25" t="str">
        <f>IF(VLOOKUP(A594,Aux!B:C,2,FALSE)=0,"",VLOOKUP(A594,Aux!B:C,2,FALSE))</f>
        <v/>
      </c>
      <c r="H594" s="25" t="str">
        <f t="shared" si="123"/>
        <v/>
      </c>
      <c r="L594" s="13">
        <f t="shared" si="126"/>
        <v>109192.62186017292</v>
      </c>
      <c r="M594" s="14">
        <f t="shared" si="127"/>
        <v>1864.2884910507278</v>
      </c>
      <c r="N594" s="14">
        <f t="shared" si="128"/>
        <v>18.367931525106574</v>
      </c>
      <c r="O594" s="1">
        <f t="shared" si="129"/>
        <v>2.6966694502635975</v>
      </c>
      <c r="P594" s="1">
        <f t="shared" si="130"/>
        <v>1941.6418102648238</v>
      </c>
      <c r="S594" s="6">
        <f t="shared" si="124"/>
        <v>0.49530990134286201</v>
      </c>
      <c r="T594" s="6">
        <f t="shared" si="125"/>
        <v>0.50469009865713799</v>
      </c>
      <c r="V594" s="1">
        <f t="shared" si="131"/>
        <v>109764.87500401291</v>
      </c>
      <c r="W594" s="7">
        <f t="shared" si="132"/>
        <v>1.7391975786127625E-2</v>
      </c>
      <c r="X594" s="7">
        <f t="shared" si="133"/>
        <v>1.4832620988545566E-2</v>
      </c>
      <c r="Y594">
        <f>LN(B594/B593)</f>
        <v>3.5078231492102326E-2</v>
      </c>
      <c r="Z594">
        <f>LN(C594/C593)</f>
        <v>3.3336082283054767E-4</v>
      </c>
    </row>
    <row r="595" spans="1:26" x14ac:dyDescent="0.3">
      <c r="A595" s="9">
        <v>41051</v>
      </c>
      <c r="B595" s="1">
        <v>19767.599999999999</v>
      </c>
      <c r="C595" s="1">
        <v>28.39181</v>
      </c>
      <c r="D595" s="6">
        <f t="shared" si="122"/>
        <v>-1.4375805248525109E-2</v>
      </c>
      <c r="E595" s="5">
        <f t="shared" si="134"/>
        <v>3.3189593970051057E-4</v>
      </c>
      <c r="G595" s="25" t="str">
        <f>IF(VLOOKUP(A595,Aux!B:C,2,FALSE)=0,"",VLOOKUP(A595,Aux!B:C,2,FALSE))</f>
        <v/>
      </c>
      <c r="H595" s="25" t="str">
        <f t="shared" si="123"/>
        <v/>
      </c>
      <c r="L595" s="13">
        <f t="shared" si="126"/>
        <v>108433.40839012561</v>
      </c>
      <c r="M595" s="14">
        <f t="shared" si="127"/>
        <v>-777.5037358999997</v>
      </c>
      <c r="N595" s="14">
        <f t="shared" si="128"/>
        <v>18.290265852692023</v>
      </c>
      <c r="O595" s="1">
        <f t="shared" si="129"/>
        <v>2.6966694502635975</v>
      </c>
      <c r="P595" s="1">
        <f t="shared" si="130"/>
        <v>1941.6418102648238</v>
      </c>
      <c r="S595" s="6">
        <f t="shared" si="124"/>
        <v>0.49160755726908434</v>
      </c>
      <c r="T595" s="6">
        <f t="shared" si="125"/>
        <v>0.50839244273091566</v>
      </c>
      <c r="V595" s="1">
        <f t="shared" si="131"/>
        <v>109120.78446631273</v>
      </c>
      <c r="W595" s="7">
        <f t="shared" si="132"/>
        <v>-6.9772586411915982E-3</v>
      </c>
      <c r="X595" s="7">
        <f t="shared" si="133"/>
        <v>-5.8851950218389657E-3</v>
      </c>
      <c r="Y595">
        <f>LN(B595/B594)</f>
        <v>-1.448013825796452E-2</v>
      </c>
      <c r="Z595">
        <f>LN(C595/C594)</f>
        <v>3.3184087442673932E-4</v>
      </c>
    </row>
    <row r="596" spans="1:26" x14ac:dyDescent="0.3">
      <c r="A596" s="11">
        <v>41052</v>
      </c>
      <c r="B596" s="12">
        <v>19528.14</v>
      </c>
      <c r="C596" s="12">
        <v>28.401289999999999</v>
      </c>
      <c r="D596" s="16">
        <f t="shared" si="122"/>
        <v>-1.2113761913434051E-2</v>
      </c>
      <c r="E596" s="15">
        <f t="shared" si="134"/>
        <v>3.3389910681980162E-4</v>
      </c>
      <c r="G596" s="25" t="str">
        <f>IF(VLOOKUP(A596,Aux!B:C,2,FALSE)=0,"",VLOOKUP(A596,Aux!B:C,2,FALSE))</f>
        <v/>
      </c>
      <c r="H596" s="25" t="str">
        <f t="shared" si="123"/>
        <v/>
      </c>
      <c r="L596" s="13">
        <f t="shared" si="126"/>
        <v>107806.0706879268</v>
      </c>
      <c r="M596" s="14">
        <f t="shared" si="127"/>
        <v>-645.74446656011867</v>
      </c>
      <c r="N596" s="14">
        <f t="shared" si="128"/>
        <v>18.406764361310401</v>
      </c>
      <c r="O596" s="1">
        <f t="shared" si="129"/>
        <v>2.6966694502635975</v>
      </c>
      <c r="P596" s="1">
        <f t="shared" si="130"/>
        <v>1941.6418102648238</v>
      </c>
      <c r="S596" s="6">
        <f t="shared" si="124"/>
        <v>0.48847841519900664</v>
      </c>
      <c r="T596" s="6">
        <f t="shared" si="125"/>
        <v>0.51152158480099341</v>
      </c>
      <c r="V596" s="1">
        <f t="shared" si="131"/>
        <v>108589.54988569222</v>
      </c>
      <c r="W596" s="7">
        <f t="shared" si="132"/>
        <v>-5.8022657553883708E-3</v>
      </c>
      <c r="X596" s="7">
        <f t="shared" si="133"/>
        <v>-4.8802059538697274E-3</v>
      </c>
      <c r="Y596">
        <f>LN(B596/B595)</f>
        <v>-1.218773150088572E-2</v>
      </c>
      <c r="Z596">
        <f>LN(C596/C595)</f>
        <v>3.3384337491857699E-4</v>
      </c>
    </row>
    <row r="597" spans="1:26" x14ac:dyDescent="0.3">
      <c r="A597" s="9">
        <v>41053</v>
      </c>
      <c r="B597" s="1">
        <v>19290.57</v>
      </c>
      <c r="C597" s="1">
        <v>28.410769999999999</v>
      </c>
      <c r="D597" s="6">
        <f t="shared" si="122"/>
        <v>-1.2165521140262148E-2</v>
      </c>
      <c r="E597" s="5">
        <f t="shared" si="134"/>
        <v>3.3378765541991484E-4</v>
      </c>
      <c r="G597" s="25" t="str">
        <f>IF(VLOOKUP(A597,Aux!B:C,2,FALSE)=0,"",VLOOKUP(A597,Aux!B:C,2,FALSE))</f>
        <v/>
      </c>
      <c r="H597" s="25" t="str">
        <f t="shared" si="123"/>
        <v/>
      </c>
      <c r="L597" s="13">
        <f t="shared" si="126"/>
        <v>107183.82969098899</v>
      </c>
      <c r="M597" s="14">
        <f t="shared" si="127"/>
        <v>-640.64776129912207</v>
      </c>
      <c r="N597" s="14">
        <f t="shared" si="128"/>
        <v>18.406764361310401</v>
      </c>
      <c r="O597" s="1">
        <f t="shared" si="129"/>
        <v>2.6966694502635975</v>
      </c>
      <c r="P597" s="1">
        <f t="shared" si="130"/>
        <v>1941.6418102648238</v>
      </c>
      <c r="S597" s="6">
        <f t="shared" si="124"/>
        <v>0.48533711612232888</v>
      </c>
      <c r="T597" s="6">
        <f t="shared" si="125"/>
        <v>0.51466288387767112</v>
      </c>
      <c r="V597" s="1">
        <f t="shared" si="131"/>
        <v>108062.67560118425</v>
      </c>
      <c r="W597" s="7">
        <f t="shared" si="132"/>
        <v>-5.7885764245163051E-3</v>
      </c>
      <c r="X597" s="7">
        <f t="shared" si="133"/>
        <v>-4.8637887008796147E-3</v>
      </c>
      <c r="Y597">
        <f>LN(B597/B596)</f>
        <v>-1.224012678772559E-2</v>
      </c>
      <c r="Z597">
        <f>LN(C597/C596)</f>
        <v>3.3373196071358511E-4</v>
      </c>
    </row>
    <row r="598" spans="1:26" x14ac:dyDescent="0.3">
      <c r="A598" s="11">
        <v>41054</v>
      </c>
      <c r="B598" s="12">
        <v>19340.21</v>
      </c>
      <c r="C598" s="12">
        <v>28.420259999999999</v>
      </c>
      <c r="D598" s="16">
        <f t="shared" si="122"/>
        <v>2.5732780317013759E-3</v>
      </c>
      <c r="E598" s="15">
        <f t="shared" si="134"/>
        <v>3.3402825759387689E-4</v>
      </c>
      <c r="G598" s="25" t="str">
        <f>IF(VLOOKUP(A598,Aux!B:C,2,FALSE)=0,"",VLOOKUP(A598,Aux!B:C,2,FALSE))</f>
        <v/>
      </c>
      <c r="H598" s="25" t="str">
        <f t="shared" si="123"/>
        <v/>
      </c>
      <c r="L598" s="13">
        <f t="shared" si="126"/>
        <v>107336.11854327949</v>
      </c>
      <c r="M598" s="14">
        <f t="shared" si="127"/>
        <v>133.86267151108342</v>
      </c>
      <c r="N598" s="14">
        <f t="shared" si="128"/>
        <v>18.426180779412313</v>
      </c>
      <c r="O598" s="1">
        <f t="shared" si="129"/>
        <v>2.6966694502635975</v>
      </c>
      <c r="P598" s="1">
        <f t="shared" si="130"/>
        <v>1941.6418102648238</v>
      </c>
      <c r="S598" s="6">
        <f t="shared" si="124"/>
        <v>0.4858956535460448</v>
      </c>
      <c r="T598" s="6">
        <f t="shared" si="125"/>
        <v>0.51410434645395509</v>
      </c>
      <c r="V598" s="1">
        <f t="shared" si="131"/>
        <v>108198.42720466043</v>
      </c>
      <c r="W598" s="7">
        <f t="shared" si="132"/>
        <v>1.4198108765807254E-3</v>
      </c>
      <c r="X598" s="7">
        <f t="shared" si="133"/>
        <v>1.2554418667538661E-3</v>
      </c>
      <c r="Y598">
        <f>LN(B598/B597)</f>
        <v>2.5699728207241156E-3</v>
      </c>
      <c r="Z598">
        <f>LN(C598/C597)</f>
        <v>3.3397248257538377E-4</v>
      </c>
    </row>
    <row r="599" spans="1:26" x14ac:dyDescent="0.3">
      <c r="A599" s="9">
        <v>41057</v>
      </c>
      <c r="B599" s="1">
        <v>19560.27</v>
      </c>
      <c r="C599" s="1">
        <v>28.429770000000001</v>
      </c>
      <c r="D599" s="6">
        <f t="shared" si="122"/>
        <v>1.137836662580205E-2</v>
      </c>
      <c r="E599" s="5">
        <f t="shared" si="134"/>
        <v>3.3462044330345719E-4</v>
      </c>
      <c r="G599" s="25" t="str">
        <f>IF(VLOOKUP(A599,Aux!B:C,2,FALSE)=0,"",VLOOKUP(A599,Aux!B:C,2,FALSE))</f>
        <v/>
      </c>
      <c r="H599" s="25" t="str">
        <f t="shared" si="123"/>
        <v/>
      </c>
      <c r="L599" s="13">
        <f t="shared" si="126"/>
        <v>107948.01263612013</v>
      </c>
      <c r="M599" s="14">
        <f t="shared" si="127"/>
        <v>593.42907922501081</v>
      </c>
      <c r="N599" s="14">
        <f t="shared" si="128"/>
        <v>18.465013615623036</v>
      </c>
      <c r="O599" s="1">
        <f t="shared" si="129"/>
        <v>2.6966694502635975</v>
      </c>
      <c r="P599" s="1">
        <f t="shared" si="130"/>
        <v>1941.6418102648238</v>
      </c>
      <c r="S599" s="6">
        <f t="shared" si="124"/>
        <v>0.48863875545086088</v>
      </c>
      <c r="T599" s="6">
        <f t="shared" si="125"/>
        <v>0.51136124454913912</v>
      </c>
      <c r="V599" s="1">
        <f t="shared" si="131"/>
        <v>108727.38845210939</v>
      </c>
      <c r="W599" s="7">
        <f t="shared" si="132"/>
        <v>5.6845410501622879E-3</v>
      </c>
      <c r="X599" s="7">
        <f t="shared" si="133"/>
        <v>4.8768957650630641E-3</v>
      </c>
      <c r="Y599">
        <f>LN(B599/B598)</f>
        <v>1.1314119901470399E-2</v>
      </c>
      <c r="Z599">
        <f>LN(C599/C598)</f>
        <v>3.3456447036902951E-4</v>
      </c>
    </row>
    <row r="600" spans="1:26" x14ac:dyDescent="0.3">
      <c r="A600" s="11">
        <v>41058</v>
      </c>
      <c r="B600" s="12">
        <v>19500.28</v>
      </c>
      <c r="C600" s="12">
        <v>28.439260000000001</v>
      </c>
      <c r="D600" s="16">
        <f t="shared" si="122"/>
        <v>-3.0669310801947347E-3</v>
      </c>
      <c r="E600" s="15">
        <f t="shared" si="134"/>
        <v>3.3380502198920858E-4</v>
      </c>
      <c r="G600" s="25" t="str">
        <f>IF(VLOOKUP(A600,Aux!B:C,2,FALSE)=0,"",VLOOKUP(A600,Aux!B:C,2,FALSE))</f>
        <v/>
      </c>
      <c r="H600" s="25" t="str">
        <f t="shared" si="123"/>
        <v/>
      </c>
      <c r="L600" s="13">
        <f t="shared" si="126"/>
        <v>107804.66561657822</v>
      </c>
      <c r="M600" s="14">
        <f t="shared" si="127"/>
        <v>-161.77320032131752</v>
      </c>
      <c r="N600" s="14">
        <f t="shared" si="128"/>
        <v>18.426180779412313</v>
      </c>
      <c r="O600" s="1">
        <f t="shared" si="129"/>
        <v>2.6966694502635975</v>
      </c>
      <c r="P600" s="1">
        <f t="shared" si="130"/>
        <v>1941.6418102648238</v>
      </c>
      <c r="S600" s="6">
        <f t="shared" si="124"/>
        <v>0.48778788048575483</v>
      </c>
      <c r="T600" s="6">
        <f t="shared" si="125"/>
        <v>0.51221211951424506</v>
      </c>
      <c r="V600" s="1">
        <f t="shared" si="131"/>
        <v>108610.21981070767</v>
      </c>
      <c r="W600" s="7">
        <f t="shared" si="132"/>
        <v>-1.3288089102349646E-3</v>
      </c>
      <c r="X600" s="7">
        <f t="shared" si="133"/>
        <v>-1.0782179273019657E-3</v>
      </c>
      <c r="Y600">
        <f>LN(B600/B599)</f>
        <v>-3.071643751411971E-3</v>
      </c>
      <c r="Z600">
        <f>LN(C600/C599)</f>
        <v>3.3374932148791592E-4</v>
      </c>
    </row>
    <row r="601" spans="1:26" x14ac:dyDescent="0.3">
      <c r="A601" s="9">
        <v>41059</v>
      </c>
      <c r="B601" s="1">
        <v>19304.38</v>
      </c>
      <c r="C601" s="1">
        <v>28.44877</v>
      </c>
      <c r="D601" s="6">
        <f t="shared" si="122"/>
        <v>-1.004600959575952E-2</v>
      </c>
      <c r="E601" s="5">
        <f t="shared" si="134"/>
        <v>3.3439688655745314E-4</v>
      </c>
      <c r="G601" s="25" t="str">
        <f>IF(VLOOKUP(A601,Aux!B:C,2,FALSE)=0,"",VLOOKUP(A601,Aux!B:C,2,FALSE))</f>
        <v/>
      </c>
      <c r="H601" s="25" t="str">
        <f t="shared" si="123"/>
        <v/>
      </c>
      <c r="L601" s="13">
        <f t="shared" si="126"/>
        <v>107294.8530848872</v>
      </c>
      <c r="M601" s="14">
        <f t="shared" si="127"/>
        <v>-528.27754530663287</v>
      </c>
      <c r="N601" s="14">
        <f t="shared" si="128"/>
        <v>18.46501361561614</v>
      </c>
      <c r="O601" s="1">
        <f t="shared" si="129"/>
        <v>2.6966694502635975</v>
      </c>
      <c r="P601" s="1">
        <f t="shared" si="130"/>
        <v>1941.6418102648238</v>
      </c>
      <c r="S601" s="6">
        <f t="shared" si="124"/>
        <v>0.48518200366138575</v>
      </c>
      <c r="T601" s="6">
        <f t="shared" si="125"/>
        <v>0.51481799633861425</v>
      </c>
      <c r="V601" s="1">
        <f t="shared" si="131"/>
        <v>108179.54678779794</v>
      </c>
      <c r="W601" s="7">
        <f t="shared" si="132"/>
        <v>-4.7402568763874582E-3</v>
      </c>
      <c r="X601" s="7">
        <f t="shared" si="133"/>
        <v>-3.9731911355985932E-3</v>
      </c>
      <c r="Y601">
        <f>LN(B601/B600)</f>
        <v>-1.0096811272618031E-2</v>
      </c>
      <c r="Z601">
        <f>LN(C601/C600)</f>
        <v>3.3434098837968737E-4</v>
      </c>
    </row>
    <row r="602" spans="1:26" x14ac:dyDescent="0.3">
      <c r="A602" s="11">
        <v>41060</v>
      </c>
      <c r="B602" s="12">
        <v>19640.07</v>
      </c>
      <c r="C602" s="12">
        <v>28.458310000000001</v>
      </c>
      <c r="D602" s="16">
        <f t="shared" si="122"/>
        <v>1.7389317864650256E-2</v>
      </c>
      <c r="E602" s="15">
        <f t="shared" si="134"/>
        <v>3.3533962979781506E-4</v>
      </c>
      <c r="G602" s="25" t="str">
        <f>IF(VLOOKUP(A602,Aux!B:C,2,FALSE)=0,"",VLOOKUP(A602,Aux!B:C,2,FALSE))</f>
        <v/>
      </c>
      <c r="H602" s="25" t="str">
        <f t="shared" si="123"/>
        <v/>
      </c>
      <c r="L602" s="13">
        <f t="shared" si="126"/>
        <v>108218.62131551612</v>
      </c>
      <c r="M602" s="14">
        <f t="shared" si="127"/>
        <v>905.24496775898353</v>
      </c>
      <c r="N602" s="14">
        <f t="shared" si="128"/>
        <v>18.523262869928775</v>
      </c>
      <c r="O602" s="1">
        <f t="shared" si="129"/>
        <v>2.6966694502635975</v>
      </c>
      <c r="P602" s="1">
        <f t="shared" si="130"/>
        <v>1941.6418102648238</v>
      </c>
      <c r="S602" s="6">
        <f t="shared" si="124"/>
        <v>0.489405391846781</v>
      </c>
      <c r="T602" s="6">
        <f t="shared" si="125"/>
        <v>0.51059460815321889</v>
      </c>
      <c r="V602" s="1">
        <f t="shared" si="131"/>
        <v>108975.33760397974</v>
      </c>
      <c r="W602" s="7">
        <f t="shared" si="132"/>
        <v>8.5727715233430268E-3</v>
      </c>
      <c r="X602" s="7">
        <f t="shared" si="133"/>
        <v>7.3292791068195924E-3</v>
      </c>
      <c r="Y602">
        <f>LN(B602/B601)</f>
        <v>1.7239853906401405E-2</v>
      </c>
      <c r="Z602">
        <f>LN(C602/C601)</f>
        <v>3.3528341603094333E-4</v>
      </c>
    </row>
    <row r="603" spans="1:26" x14ac:dyDescent="0.3">
      <c r="A603" s="9">
        <v>41061</v>
      </c>
      <c r="B603" s="1">
        <v>19309.34</v>
      </c>
      <c r="C603" s="1">
        <v>28.46734</v>
      </c>
      <c r="D603" s="6">
        <f t="shared" ref="D603:D666" si="135">B603/B602-1</f>
        <v>-1.6839553015849718E-2</v>
      </c>
      <c r="E603" s="5">
        <f t="shared" si="134"/>
        <v>3.1730626309145471E-4</v>
      </c>
      <c r="G603" s="25" t="str">
        <f>IF(VLOOKUP(A603,Aux!B:C,2,FALSE)=0,"",VLOOKUP(A603,Aux!B:C,2,FALSE))</f>
        <v/>
      </c>
      <c r="H603" s="25" t="str">
        <f t="shared" si="123"/>
        <v/>
      </c>
      <c r="L603" s="13">
        <f t="shared" si="126"/>
        <v>107344.28485377714</v>
      </c>
      <c r="M603" s="14">
        <f t="shared" si="127"/>
        <v>-891.86948728567847</v>
      </c>
      <c r="N603" s="14">
        <f t="shared" si="128"/>
        <v>17.533025546689817</v>
      </c>
      <c r="O603" s="1">
        <f t="shared" si="129"/>
        <v>2.6966694502635975</v>
      </c>
      <c r="P603" s="1">
        <f t="shared" si="130"/>
        <v>1941.6418102648238</v>
      </c>
      <c r="S603" s="6">
        <f t="shared" si="124"/>
        <v>0.48508318215248392</v>
      </c>
      <c r="T603" s="6">
        <f t="shared" si="125"/>
        <v>0.51491681784751597</v>
      </c>
      <c r="V603" s="1">
        <f t="shared" si="131"/>
        <v>108232.53323110986</v>
      </c>
      <c r="W603" s="7">
        <f t="shared" si="132"/>
        <v>-8.1121680170244733E-3</v>
      </c>
      <c r="X603" s="7">
        <f t="shared" si="133"/>
        <v>-6.8395980837816089E-3</v>
      </c>
      <c r="Y603">
        <f>LN(B603/B602)</f>
        <v>-1.6982950400223944E-2</v>
      </c>
      <c r="Z603">
        <f>LN(C603/C602)</f>
        <v>3.1725593210576601E-4</v>
      </c>
    </row>
    <row r="604" spans="1:26" x14ac:dyDescent="0.3">
      <c r="A604" s="11">
        <v>41064</v>
      </c>
      <c r="B604" s="12">
        <v>19295.78</v>
      </c>
      <c r="C604" s="12">
        <v>28.476389999999999</v>
      </c>
      <c r="D604" s="16">
        <f t="shared" si="135"/>
        <v>-7.0225082783781367E-4</v>
      </c>
      <c r="E604" s="15">
        <f t="shared" si="134"/>
        <v>3.1790817125876281E-4</v>
      </c>
      <c r="G604" s="25" t="str">
        <f>IF(VLOOKUP(A604,Aux!B:C,2,FALSE)=0,"",VLOOKUP(A604,Aux!B:C,2,FALSE))</f>
        <v/>
      </c>
      <c r="H604" s="25" t="str">
        <f t="shared" si="123"/>
        <v/>
      </c>
      <c r="L604" s="13">
        <f t="shared" si="126"/>
        <v>107325.28987441446</v>
      </c>
      <c r="M604" s="14">
        <f t="shared" si="127"/>
        <v>-36.566837745577914</v>
      </c>
      <c r="N604" s="14">
        <f t="shared" si="128"/>
        <v>17.571858382893641</v>
      </c>
      <c r="O604" s="1">
        <f t="shared" si="129"/>
        <v>2.6966694502635975</v>
      </c>
      <c r="P604" s="1">
        <f t="shared" si="130"/>
        <v>1941.6418102648238</v>
      </c>
      <c r="S604" s="6">
        <f t="shared" si="124"/>
        <v>0.48482832430170691</v>
      </c>
      <c r="T604" s="6">
        <f t="shared" si="125"/>
        <v>0.51517167569829281</v>
      </c>
      <c r="V604" s="1">
        <f t="shared" si="131"/>
        <v>108221.49588555517</v>
      </c>
      <c r="W604" s="7">
        <f t="shared" si="132"/>
        <v>-1.7696946049569655E-4</v>
      </c>
      <c r="X604" s="7">
        <f t="shared" si="133"/>
        <v>-1.0198327662738037E-4</v>
      </c>
      <c r="Y604">
        <f>LN(B604/B603)</f>
        <v>-7.0249752145103725E-4</v>
      </c>
      <c r="Z604">
        <f>LN(C604/C603)</f>
        <v>3.1785764916339394E-4</v>
      </c>
    </row>
    <row r="605" spans="1:26" x14ac:dyDescent="0.3">
      <c r="A605" s="9">
        <v>41065</v>
      </c>
      <c r="B605" s="1">
        <v>19050.009999999998</v>
      </c>
      <c r="C605" s="1">
        <v>28.48546</v>
      </c>
      <c r="D605" s="6">
        <f t="shared" si="135"/>
        <v>-1.2736981868574415E-2</v>
      </c>
      <c r="E605" s="5">
        <f t="shared" si="134"/>
        <v>3.1850947398881502E-4</v>
      </c>
      <c r="G605" s="25" t="str">
        <f>IF(VLOOKUP(A605,Aux!B:C,2,FALSE)=0,"",VLOOKUP(A605,Aux!B:C,2,FALSE))</f>
        <v/>
      </c>
      <c r="H605" s="25" t="str">
        <f t="shared" si="123"/>
        <v/>
      </c>
      <c r="L605" s="13">
        <f t="shared" si="126"/>
        <v>106680.14011484227</v>
      </c>
      <c r="M605" s="14">
        <f t="shared" si="127"/>
        <v>-662.76045079128551</v>
      </c>
      <c r="N605" s="14">
        <f t="shared" si="128"/>
        <v>17.610691219104368</v>
      </c>
      <c r="O605" s="1">
        <f t="shared" si="129"/>
        <v>2.6966694502635975</v>
      </c>
      <c r="P605" s="1">
        <f t="shared" si="130"/>
        <v>1941.6418102648238</v>
      </c>
      <c r="S605" s="6">
        <f t="shared" si="124"/>
        <v>0.48154773642886101</v>
      </c>
      <c r="T605" s="6">
        <f t="shared" si="125"/>
        <v>0.51845226357113883</v>
      </c>
      <c r="V605" s="1">
        <f t="shared" si="131"/>
        <v>107674.78668990044</v>
      </c>
      <c r="W605" s="7">
        <f t="shared" si="132"/>
        <v>-6.0293022845560344E-3</v>
      </c>
      <c r="X605" s="7">
        <f t="shared" si="133"/>
        <v>-5.0645648708262129E-3</v>
      </c>
      <c r="Y605">
        <f>LN(B605/B604)</f>
        <v>-1.2818792646124132E-2</v>
      </c>
      <c r="Z605">
        <f>LN(C605/C604)</f>
        <v>3.1845876061447904E-4</v>
      </c>
    </row>
    <row r="606" spans="1:26" x14ac:dyDescent="0.3">
      <c r="A606" s="11">
        <v>41066</v>
      </c>
      <c r="B606" s="12">
        <v>19615.23</v>
      </c>
      <c r="C606" s="12">
        <v>28.494530000000001</v>
      </c>
      <c r="D606" s="16">
        <f t="shared" si="135"/>
        <v>2.967032563237515E-2</v>
      </c>
      <c r="E606" s="15">
        <f t="shared" si="134"/>
        <v>3.1840805800587013E-4</v>
      </c>
      <c r="G606" s="25" t="str">
        <f>IF(VLOOKUP(A606,Aux!B:C,2,FALSE)=0,"",VLOOKUP(A606,Aux!B:C,2,FALSE))</f>
        <v/>
      </c>
      <c r="H606" s="25" t="str">
        <f t="shared" si="123"/>
        <v/>
      </c>
      <c r="L606" s="13">
        <f t="shared" si="126"/>
        <v>108221.96231273937</v>
      </c>
      <c r="M606" s="14">
        <f t="shared" si="127"/>
        <v>1524.2115066779936</v>
      </c>
      <c r="N606" s="14">
        <f t="shared" si="128"/>
        <v>17.610691219104368</v>
      </c>
      <c r="O606" s="1">
        <f t="shared" si="129"/>
        <v>2.6966694502635975</v>
      </c>
      <c r="P606" s="1">
        <f t="shared" si="130"/>
        <v>1941.6418102648238</v>
      </c>
      <c r="S606" s="6">
        <f t="shared" si="124"/>
        <v>0.48877132118558331</v>
      </c>
      <c r="T606" s="6">
        <f t="shared" si="125"/>
        <v>0.51122867881441658</v>
      </c>
      <c r="V606" s="1">
        <f t="shared" si="131"/>
        <v>108999.05979282773</v>
      </c>
      <c r="W606" s="7">
        <f t="shared" si="132"/>
        <v>1.4349311950346085E-2</v>
      </c>
      <c r="X606" s="7">
        <f t="shared" si="133"/>
        <v>1.2223806554878225E-2</v>
      </c>
      <c r="Y606">
        <f>LN(B606/B605)</f>
        <v>2.9238678805927079E-2</v>
      </c>
      <c r="Z606">
        <f>LN(C606/C605)</f>
        <v>3.1835737691806101E-4</v>
      </c>
    </row>
    <row r="607" spans="1:26" x14ac:dyDescent="0.3">
      <c r="A607" s="9">
        <v>41068</v>
      </c>
      <c r="B607" s="1">
        <v>19604.240000000002</v>
      </c>
      <c r="C607" s="1">
        <v>28.50357</v>
      </c>
      <c r="D607" s="6">
        <f t="shared" si="135"/>
        <v>-5.6027892612009467E-4</v>
      </c>
      <c r="E607" s="5">
        <f t="shared" si="134"/>
        <v>3.1725387293635166E-4</v>
      </c>
      <c r="G607" s="25" t="str">
        <f>IF(VLOOKUP(A607,Aux!B:C,2,FALSE)=0,"",VLOOKUP(A607,Aux!B:C,2,FALSE))</f>
        <v/>
      </c>
      <c r="H607" s="25" t="str">
        <f t="shared" si="123"/>
        <v/>
      </c>
      <c r="L607" s="13">
        <f t="shared" si="126"/>
        <v>108209.87835744576</v>
      </c>
      <c r="M607" s="14">
        <f t="shared" si="127"/>
        <v>-29.636397258391444</v>
      </c>
      <c r="N607" s="14">
        <f t="shared" si="128"/>
        <v>17.552441964791729</v>
      </c>
      <c r="O607" s="1">
        <f t="shared" si="129"/>
        <v>2.6966694502635975</v>
      </c>
      <c r="P607" s="1">
        <f t="shared" si="130"/>
        <v>1941.6418102648238</v>
      </c>
      <c r="S607" s="6">
        <f t="shared" si="124"/>
        <v>0.48855202414150012</v>
      </c>
      <c r="T607" s="6">
        <f t="shared" si="125"/>
        <v>0.51144797585849988</v>
      </c>
      <c r="V607" s="1">
        <f t="shared" si="131"/>
        <v>108993.92915584749</v>
      </c>
      <c r="W607" s="7">
        <f t="shared" si="132"/>
        <v>-1.1166522697160768E-4</v>
      </c>
      <c r="X607" s="7">
        <f t="shared" si="133"/>
        <v>-4.7071577906482763E-5</v>
      </c>
      <c r="Y607">
        <f>LN(B607/B606)</f>
        <v>-5.6043594100844963E-4</v>
      </c>
      <c r="Z607">
        <f>LN(C607/C606)</f>
        <v>3.1720355856774268E-4</v>
      </c>
    </row>
    <row r="608" spans="1:26" x14ac:dyDescent="0.3">
      <c r="A608" s="11">
        <v>41071</v>
      </c>
      <c r="B608" s="12">
        <v>19482.330000000002</v>
      </c>
      <c r="C608" s="12">
        <v>28.51266</v>
      </c>
      <c r="D608" s="16">
        <f t="shared" si="135"/>
        <v>-6.2185527212480496E-3</v>
      </c>
      <c r="E608" s="15">
        <f t="shared" si="134"/>
        <v>3.1890742107032466E-4</v>
      </c>
      <c r="G608" s="25" t="str">
        <f>IF(VLOOKUP(A608,Aux!B:C,2,FALSE)=0,"",VLOOKUP(A608,Aux!B:C,2,FALSE))</f>
        <v/>
      </c>
      <c r="H608" s="25" t="str">
        <f t="shared" si="123"/>
        <v/>
      </c>
      <c r="L608" s="13">
        <f t="shared" si="126"/>
        <v>107898.77690881943</v>
      </c>
      <c r="M608" s="14">
        <f t="shared" si="127"/>
        <v>-328.75097268163478</v>
      </c>
      <c r="N608" s="14">
        <f t="shared" si="128"/>
        <v>17.649524055308191</v>
      </c>
      <c r="O608" s="1">
        <f t="shared" si="129"/>
        <v>2.6966694502635975</v>
      </c>
      <c r="P608" s="1">
        <f t="shared" si="130"/>
        <v>1941.6418102648238</v>
      </c>
      <c r="S608" s="6">
        <f t="shared" si="124"/>
        <v>0.48691380603276974</v>
      </c>
      <c r="T608" s="6">
        <f t="shared" si="125"/>
        <v>0.51308619396723021</v>
      </c>
      <c r="V608" s="1">
        <f t="shared" si="131"/>
        <v>108733.01405548799</v>
      </c>
      <c r="W608" s="7">
        <f t="shared" si="132"/>
        <v>-2.8791226630448781E-3</v>
      </c>
      <c r="X608" s="7">
        <f t="shared" si="133"/>
        <v>-2.3967196839149987E-3</v>
      </c>
      <c r="Y608">
        <f>LN(B608/B607)</f>
        <v>-6.2379684539104353E-3</v>
      </c>
      <c r="Z608">
        <f>LN(C608/C607)</f>
        <v>3.1885658090730079E-4</v>
      </c>
    </row>
    <row r="609" spans="1:26" x14ac:dyDescent="0.3">
      <c r="A609" s="9">
        <v>41072</v>
      </c>
      <c r="B609" s="1">
        <v>19846.16</v>
      </c>
      <c r="C609" s="1">
        <v>28.521699999999999</v>
      </c>
      <c r="D609" s="6">
        <f t="shared" si="135"/>
        <v>1.867487102415355E-2</v>
      </c>
      <c r="E609" s="5">
        <f t="shared" si="134"/>
        <v>3.1705214455612918E-4</v>
      </c>
      <c r="G609" s="25" t="str">
        <f>IF(VLOOKUP(A609,Aux!B:C,2,FALSE)=0,"",VLOOKUP(A609,Aux!B:C,2,FALSE))</f>
        <v/>
      </c>
      <c r="H609" s="25" t="str">
        <f t="shared" si="123"/>
        <v/>
      </c>
      <c r="L609" s="13">
        <f t="shared" si="126"/>
        <v>108897.45859687362</v>
      </c>
      <c r="M609" s="14">
        <f t="shared" si="127"/>
        <v>981.12924608939954</v>
      </c>
      <c r="N609" s="14">
        <f t="shared" si="128"/>
        <v>17.552441964791729</v>
      </c>
      <c r="O609" s="1">
        <f t="shared" si="129"/>
        <v>2.6966694502635975</v>
      </c>
      <c r="P609" s="1">
        <f t="shared" si="130"/>
        <v>1941.6418102648238</v>
      </c>
      <c r="S609" s="6">
        <f t="shared" si="124"/>
        <v>0.49145805665826514</v>
      </c>
      <c r="T609" s="6">
        <f t="shared" si="125"/>
        <v>0.50854194334173486</v>
      </c>
      <c r="V609" s="1">
        <f t="shared" si="131"/>
        <v>109592.60626978151</v>
      </c>
      <c r="W609" s="7">
        <f t="shared" si="132"/>
        <v>9.2131558457149432E-3</v>
      </c>
      <c r="X609" s="7">
        <f t="shared" si="133"/>
        <v>7.8744460199309998E-3</v>
      </c>
      <c r="Y609">
        <f>LN(B609/B608)</f>
        <v>1.8502636619588498E-2</v>
      </c>
      <c r="Z609">
        <f>LN(C609/C608)</f>
        <v>3.1700189414599831E-4</v>
      </c>
    </row>
    <row r="610" spans="1:26" x14ac:dyDescent="0.3">
      <c r="A610" s="11">
        <v>41073</v>
      </c>
      <c r="B610" s="12">
        <v>19947.46</v>
      </c>
      <c r="C610" s="12">
        <v>28.53077</v>
      </c>
      <c r="D610" s="16">
        <f t="shared" si="135"/>
        <v>5.1042619831744851E-3</v>
      </c>
      <c r="E610" s="15">
        <f t="shared" si="134"/>
        <v>3.1800348506583198E-4</v>
      </c>
      <c r="G610" s="25" t="str">
        <f>IF(VLOOKUP(A610,Aux!B:C,2,FALSE)=0,"",VLOOKUP(A610,Aux!B:C,2,FALSE))</f>
        <v/>
      </c>
      <c r="H610" s="25" t="str">
        <f t="shared" si="123"/>
        <v/>
      </c>
      <c r="L610" s="13">
        <f t="shared" si="126"/>
        <v>109188.24190340443</v>
      </c>
      <c r="M610" s="14">
        <f t="shared" si="127"/>
        <v>273.17261531170044</v>
      </c>
      <c r="N610" s="14">
        <f t="shared" si="128"/>
        <v>17.610691219104368</v>
      </c>
      <c r="O610" s="1">
        <f t="shared" si="129"/>
        <v>2.6966694502635975</v>
      </c>
      <c r="P610" s="1">
        <f t="shared" si="130"/>
        <v>1941.6418102648238</v>
      </c>
      <c r="S610" s="6">
        <f t="shared" si="124"/>
        <v>0.49265108636828325</v>
      </c>
      <c r="T610" s="6">
        <f t="shared" si="125"/>
        <v>0.50734891363171675</v>
      </c>
      <c r="V610" s="1">
        <f t="shared" si="131"/>
        <v>109846.59970470035</v>
      </c>
      <c r="W610" s="7">
        <f t="shared" si="132"/>
        <v>2.6666900047347055E-3</v>
      </c>
      <c r="X610" s="7">
        <f t="shared" si="133"/>
        <v>2.3149331699259478E-3</v>
      </c>
      <c r="Y610">
        <f>LN(B610/B609)</f>
        <v>5.0912793969188058E-3</v>
      </c>
      <c r="Z610">
        <f>LN(C610/C609)</f>
        <v>3.179529326745154E-4</v>
      </c>
    </row>
    <row r="611" spans="1:26" x14ac:dyDescent="0.3">
      <c r="A611" s="9">
        <v>41074</v>
      </c>
      <c r="B611" s="1">
        <v>19837.61</v>
      </c>
      <c r="C611" s="1">
        <v>28.539850000000001</v>
      </c>
      <c r="D611" s="6">
        <f t="shared" si="135"/>
        <v>-5.5069668017881934E-3</v>
      </c>
      <c r="E611" s="5">
        <f t="shared" si="134"/>
        <v>3.1825288977471722E-4</v>
      </c>
      <c r="G611" s="25" t="str">
        <f>IF(VLOOKUP(A611,Aux!B:C,2,FALSE)=0,"",VLOOKUP(A611,Aux!B:C,2,FALSE))</f>
        <v/>
      </c>
      <c r="H611" s="25" t="str">
        <f t="shared" si="123"/>
        <v/>
      </c>
      <c r="L611" s="13">
        <f t="shared" si="126"/>
        <v>108909.64287193018</v>
      </c>
      <c r="M611" s="14">
        <f t="shared" si="127"/>
        <v>-296.22913911145224</v>
      </c>
      <c r="N611" s="14">
        <f t="shared" si="128"/>
        <v>17.630107637206279</v>
      </c>
      <c r="O611" s="1">
        <f t="shared" si="129"/>
        <v>2.6966694502635975</v>
      </c>
      <c r="P611" s="1">
        <f t="shared" si="130"/>
        <v>1941.6418102648238</v>
      </c>
      <c r="S611" s="6">
        <f t="shared" si="124"/>
        <v>0.49119137151290115</v>
      </c>
      <c r="T611" s="6">
        <f t="shared" si="125"/>
        <v>0.50880862848709885</v>
      </c>
      <c r="V611" s="1">
        <f t="shared" si="131"/>
        <v>109613.48507487729</v>
      </c>
      <c r="W611" s="7">
        <f t="shared" si="132"/>
        <v>-2.5548086658151331E-3</v>
      </c>
      <c r="X611" s="7">
        <f t="shared" si="133"/>
        <v>-2.1244384165107527E-3</v>
      </c>
      <c r="Y611">
        <f>LN(B611/B610)</f>
        <v>-5.5221860437569036E-3</v>
      </c>
      <c r="Z611">
        <f>LN(C611/C610)</f>
        <v>3.182022580659658E-4</v>
      </c>
    </row>
    <row r="612" spans="1:26" x14ac:dyDescent="0.3">
      <c r="A612" s="11">
        <v>41075</v>
      </c>
      <c r="B612" s="12">
        <v>20029.3</v>
      </c>
      <c r="C612" s="12">
        <v>28.548919999999999</v>
      </c>
      <c r="D612" s="16">
        <f t="shared" si="135"/>
        <v>9.6629583906528982E-3</v>
      </c>
      <c r="E612" s="15">
        <f t="shared" si="134"/>
        <v>3.1780124983127322E-4</v>
      </c>
      <c r="G612" s="25" t="str">
        <f>IF(VLOOKUP(A612,Aux!B:C,2,FALSE)=0,"",VLOOKUP(A612,Aux!B:C,2,FALSE))</f>
        <v/>
      </c>
      <c r="H612" s="25" t="str">
        <f t="shared" si="123"/>
        <v/>
      </c>
      <c r="L612" s="13">
        <f t="shared" si="126"/>
        <v>109444.1781300703</v>
      </c>
      <c r="M612" s="14">
        <f t="shared" si="127"/>
        <v>516.92456692102542</v>
      </c>
      <c r="N612" s="14">
        <f t="shared" si="128"/>
        <v>17.610691219097468</v>
      </c>
      <c r="O612" s="1">
        <f t="shared" si="129"/>
        <v>2.6966694502635975</v>
      </c>
      <c r="P612" s="1">
        <f t="shared" si="130"/>
        <v>1941.6418102648238</v>
      </c>
      <c r="S612" s="6">
        <f t="shared" si="124"/>
        <v>0.49351552858273517</v>
      </c>
      <c r="T612" s="6">
        <f t="shared" si="125"/>
        <v>0.50648447141726483</v>
      </c>
      <c r="V612" s="1">
        <f t="shared" si="131"/>
        <v>110076.01140165524</v>
      </c>
      <c r="W612" s="7">
        <f t="shared" si="132"/>
        <v>4.8960565332170801E-3</v>
      </c>
      <c r="X612" s="7">
        <f t="shared" si="133"/>
        <v>4.2107339457680675E-3</v>
      </c>
      <c r="Y612">
        <f>LN(B612/B611)</f>
        <v>9.616570597700087E-3</v>
      </c>
      <c r="Z612">
        <f>LN(C612/C611)</f>
        <v>3.1775076171058474E-4</v>
      </c>
    </row>
    <row r="613" spans="1:26" x14ac:dyDescent="0.3">
      <c r="A613" s="9">
        <v>41078</v>
      </c>
      <c r="B613" s="1">
        <v>20154.79</v>
      </c>
      <c r="C613" s="1">
        <v>28.557980000000001</v>
      </c>
      <c r="D613" s="6">
        <f t="shared" si="135"/>
        <v>6.2653213042893618E-3</v>
      </c>
      <c r="E613" s="5">
        <f t="shared" si="134"/>
        <v>3.1735000833665872E-4</v>
      </c>
      <c r="G613" s="25" t="str">
        <f>IF(VLOOKUP(A613,Aux!B:C,2,FALSE)=0,"",VLOOKUP(A613,Aux!B:C,2,FALSE))</f>
        <v/>
      </c>
      <c r="H613" s="25" t="str">
        <f t="shared" si="123"/>
        <v/>
      </c>
      <c r="L613" s="13">
        <f t="shared" si="126"/>
        <v>109800.17445418489</v>
      </c>
      <c r="M613" s="14">
        <f t="shared" si="127"/>
        <v>338.40504931358316</v>
      </c>
      <c r="N613" s="14">
        <f t="shared" si="128"/>
        <v>17.591274801002452</v>
      </c>
      <c r="O613" s="1">
        <f t="shared" si="129"/>
        <v>2.6966694502635975</v>
      </c>
      <c r="P613" s="1">
        <f t="shared" si="130"/>
        <v>1941.6418102648238</v>
      </c>
      <c r="S613" s="6">
        <f t="shared" si="124"/>
        <v>0.49499745095720787</v>
      </c>
      <c r="T613" s="6">
        <f t="shared" si="125"/>
        <v>0.50500254904279207</v>
      </c>
      <c r="V613" s="1">
        <f t="shared" si="131"/>
        <v>110385.78964142018</v>
      </c>
      <c r="W613" s="7">
        <f t="shared" si="132"/>
        <v>3.2474874064939404E-3</v>
      </c>
      <c r="X613" s="7">
        <f t="shared" si="133"/>
        <v>2.8102686467667867E-3</v>
      </c>
      <c r="Y613">
        <f>LN(B613/B612)</f>
        <v>6.2457757756282503E-3</v>
      </c>
      <c r="Z613">
        <f>LN(C613/C612)</f>
        <v>3.1729966347377657E-4</v>
      </c>
    </row>
    <row r="614" spans="1:26" x14ac:dyDescent="0.3">
      <c r="A614" s="11">
        <v>41079</v>
      </c>
      <c r="B614" s="12">
        <v>20546.900000000001</v>
      </c>
      <c r="C614" s="12">
        <v>28.567070000000001</v>
      </c>
      <c r="D614" s="16">
        <f t="shared" si="135"/>
        <v>1.9454928580253217E-2</v>
      </c>
      <c r="E614" s="15">
        <f t="shared" si="134"/>
        <v>3.1829982372699739E-4</v>
      </c>
      <c r="G614" s="25" t="str">
        <f>IF(VLOOKUP(A614,Aux!B:C,2,FALSE)=0,"",VLOOKUP(A614,Aux!B:C,2,FALSE))</f>
        <v/>
      </c>
      <c r="H614" s="25" t="str">
        <f t="shared" si="123"/>
        <v/>
      </c>
      <c r="L614" s="13">
        <f t="shared" si="126"/>
        <v>110875.21503638306</v>
      </c>
      <c r="M614" s="14">
        <f t="shared" si="127"/>
        <v>1057.3910581428609</v>
      </c>
      <c r="N614" s="14">
        <f t="shared" si="128"/>
        <v>17.649524055308191</v>
      </c>
      <c r="O614" s="1">
        <f t="shared" si="129"/>
        <v>2.6966694502635975</v>
      </c>
      <c r="P614" s="1">
        <f t="shared" si="130"/>
        <v>1941.6418102648238</v>
      </c>
      <c r="S614" s="6">
        <f t="shared" si="124"/>
        <v>0.49973474693545566</v>
      </c>
      <c r="T614" s="6">
        <f t="shared" si="125"/>
        <v>0.50026525306454439</v>
      </c>
      <c r="V614" s="1">
        <f t="shared" si="131"/>
        <v>111310.73666157649</v>
      </c>
      <c r="W614" s="7">
        <f t="shared" si="132"/>
        <v>9.7432621665429816E-3</v>
      </c>
      <c r="X614" s="7">
        <f t="shared" si="133"/>
        <v>8.3443110488831147E-3</v>
      </c>
      <c r="Y614">
        <f>LN(B614/B613)</f>
        <v>1.9268100717448878E-2</v>
      </c>
      <c r="Z614">
        <f>LN(C614/C613)</f>
        <v>3.1824917708503153E-4</v>
      </c>
    </row>
    <row r="615" spans="1:26" x14ac:dyDescent="0.3">
      <c r="A615" s="9">
        <v>41080</v>
      </c>
      <c r="B615" s="1">
        <v>20512.16</v>
      </c>
      <c r="C615" s="1">
        <v>28.576129999999999</v>
      </c>
      <c r="D615" s="6">
        <f t="shared" si="135"/>
        <v>-1.6907660036308281E-3</v>
      </c>
      <c r="E615" s="5">
        <f t="shared" si="134"/>
        <v>3.1714838098539921E-4</v>
      </c>
      <c r="G615" s="25" t="str">
        <f>IF(VLOOKUP(A615,Aux!B:C,2,FALSE)=0,"",VLOOKUP(A615,Aux!B:C,2,FALSE))</f>
        <v/>
      </c>
      <c r="H615" s="25" t="str">
        <f t="shared" si="123"/>
        <v/>
      </c>
      <c r="L615" s="13">
        <f t="shared" si="126"/>
        <v>110799.1240144819</v>
      </c>
      <c r="M615" s="14">
        <f t="shared" si="127"/>
        <v>-93.682296702161693</v>
      </c>
      <c r="N615" s="14">
        <f t="shared" si="128"/>
        <v>17.591274800995556</v>
      </c>
      <c r="O615" s="1">
        <f t="shared" si="129"/>
        <v>2.6966694502635975</v>
      </c>
      <c r="P615" s="1">
        <f t="shared" si="130"/>
        <v>1941.6418102648238</v>
      </c>
      <c r="S615" s="6">
        <f t="shared" si="124"/>
        <v>0.4992324237481256</v>
      </c>
      <c r="T615" s="6">
        <f t="shared" si="125"/>
        <v>0.50076757625187429</v>
      </c>
      <c r="V615" s="1">
        <f t="shared" si="131"/>
        <v>111250.85868646606</v>
      </c>
      <c r="W615" s="7">
        <f t="shared" si="132"/>
        <v>-6.8651180118920352E-4</v>
      </c>
      <c r="X615" s="7">
        <f t="shared" si="133"/>
        <v>-5.3808004441651563E-4</v>
      </c>
      <c r="Y615">
        <f>LN(B615/B614)</f>
        <v>-1.6921969616412471E-3</v>
      </c>
      <c r="Z615">
        <f>LN(C615/C614)</f>
        <v>3.1709810006834508E-4</v>
      </c>
    </row>
    <row r="616" spans="1:26" x14ac:dyDescent="0.3">
      <c r="A616" s="11">
        <v>41081</v>
      </c>
      <c r="B616" s="12">
        <v>19959.849999999999</v>
      </c>
      <c r="C616" s="12">
        <v>28.585239999999999</v>
      </c>
      <c r="D616" s="16">
        <f t="shared" si="135"/>
        <v>-2.6925979516540521E-2</v>
      </c>
      <c r="E616" s="15">
        <f t="shared" si="134"/>
        <v>3.1879754186436848E-4</v>
      </c>
      <c r="G616" s="25" t="str">
        <f>IF(VLOOKUP(A616,Aux!B:C,2,FALSE)=0,"",VLOOKUP(A616,Aux!B:C,2,FALSE))</f>
        <v/>
      </c>
      <c r="H616" s="25" t="str">
        <f t="shared" si="123"/>
        <v/>
      </c>
      <c r="L616" s="13">
        <f t="shared" si="126"/>
        <v>109327.41486729831</v>
      </c>
      <c r="M616" s="14">
        <f t="shared" si="127"/>
        <v>-1489.3975040750911</v>
      </c>
      <c r="N616" s="14">
        <f t="shared" si="128"/>
        <v>17.688356891512019</v>
      </c>
      <c r="O616" s="1">
        <f t="shared" si="129"/>
        <v>2.6966694502635975</v>
      </c>
      <c r="P616" s="1">
        <f t="shared" si="130"/>
        <v>1941.6418102648238</v>
      </c>
      <c r="S616" s="6">
        <f t="shared" si="124"/>
        <v>0.49232955697504444</v>
      </c>
      <c r="T616" s="6">
        <f t="shared" si="125"/>
        <v>0.50767044302495556</v>
      </c>
      <c r="V616" s="1">
        <f t="shared" si="131"/>
        <v>109997.04047328321</v>
      </c>
      <c r="W616" s="7">
        <f t="shared" si="132"/>
        <v>-1.3371682335918051E-2</v>
      </c>
      <c r="X616" s="7">
        <f t="shared" si="133"/>
        <v>-1.1334178904452442E-2</v>
      </c>
      <c r="Y616">
        <f>LN(B616/B615)</f>
        <v>-2.7295125194830017E-2</v>
      </c>
      <c r="Z616">
        <f>LN(C616/C615)</f>
        <v>3.1874673672543458E-4</v>
      </c>
    </row>
    <row r="617" spans="1:26" x14ac:dyDescent="0.3">
      <c r="A617" s="9">
        <v>41082</v>
      </c>
      <c r="B617" s="1">
        <v>19915</v>
      </c>
      <c r="C617" s="1">
        <v>28.594370000000001</v>
      </c>
      <c r="D617" s="6">
        <f t="shared" si="135"/>
        <v>-2.247010874330102E-3</v>
      </c>
      <c r="E617" s="5">
        <f t="shared" si="134"/>
        <v>3.1939560416494039E-4</v>
      </c>
      <c r="G617" s="25" t="str">
        <f>IF(VLOOKUP(A617,Aux!B:C,2,FALSE)=0,"",VLOOKUP(A617,Aux!B:C,2,FALSE))</f>
        <v/>
      </c>
      <c r="H617" s="25" t="str">
        <f t="shared" si="123"/>
        <v/>
      </c>
      <c r="L617" s="13">
        <f t="shared" si="126"/>
        <v>109224.19643218172</v>
      </c>
      <c r="M617" s="14">
        <f t="shared" si="127"/>
        <v>-120.94562484431843</v>
      </c>
      <c r="N617" s="14">
        <f t="shared" si="128"/>
        <v>17.727189727722745</v>
      </c>
      <c r="O617" s="1">
        <f t="shared" si="129"/>
        <v>2.6966694502635975</v>
      </c>
      <c r="P617" s="1">
        <f t="shared" si="130"/>
        <v>1941.6418102648238</v>
      </c>
      <c r="S617" s="6">
        <f t="shared" si="124"/>
        <v>0.49168750017167623</v>
      </c>
      <c r="T617" s="6">
        <f t="shared" si="125"/>
        <v>0.50831249982832383</v>
      </c>
      <c r="V617" s="1">
        <f t="shared" si="131"/>
        <v>109913.99497379539</v>
      </c>
      <c r="W617" s="7">
        <f t="shared" si="132"/>
        <v>-9.4456812445574195E-4</v>
      </c>
      <c r="X617" s="7">
        <f t="shared" si="133"/>
        <v>-7.5526453928599754E-4</v>
      </c>
      <c r="Y617">
        <f>LN(B617/B616)</f>
        <v>-2.2495391914121514E-3</v>
      </c>
      <c r="Z617">
        <f>LN(C617/C616)</f>
        <v>3.193446082472528E-4</v>
      </c>
    </row>
    <row r="618" spans="1:26" x14ac:dyDescent="0.3">
      <c r="A618" s="11">
        <v>41085</v>
      </c>
      <c r="B618" s="12">
        <v>19388.32</v>
      </c>
      <c r="C618" s="12">
        <v>28.603490000000001</v>
      </c>
      <c r="D618" s="16">
        <f t="shared" si="135"/>
        <v>-2.6446397188049198E-2</v>
      </c>
      <c r="E618" s="15">
        <f t="shared" si="134"/>
        <v>3.189439039923414E-4</v>
      </c>
      <c r="G618" s="25" t="str">
        <f>IF(VLOOKUP(A618,Aux!B:C,2,FALSE)=0,"",VLOOKUP(A618,Aux!B:C,2,FALSE))</f>
        <v/>
      </c>
      <c r="H618" s="25" t="str">
        <f t="shared" si="123"/>
        <v/>
      </c>
      <c r="L618" s="13">
        <f t="shared" si="126"/>
        <v>107821.6223394265</v>
      </c>
      <c r="M618" s="14">
        <f t="shared" si="127"/>
        <v>-1420.2818660648322</v>
      </c>
      <c r="N618" s="14">
        <f t="shared" si="128"/>
        <v>17.707773309613934</v>
      </c>
      <c r="O618" s="1">
        <f t="shared" si="129"/>
        <v>2.6966694502635975</v>
      </c>
      <c r="P618" s="1">
        <f t="shared" si="130"/>
        <v>1941.6418102648238</v>
      </c>
      <c r="S618" s="6">
        <f t="shared" si="124"/>
        <v>0.48491099560107781</v>
      </c>
      <c r="T618" s="6">
        <f t="shared" si="125"/>
        <v>0.51508900439892225</v>
      </c>
      <c r="V618" s="1">
        <f t="shared" si="131"/>
        <v>108719.32843847934</v>
      </c>
      <c r="W618" s="7">
        <f t="shared" si="132"/>
        <v>-1.2924401165499165E-2</v>
      </c>
      <c r="X618" s="7">
        <f t="shared" si="133"/>
        <v>-1.092860326139088E-2</v>
      </c>
      <c r="Y618">
        <f>LN(B618/B617)</f>
        <v>-2.6802393732011903E-2</v>
      </c>
      <c r="Z618">
        <f>LN(C618/C617)</f>
        <v>3.1889305219768709E-4</v>
      </c>
    </row>
    <row r="619" spans="1:26" x14ac:dyDescent="0.3">
      <c r="A619" s="9">
        <v>41086</v>
      </c>
      <c r="B619" s="1">
        <v>19472.78</v>
      </c>
      <c r="C619" s="1">
        <v>28.61262</v>
      </c>
      <c r="D619" s="6">
        <f t="shared" si="135"/>
        <v>4.3562309679228139E-3</v>
      </c>
      <c r="E619" s="5">
        <f t="shared" si="134"/>
        <v>3.1919181890027737E-4</v>
      </c>
      <c r="G619" s="25" t="str">
        <f>IF(VLOOKUP(A619,Aux!B:C,2,FALSE)=0,"",VLOOKUP(A619,Aux!B:C,2,FALSE))</f>
        <v/>
      </c>
      <c r="H619" s="25" t="str">
        <f t="shared" si="123"/>
        <v/>
      </c>
      <c r="L619" s="13">
        <f t="shared" si="126"/>
        <v>108067.11023092347</v>
      </c>
      <c r="M619" s="14">
        <f t="shared" si="127"/>
        <v>227.76070176926109</v>
      </c>
      <c r="N619" s="14">
        <f t="shared" si="128"/>
        <v>17.727189727715846</v>
      </c>
      <c r="O619" s="1">
        <f t="shared" si="129"/>
        <v>2.6966694502635975</v>
      </c>
      <c r="P619" s="1">
        <f t="shared" si="130"/>
        <v>1941.6418102648238</v>
      </c>
      <c r="S619" s="6">
        <f t="shared" si="124"/>
        <v>0.48591704567184524</v>
      </c>
      <c r="T619" s="6">
        <f t="shared" si="125"/>
        <v>0.51408295432815476</v>
      </c>
      <c r="V619" s="1">
        <f t="shared" si="131"/>
        <v>108934.60563227952</v>
      </c>
      <c r="W619" s="7">
        <f t="shared" si="132"/>
        <v>2.2742085182491565E-3</v>
      </c>
      <c r="X619" s="7">
        <f t="shared" si="133"/>
        <v>1.9781610189564393E-3</v>
      </c>
      <c r="Y619">
        <f>LN(B619/B618)</f>
        <v>4.3467700597827012E-3</v>
      </c>
      <c r="Z619">
        <f>LN(C619/C618)</f>
        <v>3.1914088802917432E-4</v>
      </c>
    </row>
    <row r="620" spans="1:26" x14ac:dyDescent="0.3">
      <c r="A620" s="11">
        <v>41087</v>
      </c>
      <c r="B620" s="12">
        <v>19399.509999999998</v>
      </c>
      <c r="C620" s="12">
        <v>28.621729999999999</v>
      </c>
      <c r="D620" s="16">
        <f t="shared" si="135"/>
        <v>-3.7626882242802751E-3</v>
      </c>
      <c r="E620" s="15">
        <f t="shared" si="134"/>
        <v>3.1839097573027608E-4</v>
      </c>
      <c r="G620" s="25" t="str">
        <f>IF(VLOOKUP(A620,Aux!B:C,2,FALSE)=0,"",VLOOKUP(A620,Aux!B:C,2,FALSE))</f>
        <v/>
      </c>
      <c r="H620" s="25" t="str">
        <f t="shared" si="123"/>
        <v/>
      </c>
      <c r="L620" s="13">
        <f t="shared" si="126"/>
        <v>107887.21361719417</v>
      </c>
      <c r="M620" s="14">
        <f t="shared" si="127"/>
        <v>-197.58497062081497</v>
      </c>
      <c r="N620" s="14">
        <f t="shared" si="128"/>
        <v>17.688356891512019</v>
      </c>
      <c r="O620" s="1">
        <f t="shared" si="129"/>
        <v>2.6966694502635975</v>
      </c>
      <c r="P620" s="1">
        <f t="shared" si="130"/>
        <v>1941.6418102648238</v>
      </c>
      <c r="S620" s="6">
        <f t="shared" si="124"/>
        <v>0.48489588537066247</v>
      </c>
      <c r="T620" s="6">
        <f t="shared" si="125"/>
        <v>0.51510411462933758</v>
      </c>
      <c r="V620" s="1">
        <f t="shared" si="131"/>
        <v>108785.94945600553</v>
      </c>
      <c r="W620" s="7">
        <f t="shared" si="132"/>
        <v>-1.6660620832796695E-3</v>
      </c>
      <c r="X620" s="7">
        <f t="shared" si="133"/>
        <v>-1.3655688073604725E-3</v>
      </c>
      <c r="Y620">
        <f>LN(B620/B619)</f>
        <v>-3.7697849430366969E-3</v>
      </c>
      <c r="Z620">
        <f>LN(C620/C619)</f>
        <v>3.1834030007972405E-4</v>
      </c>
    </row>
    <row r="621" spans="1:26" x14ac:dyDescent="0.3">
      <c r="A621" s="9">
        <v>41088</v>
      </c>
      <c r="B621" s="1">
        <v>19327.34</v>
      </c>
      <c r="C621" s="1">
        <v>28.630859999999998</v>
      </c>
      <c r="D621" s="6">
        <f t="shared" si="135"/>
        <v>-3.7201970565234888E-3</v>
      </c>
      <c r="E621" s="5">
        <f t="shared" si="134"/>
        <v>3.1898840496369374E-4</v>
      </c>
      <c r="G621" s="25" t="str">
        <f>IF(VLOOKUP(A621,Aux!B:C,2,FALSE)=0,"",VLOOKUP(A621,Aux!B:C,2,FALSE))</f>
        <v/>
      </c>
      <c r="H621" s="25" t="str">
        <f t="shared" si="123"/>
        <v/>
      </c>
      <c r="L621" s="13">
        <f t="shared" si="126"/>
        <v>107710.32217269635</v>
      </c>
      <c r="M621" s="14">
        <f t="shared" si="127"/>
        <v>-194.61863422551912</v>
      </c>
      <c r="N621" s="14">
        <f t="shared" si="128"/>
        <v>17.727189727715846</v>
      </c>
      <c r="O621" s="1">
        <f t="shared" si="129"/>
        <v>2.6966694502635975</v>
      </c>
      <c r="P621" s="1">
        <f t="shared" si="130"/>
        <v>1941.6418102648238</v>
      </c>
      <c r="S621" s="6">
        <f t="shared" si="124"/>
        <v>0.48388535361812779</v>
      </c>
      <c r="T621" s="6">
        <f t="shared" si="125"/>
        <v>0.51611464638187243</v>
      </c>
      <c r="V621" s="1">
        <f t="shared" si="131"/>
        <v>108639.87576085899</v>
      </c>
      <c r="W621" s="7">
        <f t="shared" si="132"/>
        <v>-1.6409416141287833E-3</v>
      </c>
      <c r="X621" s="7">
        <f t="shared" si="133"/>
        <v>-1.3436648289416459E-3</v>
      </c>
      <c r="Y621">
        <f>LN(B621/B620)</f>
        <v>-3.727134199964695E-3</v>
      </c>
      <c r="Z621">
        <f>LN(C621/C620)</f>
        <v>3.1893753897926176E-4</v>
      </c>
    </row>
    <row r="622" spans="1:26" x14ac:dyDescent="0.3">
      <c r="A622" s="11">
        <v>41089</v>
      </c>
      <c r="B622" s="12">
        <v>19813.53</v>
      </c>
      <c r="C622" s="12">
        <v>28.639980000000001</v>
      </c>
      <c r="D622" s="16">
        <f t="shared" si="135"/>
        <v>2.5155556843311055E-2</v>
      </c>
      <c r="E622" s="15">
        <f t="shared" si="134"/>
        <v>3.1853741033294192E-4</v>
      </c>
      <c r="G622" s="25" t="str">
        <f>IF(VLOOKUP(A622,Aux!B:C,2,FALSE)=0,"",VLOOKUP(A622,Aux!B:C,2,FALSE))</f>
        <v/>
      </c>
      <c r="H622" s="25" t="str">
        <f t="shared" si="123"/>
        <v/>
      </c>
      <c r="L622" s="13">
        <f t="shared" si="126"/>
        <v>109039.12366602963</v>
      </c>
      <c r="M622" s="14">
        <f t="shared" si="127"/>
        <v>1311.0937200236549</v>
      </c>
      <c r="N622" s="14">
        <f t="shared" si="128"/>
        <v>17.70777330962083</v>
      </c>
      <c r="O622" s="1">
        <f t="shared" si="129"/>
        <v>2.6966694502635975</v>
      </c>
      <c r="P622" s="1">
        <f t="shared" si="130"/>
        <v>1941.6418102648238</v>
      </c>
      <c r="S622" s="6">
        <f t="shared" si="124"/>
        <v>0.49001256848441826</v>
      </c>
      <c r="T622" s="6">
        <f t="shared" si="125"/>
        <v>0.5099874315155819</v>
      </c>
      <c r="V622" s="1">
        <f t="shared" si="131"/>
        <v>109781.93574592516</v>
      </c>
      <c r="W622" s="7">
        <f t="shared" si="132"/>
        <v>1.226132907365707E-2</v>
      </c>
      <c r="X622" s="7">
        <f t="shared" si="133"/>
        <v>1.0457475698306424E-2</v>
      </c>
      <c r="Y622">
        <f>LN(B622/B621)</f>
        <v>2.4844363849528723E-2</v>
      </c>
      <c r="Z622">
        <f>LN(C622/C621)</f>
        <v>3.1848668806305888E-4</v>
      </c>
    </row>
    <row r="623" spans="1:26" x14ac:dyDescent="0.3">
      <c r="A623" s="9">
        <v>41092</v>
      </c>
      <c r="B623" s="1">
        <v>19871.09</v>
      </c>
      <c r="C623" s="1">
        <v>28.64913</v>
      </c>
      <c r="D623" s="6">
        <f t="shared" si="135"/>
        <v>2.9050855652679175E-3</v>
      </c>
      <c r="E623" s="5">
        <f t="shared" si="134"/>
        <v>3.1948346332644206E-4</v>
      </c>
      <c r="G623" s="25" t="str">
        <f>IF(VLOOKUP(A623,Aux!B:C,2,FALSE)=0,"",VLOOKUP(A623,Aux!B:C,2,FALSE))</f>
        <v/>
      </c>
      <c r="H623" s="25" t="str">
        <f t="shared" si="123"/>
        <v/>
      </c>
      <c r="L623" s="13">
        <f t="shared" si="126"/>
        <v>109212.10998215072</v>
      </c>
      <c r="M623" s="14">
        <f t="shared" si="127"/>
        <v>155.22029355717621</v>
      </c>
      <c r="N623" s="14">
        <f t="shared" si="128"/>
        <v>17.766022563919673</v>
      </c>
      <c r="O623" s="1">
        <f t="shared" si="129"/>
        <v>2.6966694502635975</v>
      </c>
      <c r="P623" s="1">
        <f t="shared" si="130"/>
        <v>1941.6418102648238</v>
      </c>
      <c r="S623" s="6">
        <f t="shared" si="124"/>
        <v>0.49065768764284801</v>
      </c>
      <c r="T623" s="6">
        <f t="shared" si="125"/>
        <v>0.5093423123571521</v>
      </c>
      <c r="V623" s="1">
        <f t="shared" si="131"/>
        <v>109935.19844140753</v>
      </c>
      <c r="W623" s="7">
        <f t="shared" si="132"/>
        <v>1.5852038905248113E-3</v>
      </c>
      <c r="X623" s="7">
        <f t="shared" si="133"/>
        <v>1.3950912013020347E-3</v>
      </c>
      <c r="Y623">
        <f>LN(B623/B622)</f>
        <v>2.9008739589433705E-3</v>
      </c>
      <c r="Z623">
        <f>LN(C623/C622)</f>
        <v>3.1943243935202728E-4</v>
      </c>
    </row>
    <row r="624" spans="1:26" x14ac:dyDescent="0.3">
      <c r="A624" s="11">
        <v>41093</v>
      </c>
      <c r="B624" s="12">
        <v>20244.13</v>
      </c>
      <c r="C624" s="12">
        <v>28.658259999999999</v>
      </c>
      <c r="D624" s="16">
        <f t="shared" si="135"/>
        <v>1.8773001380397503E-2</v>
      </c>
      <c r="E624" s="15">
        <f t="shared" si="134"/>
        <v>3.1868332476414629E-4</v>
      </c>
      <c r="G624" s="25" t="str">
        <f>IF(VLOOKUP(A624,Aux!B:C,2,FALSE)=0,"",VLOOKUP(A624,Aux!B:C,2,FALSE))</f>
        <v/>
      </c>
      <c r="H624" s="25" t="str">
        <f t="shared" si="123"/>
        <v/>
      </c>
      <c r="L624" s="13">
        <f t="shared" si="126"/>
        <v>110235.80274360477</v>
      </c>
      <c r="M624" s="14">
        <f t="shared" si="127"/>
        <v>1005.9655717263348</v>
      </c>
      <c r="N624" s="14">
        <f t="shared" si="128"/>
        <v>17.727189727715846</v>
      </c>
      <c r="O624" s="1">
        <f t="shared" si="129"/>
        <v>2.6966694502635975</v>
      </c>
      <c r="P624" s="1">
        <f t="shared" si="130"/>
        <v>1941.6418102648238</v>
      </c>
      <c r="S624" s="6">
        <f t="shared" si="124"/>
        <v>0.49522682794027095</v>
      </c>
      <c r="T624" s="6">
        <f t="shared" si="125"/>
        <v>0.50477317205972927</v>
      </c>
      <c r="V624" s="1">
        <f t="shared" si="131"/>
        <v>110816.23978979012</v>
      </c>
      <c r="W624" s="7">
        <f t="shared" si="132"/>
        <v>9.3297782997258331E-3</v>
      </c>
      <c r="X624" s="7">
        <f t="shared" si="133"/>
        <v>7.9822449492535259E-3</v>
      </c>
      <c r="Y624">
        <f>LN(B624/B623)</f>
        <v>1.8598963360163236E-2</v>
      </c>
      <c r="Z624">
        <f>LN(C624/C623)</f>
        <v>3.1863255601922015E-4</v>
      </c>
    </row>
    <row r="625" spans="1:26" x14ac:dyDescent="0.3">
      <c r="A625" s="9">
        <v>41094</v>
      </c>
      <c r="B625" s="1">
        <v>20319.82</v>
      </c>
      <c r="C625" s="1">
        <v>28.667390000000001</v>
      </c>
      <c r="D625" s="6">
        <f t="shared" si="135"/>
        <v>3.7388615860498575E-3</v>
      </c>
      <c r="E625" s="5">
        <f t="shared" si="134"/>
        <v>3.1858179805754894E-4</v>
      </c>
      <c r="G625" s="25" t="str">
        <f>IF(VLOOKUP(A625,Aux!B:C,2,FALSE)=0,"",VLOOKUP(A625,Aux!B:C,2,FALSE))</f>
        <v/>
      </c>
      <c r="H625" s="25" t="str">
        <f t="shared" si="123"/>
        <v/>
      </c>
      <c r="L625" s="13">
        <f t="shared" si="126"/>
        <v>110457.64084402294</v>
      </c>
      <c r="M625" s="14">
        <f t="shared" si="127"/>
        <v>204.11091069044815</v>
      </c>
      <c r="N625" s="14">
        <f t="shared" si="128"/>
        <v>17.727189727722745</v>
      </c>
      <c r="O625" s="1">
        <f t="shared" si="129"/>
        <v>2.6966694502635975</v>
      </c>
      <c r="P625" s="1">
        <f t="shared" si="130"/>
        <v>1941.6418102648238</v>
      </c>
      <c r="S625" s="6">
        <f t="shared" si="124"/>
        <v>0.49608010283536991</v>
      </c>
      <c r="T625" s="6">
        <f t="shared" si="125"/>
        <v>0.50391989716463026</v>
      </c>
      <c r="V625" s="1">
        <f t="shared" si="131"/>
        <v>111011.28428681407</v>
      </c>
      <c r="W625" s="7">
        <f t="shared" si="132"/>
        <v>2.0103739515508487E-3</v>
      </c>
      <c r="X625" s="7">
        <f t="shared" si="133"/>
        <v>1.7585243138689862E-3</v>
      </c>
      <c r="Y625">
        <f>LN(B625/B624)</f>
        <v>3.731889416317833E-3</v>
      </c>
      <c r="Z625">
        <f>LN(C625/C624)</f>
        <v>3.1853106165203297E-4</v>
      </c>
    </row>
    <row r="626" spans="1:26" x14ac:dyDescent="0.3">
      <c r="A626" s="11">
        <v>41095</v>
      </c>
      <c r="B626" s="12">
        <v>20459.419999999998</v>
      </c>
      <c r="C626" s="12">
        <v>28.676539999999999</v>
      </c>
      <c r="D626" s="16">
        <f t="shared" si="135"/>
        <v>6.8701395976931146E-3</v>
      </c>
      <c r="E626" s="15">
        <f t="shared" si="134"/>
        <v>3.1917799283420756E-4</v>
      </c>
      <c r="G626" s="25" t="str">
        <f>IF(VLOOKUP(A626,Aux!B:C,2,FALSE)=0,"",VLOOKUP(A626,Aux!B:C,2,FALSE))</f>
        <v/>
      </c>
      <c r="H626" s="25" t="str">
        <f t="shared" si="123"/>
        <v/>
      </c>
      <c r="L626" s="13">
        <f t="shared" si="126"/>
        <v>110851.86192184367</v>
      </c>
      <c r="M626" s="14">
        <f t="shared" si="127"/>
        <v>376.45505525679431</v>
      </c>
      <c r="N626" s="14">
        <f t="shared" si="128"/>
        <v>17.766022563919673</v>
      </c>
      <c r="O626" s="1">
        <f t="shared" si="129"/>
        <v>2.6966694502635975</v>
      </c>
      <c r="P626" s="1">
        <f t="shared" si="130"/>
        <v>1941.6418102648238</v>
      </c>
      <c r="S626" s="6">
        <f t="shared" si="124"/>
        <v>0.49771191865961967</v>
      </c>
      <c r="T626" s="6">
        <f t="shared" si="125"/>
        <v>0.50228808134038039</v>
      </c>
      <c r="V626" s="1">
        <f t="shared" si="131"/>
        <v>111353.81613207099</v>
      </c>
      <c r="W626" s="7">
        <f t="shared" si="132"/>
        <v>3.5626260043806843E-3</v>
      </c>
      <c r="X626" s="7">
        <f t="shared" si="133"/>
        <v>3.0808082341751758E-3</v>
      </c>
      <c r="Y626">
        <f>LN(B626/B625)</f>
        <v>6.8466477222483635E-3</v>
      </c>
      <c r="Z626">
        <f>LN(C626/C625)</f>
        <v>3.1912706637476793E-4</v>
      </c>
    </row>
    <row r="627" spans="1:26" x14ac:dyDescent="0.3">
      <c r="A627" s="9">
        <v>41096</v>
      </c>
      <c r="B627" s="1">
        <v>20188.05</v>
      </c>
      <c r="C627" s="1">
        <v>28.685670000000002</v>
      </c>
      <c r="D627" s="6">
        <f t="shared" si="135"/>
        <v>-1.3263816862843614E-2</v>
      </c>
      <c r="E627" s="5">
        <f t="shared" si="134"/>
        <v>3.1837871653972449E-4</v>
      </c>
      <c r="G627" s="25" t="str">
        <f>IF(VLOOKUP(A627,Aux!B:C,2,FALSE)=0,"",VLOOKUP(A627,Aux!B:C,2,FALSE))</f>
        <v/>
      </c>
      <c r="H627" s="25" t="str">
        <f t="shared" si="123"/>
        <v/>
      </c>
      <c r="L627" s="13">
        <f t="shared" si="126"/>
        <v>110137.79392285337</v>
      </c>
      <c r="M627" s="14">
        <f t="shared" si="127"/>
        <v>-731.79518871802975</v>
      </c>
      <c r="N627" s="14">
        <f t="shared" si="128"/>
        <v>17.727189727722745</v>
      </c>
      <c r="O627" s="1">
        <f t="shared" si="129"/>
        <v>2.6966694502635975</v>
      </c>
      <c r="P627" s="1">
        <f t="shared" si="130"/>
        <v>1941.6418102648238</v>
      </c>
      <c r="S627" s="6">
        <f t="shared" si="124"/>
        <v>0.49429442661187833</v>
      </c>
      <c r="T627" s="6">
        <f t="shared" si="125"/>
        <v>0.50570557338812172</v>
      </c>
      <c r="V627" s="1">
        <f t="shared" si="131"/>
        <v>110748.18106887117</v>
      </c>
      <c r="W627" s="7">
        <f t="shared" si="132"/>
        <v>-6.4624788108922134E-3</v>
      </c>
      <c r="X627" s="7">
        <f t="shared" si="133"/>
        <v>-5.4536795880226708E-3</v>
      </c>
      <c r="Y627">
        <f>LN(B627/B626)</f>
        <v>-1.3352566931786689E-2</v>
      </c>
      <c r="Z627">
        <f>LN(C627/C626)</f>
        <v>3.1832804479107064E-4</v>
      </c>
    </row>
    <row r="628" spans="1:26" x14ac:dyDescent="0.3">
      <c r="A628" s="11">
        <v>41100</v>
      </c>
      <c r="B628" s="12">
        <v>19639.45</v>
      </c>
      <c r="C628" s="12">
        <v>28.703939999999999</v>
      </c>
      <c r="D628" s="16">
        <f t="shared" si="135"/>
        <v>-2.7174491840469939E-2</v>
      </c>
      <c r="E628" s="15">
        <f t="shared" si="134"/>
        <v>6.369033737052554E-4</v>
      </c>
      <c r="G628" s="25" t="str">
        <f>IF(VLOOKUP(A628,Aux!B:C,2,FALSE)=0,"",VLOOKUP(A628,Aux!B:C,2,FALSE))</f>
        <v/>
      </c>
      <c r="H628" s="25" t="str">
        <f t="shared" si="123"/>
        <v/>
      </c>
      <c r="L628" s="13">
        <f t="shared" si="126"/>
        <v>108693.87485831229</v>
      </c>
      <c r="M628" s="14">
        <f t="shared" si="127"/>
        <v>-1479.3928604146056</v>
      </c>
      <c r="N628" s="14">
        <f t="shared" si="128"/>
        <v>35.473795873533604</v>
      </c>
      <c r="O628" s="1">
        <f t="shared" si="129"/>
        <v>2.6966694502635975</v>
      </c>
      <c r="P628" s="1">
        <f t="shared" si="130"/>
        <v>1941.6418102648238</v>
      </c>
      <c r="S628" s="6">
        <f t="shared" si="124"/>
        <v>0.48725013165660686</v>
      </c>
      <c r="T628" s="6">
        <f t="shared" si="125"/>
        <v>0.5127498683433932</v>
      </c>
      <c r="V628" s="1">
        <f t="shared" si="131"/>
        <v>109523.41408881222</v>
      </c>
      <c r="W628" s="7">
        <f t="shared" si="132"/>
        <v>-1.3196810389432767E-2</v>
      </c>
      <c r="X628" s="7">
        <f t="shared" si="133"/>
        <v>-1.1120631339156143E-2</v>
      </c>
      <c r="Y628">
        <f>LN(B628/B627)</f>
        <v>-2.7550546732913028E-2</v>
      </c>
      <c r="Z628">
        <f>LN(C628/C627)</f>
        <v>6.36700636829503E-4</v>
      </c>
    </row>
    <row r="629" spans="1:26" x14ac:dyDescent="0.3">
      <c r="A629" s="9">
        <v>41101</v>
      </c>
      <c r="B629" s="1">
        <v>19600.900000000001</v>
      </c>
      <c r="C629" s="1">
        <v>28.713039999999999</v>
      </c>
      <c r="D629" s="6">
        <f t="shared" si="135"/>
        <v>-1.9628859260314435E-3</v>
      </c>
      <c r="E629" s="5">
        <f t="shared" si="134"/>
        <v>3.1702964819468882E-4</v>
      </c>
      <c r="G629" s="25" t="str">
        <f>IF(VLOOKUP(A629,Aux!B:C,2,FALSE)=0,"",VLOOKUP(A629,Aux!B:C,2,FALSE))</f>
        <v/>
      </c>
      <c r="H629" s="25" t="str">
        <f t="shared" si="123"/>
        <v/>
      </c>
      <c r="L629" s="13">
        <f t="shared" si="126"/>
        <v>108607.58719147804</v>
      </c>
      <c r="M629" s="14">
        <f t="shared" si="127"/>
        <v>-103.95660730765972</v>
      </c>
      <c r="N629" s="14">
        <f t="shared" si="128"/>
        <v>17.668940473410107</v>
      </c>
      <c r="O629" s="1">
        <f t="shared" si="129"/>
        <v>2.6966694502635975</v>
      </c>
      <c r="P629" s="1">
        <f t="shared" si="130"/>
        <v>1941.6418102648238</v>
      </c>
      <c r="S629" s="6">
        <f t="shared" si="124"/>
        <v>0.48668007083596476</v>
      </c>
      <c r="T629" s="6">
        <f t="shared" si="125"/>
        <v>0.51331992916403524</v>
      </c>
      <c r="V629" s="1">
        <f t="shared" si="131"/>
        <v>109454.83579572572</v>
      </c>
      <c r="W629" s="7">
        <f t="shared" si="132"/>
        <v>-7.9417478884441332E-4</v>
      </c>
      <c r="X629" s="7">
        <f t="shared" si="133"/>
        <v>-6.2634800821237098E-4</v>
      </c>
      <c r="Y629">
        <f>LN(B629/B628)</f>
        <v>-1.9648149112760764E-3</v>
      </c>
      <c r="Z629">
        <f>LN(C629/C628)</f>
        <v>3.1697940491456407E-4</v>
      </c>
    </row>
    <row r="630" spans="1:26" x14ac:dyDescent="0.3">
      <c r="A630" s="11">
        <v>41102</v>
      </c>
      <c r="B630" s="12">
        <v>19553.09</v>
      </c>
      <c r="C630" s="12">
        <v>28.72213</v>
      </c>
      <c r="D630" s="16">
        <f t="shared" si="135"/>
        <v>-2.4391737114112244E-3</v>
      </c>
      <c r="E630" s="15">
        <f t="shared" si="134"/>
        <v>3.1658089843511483E-4</v>
      </c>
      <c r="G630" s="25" t="str">
        <f>IF(VLOOKUP(A630,Aux!B:C,2,FALSE)=0,"",VLOOKUP(A630,Aux!B:C,2,FALSE))</f>
        <v/>
      </c>
      <c r="H630" s="25" t="str">
        <f t="shared" si="123"/>
        <v/>
      </c>
      <c r="L630" s="13">
        <f t="shared" si="126"/>
        <v>108496.30894911624</v>
      </c>
      <c r="M630" s="14">
        <f t="shared" si="127"/>
        <v>-128.92776641710614</v>
      </c>
      <c r="N630" s="14">
        <f t="shared" si="128"/>
        <v>17.649524055308191</v>
      </c>
      <c r="O630" s="1">
        <f t="shared" si="129"/>
        <v>2.6966694502635975</v>
      </c>
      <c r="P630" s="1">
        <f t="shared" si="130"/>
        <v>1941.6418102648238</v>
      </c>
      <c r="S630" s="6">
        <f t="shared" si="124"/>
        <v>0.4859909150087649</v>
      </c>
      <c r="T630" s="6">
        <f t="shared" si="125"/>
        <v>0.51400908499123521</v>
      </c>
      <c r="V630" s="1">
        <f t="shared" si="131"/>
        <v>109364.87198739809</v>
      </c>
      <c r="W630" s="7">
        <f t="shared" si="132"/>
        <v>-1.0251152013832951E-3</v>
      </c>
      <c r="X630" s="7">
        <f t="shared" si="133"/>
        <v>-8.2226426776557779E-4</v>
      </c>
      <c r="Y630">
        <f>LN(B630/B629)</f>
        <v>-2.4421533418186956E-3</v>
      </c>
      <c r="Z630">
        <f>LN(C630/C629)</f>
        <v>3.1653079727625552E-4</v>
      </c>
    </row>
    <row r="631" spans="1:26" x14ac:dyDescent="0.3">
      <c r="A631" s="9">
        <v>41103</v>
      </c>
      <c r="B631" s="1">
        <v>19865.53</v>
      </c>
      <c r="C631" s="1">
        <v>28.730740000000001</v>
      </c>
      <c r="D631" s="6">
        <f t="shared" si="135"/>
        <v>1.5979060087177865E-2</v>
      </c>
      <c r="E631" s="5">
        <f t="shared" si="134"/>
        <v>2.997688541901411E-4</v>
      </c>
      <c r="G631" s="25" t="str">
        <f>IF(VLOOKUP(A631,Aux!B:C,2,FALSE)=0,"",VLOOKUP(A631,Aux!B:C,2,FALSE))</f>
        <v/>
      </c>
      <c r="H631" s="25" t="str">
        <f t="shared" si="123"/>
        <v/>
      </c>
      <c r="L631" s="13">
        <f t="shared" si="126"/>
        <v>109355.57388814297</v>
      </c>
      <c r="M631" s="14">
        <f t="shared" si="127"/>
        <v>842.54740304035488</v>
      </c>
      <c r="N631" s="14">
        <f t="shared" si="128"/>
        <v>16.717535986381868</v>
      </c>
      <c r="O631" s="1">
        <f t="shared" si="129"/>
        <v>2.6966694502635975</v>
      </c>
      <c r="P631" s="1">
        <f t="shared" si="130"/>
        <v>1941.6418102648238</v>
      </c>
      <c r="S631" s="6">
        <f t="shared" si="124"/>
        <v>0.4898768847310076</v>
      </c>
      <c r="T631" s="6">
        <f t="shared" si="125"/>
        <v>0.51012311526899257</v>
      </c>
      <c r="V631" s="1">
        <f t="shared" si="131"/>
        <v>110104.94370710135</v>
      </c>
      <c r="W631" s="7">
        <f t="shared" si="132"/>
        <v>7.8885652379713494E-3</v>
      </c>
      <c r="X631" s="7">
        <f t="shared" si="133"/>
        <v>6.7442032745584479E-3</v>
      </c>
      <c r="Y631">
        <f>LN(B631/B630)</f>
        <v>1.5852738793482594E-2</v>
      </c>
      <c r="Z631">
        <f>LN(C631/C630)</f>
        <v>2.9972393248436447E-4</v>
      </c>
    </row>
    <row r="632" spans="1:26" x14ac:dyDescent="0.3">
      <c r="A632" s="11">
        <v>41106</v>
      </c>
      <c r="B632" s="12">
        <v>19680.990000000002</v>
      </c>
      <c r="C632" s="12">
        <v>28.739339999999999</v>
      </c>
      <c r="D632" s="16">
        <f t="shared" si="135"/>
        <v>-9.2894576686349817E-3</v>
      </c>
      <c r="E632" s="15">
        <f t="shared" si="134"/>
        <v>2.9933096049727936E-4</v>
      </c>
      <c r="G632" s="25" t="str">
        <f>IF(VLOOKUP(A632,Aux!B:C,2,FALSE)=0,"",VLOOKUP(A632,Aux!B:C,2,FALSE))</f>
        <v/>
      </c>
      <c r="H632" s="25" t="str">
        <f t="shared" si="123"/>
        <v/>
      </c>
      <c r="L632" s="13">
        <f t="shared" si="126"/>
        <v>108874.62862735961</v>
      </c>
      <c r="M632" s="14">
        <f t="shared" si="127"/>
        <v>-497.64338035163684</v>
      </c>
      <c r="N632" s="14">
        <f t="shared" si="128"/>
        <v>16.698119568273057</v>
      </c>
      <c r="O632" s="1">
        <f t="shared" si="129"/>
        <v>2.6966694502635975</v>
      </c>
      <c r="P632" s="1">
        <f t="shared" si="130"/>
        <v>1941.6418102648238</v>
      </c>
      <c r="S632" s="6">
        <f t="shared" si="124"/>
        <v>0.48747008511592183</v>
      </c>
      <c r="T632" s="6">
        <f t="shared" si="125"/>
        <v>0.51252991488407829</v>
      </c>
      <c r="V632" s="1">
        <f t="shared" si="131"/>
        <v>109698.44281102659</v>
      </c>
      <c r="W632" s="7">
        <f t="shared" si="132"/>
        <v>-4.4076945709672823E-3</v>
      </c>
      <c r="X632" s="7">
        <f t="shared" si="133"/>
        <v>-3.6987724889602719E-3</v>
      </c>
      <c r="Y632">
        <f>LN(B632/B631)</f>
        <v>-9.3328737643583199E-3</v>
      </c>
      <c r="Z632">
        <f>LN(C632/C631)</f>
        <v>2.9928616992323738E-4</v>
      </c>
    </row>
    <row r="633" spans="1:26" x14ac:dyDescent="0.3">
      <c r="A633" s="9">
        <v>41107</v>
      </c>
      <c r="B633" s="1">
        <v>19756.61</v>
      </c>
      <c r="C633" s="1">
        <v>28.747959999999999</v>
      </c>
      <c r="D633" s="6">
        <f t="shared" si="135"/>
        <v>3.8422863890483772E-3</v>
      </c>
      <c r="E633" s="5">
        <f t="shared" si="134"/>
        <v>2.9993729849042694E-4</v>
      </c>
      <c r="G633" s="25" t="str">
        <f>IF(VLOOKUP(A633,Aux!B:C,2,FALSE)=0,"",VLOOKUP(A633,Aux!B:C,2,FALSE))</f>
        <v/>
      </c>
      <c r="H633" s="25" t="str">
        <f t="shared" si="123"/>
        <v/>
      </c>
      <c r="L633" s="13">
        <f t="shared" si="126"/>
        <v>109095.28772359301</v>
      </c>
      <c r="M633" s="14">
        <f t="shared" si="127"/>
        <v>203.9221438289305</v>
      </c>
      <c r="N633" s="14">
        <f t="shared" si="128"/>
        <v>16.736952404483784</v>
      </c>
      <c r="O633" s="1">
        <f t="shared" si="129"/>
        <v>2.6966694502635975</v>
      </c>
      <c r="P633" s="1">
        <f t="shared" si="130"/>
        <v>1941.6418102648238</v>
      </c>
      <c r="S633" s="6">
        <f t="shared" si="124"/>
        <v>0.48835332615609001</v>
      </c>
      <c r="T633" s="6">
        <f t="shared" si="125"/>
        <v>0.51164667384391027</v>
      </c>
      <c r="V633" s="1">
        <f t="shared" si="131"/>
        <v>109892.18487804654</v>
      </c>
      <c r="W633" s="7">
        <f t="shared" si="132"/>
        <v>2.0246754717959102E-3</v>
      </c>
      <c r="X633" s="7">
        <f t="shared" si="133"/>
        <v>1.764575467819318E-3</v>
      </c>
      <c r="Y633">
        <f>LN(B633/B632)</f>
        <v>3.8349236604820936E-3</v>
      </c>
      <c r="Z633">
        <f>LN(C633/C632)</f>
        <v>2.9989232629124929E-4</v>
      </c>
    </row>
    <row r="634" spans="1:26" x14ac:dyDescent="0.3">
      <c r="A634" s="11">
        <v>41108</v>
      </c>
      <c r="B634" s="12">
        <v>19941.740000000002</v>
      </c>
      <c r="C634" s="12">
        <v>28.756550000000001</v>
      </c>
      <c r="D634" s="16">
        <f t="shared" si="135"/>
        <v>9.3705347223032032E-3</v>
      </c>
      <c r="E634" s="15">
        <f t="shared" si="134"/>
        <v>2.9880381077473928E-4</v>
      </c>
      <c r="G634" s="25" t="str">
        <f>IF(VLOOKUP(A634,Aux!B:C,2,FALSE)=0,"",VLOOKUP(A634,Aux!B:C,2,FALSE))</f>
        <v/>
      </c>
      <c r="H634" s="25" t="str">
        <f t="shared" si="123"/>
        <v/>
      </c>
      <c r="L634" s="13">
        <f t="shared" si="126"/>
        <v>109611.20084207048</v>
      </c>
      <c r="M634" s="14">
        <f t="shared" si="127"/>
        <v>499.23441532730254</v>
      </c>
      <c r="N634" s="14">
        <f t="shared" si="128"/>
        <v>16.678703150178045</v>
      </c>
      <c r="O634" s="1">
        <f t="shared" si="129"/>
        <v>2.6966694502635975</v>
      </c>
      <c r="P634" s="1">
        <f t="shared" si="130"/>
        <v>1941.6418102648238</v>
      </c>
      <c r="S634" s="6">
        <f t="shared" si="124"/>
        <v>0.49060935953599577</v>
      </c>
      <c r="T634" s="6">
        <f t="shared" si="125"/>
        <v>0.50939064046400462</v>
      </c>
      <c r="V634" s="1">
        <f t="shared" si="131"/>
        <v>110338.50323177295</v>
      </c>
      <c r="W634" s="7">
        <f t="shared" si="132"/>
        <v>4.7178671177529503E-3</v>
      </c>
      <c r="X634" s="7">
        <f t="shared" si="133"/>
        <v>4.0531950254635617E-3</v>
      </c>
      <c r="Y634">
        <f>LN(B634/B633)</f>
        <v>9.326903614569922E-3</v>
      </c>
      <c r="Z634">
        <f>LN(C634/C633)</f>
        <v>2.9875917780685177E-4</v>
      </c>
    </row>
    <row r="635" spans="1:26" x14ac:dyDescent="0.3">
      <c r="A635" s="9">
        <v>41109</v>
      </c>
      <c r="B635" s="1">
        <v>20141.93</v>
      </c>
      <c r="C635" s="1">
        <v>28.76512</v>
      </c>
      <c r="D635" s="6">
        <f t="shared" si="135"/>
        <v>1.0038742857945149E-2</v>
      </c>
      <c r="E635" s="5">
        <f t="shared" si="134"/>
        <v>2.9801906000548328E-4</v>
      </c>
      <c r="G635" s="25" t="str">
        <f>IF(VLOOKUP(A635,Aux!B:C,2,FALSE)=0,"",VLOOKUP(A635,Aux!B:C,2,FALSE))</f>
        <v/>
      </c>
      <c r="H635" s="25" t="str">
        <f t="shared" si="123"/>
        <v/>
      </c>
      <c r="L635" s="13">
        <f t="shared" si="126"/>
        <v>110167.68696963272</v>
      </c>
      <c r="M635" s="14">
        <f t="shared" si="127"/>
        <v>539.84625724826606</v>
      </c>
      <c r="N635" s="14">
        <f t="shared" si="128"/>
        <v>16.639870313967318</v>
      </c>
      <c r="O635" s="1">
        <f t="shared" si="129"/>
        <v>2.6966694502635975</v>
      </c>
      <c r="P635" s="1">
        <f t="shared" si="130"/>
        <v>1941.6418102648238</v>
      </c>
      <c r="S635" s="6">
        <f t="shared" si="124"/>
        <v>0.49303138510405403</v>
      </c>
      <c r="T635" s="6">
        <f t="shared" si="125"/>
        <v>0.50696861489594625</v>
      </c>
      <c r="V635" s="1">
        <f t="shared" si="131"/>
        <v>110819.52078965172</v>
      </c>
      <c r="W635" s="7">
        <f t="shared" si="132"/>
        <v>5.064065273498679E-3</v>
      </c>
      <c r="X635" s="7">
        <f t="shared" si="133"/>
        <v>4.3499965105068001E-3</v>
      </c>
      <c r="Y635">
        <f>LN(B635/B634)</f>
        <v>9.988689382762506E-3</v>
      </c>
      <c r="Z635">
        <f>LN(C635/C634)</f>
        <v>2.9797466114633847E-4</v>
      </c>
    </row>
    <row r="636" spans="1:26" x14ac:dyDescent="0.3">
      <c r="A636" s="11">
        <v>41110</v>
      </c>
      <c r="B636" s="12">
        <v>19845.5</v>
      </c>
      <c r="C636" s="12">
        <v>28.77373</v>
      </c>
      <c r="D636" s="16">
        <f t="shared" si="135"/>
        <v>-1.4717060381006175E-2</v>
      </c>
      <c r="E636" s="15">
        <f t="shared" si="134"/>
        <v>2.9932084413353266E-4</v>
      </c>
      <c r="G636" s="25" t="str">
        <f>IF(VLOOKUP(A636,Aux!B:C,2,FALSE)=0,"",VLOOKUP(A636,Aux!B:C,2,FALSE))</f>
        <v/>
      </c>
      <c r="H636" s="25" t="str">
        <f t="shared" si="123"/>
        <v/>
      </c>
      <c r="L636" s="13">
        <f t="shared" si="126"/>
        <v>109385.03078047745</v>
      </c>
      <c r="M636" s="14">
        <f t="shared" si="127"/>
        <v>-799.37372514163894</v>
      </c>
      <c r="N636" s="14">
        <f t="shared" si="128"/>
        <v>16.717535986381868</v>
      </c>
      <c r="O636" s="1">
        <f t="shared" si="129"/>
        <v>2.6966694502635975</v>
      </c>
      <c r="P636" s="1">
        <f t="shared" si="130"/>
        <v>1941.6418102648238</v>
      </c>
      <c r="S636" s="6">
        <f t="shared" si="124"/>
        <v>0.48925116346685399</v>
      </c>
      <c r="T636" s="6">
        <f t="shared" si="125"/>
        <v>0.5107488365331464</v>
      </c>
      <c r="V636" s="1">
        <f t="shared" si="131"/>
        <v>110154.90812096844</v>
      </c>
      <c r="W636" s="7">
        <f t="shared" si="132"/>
        <v>-7.1295815641445092E-3</v>
      </c>
      <c r="X636" s="7">
        <f t="shared" si="133"/>
        <v>-6.0153084316924982E-3</v>
      </c>
      <c r="Y636">
        <f>LN(B636/B635)</f>
        <v>-1.4826430713798874E-2</v>
      </c>
      <c r="Z636">
        <f>LN(C636/C635)</f>
        <v>2.9927605658667427E-4</v>
      </c>
    </row>
    <row r="637" spans="1:26" x14ac:dyDescent="0.3">
      <c r="A637" s="9">
        <v>41113</v>
      </c>
      <c r="B637" s="1">
        <v>19504.05</v>
      </c>
      <c r="C637" s="1">
        <v>28.782350000000001</v>
      </c>
      <c r="D637" s="6">
        <f t="shared" si="135"/>
        <v>-1.7205411806202942E-2</v>
      </c>
      <c r="E637" s="5">
        <f t="shared" si="134"/>
        <v>2.9957881720577006E-4</v>
      </c>
      <c r="G637" s="25" t="str">
        <f>IF(VLOOKUP(A637,Aux!B:C,2,FALSE)=0,"",VLOOKUP(A637,Aux!B:C,2,FALSE))</f>
        <v/>
      </c>
      <c r="H637" s="25" t="str">
        <f t="shared" si="123"/>
        <v/>
      </c>
      <c r="L637" s="13">
        <f t="shared" si="126"/>
        <v>108480.98994908942</v>
      </c>
      <c r="M637" s="14">
        <f t="shared" si="127"/>
        <v>-920.77778379250731</v>
      </c>
      <c r="N637" s="14">
        <f t="shared" si="128"/>
        <v>16.736952404483784</v>
      </c>
      <c r="O637" s="1">
        <f t="shared" si="129"/>
        <v>2.6966694502635975</v>
      </c>
      <c r="P637" s="1">
        <f t="shared" si="130"/>
        <v>1941.6418102648238</v>
      </c>
      <c r="S637" s="6">
        <f t="shared" si="124"/>
        <v>0.48484048510340133</v>
      </c>
      <c r="T637" s="6">
        <f t="shared" si="125"/>
        <v>0.51515951489659917</v>
      </c>
      <c r="V637" s="1">
        <f t="shared" si="131"/>
        <v>109386.45510880172</v>
      </c>
      <c r="W637" s="7">
        <f t="shared" si="132"/>
        <v>-8.2991006782775368E-3</v>
      </c>
      <c r="X637" s="7">
        <f t="shared" si="133"/>
        <v>-7.0005591585127758E-3</v>
      </c>
      <c r="Y637">
        <f>LN(B637/B636)</f>
        <v>-1.7355144868591941E-2</v>
      </c>
      <c r="Z637">
        <f>LN(C637/C636)</f>
        <v>2.9953395243204441E-4</v>
      </c>
    </row>
    <row r="638" spans="1:26" x14ac:dyDescent="0.3">
      <c r="A638" s="11">
        <v>41114</v>
      </c>
      <c r="B638" s="12">
        <v>19389.75</v>
      </c>
      <c r="C638" s="12">
        <v>28.790970000000002</v>
      </c>
      <c r="D638" s="16">
        <f t="shared" si="135"/>
        <v>-5.8603213178800573E-3</v>
      </c>
      <c r="E638" s="15">
        <f t="shared" si="134"/>
        <v>2.9948909661658973E-4</v>
      </c>
      <c r="G638" s="25" t="str">
        <f>IF(VLOOKUP(A638,Aux!B:C,2,FALSE)=0,"",VLOOKUP(A638,Aux!B:C,2,FALSE))</f>
        <v/>
      </c>
      <c r="H638" s="25" t="str">
        <f t="shared" si="123"/>
        <v/>
      </c>
      <c r="L638" s="13">
        <f t="shared" si="126"/>
        <v>108189.49758332876</v>
      </c>
      <c r="M638" s="14">
        <f t="shared" si="127"/>
        <v>-308.22931816512721</v>
      </c>
      <c r="N638" s="14">
        <f t="shared" si="128"/>
        <v>16.736952404483784</v>
      </c>
      <c r="O638" s="1">
        <f t="shared" si="129"/>
        <v>2.6966694502635975</v>
      </c>
      <c r="P638" s="1">
        <f t="shared" si="130"/>
        <v>1941.6418102648238</v>
      </c>
      <c r="S638" s="6">
        <f t="shared" si="124"/>
        <v>0.48329780284797036</v>
      </c>
      <c r="T638" s="6">
        <f t="shared" si="125"/>
        <v>0.51670219715203025</v>
      </c>
      <c r="V638" s="1">
        <f t="shared" si="131"/>
        <v>109142.04509238452</v>
      </c>
      <c r="W638" s="7">
        <f t="shared" si="132"/>
        <v>-2.6906529351367167E-3</v>
      </c>
      <c r="X638" s="7">
        <f t="shared" si="133"/>
        <v>-2.2368717865441532E-3</v>
      </c>
      <c r="Y638">
        <f>LN(B638/B637)</f>
        <v>-5.877560384830215E-3</v>
      </c>
      <c r="Z638">
        <f>LN(C638/C637)</f>
        <v>2.9944425870917984E-4</v>
      </c>
    </row>
    <row r="639" spans="1:26" x14ac:dyDescent="0.3">
      <c r="A639" s="9">
        <v>41115</v>
      </c>
      <c r="B639" s="1">
        <v>19424.97</v>
      </c>
      <c r="C639" s="1">
        <v>28.799569999999999</v>
      </c>
      <c r="D639" s="6">
        <f t="shared" si="135"/>
        <v>1.8164236258848554E-3</v>
      </c>
      <c r="E639" s="5">
        <f t="shared" si="134"/>
        <v>2.987047675016008E-4</v>
      </c>
      <c r="G639" s="25" t="str">
        <f>IF(VLOOKUP(A639,Aux!B:C,2,FALSE)=0,"",VLOOKUP(A639,Aux!B:C,2,FALSE))</f>
        <v/>
      </c>
      <c r="H639" s="25" t="str">
        <f t="shared" si="123"/>
        <v/>
      </c>
      <c r="L639" s="13">
        <f t="shared" si="126"/>
        <v>108301.17240093532</v>
      </c>
      <c r="M639" s="14">
        <f t="shared" si="127"/>
        <v>94.97669803828704</v>
      </c>
      <c r="N639" s="14">
        <f t="shared" si="128"/>
        <v>16.698119568273057</v>
      </c>
      <c r="O639" s="1">
        <f t="shared" si="129"/>
        <v>2.6966694502635975</v>
      </c>
      <c r="P639" s="1">
        <f t="shared" si="130"/>
        <v>1941.6418102648238</v>
      </c>
      <c r="S639" s="6">
        <f t="shared" si="124"/>
        <v>0.48367641836197223</v>
      </c>
      <c r="T639" s="6">
        <f t="shared" si="125"/>
        <v>0.51632358163802838</v>
      </c>
      <c r="V639" s="1">
        <f t="shared" si="131"/>
        <v>109242.53820355568</v>
      </c>
      <c r="W639" s="7">
        <f t="shared" si="132"/>
        <v>1.0316825895539908E-3</v>
      </c>
      <c r="X639" s="7">
        <f t="shared" si="133"/>
        <v>9.2033161634133835E-4</v>
      </c>
      <c r="Y639">
        <f>LN(B639/B638)</f>
        <v>1.8147759234725146E-3</v>
      </c>
      <c r="Z639">
        <f>LN(C639/C638)</f>
        <v>2.9866016411447859E-4</v>
      </c>
    </row>
    <row r="640" spans="1:26" x14ac:dyDescent="0.3">
      <c r="A640" s="11">
        <v>41116</v>
      </c>
      <c r="B640" s="12">
        <v>19823.78</v>
      </c>
      <c r="C640" s="12">
        <v>28.808199999999999</v>
      </c>
      <c r="D640" s="16">
        <f t="shared" si="135"/>
        <v>2.0530791038544605E-2</v>
      </c>
      <c r="E640" s="15">
        <f t="shared" si="134"/>
        <v>2.9965725182701242E-4</v>
      </c>
      <c r="G640" s="25" t="str">
        <f>IF(VLOOKUP(A640,Aux!B:C,2,FALSE)=0,"",VLOOKUP(A640,Aux!B:C,2,FALSE))</f>
        <v/>
      </c>
      <c r="H640" s="25" t="str">
        <f t="shared" si="123"/>
        <v/>
      </c>
      <c r="L640" s="13">
        <f t="shared" si="126"/>
        <v>109393.38751321753</v>
      </c>
      <c r="M640" s="14">
        <f t="shared" si="127"/>
        <v>1075.458743459619</v>
      </c>
      <c r="N640" s="14">
        <f t="shared" si="128"/>
        <v>16.756368822585696</v>
      </c>
      <c r="O640" s="1">
        <f t="shared" si="129"/>
        <v>2.6966694502635975</v>
      </c>
      <c r="P640" s="1">
        <f t="shared" si="130"/>
        <v>1941.6418102648238</v>
      </c>
      <c r="S640" s="6">
        <f t="shared" si="124"/>
        <v>0.48867836648981522</v>
      </c>
      <c r="T640" s="6">
        <f t="shared" si="125"/>
        <v>0.51132163351018534</v>
      </c>
      <c r="V640" s="1">
        <f t="shared" si="131"/>
        <v>110181.91327714693</v>
      </c>
      <c r="W640" s="7">
        <f t="shared" si="132"/>
        <v>1.0034465512944958E-2</v>
      </c>
      <c r="X640" s="7">
        <f t="shared" si="133"/>
        <v>8.5622254600845743E-3</v>
      </c>
      <c r="Y640">
        <f>LN(B640/B639)</f>
        <v>2.0322875314830152E-2</v>
      </c>
      <c r="Z640">
        <f>LN(C640/C639)</f>
        <v>2.9961236355989876E-4</v>
      </c>
    </row>
    <row r="641" spans="1:26" x14ac:dyDescent="0.3">
      <c r="A641" s="9">
        <v>41117</v>
      </c>
      <c r="B641" s="1">
        <v>20607.349999999999</v>
      </c>
      <c r="C641" s="1">
        <v>28.816800000000001</v>
      </c>
      <c r="D641" s="6">
        <f t="shared" si="135"/>
        <v>3.9526770373763176E-2</v>
      </c>
      <c r="E641" s="5">
        <f t="shared" si="134"/>
        <v>2.985261140926454E-4</v>
      </c>
      <c r="G641" s="25" t="str">
        <f>IF(VLOOKUP(A641,Aux!B:C,2,FALSE)=0,"",VLOOKUP(A641,Aux!B:C,2,FALSE))</f>
        <v/>
      </c>
      <c r="H641" s="25" t="str">
        <f t="shared" si="123"/>
        <v/>
      </c>
      <c r="L641" s="13">
        <f t="shared" si="126"/>
        <v>111523.11491392885</v>
      </c>
      <c r="M641" s="14">
        <f t="shared" si="127"/>
        <v>2113.0292811430463</v>
      </c>
      <c r="N641" s="14">
        <f t="shared" si="128"/>
        <v>16.698119568279957</v>
      </c>
      <c r="O641" s="1">
        <f t="shared" si="129"/>
        <v>2.6966694502635975</v>
      </c>
      <c r="P641" s="1">
        <f t="shared" si="130"/>
        <v>1941.6418102648238</v>
      </c>
      <c r="S641" s="6">
        <f t="shared" si="124"/>
        <v>0.49829321247687719</v>
      </c>
      <c r="T641" s="6">
        <f t="shared" si="125"/>
        <v>0.50170678752312348</v>
      </c>
      <c r="V641" s="1">
        <f t="shared" si="131"/>
        <v>112008.87601574117</v>
      </c>
      <c r="W641" s="7">
        <f t="shared" si="132"/>
        <v>1.9281433105111906E-2</v>
      </c>
      <c r="X641" s="7">
        <f t="shared" si="133"/>
        <v>1.6445361388581506E-2</v>
      </c>
      <c r="Y641">
        <f>LN(B641/B640)</f>
        <v>3.8765581109637827E-2</v>
      </c>
      <c r="Z641">
        <f>LN(C641/C640)</f>
        <v>2.9848156403826365E-4</v>
      </c>
    </row>
    <row r="642" spans="1:26" x14ac:dyDescent="0.3">
      <c r="A642" s="11">
        <v>41120</v>
      </c>
      <c r="B642" s="12">
        <v>20799.22</v>
      </c>
      <c r="C642" s="12">
        <v>28.825379999999999</v>
      </c>
      <c r="D642" s="16">
        <f t="shared" si="135"/>
        <v>9.3107556284530713E-3</v>
      </c>
      <c r="E642" s="15">
        <f t="shared" si="134"/>
        <v>2.9774298325979665E-4</v>
      </c>
      <c r="G642" s="25" t="str">
        <f>IF(VLOOKUP(A642,Aux!B:C,2,FALSE)=0,"",VLOOKUP(A642,Aux!B:C,2,FALSE))</f>
        <v/>
      </c>
      <c r="H642" s="25" t="str">
        <f t="shared" si="123"/>
        <v/>
      </c>
      <c r="L642" s="13">
        <f t="shared" si="126"/>
        <v>112057.184168083</v>
      </c>
      <c r="M642" s="14">
        <f t="shared" si="127"/>
        <v>517.40996742208347</v>
      </c>
      <c r="N642" s="14">
        <f t="shared" si="128"/>
        <v>16.659286732069233</v>
      </c>
      <c r="O642" s="1">
        <f t="shared" si="129"/>
        <v>2.6966694502635975</v>
      </c>
      <c r="P642" s="1">
        <f t="shared" si="130"/>
        <v>1941.6418102648238</v>
      </c>
      <c r="S642" s="6">
        <f t="shared" si="124"/>
        <v>0.50053570040792816</v>
      </c>
      <c r="T642" s="6">
        <f t="shared" si="125"/>
        <v>0.49946429959207245</v>
      </c>
      <c r="V642" s="1">
        <f t="shared" si="131"/>
        <v>112470.72141390943</v>
      </c>
      <c r="W642" s="7">
        <f t="shared" si="132"/>
        <v>4.7774358665906552E-3</v>
      </c>
      <c r="X642" s="7">
        <f t="shared" si="133"/>
        <v>4.1148153784027197E-3</v>
      </c>
      <c r="Y642">
        <f>LN(B642/B641)</f>
        <v>9.2676777286875411E-3</v>
      </c>
      <c r="Z642">
        <f>LN(C642/C641)</f>
        <v>2.9769866661418507E-4</v>
      </c>
    </row>
    <row r="643" spans="1:26" x14ac:dyDescent="0.3">
      <c r="A643" s="9">
        <v>41121</v>
      </c>
      <c r="B643" s="1">
        <v>20428.95</v>
      </c>
      <c r="C643" s="1">
        <v>28.834</v>
      </c>
      <c r="D643" s="6">
        <f t="shared" si="135"/>
        <v>-1.7802109886813078E-2</v>
      </c>
      <c r="E643" s="5">
        <f t="shared" si="134"/>
        <v>2.9904202477126773E-4</v>
      </c>
      <c r="G643" s="25" t="str">
        <f>IF(VLOOKUP(A643,Aux!B:C,2,FALSE)=0,"",VLOOKUP(A643,Aux!B:C,2,FALSE))</f>
        <v/>
      </c>
      <c r="H643" s="25" t="str">
        <f t="shared" ref="H643:H706" si="136">IF(ISNUMBER(G643),1-G643,"")</f>
        <v/>
      </c>
      <c r="L643" s="13">
        <f t="shared" si="126"/>
        <v>111075.42532313838</v>
      </c>
      <c r="M643" s="14">
        <f t="shared" si="127"/>
        <v>-998.49579734910344</v>
      </c>
      <c r="N643" s="14">
        <f t="shared" si="128"/>
        <v>16.736952404483784</v>
      </c>
      <c r="O643" s="1">
        <f t="shared" si="129"/>
        <v>2.6966694502635975</v>
      </c>
      <c r="P643" s="1">
        <f t="shared" si="130"/>
        <v>1941.6418102648238</v>
      </c>
      <c r="S643" s="6">
        <f t="shared" ref="S643:S706" si="137">O643*B643/L643</f>
        <v>0.495970420150951</v>
      </c>
      <c r="T643" s="6">
        <f t="shared" ref="T643:T706" si="138">P643*C643/L643</f>
        <v>0.50402957984904961</v>
      </c>
      <c r="V643" s="1">
        <f t="shared" si="131"/>
        <v>111635.77965361372</v>
      </c>
      <c r="W643" s="7">
        <f t="shared" si="132"/>
        <v>-8.7998359590371663E-3</v>
      </c>
      <c r="X643" s="7">
        <f t="shared" si="133"/>
        <v>-7.451328894720128E-3</v>
      </c>
      <c r="Y643">
        <f>LN(B643/B642)</f>
        <v>-1.7962473502709825E-2</v>
      </c>
      <c r="Z643">
        <f>LN(C643/C642)</f>
        <v>2.9899732061703657E-4</v>
      </c>
    </row>
    <row r="644" spans="1:26" x14ac:dyDescent="0.3">
      <c r="A644" s="11">
        <v>41122</v>
      </c>
      <c r="B644" s="12">
        <v>20467.09</v>
      </c>
      <c r="C644" s="12">
        <v>28.84263</v>
      </c>
      <c r="D644" s="16">
        <f t="shared" si="135"/>
        <v>1.8669584095118985E-3</v>
      </c>
      <c r="E644" s="15">
        <f t="shared" si="134"/>
        <v>2.9929943816320304E-4</v>
      </c>
      <c r="G644" s="25" t="str">
        <f>IF(VLOOKUP(A644,Aux!B:C,2,FALSE)=0,"",VLOOKUP(A644,Aux!B:C,2,FALSE))</f>
        <v/>
      </c>
      <c r="H644" s="25" t="str">
        <f t="shared" si="136"/>
        <v/>
      </c>
      <c r="L644" s="13">
        <f t="shared" ref="L644:L707" si="139">L643+M644+N644</f>
        <v>111195.03266479402</v>
      </c>
      <c r="M644" s="14">
        <f t="shared" ref="M644:M707" si="140">O643*(B644-B643)</f>
        <v>102.85097283305204</v>
      </c>
      <c r="N644" s="14">
        <f t="shared" ref="N644:N707" si="141">P643*(C644-C643)</f>
        <v>16.756368822585696</v>
      </c>
      <c r="O644" s="1">
        <f t="shared" ref="O644:O707" si="142">IF(ISNUMBER(G644),L644*G644/B644,O643)</f>
        <v>2.6966694502635975</v>
      </c>
      <c r="P644" s="1">
        <f t="shared" ref="P644:P707" si="143">IF(ISNUMBER(H644),L644*H644/C644,P643)</f>
        <v>1941.6418102648238</v>
      </c>
      <c r="S644" s="6">
        <f t="shared" si="137"/>
        <v>0.49636188790176489</v>
      </c>
      <c r="T644" s="6">
        <f t="shared" si="138"/>
        <v>0.50363811209823572</v>
      </c>
      <c r="V644" s="1">
        <f t="shared" ref="V644:V707" si="144">$O$2*B644+$P$2*C644</f>
        <v>111743.07642090088</v>
      </c>
      <c r="W644" s="7">
        <f t="shared" ref="W644:W707" si="145">LN(L644/L643)</f>
        <v>1.0762325707449373E-3</v>
      </c>
      <c r="X644" s="7">
        <f t="shared" ref="X644:X707" si="146">LN(V644/V643)</f>
        <v>9.6067083003841078E-4</v>
      </c>
      <c r="Y644">
        <f>LN(B644/B643)</f>
        <v>1.865217808743254E-3</v>
      </c>
      <c r="Z644">
        <f>LN(C644/C643)</f>
        <v>2.992546570214515E-4</v>
      </c>
    </row>
    <row r="645" spans="1:26" x14ac:dyDescent="0.3">
      <c r="A645" s="9">
        <v>41123</v>
      </c>
      <c r="B645" s="1">
        <v>20240.34</v>
      </c>
      <c r="C645" s="1">
        <v>28.85126</v>
      </c>
      <c r="D645" s="6">
        <f t="shared" si="135"/>
        <v>-1.107876107448591E-2</v>
      </c>
      <c r="E645" s="5">
        <f t="shared" ref="E645:E708" si="147">C645/C644-1</f>
        <v>2.9920988481291211E-4</v>
      </c>
      <c r="G645" s="25" t="str">
        <f>IF(VLOOKUP(A645,Aux!B:C,2,FALSE)=0,"",VLOOKUP(A645,Aux!B:C,2,FALSE))</f>
        <v/>
      </c>
      <c r="H645" s="25" t="str">
        <f t="shared" si="136"/>
        <v/>
      </c>
      <c r="L645" s="13">
        <f t="shared" si="139"/>
        <v>110600.31923576935</v>
      </c>
      <c r="M645" s="14">
        <f t="shared" si="140"/>
        <v>-611.46979784727068</v>
      </c>
      <c r="N645" s="14">
        <f t="shared" si="141"/>
        <v>16.756368822585696</v>
      </c>
      <c r="O645" s="1">
        <f t="shared" si="142"/>
        <v>2.6966694502635975</v>
      </c>
      <c r="P645" s="1">
        <f t="shared" si="143"/>
        <v>1941.6418102648238</v>
      </c>
      <c r="S645" s="6">
        <f t="shared" si="137"/>
        <v>0.49350225133252645</v>
      </c>
      <c r="T645" s="6">
        <f t="shared" si="138"/>
        <v>0.5064977486674741</v>
      </c>
      <c r="V645" s="1">
        <f t="shared" si="144"/>
        <v>111239.26269228624</v>
      </c>
      <c r="W645" s="7">
        <f t="shared" si="145"/>
        <v>-5.3627350546760896E-3</v>
      </c>
      <c r="X645" s="7">
        <f t="shared" si="146"/>
        <v>-4.5188743462870971E-3</v>
      </c>
      <c r="Y645">
        <f>LN(B645/B644)</f>
        <v>-1.1140587613017974E-2</v>
      </c>
      <c r="Z645">
        <f>LN(C645/C644)</f>
        <v>2.991651304624007E-4</v>
      </c>
    </row>
    <row r="646" spans="1:26" x14ac:dyDescent="0.3">
      <c r="A646" s="11">
        <v>41124</v>
      </c>
      <c r="B646" s="12">
        <v>20690.21</v>
      </c>
      <c r="C646" s="12">
        <v>28.85988</v>
      </c>
      <c r="D646" s="16">
        <f t="shared" si="135"/>
        <v>2.222640528765818E-2</v>
      </c>
      <c r="E646" s="15">
        <f t="shared" si="147"/>
        <v>2.98773779723982E-4</v>
      </c>
      <c r="G646" s="25" t="str">
        <f>IF(VLOOKUP(A646,Aux!B:C,2,FALSE)=0,"",VLOOKUP(A646,Aux!B:C,2,FALSE))</f>
        <v/>
      </c>
      <c r="H646" s="25" t="str">
        <f t="shared" si="136"/>
        <v/>
      </c>
      <c r="L646" s="13">
        <f t="shared" si="139"/>
        <v>111830.20687376391</v>
      </c>
      <c r="M646" s="14">
        <f t="shared" si="140"/>
        <v>1213.1506855900818</v>
      </c>
      <c r="N646" s="14">
        <f t="shared" si="141"/>
        <v>16.736952404483784</v>
      </c>
      <c r="O646" s="1">
        <f t="shared" si="142"/>
        <v>2.6966694502635975</v>
      </c>
      <c r="P646" s="1">
        <f t="shared" si="143"/>
        <v>1941.6418102648238</v>
      </c>
      <c r="S646" s="6">
        <f t="shared" si="137"/>
        <v>0.49892295459598385</v>
      </c>
      <c r="T646" s="6">
        <f t="shared" si="138"/>
        <v>0.50107704540401676</v>
      </c>
      <c r="V646" s="1">
        <f t="shared" si="144"/>
        <v>112296.41260064126</v>
      </c>
      <c r="W646" s="7">
        <f t="shared" si="145"/>
        <v>1.1058735450010106E-2</v>
      </c>
      <c r="X646" s="7">
        <f t="shared" si="146"/>
        <v>9.4585151861749182E-3</v>
      </c>
      <c r="Y646">
        <f>LN(B646/B645)</f>
        <v>2.1982998839633332E-2</v>
      </c>
      <c r="Z646">
        <f>LN(C646/C645)</f>
        <v>2.9872915572635577E-4</v>
      </c>
    </row>
    <row r="647" spans="1:26" x14ac:dyDescent="0.3">
      <c r="A647" s="9">
        <v>41127</v>
      </c>
      <c r="B647" s="1">
        <v>20972.83</v>
      </c>
      <c r="C647" s="1">
        <v>28.86852</v>
      </c>
      <c r="D647" s="6">
        <f t="shared" si="135"/>
        <v>1.3659600361717095E-2</v>
      </c>
      <c r="E647" s="5">
        <f t="shared" si="147"/>
        <v>2.993775441892943E-4</v>
      </c>
      <c r="G647" s="25" t="str">
        <f>IF(VLOOKUP(A647,Aux!B:C,2,FALSE)=0,"",VLOOKUP(A647,Aux!B:C,2,FALSE))</f>
        <v/>
      </c>
      <c r="H647" s="25" t="str">
        <f t="shared" si="136"/>
        <v/>
      </c>
      <c r="L647" s="13">
        <f t="shared" si="139"/>
        <v>112609.11537903811</v>
      </c>
      <c r="M647" s="14">
        <f t="shared" si="140"/>
        <v>762.13272003350494</v>
      </c>
      <c r="N647" s="14">
        <f t="shared" si="141"/>
        <v>16.775785240687611</v>
      </c>
      <c r="O647" s="1">
        <f t="shared" si="142"/>
        <v>2.6966694502635975</v>
      </c>
      <c r="P647" s="1">
        <f t="shared" si="143"/>
        <v>1941.6418102648238</v>
      </c>
      <c r="S647" s="6">
        <f t="shared" si="137"/>
        <v>0.50223989200344776</v>
      </c>
      <c r="T647" s="6">
        <f t="shared" si="138"/>
        <v>0.49776010799655268</v>
      </c>
      <c r="V647" s="1">
        <f t="shared" si="144"/>
        <v>112967.75565120918</v>
      </c>
      <c r="W647" s="7">
        <f t="shared" si="145"/>
        <v>6.9409551282466732E-3</v>
      </c>
      <c r="X647" s="7">
        <f t="shared" si="146"/>
        <v>5.9605133242801043E-3</v>
      </c>
      <c r="Y647">
        <f>LN(B647/B646)</f>
        <v>1.3567148968670603E-2</v>
      </c>
      <c r="Z647">
        <f>LN(C647/C646)</f>
        <v>2.9933273967439923E-4</v>
      </c>
    </row>
    <row r="648" spans="1:26" x14ac:dyDescent="0.3">
      <c r="A648" s="11">
        <v>41128</v>
      </c>
      <c r="B648" s="12">
        <v>20913.98</v>
      </c>
      <c r="C648" s="12">
        <v>28.877140000000001</v>
      </c>
      <c r="D648" s="16">
        <f t="shared" si="135"/>
        <v>-2.8060113966499323E-3</v>
      </c>
      <c r="E648" s="15">
        <f t="shared" si="147"/>
        <v>2.9859514793284525E-4</v>
      </c>
      <c r="G648" s="25" t="str">
        <f>IF(VLOOKUP(A648,Aux!B:C,2,FALSE)=0,"",VLOOKUP(A648,Aux!B:C,2,FALSE))</f>
        <v/>
      </c>
      <c r="H648" s="25" t="str">
        <f t="shared" si="136"/>
        <v/>
      </c>
      <c r="L648" s="13">
        <f t="shared" si="139"/>
        <v>112467.15333429456</v>
      </c>
      <c r="M648" s="14">
        <f t="shared" si="140"/>
        <v>-158.69899714801861</v>
      </c>
      <c r="N648" s="14">
        <f t="shared" si="141"/>
        <v>16.736952404483784</v>
      </c>
      <c r="O648" s="1">
        <f t="shared" si="142"/>
        <v>2.6966694502635975</v>
      </c>
      <c r="P648" s="1">
        <f t="shared" si="143"/>
        <v>1941.6418102648238</v>
      </c>
      <c r="S648" s="6">
        <f t="shared" si="137"/>
        <v>0.50146277626310676</v>
      </c>
      <c r="T648" s="6">
        <f t="shared" si="138"/>
        <v>0.49853722373689385</v>
      </c>
      <c r="V648" s="1">
        <f t="shared" si="144"/>
        <v>112851.27072444337</v>
      </c>
      <c r="W648" s="7">
        <f t="shared" si="145"/>
        <v>-1.261457410682523E-3</v>
      </c>
      <c r="X648" s="7">
        <f t="shared" si="146"/>
        <v>-1.0316662769028569E-3</v>
      </c>
      <c r="Y648">
        <f>LN(B648/B647)</f>
        <v>-2.8099556267265967E-3</v>
      </c>
      <c r="Z648">
        <f>LN(C648/C647)</f>
        <v>2.9855057727382837E-4</v>
      </c>
    </row>
    <row r="649" spans="1:26" x14ac:dyDescent="0.3">
      <c r="A649" s="9">
        <v>41129</v>
      </c>
      <c r="B649" s="1">
        <v>21263.77</v>
      </c>
      <c r="C649" s="1">
        <v>28.885770000000001</v>
      </c>
      <c r="D649" s="6">
        <f t="shared" si="135"/>
        <v>1.6725176174023249E-2</v>
      </c>
      <c r="E649" s="5">
        <f t="shared" si="147"/>
        <v>2.9885231016635316E-4</v>
      </c>
      <c r="G649" s="25" t="str">
        <f>IF(VLOOKUP(A649,Aux!B:C,2,FALSE)=0,"",VLOOKUP(A649,Aux!B:C,2,FALSE))</f>
        <v/>
      </c>
      <c r="H649" s="25" t="str">
        <f t="shared" si="136"/>
        <v/>
      </c>
      <c r="L649" s="13">
        <f t="shared" si="139"/>
        <v>113427.17771012486</v>
      </c>
      <c r="M649" s="14">
        <f t="shared" si="140"/>
        <v>943.26800700770616</v>
      </c>
      <c r="N649" s="14">
        <f t="shared" si="141"/>
        <v>16.756368822585696</v>
      </c>
      <c r="O649" s="1">
        <f t="shared" si="142"/>
        <v>2.6966694502635975</v>
      </c>
      <c r="P649" s="1">
        <f t="shared" si="143"/>
        <v>1941.6418102648238</v>
      </c>
      <c r="S649" s="6">
        <f t="shared" si="137"/>
        <v>0.50553456511960015</v>
      </c>
      <c r="T649" s="6">
        <f t="shared" si="138"/>
        <v>0.49446543488040035</v>
      </c>
      <c r="V649" s="1">
        <f t="shared" si="144"/>
        <v>113677.55494330585</v>
      </c>
      <c r="W649" s="7">
        <f t="shared" si="145"/>
        <v>8.4998162749949403E-3</v>
      </c>
      <c r="X649" s="7">
        <f t="shared" si="146"/>
        <v>7.2952118212947017E-3</v>
      </c>
      <c r="Y649">
        <f>LN(B649/B648)</f>
        <v>1.6586850630358398E-2</v>
      </c>
      <c r="Z649">
        <f>LN(C649/C648)</f>
        <v>2.9880766270981612E-4</v>
      </c>
    </row>
    <row r="650" spans="1:26" x14ac:dyDescent="0.3">
      <c r="A650" s="11">
        <v>41130</v>
      </c>
      <c r="B650" s="12">
        <v>21170.51</v>
      </c>
      <c r="C650" s="12">
        <v>28.894400000000001</v>
      </c>
      <c r="D650" s="16">
        <f t="shared" si="135"/>
        <v>-4.3858638425829932E-3</v>
      </c>
      <c r="E650" s="15">
        <f t="shared" si="147"/>
        <v>2.9876302414644229E-4</v>
      </c>
      <c r="G650" s="25" t="str">
        <f>IF(VLOOKUP(A650,Aux!B:C,2,FALSE)=0,"",VLOOKUP(A650,Aux!B:C,2,FALSE))</f>
        <v/>
      </c>
      <c r="H650" s="25" t="str">
        <f t="shared" si="136"/>
        <v/>
      </c>
      <c r="L650" s="13">
        <f t="shared" si="139"/>
        <v>113192.44268601586</v>
      </c>
      <c r="M650" s="14">
        <f t="shared" si="140"/>
        <v>-251.49139293158859</v>
      </c>
      <c r="N650" s="14">
        <f t="shared" si="141"/>
        <v>16.756368822585696</v>
      </c>
      <c r="O650" s="1">
        <f t="shared" si="142"/>
        <v>2.6966694502635975</v>
      </c>
      <c r="P650" s="1">
        <f t="shared" si="143"/>
        <v>1941.6418102648238</v>
      </c>
      <c r="S650" s="6">
        <f t="shared" si="137"/>
        <v>0.5043611234882649</v>
      </c>
      <c r="T650" s="6">
        <f t="shared" si="138"/>
        <v>0.4956388765117356</v>
      </c>
      <c r="V650" s="1">
        <f t="shared" si="144"/>
        <v>113481.70731419641</v>
      </c>
      <c r="W650" s="7">
        <f t="shared" si="145"/>
        <v>-2.0716221097546094E-3</v>
      </c>
      <c r="X650" s="7">
        <f t="shared" si="146"/>
        <v>-1.7243204233800072E-3</v>
      </c>
      <c r="Y650">
        <f>LN(B650/B649)</f>
        <v>-4.3955099581045806E-3</v>
      </c>
      <c r="Z650">
        <f>LN(C650/C649)</f>
        <v>2.9871840336128297E-4</v>
      </c>
    </row>
    <row r="651" spans="1:26" x14ac:dyDescent="0.3">
      <c r="A651" s="9">
        <v>41131</v>
      </c>
      <c r="B651" s="1">
        <v>21318.15</v>
      </c>
      <c r="C651" s="1">
        <v>28.903040000000001</v>
      </c>
      <c r="D651" s="6">
        <f t="shared" si="135"/>
        <v>6.973851834462419E-3</v>
      </c>
      <c r="E651" s="5">
        <f t="shared" si="147"/>
        <v>2.9901987928449003E-4</v>
      </c>
      <c r="G651" s="25" t="str">
        <f>IF(VLOOKUP(A651,Aux!B:C,2,FALSE)=0,"",VLOOKUP(A651,Aux!B:C,2,FALSE))</f>
        <v/>
      </c>
      <c r="H651" s="25" t="str">
        <f t="shared" si="136"/>
        <v/>
      </c>
      <c r="L651" s="13">
        <f t="shared" si="139"/>
        <v>113607.35474889347</v>
      </c>
      <c r="M651" s="14">
        <f t="shared" si="140"/>
        <v>398.1362776369258</v>
      </c>
      <c r="N651" s="14">
        <f t="shared" si="141"/>
        <v>16.775785240687611</v>
      </c>
      <c r="O651" s="1">
        <f t="shared" si="142"/>
        <v>2.6966694502635975</v>
      </c>
      <c r="P651" s="1">
        <f t="shared" si="143"/>
        <v>1941.6418102648238</v>
      </c>
      <c r="S651" s="6">
        <f t="shared" si="137"/>
        <v>0.50602361060340462</v>
      </c>
      <c r="T651" s="6">
        <f t="shared" si="138"/>
        <v>0.49397638939659594</v>
      </c>
      <c r="V651" s="1">
        <f t="shared" si="144"/>
        <v>113841.64678313868</v>
      </c>
      <c r="W651" s="7">
        <f t="shared" si="145"/>
        <v>3.6588438829657224E-3</v>
      </c>
      <c r="X651" s="7">
        <f t="shared" si="146"/>
        <v>3.1667645515158329E-3</v>
      </c>
      <c r="Y651">
        <f>LN(B651/B650)</f>
        <v>6.9496469985599685E-3</v>
      </c>
      <c r="Z651">
        <f>LN(C651/C650)</f>
        <v>2.989751817504652E-4</v>
      </c>
    </row>
    <row r="652" spans="1:26" x14ac:dyDescent="0.3">
      <c r="A652" s="11">
        <v>41134</v>
      </c>
      <c r="B652" s="12">
        <v>21240</v>
      </c>
      <c r="C652" s="12">
        <v>28.911670000000001</v>
      </c>
      <c r="D652" s="16">
        <f t="shared" si="135"/>
        <v>-3.6658903328854464E-3</v>
      </c>
      <c r="E652" s="15">
        <f t="shared" si="147"/>
        <v>2.9858450875752673E-4</v>
      </c>
      <c r="G652" s="25" t="str">
        <f>IF(VLOOKUP(A652,Aux!B:C,2,FALSE)=0,"",VLOOKUP(A652,Aux!B:C,2,FALSE))</f>
        <v/>
      </c>
      <c r="H652" s="25" t="str">
        <f t="shared" si="136"/>
        <v/>
      </c>
      <c r="L652" s="13">
        <f t="shared" si="139"/>
        <v>113413.36640017795</v>
      </c>
      <c r="M652" s="14">
        <f t="shared" si="140"/>
        <v>-210.74471753810406</v>
      </c>
      <c r="N652" s="14">
        <f t="shared" si="141"/>
        <v>16.756368822585696</v>
      </c>
      <c r="O652" s="1">
        <f t="shared" si="142"/>
        <v>2.6966694502635975</v>
      </c>
      <c r="P652" s="1">
        <f t="shared" si="143"/>
        <v>1941.6418102648238</v>
      </c>
      <c r="S652" s="6">
        <f t="shared" si="137"/>
        <v>0.50503094072260013</v>
      </c>
      <c r="T652" s="6">
        <f t="shared" si="138"/>
        <v>0.49496905927740026</v>
      </c>
      <c r="V652" s="1">
        <f t="shared" si="144"/>
        <v>113680.65845257987</v>
      </c>
      <c r="W652" s="7">
        <f t="shared" si="145"/>
        <v>-1.7089928615157107E-3</v>
      </c>
      <c r="X652" s="7">
        <f t="shared" si="146"/>
        <v>-1.4151435153464495E-3</v>
      </c>
      <c r="Y652">
        <f>LN(B652/B651)</f>
        <v>-3.6726261757982479E-3</v>
      </c>
      <c r="Z652">
        <f>LN(C652/C651)</f>
        <v>2.9853994127431111E-4</v>
      </c>
    </row>
    <row r="653" spans="1:26" x14ac:dyDescent="0.3">
      <c r="A653" s="9">
        <v>41135</v>
      </c>
      <c r="B653" s="1">
        <v>21004.55</v>
      </c>
      <c r="C653" s="1">
        <v>28.920290000000001</v>
      </c>
      <c r="D653" s="6">
        <f t="shared" si="135"/>
        <v>-1.1085216572504719E-2</v>
      </c>
      <c r="E653" s="5">
        <f t="shared" si="147"/>
        <v>2.9814950156814568E-4</v>
      </c>
      <c r="G653" s="25" t="str">
        <f>IF(VLOOKUP(A653,Aux!B:C,2,FALSE)=0,"",VLOOKUP(A653,Aux!B:C,2,FALSE))</f>
        <v/>
      </c>
      <c r="H653" s="25" t="str">
        <f t="shared" si="136"/>
        <v/>
      </c>
      <c r="L653" s="13">
        <f t="shared" si="139"/>
        <v>112795.17253051787</v>
      </c>
      <c r="M653" s="14">
        <f t="shared" si="140"/>
        <v>-634.93082206456597</v>
      </c>
      <c r="N653" s="14">
        <f t="shared" si="141"/>
        <v>16.736952404483784</v>
      </c>
      <c r="O653" s="1">
        <f t="shared" si="142"/>
        <v>2.6966694502635975</v>
      </c>
      <c r="P653" s="1">
        <f t="shared" si="143"/>
        <v>1941.6418102648238</v>
      </c>
      <c r="S653" s="6">
        <f t="shared" si="137"/>
        <v>0.50216979176311016</v>
      </c>
      <c r="T653" s="6">
        <f t="shared" si="138"/>
        <v>0.49783020823689034</v>
      </c>
      <c r="V653" s="1">
        <f t="shared" si="144"/>
        <v>113156.75114831298</v>
      </c>
      <c r="W653" s="7">
        <f t="shared" si="145"/>
        <v>-5.4657124048086807E-3</v>
      </c>
      <c r="X653" s="7">
        <f t="shared" si="146"/>
        <v>-4.6192401575715263E-3</v>
      </c>
      <c r="Y653">
        <f>LN(B653/B652)</f>
        <v>-1.1147115452480772E-2</v>
      </c>
      <c r="Z653">
        <f>LN(C653/C652)</f>
        <v>2.9810506383800834E-4</v>
      </c>
    </row>
    <row r="654" spans="1:26" x14ac:dyDescent="0.3">
      <c r="A654" s="11">
        <v>41136</v>
      </c>
      <c r="B654" s="12">
        <v>21034</v>
      </c>
      <c r="C654" s="12">
        <v>28.92895</v>
      </c>
      <c r="D654" s="16">
        <f t="shared" si="135"/>
        <v>1.4020771689944311E-3</v>
      </c>
      <c r="E654" s="15">
        <f t="shared" si="147"/>
        <v>2.9944374693324782E-4</v>
      </c>
      <c r="G654" s="25" t="str">
        <f>IF(VLOOKUP(A654,Aux!B:C,2,FALSE)=0,"",VLOOKUP(A654,Aux!B:C,2,FALSE))</f>
        <v/>
      </c>
      <c r="H654" s="25" t="str">
        <f t="shared" si="136"/>
        <v/>
      </c>
      <c r="L654" s="13">
        <f t="shared" si="139"/>
        <v>112891.40406390504</v>
      </c>
      <c r="M654" s="14">
        <f t="shared" si="140"/>
        <v>79.416915310264912</v>
      </c>
      <c r="N654" s="14">
        <f t="shared" si="141"/>
        <v>16.814618076891435</v>
      </c>
      <c r="O654" s="1">
        <f t="shared" si="142"/>
        <v>2.6966694502635975</v>
      </c>
      <c r="P654" s="1">
        <f t="shared" si="143"/>
        <v>1941.6418102648238</v>
      </c>
      <c r="S654" s="6">
        <f t="shared" si="137"/>
        <v>0.50244520995359154</v>
      </c>
      <c r="T654" s="6">
        <f t="shared" si="138"/>
        <v>0.49755479004640885</v>
      </c>
      <c r="V654" s="1">
        <f t="shared" si="144"/>
        <v>113244.06689559616</v>
      </c>
      <c r="W654" s="7">
        <f t="shared" si="145"/>
        <v>8.5278921477126063E-4</v>
      </c>
      <c r="X654" s="7">
        <f t="shared" si="146"/>
        <v>7.7133777489599153E-4</v>
      </c>
      <c r="Y654">
        <f>LN(B654/B653)</f>
        <v>1.4010951765794548E-3</v>
      </c>
      <c r="Z654">
        <f>LN(C654/C653)</f>
        <v>2.9939892260247958E-4</v>
      </c>
    </row>
    <row r="655" spans="1:26" x14ac:dyDescent="0.3">
      <c r="A655" s="9">
        <v>41137</v>
      </c>
      <c r="B655" s="1">
        <v>21336.15</v>
      </c>
      <c r="C655" s="1">
        <v>28.9376</v>
      </c>
      <c r="D655" s="6">
        <f t="shared" si="135"/>
        <v>1.4364837881525316E-2</v>
      </c>
      <c r="E655" s="5">
        <f t="shared" si="147"/>
        <v>2.9900843272923083E-4</v>
      </c>
      <c r="G655" s="25" t="str">
        <f>IF(VLOOKUP(A655,Aux!B:C,2,FALSE)=0,"",VLOOKUP(A655,Aux!B:C,2,FALSE))</f>
        <v/>
      </c>
      <c r="H655" s="25" t="str">
        <f t="shared" si="136"/>
        <v/>
      </c>
      <c r="L655" s="13">
        <f t="shared" si="139"/>
        <v>113722.99793996099</v>
      </c>
      <c r="M655" s="14">
        <f t="shared" si="140"/>
        <v>814.79867439714985</v>
      </c>
      <c r="N655" s="14">
        <f t="shared" si="141"/>
        <v>16.795201658789523</v>
      </c>
      <c r="O655" s="1">
        <f t="shared" si="142"/>
        <v>2.6966694502635975</v>
      </c>
      <c r="P655" s="1">
        <f t="shared" si="143"/>
        <v>1941.6418102648238</v>
      </c>
      <c r="S655" s="6">
        <f t="shared" si="137"/>
        <v>0.50593586990748829</v>
      </c>
      <c r="T655" s="6">
        <f t="shared" si="138"/>
        <v>0.49406413009251204</v>
      </c>
      <c r="V655" s="1">
        <f t="shared" si="144"/>
        <v>113960.48871065176</v>
      </c>
      <c r="W655" s="7">
        <f t="shared" si="145"/>
        <v>7.3393182565375933E-3</v>
      </c>
      <c r="X655" s="7">
        <f t="shared" si="146"/>
        <v>6.3064245128607154E-3</v>
      </c>
      <c r="Y655">
        <f>LN(B655/B654)</f>
        <v>1.4262641128367283E-2</v>
      </c>
      <c r="Z655">
        <f>LN(C655/C654)</f>
        <v>2.9896373861686495E-4</v>
      </c>
    </row>
    <row r="656" spans="1:26" x14ac:dyDescent="0.3">
      <c r="A656" s="11">
        <v>41138</v>
      </c>
      <c r="B656" s="12">
        <v>21221.62</v>
      </c>
      <c r="C656" s="12">
        <v>28.946249999999999</v>
      </c>
      <c r="D656" s="16">
        <f t="shared" si="135"/>
        <v>-5.3678850214309293E-3</v>
      </c>
      <c r="E656" s="15">
        <f t="shared" si="147"/>
        <v>2.9891905341150604E-4</v>
      </c>
      <c r="G656" s="25" t="str">
        <f>IF(VLOOKUP(A656,Aux!B:C,2,FALSE)=0,"",VLOOKUP(A656,Aux!B:C,2,FALSE))</f>
        <v/>
      </c>
      <c r="H656" s="25" t="str">
        <f t="shared" si="136"/>
        <v/>
      </c>
      <c r="L656" s="13">
        <f t="shared" si="139"/>
        <v>113430.94358948109</v>
      </c>
      <c r="M656" s="14">
        <f t="shared" si="140"/>
        <v>-308.84955213869648</v>
      </c>
      <c r="N656" s="14">
        <f t="shared" si="141"/>
        <v>16.795201658789523</v>
      </c>
      <c r="O656" s="1">
        <f t="shared" si="142"/>
        <v>2.6966694502635975</v>
      </c>
      <c r="P656" s="1">
        <f t="shared" si="143"/>
        <v>1941.6418102648238</v>
      </c>
      <c r="S656" s="6">
        <f t="shared" si="137"/>
        <v>0.50451572144384349</v>
      </c>
      <c r="T656" s="6">
        <f t="shared" si="138"/>
        <v>0.49548427855615679</v>
      </c>
      <c r="V656" s="1">
        <f t="shared" si="144"/>
        <v>113715.61519016295</v>
      </c>
      <c r="W656" s="7">
        <f t="shared" si="145"/>
        <v>-2.5714236736616054E-3</v>
      </c>
      <c r="X656" s="7">
        <f t="shared" si="146"/>
        <v>-2.1510699692639415E-3</v>
      </c>
      <c r="Y656">
        <f>LN(B656/B655)</f>
        <v>-5.3823438817779045E-3</v>
      </c>
      <c r="Z656">
        <f>LN(C656/C655)</f>
        <v>2.9887438601232928E-4</v>
      </c>
    </row>
    <row r="657" spans="1:26" x14ac:dyDescent="0.3">
      <c r="A657" s="9">
        <v>41141</v>
      </c>
      <c r="B657" s="1">
        <v>21233.69</v>
      </c>
      <c r="C657" s="1">
        <v>28.954920000000001</v>
      </c>
      <c r="D657" s="6">
        <f t="shared" si="135"/>
        <v>5.6875959516755614E-4</v>
      </c>
      <c r="E657" s="5">
        <f t="shared" si="147"/>
        <v>2.9952066329852478E-4</v>
      </c>
      <c r="G657" s="25" t="str">
        <f>IF(VLOOKUP(A657,Aux!B:C,2,FALSE)=0,"",VLOOKUP(A657,Aux!B:C,2,FALSE))</f>
        <v/>
      </c>
      <c r="H657" s="25" t="str">
        <f t="shared" si="136"/>
        <v/>
      </c>
      <c r="L657" s="13">
        <f t="shared" si="139"/>
        <v>113480.32642424076</v>
      </c>
      <c r="M657" s="14">
        <f t="shared" si="140"/>
        <v>32.548800264680835</v>
      </c>
      <c r="N657" s="14">
        <f t="shared" si="141"/>
        <v>16.834034495000246</v>
      </c>
      <c r="O657" s="1">
        <f t="shared" si="142"/>
        <v>2.6966694502635975</v>
      </c>
      <c r="P657" s="1">
        <f t="shared" si="143"/>
        <v>1941.6418102648238</v>
      </c>
      <c r="S657" s="6">
        <f t="shared" si="137"/>
        <v>0.50458299639800974</v>
      </c>
      <c r="T657" s="6">
        <f t="shared" si="138"/>
        <v>0.49541700360199059</v>
      </c>
      <c r="V657" s="1">
        <f t="shared" si="144"/>
        <v>113762.85704081508</v>
      </c>
      <c r="W657" s="7">
        <f t="shared" si="145"/>
        <v>4.3526119735097442E-4</v>
      </c>
      <c r="X657" s="7">
        <f t="shared" si="146"/>
        <v>4.1535228250823237E-4</v>
      </c>
      <c r="Y657">
        <f>LN(B657/B656)</f>
        <v>5.6859791273172831E-4</v>
      </c>
      <c r="Z657">
        <f>LN(C657/C656)</f>
        <v>2.9947581593957036E-4</v>
      </c>
    </row>
    <row r="658" spans="1:26" x14ac:dyDescent="0.3">
      <c r="A658" s="11">
        <v>41142</v>
      </c>
      <c r="B658" s="12">
        <v>21068.27</v>
      </c>
      <c r="C658" s="12">
        <v>28.9636</v>
      </c>
      <c r="D658" s="16">
        <f t="shared" si="135"/>
        <v>-7.7904499877317068E-3</v>
      </c>
      <c r="E658" s="15">
        <f t="shared" si="147"/>
        <v>2.9977634198252723E-4</v>
      </c>
      <c r="G658" s="25" t="str">
        <f>IF(VLOOKUP(A658,Aux!B:C,2,FALSE)=0,"",VLOOKUP(A658,Aux!B:C,2,FALSE))</f>
        <v/>
      </c>
      <c r="H658" s="25" t="str">
        <f t="shared" si="136"/>
        <v/>
      </c>
      <c r="L658" s="13">
        <f t="shared" si="139"/>
        <v>113051.09681469126</v>
      </c>
      <c r="M658" s="14">
        <f t="shared" si="140"/>
        <v>-446.08306046259958</v>
      </c>
      <c r="N658" s="14">
        <f t="shared" si="141"/>
        <v>16.853450913095262</v>
      </c>
      <c r="O658" s="1">
        <f t="shared" si="142"/>
        <v>2.6966694502635975</v>
      </c>
      <c r="P658" s="1">
        <f t="shared" si="143"/>
        <v>1941.6418102648238</v>
      </c>
      <c r="S658" s="6">
        <f t="shared" si="137"/>
        <v>0.50255293119386968</v>
      </c>
      <c r="T658" s="6">
        <f t="shared" si="138"/>
        <v>0.49744706880613054</v>
      </c>
      <c r="V658" s="1">
        <f t="shared" si="144"/>
        <v>113400.64562415841</v>
      </c>
      <c r="W658" s="7">
        <f t="shared" si="145"/>
        <v>-3.789585719202872E-3</v>
      </c>
      <c r="X658" s="7">
        <f t="shared" si="146"/>
        <v>-3.1889957618391101E-3</v>
      </c>
      <c r="Y658">
        <f>LN(B658/B657)</f>
        <v>-7.8209540735550594E-3</v>
      </c>
      <c r="Z658">
        <f>LN(C658/C657)</f>
        <v>2.9973141803278831E-4</v>
      </c>
    </row>
    <row r="659" spans="1:26" x14ac:dyDescent="0.3">
      <c r="A659" s="9">
        <v>41143</v>
      </c>
      <c r="B659" s="1">
        <v>21201.42</v>
      </c>
      <c r="C659" s="1">
        <v>28.972259999999999</v>
      </c>
      <c r="D659" s="6">
        <f t="shared" si="135"/>
        <v>6.3199303977021781E-3</v>
      </c>
      <c r="E659" s="5">
        <f t="shared" si="147"/>
        <v>2.9899598116256421E-4</v>
      </c>
      <c r="G659" s="25" t="str">
        <f>IF(VLOOKUP(A659,Aux!B:C,2,FALSE)=0,"",VLOOKUP(A659,Aux!B:C,2,FALSE))</f>
        <v/>
      </c>
      <c r="H659" s="25" t="str">
        <f t="shared" si="136"/>
        <v/>
      </c>
      <c r="L659" s="13">
        <f t="shared" si="139"/>
        <v>113426.97297007075</v>
      </c>
      <c r="M659" s="14">
        <f t="shared" si="140"/>
        <v>359.06153730259211</v>
      </c>
      <c r="N659" s="14">
        <f t="shared" si="141"/>
        <v>16.814618076891435</v>
      </c>
      <c r="O659" s="1">
        <f t="shared" si="142"/>
        <v>2.6966694502635975</v>
      </c>
      <c r="P659" s="1">
        <f t="shared" si="143"/>
        <v>1941.6418102648238</v>
      </c>
      <c r="S659" s="6">
        <f t="shared" si="137"/>
        <v>0.50405313761915838</v>
      </c>
      <c r="T659" s="6">
        <f t="shared" si="138"/>
        <v>0.49594686238084179</v>
      </c>
      <c r="V659" s="1">
        <f t="shared" si="144"/>
        <v>113727.20089888699</v>
      </c>
      <c r="W659" s="7">
        <f t="shared" si="145"/>
        <v>3.3193191804383945E-3</v>
      </c>
      <c r="X659" s="7">
        <f t="shared" si="146"/>
        <v>2.8755214716392362E-3</v>
      </c>
      <c r="Y659">
        <f>LN(B659/B658)</f>
        <v>6.300043383303539E-3</v>
      </c>
      <c r="Z659">
        <f>LN(C659/C658)</f>
        <v>2.9895129077213135E-4</v>
      </c>
    </row>
    <row r="660" spans="1:26" x14ac:dyDescent="0.3">
      <c r="A660" s="11">
        <v>41144</v>
      </c>
      <c r="B660" s="12">
        <v>20979.05</v>
      </c>
      <c r="C660" s="12">
        <v>28.980910000000002</v>
      </c>
      <c r="D660" s="16">
        <f t="shared" si="135"/>
        <v>-1.0488448415247653E-2</v>
      </c>
      <c r="E660" s="15">
        <f t="shared" si="147"/>
        <v>2.9856145154028013E-4</v>
      </c>
      <c r="G660" s="25" t="str">
        <f>IF(VLOOKUP(A660,Aux!B:C,2,FALSE)=0,"",VLOOKUP(A660,Aux!B:C,2,FALSE))</f>
        <v/>
      </c>
      <c r="H660" s="25" t="str">
        <f t="shared" si="136"/>
        <v/>
      </c>
      <c r="L660" s="13">
        <f t="shared" si="139"/>
        <v>112844.10978607443</v>
      </c>
      <c r="M660" s="14">
        <f t="shared" si="140"/>
        <v>-599.65838565511342</v>
      </c>
      <c r="N660" s="14">
        <f t="shared" si="141"/>
        <v>16.795201658796422</v>
      </c>
      <c r="O660" s="1">
        <f t="shared" si="142"/>
        <v>2.6966694502635975</v>
      </c>
      <c r="P660" s="1">
        <f t="shared" si="143"/>
        <v>1941.6418102648238</v>
      </c>
      <c r="S660" s="6">
        <f t="shared" si="137"/>
        <v>0.50134263399128698</v>
      </c>
      <c r="T660" s="6">
        <f t="shared" si="138"/>
        <v>0.49865736600871319</v>
      </c>
      <c r="V660" s="1">
        <f t="shared" si="144"/>
        <v>113233.53672613481</v>
      </c>
      <c r="W660" s="7">
        <f t="shared" si="145"/>
        <v>-5.1519130602317789E-3</v>
      </c>
      <c r="X660" s="7">
        <f t="shared" si="146"/>
        <v>-4.350223359726518E-3</v>
      </c>
      <c r="Y660">
        <f>LN(B660/B659)</f>
        <v>-1.0543839844190382E-2</v>
      </c>
      <c r="Z660">
        <f>LN(C660/C659)</f>
        <v>2.9851689093927171E-4</v>
      </c>
    </row>
    <row r="661" spans="1:26" x14ac:dyDescent="0.3">
      <c r="A661" s="9">
        <v>41145</v>
      </c>
      <c r="B661" s="1">
        <v>20939.98</v>
      </c>
      <c r="C661" s="1">
        <v>28.989560000000001</v>
      </c>
      <c r="D661" s="6">
        <f t="shared" si="135"/>
        <v>-1.8623340904377894E-3</v>
      </c>
      <c r="E661" s="5">
        <f t="shared" si="147"/>
        <v>2.9847233920543559E-4</v>
      </c>
      <c r="G661" s="25" t="str">
        <f>IF(VLOOKUP(A661,Aux!B:C,2,FALSE)=0,"",VLOOKUP(A661,Aux!B:C,2,FALSE))</f>
        <v/>
      </c>
      <c r="H661" s="25" t="str">
        <f t="shared" si="136"/>
        <v/>
      </c>
      <c r="L661" s="13">
        <f t="shared" si="139"/>
        <v>112755.54611231144</v>
      </c>
      <c r="M661" s="14">
        <f t="shared" si="140"/>
        <v>-105.35887542179798</v>
      </c>
      <c r="N661" s="14">
        <f t="shared" si="141"/>
        <v>16.795201658789523</v>
      </c>
      <c r="O661" s="1">
        <f t="shared" si="142"/>
        <v>2.6966694502635975</v>
      </c>
      <c r="P661" s="1">
        <f t="shared" si="143"/>
        <v>1941.6418102648238</v>
      </c>
      <c r="S661" s="6">
        <f t="shared" si="137"/>
        <v>0.50080201198160967</v>
      </c>
      <c r="T661" s="6">
        <f t="shared" si="138"/>
        <v>0.49919798801839055</v>
      </c>
      <c r="V661" s="1">
        <f t="shared" si="144"/>
        <v>113162.75206525094</v>
      </c>
      <c r="W661" s="7">
        <f t="shared" si="145"/>
        <v>-7.8514018968571682E-4</v>
      </c>
      <c r="X661" s="7">
        <f t="shared" si="146"/>
        <v>-6.2531646228194732E-4</v>
      </c>
      <c r="Y661">
        <f>LN(B661/B660)</f>
        <v>-1.8640703906188927E-3</v>
      </c>
      <c r="Z661">
        <f>LN(C661/C660)</f>
        <v>2.9842780519802607E-4</v>
      </c>
    </row>
    <row r="662" spans="1:26" x14ac:dyDescent="0.3">
      <c r="A662" s="11">
        <v>41148</v>
      </c>
      <c r="B662" s="12">
        <v>20865.36</v>
      </c>
      <c r="C662" s="12">
        <v>28.99822</v>
      </c>
      <c r="D662" s="16">
        <f t="shared" si="135"/>
        <v>-3.5635182077536909E-3</v>
      </c>
      <c r="E662" s="15">
        <f t="shared" si="147"/>
        <v>2.987282318185347E-4</v>
      </c>
      <c r="G662" s="25" t="str">
        <f>IF(VLOOKUP(A662,Aux!B:C,2,FALSE)=0,"",VLOOKUP(A662,Aux!B:C,2,FALSE))</f>
        <v/>
      </c>
      <c r="H662" s="25" t="str">
        <f t="shared" si="136"/>
        <v/>
      </c>
      <c r="L662" s="13">
        <f t="shared" si="139"/>
        <v>112571.13525600967</v>
      </c>
      <c r="M662" s="14">
        <f t="shared" si="140"/>
        <v>-201.22547437866689</v>
      </c>
      <c r="N662" s="14">
        <f t="shared" si="141"/>
        <v>16.814618076891435</v>
      </c>
      <c r="O662" s="1">
        <f t="shared" si="142"/>
        <v>2.6966694502635975</v>
      </c>
      <c r="P662" s="1">
        <f t="shared" si="143"/>
        <v>1941.6418102648238</v>
      </c>
      <c r="S662" s="6">
        <f t="shared" si="137"/>
        <v>0.49983487110429775</v>
      </c>
      <c r="T662" s="6">
        <f t="shared" si="138"/>
        <v>0.5001651288957023</v>
      </c>
      <c r="V662" s="1">
        <f t="shared" si="144"/>
        <v>113009.97468214604</v>
      </c>
      <c r="W662" s="7">
        <f t="shared" si="145"/>
        <v>-1.6368314338538546E-3</v>
      </c>
      <c r="X662" s="7">
        <f t="shared" si="146"/>
        <v>-1.3509799217505862E-3</v>
      </c>
      <c r="Y662">
        <f>LN(B662/B661)</f>
        <v>-3.5698826631625651E-3</v>
      </c>
      <c r="Z662">
        <f>LN(C662/C661)</f>
        <v>2.9868362142432698E-4</v>
      </c>
    </row>
    <row r="663" spans="1:26" x14ac:dyDescent="0.3">
      <c r="A663" s="9">
        <v>41149</v>
      </c>
      <c r="B663" s="1">
        <v>20903.46</v>
      </c>
      <c r="C663" s="1">
        <v>29.006900000000002</v>
      </c>
      <c r="D663" s="6">
        <f t="shared" si="135"/>
        <v>1.8259929375767925E-3</v>
      </c>
      <c r="E663" s="5">
        <f t="shared" si="147"/>
        <v>2.9932871741777944E-4</v>
      </c>
      <c r="G663" s="25" t="str">
        <f>IF(VLOOKUP(A663,Aux!B:C,2,FALSE)=0,"",VLOOKUP(A663,Aux!B:C,2,FALSE))</f>
        <v/>
      </c>
      <c r="H663" s="25" t="str">
        <f t="shared" si="136"/>
        <v/>
      </c>
      <c r="L663" s="13">
        <f t="shared" si="139"/>
        <v>112690.73181297781</v>
      </c>
      <c r="M663" s="14">
        <f t="shared" si="140"/>
        <v>102.74310605503914</v>
      </c>
      <c r="N663" s="14">
        <f t="shared" si="141"/>
        <v>16.853450913102161</v>
      </c>
      <c r="O663" s="1">
        <f t="shared" si="142"/>
        <v>2.6966694502635975</v>
      </c>
      <c r="P663" s="1">
        <f t="shared" si="143"/>
        <v>1941.6418102648238</v>
      </c>
      <c r="S663" s="6">
        <f t="shared" si="137"/>
        <v>0.50021613206273796</v>
      </c>
      <c r="T663" s="6">
        <f t="shared" si="138"/>
        <v>0.49978386793726204</v>
      </c>
      <c r="V663" s="1">
        <f t="shared" si="144"/>
        <v>113117.29102465705</v>
      </c>
      <c r="W663" s="7">
        <f t="shared" si="145"/>
        <v>1.0618447743643534E-3</v>
      </c>
      <c r="X663" s="7">
        <f t="shared" si="146"/>
        <v>9.4916771962472591E-4</v>
      </c>
      <c r="Y663">
        <f>LN(B663/B662)</f>
        <v>1.8243278391366108E-3</v>
      </c>
      <c r="Z663">
        <f>LN(C663/C662)</f>
        <v>2.9928392751495716E-4</v>
      </c>
    </row>
    <row r="664" spans="1:26" x14ac:dyDescent="0.3">
      <c r="A664" s="11">
        <v>41150</v>
      </c>
      <c r="B664" s="12">
        <v>20570.39</v>
      </c>
      <c r="C664" s="12">
        <v>29.01557</v>
      </c>
      <c r="D664" s="16">
        <f t="shared" si="135"/>
        <v>-1.5933725804244792E-2</v>
      </c>
      <c r="E664" s="15">
        <f t="shared" si="147"/>
        <v>2.9889440098740394E-4</v>
      </c>
      <c r="G664" s="25" t="str">
        <f>IF(VLOOKUP(A664,Aux!B:C,2,FALSE)=0,"",VLOOKUP(A664,Aux!B:C,2,FALSE))</f>
        <v/>
      </c>
      <c r="H664" s="25" t="str">
        <f t="shared" si="136"/>
        <v/>
      </c>
      <c r="L664" s="13">
        <f t="shared" si="139"/>
        <v>111809.38615367352</v>
      </c>
      <c r="M664" s="14">
        <f t="shared" si="140"/>
        <v>-898.17969379929559</v>
      </c>
      <c r="N664" s="14">
        <f t="shared" si="141"/>
        <v>16.83403449499335</v>
      </c>
      <c r="O664" s="1">
        <f t="shared" si="142"/>
        <v>2.6966694502635975</v>
      </c>
      <c r="P664" s="1">
        <f t="shared" si="143"/>
        <v>1941.6418102648238</v>
      </c>
      <c r="S664" s="6">
        <f t="shared" si="137"/>
        <v>0.49612598907185101</v>
      </c>
      <c r="T664" s="6">
        <f t="shared" si="138"/>
        <v>0.50387401092814887</v>
      </c>
      <c r="V664" s="1">
        <f t="shared" si="144"/>
        <v>112368.28282224739</v>
      </c>
      <c r="W664" s="7">
        <f t="shared" si="145"/>
        <v>-7.8516679198147258E-3</v>
      </c>
      <c r="X664" s="7">
        <f t="shared" si="146"/>
        <v>-6.6435377174540716E-3</v>
      </c>
      <c r="Y664">
        <f>LN(B664/B663)</f>
        <v>-1.6062032372961475E-2</v>
      </c>
      <c r="Z664">
        <f>LN(C664/C663)</f>
        <v>2.9884974095480062E-4</v>
      </c>
    </row>
    <row r="665" spans="1:26" x14ac:dyDescent="0.3">
      <c r="A665" s="9">
        <v>41151</v>
      </c>
      <c r="B665" s="1">
        <v>20502.5</v>
      </c>
      <c r="C665" s="1">
        <v>29.024239999999999</v>
      </c>
      <c r="D665" s="6">
        <f t="shared" si="135"/>
        <v>-3.3003749564300966E-3</v>
      </c>
      <c r="E665" s="5">
        <f t="shared" si="147"/>
        <v>2.9880508981894316E-4</v>
      </c>
      <c r="G665" s="25" t="str">
        <f>IF(VLOOKUP(A665,Aux!B:C,2,FALSE)=0,"",VLOOKUP(A665,Aux!B:C,2,FALSE))</f>
        <v/>
      </c>
      <c r="H665" s="25" t="str">
        <f t="shared" si="136"/>
        <v/>
      </c>
      <c r="L665" s="13">
        <f t="shared" si="139"/>
        <v>111643.14329919012</v>
      </c>
      <c r="M665" s="14">
        <f t="shared" si="140"/>
        <v>-183.07688897839407</v>
      </c>
      <c r="N665" s="14">
        <f t="shared" si="141"/>
        <v>16.83403449499335</v>
      </c>
      <c r="O665" s="1">
        <f t="shared" si="142"/>
        <v>2.6966694502635975</v>
      </c>
      <c r="P665" s="1">
        <f t="shared" si="143"/>
        <v>1941.6418102648238</v>
      </c>
      <c r="S665" s="6">
        <f t="shared" si="137"/>
        <v>0.49522490831221944</v>
      </c>
      <c r="T665" s="6">
        <f t="shared" si="138"/>
        <v>0.50477509168778045</v>
      </c>
      <c r="V665" s="1">
        <f t="shared" si="144"/>
        <v>112231.05415588376</v>
      </c>
      <c r="W665" s="7">
        <f t="shared" si="145"/>
        <v>-1.4879481164264629E-3</v>
      </c>
      <c r="X665" s="7">
        <f t="shared" si="146"/>
        <v>-1.2219865408899112E-3</v>
      </c>
      <c r="Y665">
        <f>LN(B665/B664)</f>
        <v>-3.3058332066803848E-3</v>
      </c>
      <c r="Z665">
        <f>LN(C665/C664)</f>
        <v>2.9876045646898573E-4</v>
      </c>
    </row>
    <row r="666" spans="1:26" x14ac:dyDescent="0.3">
      <c r="A666" s="11">
        <v>41152</v>
      </c>
      <c r="B666" s="12">
        <v>20397.09</v>
      </c>
      <c r="C666" s="12">
        <v>29.032450000000001</v>
      </c>
      <c r="D666" s="16">
        <f t="shared" si="135"/>
        <v>-5.1413242287525751E-3</v>
      </c>
      <c r="E666" s="15">
        <f t="shared" si="147"/>
        <v>2.8286701047131046E-4</v>
      </c>
      <c r="G666" s="25" t="str">
        <f>IF(VLOOKUP(A666,Aux!B:C,2,FALSE)=0,"",VLOOKUP(A666,Aux!B:C,2,FALSE))</f>
        <v/>
      </c>
      <c r="H666" s="25" t="str">
        <f t="shared" si="136"/>
        <v/>
      </c>
      <c r="L666" s="13">
        <f t="shared" si="139"/>
        <v>111374.82825170011</v>
      </c>
      <c r="M666" s="14">
        <f t="shared" si="140"/>
        <v>-284.2559267522854</v>
      </c>
      <c r="N666" s="14">
        <f t="shared" si="141"/>
        <v>15.94087926227775</v>
      </c>
      <c r="O666" s="1">
        <f t="shared" si="142"/>
        <v>2.6966694502635975</v>
      </c>
      <c r="P666" s="1">
        <f t="shared" si="143"/>
        <v>1941.6418102648238</v>
      </c>
      <c r="S666" s="6">
        <f t="shared" si="137"/>
        <v>0.49386571760156678</v>
      </c>
      <c r="T666" s="6">
        <f t="shared" si="138"/>
        <v>0.50613428239843328</v>
      </c>
      <c r="V666" s="1">
        <f t="shared" si="144"/>
        <v>112006.2364561312</v>
      </c>
      <c r="W666" s="7">
        <f t="shared" si="145"/>
        <v>-2.406220225964685E-3</v>
      </c>
      <c r="X666" s="7">
        <f t="shared" si="146"/>
        <v>-2.0051774124337962E-3</v>
      </c>
      <c r="Y666">
        <f>LN(B666/B665)</f>
        <v>-5.1545863121413632E-3</v>
      </c>
      <c r="Z666">
        <f>LN(C666/C665)</f>
        <v>2.8282701114132011E-4</v>
      </c>
    </row>
    <row r="667" spans="1:26" x14ac:dyDescent="0.3">
      <c r="A667" s="9">
        <v>41155</v>
      </c>
      <c r="B667" s="1">
        <v>20513.63</v>
      </c>
      <c r="C667" s="1">
        <v>29.040649999999999</v>
      </c>
      <c r="D667" s="6">
        <f t="shared" ref="D667:D730" si="148">B667/B666-1</f>
        <v>5.71356012058577E-3</v>
      </c>
      <c r="E667" s="5">
        <f t="shared" si="147"/>
        <v>2.8244257718523791E-4</v>
      </c>
      <c r="G667" s="25" t="str">
        <f>IF(VLOOKUP(A667,Aux!B:C,2,FALSE)=0,"",VLOOKUP(A667,Aux!B:C,2,FALSE))</f>
        <v/>
      </c>
      <c r="H667" s="25" t="str">
        <f t="shared" si="136"/>
        <v/>
      </c>
      <c r="L667" s="13">
        <f t="shared" si="139"/>
        <v>111705.019572278</v>
      </c>
      <c r="M667" s="14">
        <f t="shared" si="140"/>
        <v>314.26985773372201</v>
      </c>
      <c r="N667" s="14">
        <f t="shared" si="141"/>
        <v>15.921462844168939</v>
      </c>
      <c r="O667" s="1">
        <f t="shared" si="142"/>
        <v>2.6966694502635975</v>
      </c>
      <c r="P667" s="1">
        <f t="shared" si="143"/>
        <v>1941.6418102648238</v>
      </c>
      <c r="S667" s="6">
        <f t="shared" si="137"/>
        <v>0.49521927973180635</v>
      </c>
      <c r="T667" s="6">
        <f t="shared" si="138"/>
        <v>0.50478072026819354</v>
      </c>
      <c r="V667" s="1">
        <f t="shared" si="144"/>
        <v>112293.44279890659</v>
      </c>
      <c r="W667" s="7">
        <f t="shared" si="145"/>
        <v>2.9602993271795101E-3</v>
      </c>
      <c r="X667" s="7">
        <f t="shared" si="146"/>
        <v>2.5609176142799396E-3</v>
      </c>
      <c r="Y667">
        <f>LN(B667/B666)</f>
        <v>5.6972996433689999E-3</v>
      </c>
      <c r="Z667">
        <f>LN(C667/C666)</f>
        <v>2.8240269778945058E-4</v>
      </c>
    </row>
    <row r="668" spans="1:26" x14ac:dyDescent="0.3">
      <c r="A668" s="11">
        <v>41156</v>
      </c>
      <c r="B668" s="12">
        <v>20216.16</v>
      </c>
      <c r="C668" s="12">
        <v>29.04889</v>
      </c>
      <c r="D668" s="16">
        <f t="shared" si="148"/>
        <v>-1.450109025072599E-2</v>
      </c>
      <c r="E668" s="15">
        <f t="shared" si="147"/>
        <v>2.8374020553956214E-4</v>
      </c>
      <c r="G668" s="25" t="str">
        <f>IF(VLOOKUP(A668,Aux!B:C,2,FALSE)=0,"",VLOOKUP(A668,Aux!B:C,2,FALSE))</f>
        <v/>
      </c>
      <c r="H668" s="25" t="str">
        <f t="shared" si="136"/>
        <v/>
      </c>
      <c r="L668" s="13">
        <f t="shared" si="139"/>
        <v>110918.84043942468</v>
      </c>
      <c r="M668" s="14">
        <f t="shared" si="140"/>
        <v>-802.1782613699155</v>
      </c>
      <c r="N668" s="14">
        <f t="shared" si="141"/>
        <v>15.99912851658349</v>
      </c>
      <c r="O668" s="1">
        <f t="shared" si="142"/>
        <v>2.6966694502635975</v>
      </c>
      <c r="P668" s="1">
        <f t="shared" si="143"/>
        <v>1941.6418102648238</v>
      </c>
      <c r="S668" s="6">
        <f t="shared" si="137"/>
        <v>0.49149721415825232</v>
      </c>
      <c r="T668" s="6">
        <f t="shared" si="138"/>
        <v>0.50850278584174757</v>
      </c>
      <c r="V668" s="1">
        <f t="shared" si="144"/>
        <v>111625.60307483312</v>
      </c>
      <c r="W668" s="7">
        <f t="shared" si="145"/>
        <v>-7.0628763778556886E-3</v>
      </c>
      <c r="X668" s="7">
        <f t="shared" si="146"/>
        <v>-5.965028135038606E-3</v>
      </c>
      <c r="Y668">
        <f>LN(B668/B667)</f>
        <v>-1.4607258681933501E-2</v>
      </c>
      <c r="Z668">
        <f>LN(C668/C667)</f>
        <v>2.8369995890032215E-4</v>
      </c>
    </row>
    <row r="669" spans="1:26" x14ac:dyDescent="0.3">
      <c r="A669" s="9">
        <v>41157</v>
      </c>
      <c r="B669" s="1">
        <v>20413.86</v>
      </c>
      <c r="C669" s="1">
        <v>29.057110000000002</v>
      </c>
      <c r="D669" s="6">
        <f t="shared" si="148"/>
        <v>9.7793052686563353E-3</v>
      </c>
      <c r="E669" s="5">
        <f t="shared" si="147"/>
        <v>2.8297122540665853E-4</v>
      </c>
      <c r="G669" s="25" t="str">
        <f>IF(VLOOKUP(A669,Aux!B:C,2,FALSE)=0,"",VLOOKUP(A669,Aux!B:C,2,FALSE))</f>
        <v/>
      </c>
      <c r="H669" s="25" t="str">
        <f t="shared" si="136"/>
        <v/>
      </c>
      <c r="L669" s="13">
        <f t="shared" si="139"/>
        <v>111467.93228542218</v>
      </c>
      <c r="M669" s="14">
        <f t="shared" si="140"/>
        <v>533.13155031711517</v>
      </c>
      <c r="N669" s="14">
        <f t="shared" si="141"/>
        <v>15.960295680379664</v>
      </c>
      <c r="O669" s="1">
        <f t="shared" si="142"/>
        <v>2.6966694502635975</v>
      </c>
      <c r="P669" s="1">
        <f t="shared" si="143"/>
        <v>1941.6418102648238</v>
      </c>
      <c r="S669" s="6">
        <f t="shared" si="137"/>
        <v>0.49385891973845669</v>
      </c>
      <c r="T669" s="6">
        <f t="shared" si="138"/>
        <v>0.50614108026154314</v>
      </c>
      <c r="V669" s="1">
        <f t="shared" si="144"/>
        <v>112100.09311924974</v>
      </c>
      <c r="W669" s="7">
        <f t="shared" si="145"/>
        <v>4.9381800463941623E-3</v>
      </c>
      <c r="X669" s="7">
        <f t="shared" si="146"/>
        <v>4.241718889819464E-3</v>
      </c>
      <c r="Y669">
        <f>LN(B669/B668)</f>
        <v>9.7317973414658056E-3</v>
      </c>
      <c r="Z669">
        <f>LN(C669/C668)</f>
        <v>2.8293119660060997E-4</v>
      </c>
    </row>
    <row r="670" spans="1:26" x14ac:dyDescent="0.3">
      <c r="A670" s="11">
        <v>41158</v>
      </c>
      <c r="B670" s="12">
        <v>20870.830000000002</v>
      </c>
      <c r="C670" s="12">
        <v>29.065329999999999</v>
      </c>
      <c r="D670" s="16">
        <f t="shared" si="148"/>
        <v>2.2385281372557797E-2</v>
      </c>
      <c r="E670" s="15">
        <f t="shared" si="147"/>
        <v>2.8289117534385788E-4</v>
      </c>
      <c r="G670" s="25" t="str">
        <f>IF(VLOOKUP(A670,Aux!B:C,2,FALSE)=0,"",VLOOKUP(A670,Aux!B:C,2,FALSE))</f>
        <v/>
      </c>
      <c r="H670" s="25" t="str">
        <f t="shared" si="136"/>
        <v/>
      </c>
      <c r="L670" s="13">
        <f t="shared" si="139"/>
        <v>112716.18961978951</v>
      </c>
      <c r="M670" s="14">
        <f t="shared" si="140"/>
        <v>1232.2970386869592</v>
      </c>
      <c r="N670" s="14">
        <f t="shared" si="141"/>
        <v>15.960295680372766</v>
      </c>
      <c r="O670" s="1">
        <f t="shared" si="142"/>
        <v>2.6966694502635975</v>
      </c>
      <c r="P670" s="1">
        <f t="shared" si="143"/>
        <v>1941.6418102648238</v>
      </c>
      <c r="S670" s="6">
        <f t="shared" si="137"/>
        <v>0.49932250063183165</v>
      </c>
      <c r="T670" s="6">
        <f t="shared" si="138"/>
        <v>0.50067749936816819</v>
      </c>
      <c r="V670" s="1">
        <f t="shared" si="144"/>
        <v>113172.72812297946</v>
      </c>
      <c r="W670" s="7">
        <f t="shared" si="145"/>
        <v>1.113611636500258E-2</v>
      </c>
      <c r="X670" s="7">
        <f t="shared" si="146"/>
        <v>9.5230583442783671E-3</v>
      </c>
      <c r="Y670">
        <f>LN(B670/B669)</f>
        <v>2.2138408383906162E-2</v>
      </c>
      <c r="Z670">
        <f>LN(C670/C669)</f>
        <v>2.8285116918006344E-4</v>
      </c>
    </row>
    <row r="671" spans="1:26" x14ac:dyDescent="0.3">
      <c r="A671" s="9">
        <v>41162</v>
      </c>
      <c r="B671" s="1">
        <v>20875.919999999998</v>
      </c>
      <c r="C671" s="1">
        <v>29.073550000000001</v>
      </c>
      <c r="D671" s="6">
        <f t="shared" si="148"/>
        <v>2.4388105312511676E-4</v>
      </c>
      <c r="E671" s="5">
        <f t="shared" si="147"/>
        <v>2.8281117055950489E-4</v>
      </c>
      <c r="G671" s="25" t="str">
        <f>IF(VLOOKUP(A671,Aux!B:C,2,FALSE)=0,"",VLOOKUP(A671,Aux!B:C,2,FALSE))</f>
        <v/>
      </c>
      <c r="H671" s="25" t="str">
        <f t="shared" si="136"/>
        <v/>
      </c>
      <c r="L671" s="13">
        <f t="shared" si="139"/>
        <v>112745.87596297172</v>
      </c>
      <c r="M671" s="14">
        <f t="shared" si="140"/>
        <v>13.726047501832292</v>
      </c>
      <c r="N671" s="14">
        <f t="shared" si="141"/>
        <v>15.960295680379664</v>
      </c>
      <c r="O671" s="1">
        <f t="shared" si="142"/>
        <v>2.6966694502635975</v>
      </c>
      <c r="P671" s="1">
        <f t="shared" si="143"/>
        <v>1941.6418102648238</v>
      </c>
      <c r="S671" s="6">
        <f t="shared" si="137"/>
        <v>0.499312770682943</v>
      </c>
      <c r="T671" s="6">
        <f t="shared" si="138"/>
        <v>0.50068722931705689</v>
      </c>
      <c r="V671" s="1">
        <f t="shared" si="144"/>
        <v>113202.8601598622</v>
      </c>
      <c r="W671" s="7">
        <f t="shared" si="145"/>
        <v>2.6333781052724687E-4</v>
      </c>
      <c r="X671" s="7">
        <f t="shared" si="146"/>
        <v>2.662127775283659E-4</v>
      </c>
      <c r="Y671">
        <f>LN(B671/B670)</f>
        <v>2.4385131897537899E-4</v>
      </c>
      <c r="Z671">
        <f>LN(C671/C670)</f>
        <v>2.8277118701875863E-4</v>
      </c>
    </row>
    <row r="672" spans="1:26" x14ac:dyDescent="0.3">
      <c r="A672" s="11">
        <v>41163</v>
      </c>
      <c r="B672" s="12">
        <v>21098.18</v>
      </c>
      <c r="C672" s="12">
        <v>29.081769999999999</v>
      </c>
      <c r="D672" s="16">
        <f t="shared" si="148"/>
        <v>1.0646716408187151E-2</v>
      </c>
      <c r="E672" s="15">
        <f t="shared" si="147"/>
        <v>2.8273121101474175E-4</v>
      </c>
      <c r="G672" s="25" t="str">
        <f>IF(VLOOKUP(A672,Aux!B:C,2,FALSE)=0,"",VLOOKUP(A672,Aux!B:C,2,FALSE))</f>
        <v/>
      </c>
      <c r="H672" s="25" t="str">
        <f t="shared" si="136"/>
        <v/>
      </c>
      <c r="L672" s="13">
        <f t="shared" si="139"/>
        <v>113361.19801066769</v>
      </c>
      <c r="M672" s="14">
        <f t="shared" si="140"/>
        <v>599.36175201559263</v>
      </c>
      <c r="N672" s="14">
        <f t="shared" si="141"/>
        <v>15.960295680372766</v>
      </c>
      <c r="O672" s="1">
        <f t="shared" si="142"/>
        <v>2.6966694502635975</v>
      </c>
      <c r="P672" s="1">
        <f t="shared" si="143"/>
        <v>1941.6418102648238</v>
      </c>
      <c r="S672" s="6">
        <f t="shared" si="137"/>
        <v>0.50188969824408902</v>
      </c>
      <c r="T672" s="6">
        <f t="shared" si="138"/>
        <v>0.49811030175591081</v>
      </c>
      <c r="V672" s="1">
        <f t="shared" si="144"/>
        <v>113734.01098339219</v>
      </c>
      <c r="W672" s="7">
        <f t="shared" si="145"/>
        <v>5.4427626335548799E-3</v>
      </c>
      <c r="X672" s="7">
        <f t="shared" si="146"/>
        <v>4.6810532880507925E-3</v>
      </c>
      <c r="Y672">
        <f>LN(B672/B671)</f>
        <v>1.0590439215523268E-2</v>
      </c>
      <c r="Z672">
        <f>LN(C672/C671)</f>
        <v>2.8269125007785942E-4</v>
      </c>
    </row>
    <row r="673" spans="1:26" x14ac:dyDescent="0.3">
      <c r="A673" s="9">
        <v>41164</v>
      </c>
      <c r="B673" s="1">
        <v>21155.29</v>
      </c>
      <c r="C673" s="1">
        <v>29.089980000000001</v>
      </c>
      <c r="D673" s="6">
        <f t="shared" si="148"/>
        <v>2.7068685545388327E-3</v>
      </c>
      <c r="E673" s="5">
        <f t="shared" si="147"/>
        <v>2.8230743864643415E-4</v>
      </c>
      <c r="G673" s="25" t="str">
        <f>IF(VLOOKUP(A673,Aux!B:C,2,FALSE)=0,"",VLOOKUP(A673,Aux!B:C,2,FALSE))</f>
        <v/>
      </c>
      <c r="H673" s="25" t="str">
        <f t="shared" si="136"/>
        <v/>
      </c>
      <c r="L673" s="13">
        <f t="shared" si="139"/>
        <v>113531.14568223452</v>
      </c>
      <c r="M673" s="14">
        <f t="shared" si="140"/>
        <v>154.00679230455563</v>
      </c>
      <c r="N673" s="14">
        <f t="shared" si="141"/>
        <v>15.94087926227775</v>
      </c>
      <c r="O673" s="1">
        <f t="shared" si="142"/>
        <v>2.6966694502635975</v>
      </c>
      <c r="P673" s="1">
        <f t="shared" si="143"/>
        <v>1941.6418102648238</v>
      </c>
      <c r="S673" s="6">
        <f t="shared" si="137"/>
        <v>0.50249492253114858</v>
      </c>
      <c r="T673" s="6">
        <f t="shared" si="138"/>
        <v>0.49750507746885125</v>
      </c>
      <c r="V673" s="1">
        <f t="shared" si="144"/>
        <v>113884.13260861966</v>
      </c>
      <c r="W673" s="7">
        <f t="shared" si="145"/>
        <v>1.4980470524746205E-3</v>
      </c>
      <c r="X673" s="7">
        <f t="shared" si="146"/>
        <v>1.3190657354923295E-3</v>
      </c>
      <c r="Y673">
        <f>LN(B673/B672)</f>
        <v>2.7032115836595695E-3</v>
      </c>
      <c r="Z673">
        <f>LN(C673/C672)</f>
        <v>2.8226759739962044E-4</v>
      </c>
    </row>
    <row r="674" spans="1:26" x14ac:dyDescent="0.3">
      <c r="A674" s="11">
        <v>41165</v>
      </c>
      <c r="B674" s="12">
        <v>21705.16</v>
      </c>
      <c r="C674" s="12">
        <v>29.098179999999999</v>
      </c>
      <c r="D674" s="16">
        <f t="shared" si="148"/>
        <v>2.5992080467816647E-2</v>
      </c>
      <c r="E674" s="15">
        <f t="shared" si="147"/>
        <v>2.8188400267037395E-4</v>
      </c>
      <c r="G674" s="25" t="str">
        <f>IF(VLOOKUP(A674,Aux!B:C,2,FALSE)=0,"",VLOOKUP(A674,Aux!B:C,2,FALSE))</f>
        <v/>
      </c>
      <c r="H674" s="25" t="str">
        <f t="shared" si="136"/>
        <v/>
      </c>
      <c r="L674" s="13">
        <f t="shared" si="139"/>
        <v>115029.88477569513</v>
      </c>
      <c r="M674" s="14">
        <f t="shared" si="140"/>
        <v>1482.8176306164416</v>
      </c>
      <c r="N674" s="14">
        <f t="shared" si="141"/>
        <v>15.921462844168939</v>
      </c>
      <c r="O674" s="1">
        <f t="shared" si="142"/>
        <v>2.6966694502635975</v>
      </c>
      <c r="P674" s="1">
        <f t="shared" si="143"/>
        <v>1941.6418102648238</v>
      </c>
      <c r="S674" s="6">
        <f t="shared" si="137"/>
        <v>0.50883856833568419</v>
      </c>
      <c r="T674" s="6">
        <f t="shared" si="138"/>
        <v>0.4911614316643157</v>
      </c>
      <c r="V674" s="1">
        <f t="shared" si="144"/>
        <v>115171.04641935957</v>
      </c>
      <c r="W674" s="7">
        <f t="shared" si="145"/>
        <v>1.3114751643466127E-2</v>
      </c>
      <c r="X674" s="7">
        <f t="shared" si="146"/>
        <v>1.1236832603723466E-2</v>
      </c>
      <c r="Y674">
        <f>LN(B674/B673)</f>
        <v>2.5660027876503406E-2</v>
      </c>
      <c r="Z674">
        <f>LN(C674/C673)</f>
        <v>2.8184428083935037E-4</v>
      </c>
    </row>
    <row r="675" spans="1:26" x14ac:dyDescent="0.3">
      <c r="A675" s="9">
        <v>41166</v>
      </c>
      <c r="B675" s="1">
        <v>21868.79</v>
      </c>
      <c r="C675" s="1">
        <v>29.106380000000001</v>
      </c>
      <c r="D675" s="6">
        <f t="shared" si="148"/>
        <v>7.5387603685022064E-3</v>
      </c>
      <c r="E675" s="5">
        <f t="shared" si="147"/>
        <v>2.8180456647119989E-4</v>
      </c>
      <c r="G675" s="25" t="str">
        <f>IF(VLOOKUP(A675,Aux!B:C,2,FALSE)=0,"",VLOOKUP(A675,Aux!B:C,2,FALSE))</f>
        <v/>
      </c>
      <c r="H675" s="25" t="str">
        <f t="shared" si="136"/>
        <v/>
      </c>
      <c r="L675" s="13">
        <f t="shared" si="139"/>
        <v>115487.06226068594</v>
      </c>
      <c r="M675" s="14">
        <f t="shared" si="140"/>
        <v>441.25602214663519</v>
      </c>
      <c r="N675" s="14">
        <f t="shared" si="141"/>
        <v>15.921462844175837</v>
      </c>
      <c r="O675" s="1">
        <f t="shared" si="142"/>
        <v>2.6966694502635975</v>
      </c>
      <c r="P675" s="1">
        <f t="shared" si="143"/>
        <v>1941.6418102648238</v>
      </c>
      <c r="S675" s="6">
        <f t="shared" si="137"/>
        <v>0.51064506060524828</v>
      </c>
      <c r="T675" s="6">
        <f t="shared" si="138"/>
        <v>0.48935493939475155</v>
      </c>
      <c r="V675" s="1">
        <f t="shared" si="144"/>
        <v>115566.89103935196</v>
      </c>
      <c r="W675" s="7">
        <f t="shared" si="145"/>
        <v>3.9665464104465071E-3</v>
      </c>
      <c r="X675" s="7">
        <f t="shared" si="146"/>
        <v>3.4311220139640356E-3</v>
      </c>
      <c r="Y675">
        <f>LN(B675/B674)</f>
        <v>7.510485928457997E-3</v>
      </c>
      <c r="Z675">
        <f>LN(C675/C674)</f>
        <v>2.8176486702250674E-4</v>
      </c>
    </row>
    <row r="676" spans="1:26" x14ac:dyDescent="0.3">
      <c r="A676" s="11">
        <v>41169</v>
      </c>
      <c r="B676" s="12">
        <v>21873.26</v>
      </c>
      <c r="C676" s="12">
        <v>29.114570000000001</v>
      </c>
      <c r="D676" s="16">
        <f t="shared" si="148"/>
        <v>2.0440088363349318E-4</v>
      </c>
      <c r="E676" s="15">
        <f t="shared" si="147"/>
        <v>2.8138160774360266E-4</v>
      </c>
      <c r="G676" s="25" t="str">
        <f>IF(VLOOKUP(A676,Aux!B:C,2,FALSE)=0,"",VLOOKUP(A676,Aux!B:C,2,FALSE))</f>
        <v/>
      </c>
      <c r="H676" s="25" t="str">
        <f t="shared" si="136"/>
        <v/>
      </c>
      <c r="L676" s="13">
        <f t="shared" si="139"/>
        <v>115515.01841955468</v>
      </c>
      <c r="M676" s="14">
        <f t="shared" si="140"/>
        <v>12.05411244267161</v>
      </c>
      <c r="N676" s="14">
        <f t="shared" si="141"/>
        <v>15.902046426067026</v>
      </c>
      <c r="O676" s="1">
        <f t="shared" si="142"/>
        <v>2.6966694502635975</v>
      </c>
      <c r="P676" s="1">
        <f t="shared" si="143"/>
        <v>1941.6418102648238</v>
      </c>
      <c r="S676" s="6">
        <f t="shared" si="137"/>
        <v>0.51062582880294649</v>
      </c>
      <c r="T676" s="6">
        <f t="shared" si="138"/>
        <v>0.4893741711970534</v>
      </c>
      <c r="V676" s="1">
        <f t="shared" si="144"/>
        <v>115595.52560057314</v>
      </c>
      <c r="W676" s="7">
        <f t="shared" si="145"/>
        <v>2.4204248656892657E-4</v>
      </c>
      <c r="X676" s="7">
        <f t="shared" si="146"/>
        <v>2.4774409078991957E-4</v>
      </c>
      <c r="Y676">
        <f>LN(B676/B675)</f>
        <v>2.0437999661904576E-4</v>
      </c>
      <c r="Z676">
        <f>LN(C676/C675)</f>
        <v>2.8134202736363438E-4</v>
      </c>
    </row>
    <row r="677" spans="1:26" x14ac:dyDescent="0.3">
      <c r="A677" s="9">
        <v>41170</v>
      </c>
      <c r="B677" s="1">
        <v>21800.04</v>
      </c>
      <c r="C677" s="1">
        <v>29.12276</v>
      </c>
      <c r="D677" s="6">
        <f t="shared" si="148"/>
        <v>-3.3474662670309741E-3</v>
      </c>
      <c r="E677" s="5">
        <f t="shared" si="147"/>
        <v>2.8130245440682877E-4</v>
      </c>
      <c r="G677" s="25" t="str">
        <f>IF(VLOOKUP(A677,Aux!B:C,2,FALSE)=0,"",VLOOKUP(A677,Aux!B:C,2,FALSE))</f>
        <v/>
      </c>
      <c r="H677" s="25" t="str">
        <f t="shared" si="136"/>
        <v/>
      </c>
      <c r="L677" s="13">
        <f t="shared" si="139"/>
        <v>115333.47032883245</v>
      </c>
      <c r="M677" s="14">
        <f t="shared" si="140"/>
        <v>-197.45013714829395</v>
      </c>
      <c r="N677" s="14">
        <f t="shared" si="141"/>
        <v>15.902046426067026</v>
      </c>
      <c r="O677" s="1">
        <f t="shared" si="142"/>
        <v>2.6966694502635975</v>
      </c>
      <c r="P677" s="1">
        <f t="shared" si="143"/>
        <v>1941.6418102648238</v>
      </c>
      <c r="S677" s="6">
        <f t="shared" si="137"/>
        <v>0.50971761896102441</v>
      </c>
      <c r="T677" s="6">
        <f t="shared" si="138"/>
        <v>0.49028238103897542</v>
      </c>
      <c r="V677" s="1">
        <f t="shared" si="144"/>
        <v>115444.92661418358</v>
      </c>
      <c r="W677" s="7">
        <f t="shared" si="145"/>
        <v>-1.5728769041098596E-3</v>
      </c>
      <c r="X677" s="7">
        <f t="shared" si="146"/>
        <v>-1.3036592187630437E-3</v>
      </c>
      <c r="Y677">
        <f>LN(B677/B676)</f>
        <v>-3.3530815670890558E-3</v>
      </c>
      <c r="Z677">
        <f>LN(C677/C676)</f>
        <v>2.8126289628975753E-4</v>
      </c>
    </row>
    <row r="678" spans="1:26" x14ac:dyDescent="0.3">
      <c r="A678" s="11">
        <v>41171</v>
      </c>
      <c r="B678" s="12">
        <v>21687.7</v>
      </c>
      <c r="C678" s="12">
        <v>29.130929999999999</v>
      </c>
      <c r="D678" s="16">
        <f t="shared" si="148"/>
        <v>-5.1532015537586462E-3</v>
      </c>
      <c r="E678" s="15">
        <f t="shared" si="147"/>
        <v>2.8053659749271986E-4</v>
      </c>
      <c r="G678" s="25" t="str">
        <f>IF(VLOOKUP(A678,Aux!B:C,2,FALSE)=0,"",VLOOKUP(A678,Aux!B:C,2,FALSE))</f>
        <v/>
      </c>
      <c r="H678" s="25" t="str">
        <f t="shared" si="136"/>
        <v/>
      </c>
      <c r="L678" s="13">
        <f t="shared" si="139"/>
        <v>115046.3896963797</v>
      </c>
      <c r="M678" s="14">
        <f t="shared" si="140"/>
        <v>-302.94384604261296</v>
      </c>
      <c r="N678" s="14">
        <f t="shared" si="141"/>
        <v>15.8632135898632</v>
      </c>
      <c r="O678" s="1">
        <f t="shared" si="142"/>
        <v>2.6966694502635975</v>
      </c>
      <c r="P678" s="1">
        <f t="shared" si="143"/>
        <v>1941.6418102648238</v>
      </c>
      <c r="S678" s="6">
        <f t="shared" si="137"/>
        <v>0.50835630905784279</v>
      </c>
      <c r="T678" s="6">
        <f t="shared" si="138"/>
        <v>0.49164369094215704</v>
      </c>
      <c r="V678" s="1">
        <f t="shared" si="144"/>
        <v>115204.03167671988</v>
      </c>
      <c r="W678" s="7">
        <f t="shared" si="145"/>
        <v>-2.492238523068064E-3</v>
      </c>
      <c r="X678" s="7">
        <f t="shared" si="146"/>
        <v>-2.0888455498748485E-3</v>
      </c>
      <c r="Y678">
        <f>LN(B678/B677)</f>
        <v>-5.1665250891715494E-3</v>
      </c>
      <c r="Z678">
        <f>LN(C678/C677)</f>
        <v>2.8049725445938861E-4</v>
      </c>
    </row>
    <row r="679" spans="1:26" x14ac:dyDescent="0.3">
      <c r="A679" s="9">
        <v>41172</v>
      </c>
      <c r="B679" s="1">
        <v>21691.759999999998</v>
      </c>
      <c r="C679" s="1">
        <v>29.139109999999999</v>
      </c>
      <c r="D679" s="6">
        <f t="shared" si="148"/>
        <v>1.8720288458418111E-4</v>
      </c>
      <c r="E679" s="5">
        <f t="shared" si="147"/>
        <v>2.8080119652895696E-4</v>
      </c>
      <c r="G679" s="25" t="str">
        <f>IF(VLOOKUP(A679,Aux!B:C,2,FALSE)=0,"",VLOOKUP(A679,Aux!B:C,2,FALSE))</f>
        <v/>
      </c>
      <c r="H679" s="25" t="str">
        <f t="shared" si="136"/>
        <v/>
      </c>
      <c r="L679" s="13">
        <f t="shared" si="139"/>
        <v>115073.22080435573</v>
      </c>
      <c r="M679" s="14">
        <f t="shared" si="140"/>
        <v>10.948477968063926</v>
      </c>
      <c r="N679" s="14">
        <f t="shared" si="141"/>
        <v>15.882630007965114</v>
      </c>
      <c r="O679" s="1">
        <f t="shared" si="142"/>
        <v>2.6966694502635975</v>
      </c>
      <c r="P679" s="1">
        <f t="shared" si="143"/>
        <v>1941.6418102648238</v>
      </c>
      <c r="S679" s="6">
        <f t="shared" si="137"/>
        <v>0.50833292147008124</v>
      </c>
      <c r="T679" s="6">
        <f t="shared" si="138"/>
        <v>0.49166707852991853</v>
      </c>
      <c r="V679" s="1">
        <f t="shared" si="144"/>
        <v>115231.69798227456</v>
      </c>
      <c r="W679" s="7">
        <f t="shared" si="145"/>
        <v>2.3319271260042082E-4</v>
      </c>
      <c r="X679" s="7">
        <f t="shared" si="146"/>
        <v>2.4012166627596226E-4</v>
      </c>
      <c r="Y679">
        <f>LN(B679/B678)</f>
        <v>1.8718536431071249E-4</v>
      </c>
      <c r="Z679">
        <f>LN(C679/C678)</f>
        <v>2.80761779251744E-4</v>
      </c>
    </row>
    <row r="680" spans="1:26" x14ac:dyDescent="0.3">
      <c r="A680" s="11">
        <v>41173</v>
      </c>
      <c r="B680" s="12">
        <v>21636.67</v>
      </c>
      <c r="C680" s="12">
        <v>29.147310000000001</v>
      </c>
      <c r="D680" s="16">
        <f t="shared" si="148"/>
        <v>-2.5396740513448091E-3</v>
      </c>
      <c r="E680" s="15">
        <f t="shared" si="147"/>
        <v>2.8140873211301987E-4</v>
      </c>
      <c r="G680" s="25" t="str">
        <f>IF(VLOOKUP(A680,Aux!B:C,2,FALSE)=0,"",VLOOKUP(A680,Aux!B:C,2,FALSE))</f>
        <v/>
      </c>
      <c r="H680" s="25" t="str">
        <f t="shared" si="136"/>
        <v/>
      </c>
      <c r="L680" s="13">
        <f t="shared" si="139"/>
        <v>114940.58274718488</v>
      </c>
      <c r="M680" s="14">
        <f t="shared" si="140"/>
        <v>-148.55952001502197</v>
      </c>
      <c r="N680" s="14">
        <f t="shared" si="141"/>
        <v>15.921462844175837</v>
      </c>
      <c r="O680" s="1">
        <f t="shared" si="142"/>
        <v>2.6966694502635975</v>
      </c>
      <c r="P680" s="1">
        <f t="shared" si="143"/>
        <v>1941.6418102648238</v>
      </c>
      <c r="S680" s="6">
        <f t="shared" si="137"/>
        <v>0.50762703302775714</v>
      </c>
      <c r="T680" s="6">
        <f t="shared" si="138"/>
        <v>0.49237296697224281</v>
      </c>
      <c r="V680" s="1">
        <f t="shared" si="144"/>
        <v>115122.94791140044</v>
      </c>
      <c r="W680" s="7">
        <f t="shared" si="145"/>
        <v>-1.1533053218964885E-3</v>
      </c>
      <c r="X680" s="7">
        <f t="shared" si="146"/>
        <v>-9.441969666512842E-4</v>
      </c>
      <c r="Y680">
        <f>LN(B680/B679)</f>
        <v>-2.5429044941620133E-3</v>
      </c>
      <c r="Z680">
        <f>LN(C680/C679)</f>
        <v>2.8136914410253222E-4</v>
      </c>
    </row>
    <row r="681" spans="1:26" x14ac:dyDescent="0.3">
      <c r="A681" s="9">
        <v>41176</v>
      </c>
      <c r="B681" s="1">
        <v>21765.57</v>
      </c>
      <c r="C681" s="1">
        <v>29.155519999999999</v>
      </c>
      <c r="D681" s="6">
        <f t="shared" si="148"/>
        <v>5.9574786693146198E-3</v>
      </c>
      <c r="E681" s="5">
        <f t="shared" si="147"/>
        <v>2.8167264835077255E-4</v>
      </c>
      <c r="G681" s="25" t="str">
        <f>IF(VLOOKUP(A681,Aux!B:C,2,FALSE)=0,"",VLOOKUP(A681,Aux!B:C,2,FALSE))</f>
        <v/>
      </c>
      <c r="H681" s="25" t="str">
        <f t="shared" si="136"/>
        <v/>
      </c>
      <c r="L681" s="13">
        <f t="shared" si="139"/>
        <v>115304.12431858612</v>
      </c>
      <c r="M681" s="14">
        <f t="shared" si="140"/>
        <v>347.60069213898163</v>
      </c>
      <c r="N681" s="14">
        <f t="shared" si="141"/>
        <v>15.940879262270853</v>
      </c>
      <c r="O681" s="1">
        <f t="shared" si="142"/>
        <v>2.6966694502635975</v>
      </c>
      <c r="P681" s="1">
        <f t="shared" si="143"/>
        <v>1941.6418102648238</v>
      </c>
      <c r="S681" s="6">
        <f t="shared" si="137"/>
        <v>0.50904118160075862</v>
      </c>
      <c r="T681" s="6">
        <f t="shared" si="138"/>
        <v>0.49095881839924133</v>
      </c>
      <c r="V681" s="1">
        <f t="shared" si="144"/>
        <v>115438.69157785553</v>
      </c>
      <c r="W681" s="7">
        <f t="shared" si="145"/>
        <v>3.1578738824641671E-3</v>
      </c>
      <c r="X681" s="7">
        <f t="shared" si="146"/>
        <v>2.7389106404450158E-3</v>
      </c>
      <c r="Y681">
        <f>LN(B681/B680)</f>
        <v>5.9398030599026874E-3</v>
      </c>
      <c r="Z681">
        <f>LN(C681/C680)</f>
        <v>2.8163298605803864E-4</v>
      </c>
    </row>
    <row r="682" spans="1:26" x14ac:dyDescent="0.3">
      <c r="A682" s="11">
        <v>41177</v>
      </c>
      <c r="B682" s="12">
        <v>21254.05</v>
      </c>
      <c r="C682" s="12">
        <v>29.163730000000001</v>
      </c>
      <c r="D682" s="16">
        <f t="shared" si="148"/>
        <v>-2.3501337203666206E-2</v>
      </c>
      <c r="E682" s="15">
        <f t="shared" si="147"/>
        <v>2.8159333121147156E-4</v>
      </c>
      <c r="G682" s="25" t="str">
        <f>IF(VLOOKUP(A682,Aux!B:C,2,FALSE)=0,"",VLOOKUP(A682,Aux!B:C,2,FALSE))</f>
        <v/>
      </c>
      <c r="H682" s="25" t="str">
        <f t="shared" si="136"/>
        <v/>
      </c>
      <c r="L682" s="13">
        <f t="shared" si="139"/>
        <v>113940.66484064955</v>
      </c>
      <c r="M682" s="14">
        <f t="shared" si="140"/>
        <v>-1379.4003571988367</v>
      </c>
      <c r="N682" s="14">
        <f t="shared" si="141"/>
        <v>15.94087926227775</v>
      </c>
      <c r="O682" s="1">
        <f t="shared" si="142"/>
        <v>2.6966694502635975</v>
      </c>
      <c r="P682" s="1">
        <f t="shared" si="143"/>
        <v>1941.6418102648238</v>
      </c>
      <c r="S682" s="6">
        <f t="shared" si="137"/>
        <v>0.50302626730792266</v>
      </c>
      <c r="T682" s="6">
        <f t="shared" si="138"/>
        <v>0.4969737326920774</v>
      </c>
      <c r="V682" s="1">
        <f t="shared" si="144"/>
        <v>114276.96390229918</v>
      </c>
      <c r="W682" s="7">
        <f t="shared" si="145"/>
        <v>-1.1895367919451581E-2</v>
      </c>
      <c r="X682" s="7">
        <f t="shared" si="146"/>
        <v>-1.0114570356804945E-2</v>
      </c>
      <c r="Y682">
        <f>LN(B682/B681)</f>
        <v>-2.3781898050535818E-2</v>
      </c>
      <c r="Z682">
        <f>LN(C682/C681)</f>
        <v>2.8155369125077128E-4</v>
      </c>
    </row>
    <row r="683" spans="1:26" x14ac:dyDescent="0.3">
      <c r="A683" s="9">
        <v>41178</v>
      </c>
      <c r="B683" s="1">
        <v>21265.75</v>
      </c>
      <c r="C683" s="1">
        <v>29.171970000000002</v>
      </c>
      <c r="D683" s="6">
        <f t="shared" si="148"/>
        <v>5.5048331964968611E-4</v>
      </c>
      <c r="E683" s="5">
        <f t="shared" si="147"/>
        <v>2.8254273373118366E-4</v>
      </c>
      <c r="G683" s="25" t="str">
        <f>IF(VLOOKUP(A683,Aux!B:C,2,FALSE)=0,"",VLOOKUP(A683,Aux!B:C,2,FALSE))</f>
        <v/>
      </c>
      <c r="H683" s="25" t="str">
        <f t="shared" si="136"/>
        <v/>
      </c>
      <c r="L683" s="13">
        <f t="shared" si="139"/>
        <v>113988.21500173422</v>
      </c>
      <c r="M683" s="14">
        <f t="shared" si="140"/>
        <v>31.551032568086054</v>
      </c>
      <c r="N683" s="14">
        <f t="shared" si="141"/>
        <v>15.99912851658349</v>
      </c>
      <c r="O683" s="1">
        <f t="shared" si="142"/>
        <v>2.6966694502635975</v>
      </c>
      <c r="P683" s="1">
        <f t="shared" si="143"/>
        <v>1941.6418102648238</v>
      </c>
      <c r="S683" s="6">
        <f t="shared" si="137"/>
        <v>0.50309322205870688</v>
      </c>
      <c r="T683" s="6">
        <f t="shared" si="138"/>
        <v>0.49690677794129323</v>
      </c>
      <c r="V683" s="1">
        <f t="shared" si="144"/>
        <v>114322.39018305019</v>
      </c>
      <c r="W683" s="7">
        <f t="shared" si="145"/>
        <v>4.1723683113237736E-4</v>
      </c>
      <c r="X683" s="7">
        <f t="shared" si="146"/>
        <v>3.9743140596964799E-4</v>
      </c>
      <c r="Y683">
        <f>LN(B683/B682)</f>
        <v>5.503318592887989E-4</v>
      </c>
      <c r="Z683">
        <f>LN(C683/C682)</f>
        <v>2.8250282604989815E-4</v>
      </c>
    </row>
    <row r="684" spans="1:26" x14ac:dyDescent="0.3">
      <c r="A684" s="11">
        <v>41179</v>
      </c>
      <c r="B684" s="12">
        <v>21223.83</v>
      </c>
      <c r="C684" s="12">
        <v>29.180199999999999</v>
      </c>
      <c r="D684" s="16">
        <f t="shared" si="148"/>
        <v>-1.9712448420581286E-3</v>
      </c>
      <c r="E684" s="15">
        <f t="shared" si="147"/>
        <v>2.8212013107098421E-4</v>
      </c>
      <c r="G684" s="25" t="str">
        <f>IF(VLOOKUP(A684,Aux!B:C,2,FALSE)=0,"",VLOOKUP(A684,Aux!B:C,2,FALSE))</f>
        <v/>
      </c>
      <c r="H684" s="25" t="str">
        <f t="shared" si="136"/>
        <v/>
      </c>
      <c r="L684" s="13">
        <f t="shared" si="139"/>
        <v>113891.15033047764</v>
      </c>
      <c r="M684" s="14">
        <f t="shared" si="140"/>
        <v>-113.0443833550453</v>
      </c>
      <c r="N684" s="14">
        <f t="shared" si="141"/>
        <v>15.979712098474678</v>
      </c>
      <c r="O684" s="1">
        <f t="shared" si="142"/>
        <v>2.6966694502635975</v>
      </c>
      <c r="P684" s="1">
        <f t="shared" si="143"/>
        <v>1941.6418102648238</v>
      </c>
      <c r="S684" s="6">
        <f t="shared" si="137"/>
        <v>0.50252942228183062</v>
      </c>
      <c r="T684" s="6">
        <f t="shared" si="138"/>
        <v>0.49747057771816955</v>
      </c>
      <c r="V684" s="1">
        <f t="shared" si="144"/>
        <v>114244.09087683895</v>
      </c>
      <c r="W684" s="7">
        <f t="shared" si="145"/>
        <v>-8.5189527349501242E-4</v>
      </c>
      <c r="X684" s="7">
        <f t="shared" si="146"/>
        <v>-6.8513378611784236E-4</v>
      </c>
      <c r="Y684">
        <f>LN(B684/B683)</f>
        <v>-1.9731903022444618E-3</v>
      </c>
      <c r="Z684">
        <f>LN(C684/C683)</f>
        <v>2.8208034267003648E-4</v>
      </c>
    </row>
    <row r="685" spans="1:26" x14ac:dyDescent="0.3">
      <c r="A685" s="9">
        <v>41180</v>
      </c>
      <c r="B685" s="1">
        <v>20965.759999999998</v>
      </c>
      <c r="C685" s="1">
        <v>29.18843</v>
      </c>
      <c r="D685" s="6">
        <f t="shared" si="148"/>
        <v>-1.2159445302756589E-2</v>
      </c>
      <c r="E685" s="5">
        <f t="shared" si="147"/>
        <v>2.8204056175074044E-4</v>
      </c>
      <c r="G685" s="25" t="str">
        <f>IF(VLOOKUP(A685,Aux!B:C,2,FALSE)=0,"",VLOOKUP(A685,Aux!B:C,2,FALSE))</f>
        <v/>
      </c>
      <c r="H685" s="25" t="str">
        <f t="shared" si="136"/>
        <v/>
      </c>
      <c r="L685" s="13">
        <f t="shared" si="139"/>
        <v>113211.20055754659</v>
      </c>
      <c r="M685" s="14">
        <f t="shared" si="140"/>
        <v>-695.92948502953561</v>
      </c>
      <c r="N685" s="14">
        <f t="shared" si="141"/>
        <v>15.979712098481578</v>
      </c>
      <c r="O685" s="1">
        <f t="shared" si="142"/>
        <v>2.6966694502635975</v>
      </c>
      <c r="P685" s="1">
        <f t="shared" si="143"/>
        <v>1941.6418102648238</v>
      </c>
      <c r="S685" s="6">
        <f t="shared" si="137"/>
        <v>0.49940044991237176</v>
      </c>
      <c r="T685" s="6">
        <f t="shared" si="138"/>
        <v>0.50059955008762846</v>
      </c>
      <c r="V685" s="1">
        <f t="shared" si="144"/>
        <v>113667.12595966025</v>
      </c>
      <c r="W685" s="7">
        <f t="shared" si="145"/>
        <v>-5.9880648704266452E-3</v>
      </c>
      <c r="X685" s="7">
        <f t="shared" si="146"/>
        <v>-5.0630781382020526E-3</v>
      </c>
      <c r="Y685">
        <f>LN(B685/B684)</f>
        <v>-1.223397614310805E-2</v>
      </c>
      <c r="Z685">
        <f>LN(C685/C684)</f>
        <v>2.8200079578840465E-4</v>
      </c>
    </row>
    <row r="686" spans="1:26" x14ac:dyDescent="0.3">
      <c r="A686" s="11">
        <v>41183</v>
      </c>
      <c r="B686" s="12">
        <v>21124.89</v>
      </c>
      <c r="C686" s="12">
        <v>29.196649999999998</v>
      </c>
      <c r="D686" s="16">
        <f t="shared" si="148"/>
        <v>7.589994352696916E-3</v>
      </c>
      <c r="E686" s="15">
        <f t="shared" si="147"/>
        <v>2.8161843579788126E-4</v>
      </c>
      <c r="G686" s="25" t="str">
        <f>IF(VLOOKUP(A686,Aux!B:C,2,FALSE)=0,"",VLOOKUP(A686,Aux!B:C,2,FALSE))</f>
        <v/>
      </c>
      <c r="H686" s="25" t="str">
        <f t="shared" si="136"/>
        <v/>
      </c>
      <c r="L686" s="13">
        <f t="shared" si="139"/>
        <v>113656.28186284741</v>
      </c>
      <c r="M686" s="14">
        <f t="shared" si="140"/>
        <v>429.121009620449</v>
      </c>
      <c r="N686" s="14">
        <f t="shared" si="141"/>
        <v>15.960295680372766</v>
      </c>
      <c r="O686" s="1">
        <f t="shared" si="142"/>
        <v>2.6966694502635975</v>
      </c>
      <c r="P686" s="1">
        <f t="shared" si="143"/>
        <v>1941.6418102648238</v>
      </c>
      <c r="S686" s="6">
        <f t="shared" si="137"/>
        <v>0.50122038632165211</v>
      </c>
      <c r="T686" s="6">
        <f t="shared" si="138"/>
        <v>0.49877961367834805</v>
      </c>
      <c r="V686" s="1">
        <f t="shared" si="144"/>
        <v>114052.63366489102</v>
      </c>
      <c r="W686" s="7">
        <f t="shared" si="145"/>
        <v>3.9237168022050323E-3</v>
      </c>
      <c r="X686" s="7">
        <f t="shared" si="146"/>
        <v>3.385811351159256E-3</v>
      </c>
      <c r="Y686">
        <f>LN(B686/B685)</f>
        <v>7.5613352690628724E-3</v>
      </c>
      <c r="Z686">
        <f>LN(C686/C685)</f>
        <v>2.8157878876957206E-4</v>
      </c>
    </row>
    <row r="687" spans="1:26" x14ac:dyDescent="0.3">
      <c r="A687" s="9">
        <v>41184</v>
      </c>
      <c r="B687" s="1">
        <v>21131.85</v>
      </c>
      <c r="C687" s="1">
        <v>29.204879999999999</v>
      </c>
      <c r="D687" s="6">
        <f t="shared" si="148"/>
        <v>3.2946917120035835E-4</v>
      </c>
      <c r="E687" s="5">
        <f t="shared" si="147"/>
        <v>2.8188165423093103E-4</v>
      </c>
      <c r="G687" s="25" t="str">
        <f>IF(VLOOKUP(A687,Aux!B:C,2,FALSE)=0,"",VLOOKUP(A687,Aux!B:C,2,FALSE))</f>
        <v/>
      </c>
      <c r="H687" s="25" t="str">
        <f t="shared" si="136"/>
        <v/>
      </c>
      <c r="L687" s="13">
        <f t="shared" si="139"/>
        <v>113691.03039431972</v>
      </c>
      <c r="M687" s="14">
        <f t="shared" si="140"/>
        <v>18.768819373832283</v>
      </c>
      <c r="N687" s="14">
        <f t="shared" si="141"/>
        <v>15.979712098481578</v>
      </c>
      <c r="O687" s="1">
        <f t="shared" si="142"/>
        <v>2.6966694502635975</v>
      </c>
      <c r="P687" s="1">
        <f t="shared" si="143"/>
        <v>1941.6418102648238</v>
      </c>
      <c r="S687" s="6">
        <f t="shared" si="137"/>
        <v>0.50123227949387938</v>
      </c>
      <c r="T687" s="6">
        <f t="shared" si="138"/>
        <v>0.49876772050612078</v>
      </c>
      <c r="V687" s="1">
        <f t="shared" si="144"/>
        <v>114087.10222851133</v>
      </c>
      <c r="W687" s="7">
        <f t="shared" si="145"/>
        <v>3.0568676091139308E-4</v>
      </c>
      <c r="X687" s="7">
        <f t="shared" si="146"/>
        <v>3.0217063018499765E-4</v>
      </c>
      <c r="Y687">
        <f>LN(B687/B686)</f>
        <v>3.2941490815131331E-4</v>
      </c>
      <c r="Z687">
        <f>LN(C687/C686)</f>
        <v>2.8184193306170566E-4</v>
      </c>
    </row>
    <row r="688" spans="1:26" x14ac:dyDescent="0.3">
      <c r="A688" s="11">
        <v>41185</v>
      </c>
      <c r="B688" s="12">
        <v>20899.18</v>
      </c>
      <c r="C688" s="12">
        <v>29.213100000000001</v>
      </c>
      <c r="D688" s="16">
        <f t="shared" si="148"/>
        <v>-1.1010394262688683E-2</v>
      </c>
      <c r="E688" s="15">
        <f t="shared" si="147"/>
        <v>2.8145981082627891E-4</v>
      </c>
      <c r="G688" s="25" t="str">
        <f>IF(VLOOKUP(A688,Aux!B:C,2,FALSE)=0,"",VLOOKUP(A688,Aux!B:C,2,FALSE))</f>
        <v/>
      </c>
      <c r="H688" s="25" t="str">
        <f t="shared" si="136"/>
        <v/>
      </c>
      <c r="L688" s="13">
        <f t="shared" si="139"/>
        <v>113079.55660900728</v>
      </c>
      <c r="M688" s="14">
        <f t="shared" si="140"/>
        <v>-627.43408099282647</v>
      </c>
      <c r="N688" s="14">
        <f t="shared" si="141"/>
        <v>15.960295680379664</v>
      </c>
      <c r="O688" s="1">
        <f t="shared" si="142"/>
        <v>2.6966694502635975</v>
      </c>
      <c r="P688" s="1">
        <f t="shared" si="143"/>
        <v>1941.6418102648238</v>
      </c>
      <c r="S688" s="6">
        <f t="shared" si="137"/>
        <v>0.49839406813760712</v>
      </c>
      <c r="T688" s="6">
        <f t="shared" si="138"/>
        <v>0.501605931862393</v>
      </c>
      <c r="V688" s="1">
        <f t="shared" si="144"/>
        <v>113568.71362850479</v>
      </c>
      <c r="W688" s="7">
        <f t="shared" si="145"/>
        <v>-5.3928975125678551E-3</v>
      </c>
      <c r="X688" s="7">
        <f t="shared" si="146"/>
        <v>-4.5541511339447002E-3</v>
      </c>
      <c r="Y688">
        <f>LN(B688/B687)</f>
        <v>-1.1071457285926704E-2</v>
      </c>
      <c r="Z688">
        <f>LN(C688/C687)</f>
        <v>2.8142020844453539E-4</v>
      </c>
    </row>
    <row r="689" spans="1:26" x14ac:dyDescent="0.3">
      <c r="A689" s="9">
        <v>41186</v>
      </c>
      <c r="B689" s="1">
        <v>20960.61</v>
      </c>
      <c r="C689" s="1">
        <v>29.221340000000001</v>
      </c>
      <c r="D689" s="6">
        <f t="shared" si="148"/>
        <v>2.9393497735317187E-3</v>
      </c>
      <c r="E689" s="5">
        <f t="shared" si="147"/>
        <v>2.8206523785567761E-4</v>
      </c>
      <c r="G689" s="25" t="str">
        <f>IF(VLOOKUP(A689,Aux!B:C,2,FALSE)=0,"",VLOOKUP(A689,Aux!B:C,2,FALSE))</f>
        <v/>
      </c>
      <c r="H689" s="25" t="str">
        <f t="shared" si="136"/>
        <v/>
      </c>
      <c r="L689" s="13">
        <f t="shared" si="139"/>
        <v>113261.21214185357</v>
      </c>
      <c r="M689" s="14">
        <f t="shared" si="140"/>
        <v>165.65640432969357</v>
      </c>
      <c r="N689" s="14">
        <f t="shared" si="141"/>
        <v>15.99912851658349</v>
      </c>
      <c r="O689" s="1">
        <f t="shared" si="142"/>
        <v>2.6966694502635975</v>
      </c>
      <c r="P689" s="1">
        <f t="shared" si="143"/>
        <v>1941.6418102648238</v>
      </c>
      <c r="S689" s="6">
        <f t="shared" si="137"/>
        <v>0.49905731694886507</v>
      </c>
      <c r="T689" s="6">
        <f t="shared" si="138"/>
        <v>0.50094268305113498</v>
      </c>
      <c r="V689" s="1">
        <f t="shared" si="144"/>
        <v>113728.86875882052</v>
      </c>
      <c r="W689" s="7">
        <f t="shared" si="145"/>
        <v>1.6051511431362036E-3</v>
      </c>
      <c r="X689" s="7">
        <f t="shared" si="146"/>
        <v>1.4092112651408705E-3</v>
      </c>
      <c r="Y689">
        <f>LN(B689/B688)</f>
        <v>2.9350383314774215E-3</v>
      </c>
      <c r="Z689">
        <f>LN(C689/C688)</f>
        <v>2.8202546493533739E-4</v>
      </c>
    </row>
    <row r="690" spans="1:26" x14ac:dyDescent="0.3">
      <c r="A690" s="11">
        <v>41187</v>
      </c>
      <c r="B690" s="12">
        <v>21049.279999999999</v>
      </c>
      <c r="C690" s="12">
        <v>29.229569999999999</v>
      </c>
      <c r="D690" s="16">
        <f t="shared" si="148"/>
        <v>4.2303158161904886E-3</v>
      </c>
      <c r="E690" s="15">
        <f t="shared" si="147"/>
        <v>2.8164348383730164E-4</v>
      </c>
      <c r="G690" s="25" t="str">
        <f>IF(VLOOKUP(A690,Aux!B:C,2,FALSE)=0,"",VLOOKUP(A690,Aux!B:C,2,FALSE))</f>
        <v/>
      </c>
      <c r="H690" s="25" t="str">
        <f t="shared" si="136"/>
        <v/>
      </c>
      <c r="L690" s="13">
        <f t="shared" si="139"/>
        <v>113516.30553410691</v>
      </c>
      <c r="M690" s="14">
        <f t="shared" si="140"/>
        <v>239.11368015486849</v>
      </c>
      <c r="N690" s="14">
        <f t="shared" si="141"/>
        <v>15.979712098474678</v>
      </c>
      <c r="O690" s="1">
        <f t="shared" si="142"/>
        <v>2.6966694502635975</v>
      </c>
      <c r="P690" s="1">
        <f t="shared" si="143"/>
        <v>1941.6418102648238</v>
      </c>
      <c r="S690" s="6">
        <f t="shared" si="137"/>
        <v>0.50004226317063882</v>
      </c>
      <c r="T690" s="6">
        <f t="shared" si="138"/>
        <v>0.49995773682936123</v>
      </c>
      <c r="V690" s="1">
        <f t="shared" si="144"/>
        <v>113951.84515067191</v>
      </c>
      <c r="W690" s="7">
        <f t="shared" si="145"/>
        <v>2.2497247739437383E-3</v>
      </c>
      <c r="X690" s="7">
        <f t="shared" si="146"/>
        <v>1.958676774229162E-3</v>
      </c>
      <c r="Y690">
        <f>LN(B690/B689)</f>
        <v>4.2213931850855497E-3</v>
      </c>
      <c r="Z690">
        <f>LN(C690/C689)</f>
        <v>2.8160382975667521E-4</v>
      </c>
    </row>
    <row r="691" spans="1:26" x14ac:dyDescent="0.3">
      <c r="A691" s="9">
        <v>41190</v>
      </c>
      <c r="B691" s="1">
        <v>21257.82</v>
      </c>
      <c r="C691" s="1">
        <v>29.23781</v>
      </c>
      <c r="D691" s="6">
        <f t="shared" si="148"/>
        <v>9.907227230575133E-3</v>
      </c>
      <c r="E691" s="5">
        <f t="shared" si="147"/>
        <v>2.8190630241908821E-4</v>
      </c>
      <c r="G691" s="25" t="str">
        <f>IF(VLOOKUP(A691,Aux!B:C,2,FALSE)=0,"",VLOOKUP(A691,Aux!B:C,2,FALSE))</f>
        <v/>
      </c>
      <c r="H691" s="25" t="str">
        <f t="shared" si="136"/>
        <v/>
      </c>
      <c r="L691" s="13">
        <f t="shared" si="139"/>
        <v>114094.66810978147</v>
      </c>
      <c r="M691" s="14">
        <f t="shared" si="140"/>
        <v>562.36344715797293</v>
      </c>
      <c r="N691" s="14">
        <f t="shared" si="141"/>
        <v>15.99912851658349</v>
      </c>
      <c r="O691" s="1">
        <f t="shared" si="142"/>
        <v>2.6966694502635975</v>
      </c>
      <c r="P691" s="1">
        <f t="shared" si="143"/>
        <v>1941.6418102648238</v>
      </c>
      <c r="S691" s="6">
        <f t="shared" si="137"/>
        <v>0.50243639534534867</v>
      </c>
      <c r="T691" s="6">
        <f t="shared" si="138"/>
        <v>0.49756360465465138</v>
      </c>
      <c r="V691" s="1">
        <f t="shared" si="144"/>
        <v>114451.38819692298</v>
      </c>
      <c r="W691" s="7">
        <f t="shared" si="145"/>
        <v>5.0820381038845456E-3</v>
      </c>
      <c r="X691" s="7">
        <f t="shared" si="146"/>
        <v>4.3742274174060104E-3</v>
      </c>
      <c r="Y691">
        <f>LN(B691/B690)</f>
        <v>9.8584724071568777E-3</v>
      </c>
      <c r="Z691">
        <f>LN(C691/C690)</f>
        <v>2.8186657430364509E-4</v>
      </c>
    </row>
    <row r="692" spans="1:26" x14ac:dyDescent="0.3">
      <c r="A692" s="11">
        <v>41191</v>
      </c>
      <c r="B692" s="12">
        <v>21054.7</v>
      </c>
      <c r="C692" s="12">
        <v>29.24605</v>
      </c>
      <c r="D692" s="16">
        <f t="shared" si="148"/>
        <v>-9.5550719688095587E-3</v>
      </c>
      <c r="E692" s="15">
        <f t="shared" si="147"/>
        <v>2.8182685365285565E-4</v>
      </c>
      <c r="G692" s="25" t="str">
        <f>IF(VLOOKUP(A692,Aux!B:C,2,FALSE)=0,"",VLOOKUP(A692,Aux!B:C,2,FALSE))</f>
        <v/>
      </c>
      <c r="H692" s="25" t="str">
        <f t="shared" si="136"/>
        <v/>
      </c>
      <c r="L692" s="13">
        <f t="shared" si="139"/>
        <v>113562.91973956052</v>
      </c>
      <c r="M692" s="14">
        <f t="shared" si="140"/>
        <v>-547.74749873753922</v>
      </c>
      <c r="N692" s="14">
        <f t="shared" si="141"/>
        <v>15.99912851658349</v>
      </c>
      <c r="O692" s="1">
        <f t="shared" si="142"/>
        <v>2.6966694502635975</v>
      </c>
      <c r="P692" s="1">
        <f t="shared" si="143"/>
        <v>1941.6418102648238</v>
      </c>
      <c r="S692" s="6">
        <f t="shared" si="137"/>
        <v>0.49996571420209857</v>
      </c>
      <c r="T692" s="6">
        <f t="shared" si="138"/>
        <v>0.50003428579790143</v>
      </c>
      <c r="V692" s="1">
        <f t="shared" si="144"/>
        <v>114001.21722323018</v>
      </c>
      <c r="W692" s="7">
        <f t="shared" si="145"/>
        <v>-4.6714835403644066E-3</v>
      </c>
      <c r="X692" s="7">
        <f t="shared" si="146"/>
        <v>-3.9410498779938238E-3</v>
      </c>
      <c r="Y692">
        <f>LN(B692/B691)</f>
        <v>-9.6010145597068344E-3</v>
      </c>
      <c r="Z692">
        <f>LN(C692/C691)</f>
        <v>2.8178714792505407E-4</v>
      </c>
    </row>
    <row r="693" spans="1:26" x14ac:dyDescent="0.3">
      <c r="A693" s="9">
        <v>41192</v>
      </c>
      <c r="B693" s="1">
        <v>20911.66</v>
      </c>
      <c r="C693" s="1">
        <v>29.254280000000001</v>
      </c>
      <c r="D693" s="6">
        <f t="shared" si="148"/>
        <v>-6.7937325157804151E-3</v>
      </c>
      <c r="E693" s="5">
        <f t="shared" si="147"/>
        <v>2.8140552313904443E-4</v>
      </c>
      <c r="G693" s="25" t="str">
        <f>IF(VLOOKUP(A693,Aux!B:C,2,FALSE)=0,"",VLOOKUP(A693,Aux!B:C,2,FALSE))</f>
        <v/>
      </c>
      <c r="H693" s="25" t="str">
        <f t="shared" si="136"/>
        <v/>
      </c>
      <c r="L693" s="13">
        <f t="shared" si="139"/>
        <v>113193.1678534933</v>
      </c>
      <c r="M693" s="14">
        <f t="shared" si="140"/>
        <v>-385.73159816570734</v>
      </c>
      <c r="N693" s="14">
        <f t="shared" si="141"/>
        <v>15.979712098481578</v>
      </c>
      <c r="O693" s="1">
        <f t="shared" si="142"/>
        <v>2.6966694502635975</v>
      </c>
      <c r="P693" s="1">
        <f t="shared" si="143"/>
        <v>1941.6418102648238</v>
      </c>
      <c r="S693" s="6">
        <f t="shared" si="137"/>
        <v>0.49819115186605256</v>
      </c>
      <c r="T693" s="6">
        <f t="shared" si="138"/>
        <v>0.50180884813394733</v>
      </c>
      <c r="V693" s="1">
        <f t="shared" si="144"/>
        <v>113689.63053982242</v>
      </c>
      <c r="W693" s="7">
        <f t="shared" si="145"/>
        <v>-3.2612329636156948E-3</v>
      </c>
      <c r="X693" s="7">
        <f t="shared" si="146"/>
        <v>-2.7369293142104059E-3</v>
      </c>
      <c r="Y693">
        <f>LN(B693/B692)</f>
        <v>-6.8169149731310283E-3</v>
      </c>
      <c r="Z693">
        <f>LN(C693/C692)</f>
        <v>2.813659360313309E-4</v>
      </c>
    </row>
    <row r="694" spans="1:26" x14ac:dyDescent="0.3">
      <c r="A694" s="11">
        <v>41193</v>
      </c>
      <c r="B694" s="12">
        <v>21144.560000000001</v>
      </c>
      <c r="C694" s="12">
        <v>29.262499999999999</v>
      </c>
      <c r="D694" s="16">
        <f t="shared" si="148"/>
        <v>1.1137327213621484E-2</v>
      </c>
      <c r="E694" s="15">
        <f t="shared" si="147"/>
        <v>2.8098452602476343E-4</v>
      </c>
      <c r="G694" s="25" t="str">
        <f>IF(VLOOKUP(A694,Aux!B:C,2,FALSE)=0,"",VLOOKUP(A694,Aux!B:C,2,FALSE))</f>
        <v/>
      </c>
      <c r="H694" s="25" t="str">
        <f t="shared" si="136"/>
        <v/>
      </c>
      <c r="L694" s="13">
        <f t="shared" si="139"/>
        <v>113837.18246414007</v>
      </c>
      <c r="M694" s="14">
        <f t="shared" si="140"/>
        <v>628.05431496639574</v>
      </c>
      <c r="N694" s="14">
        <f t="shared" si="141"/>
        <v>15.960295680372766</v>
      </c>
      <c r="O694" s="1">
        <f t="shared" si="142"/>
        <v>2.6966694502635975</v>
      </c>
      <c r="P694" s="1">
        <f t="shared" si="143"/>
        <v>1941.6418102648238</v>
      </c>
      <c r="S694" s="6">
        <f t="shared" si="137"/>
        <v>0.50088984773694245</v>
      </c>
      <c r="T694" s="6">
        <f t="shared" si="138"/>
        <v>0.49911015226305744</v>
      </c>
      <c r="V694" s="1">
        <f t="shared" si="144"/>
        <v>114245.32821554161</v>
      </c>
      <c r="W694" s="7">
        <f t="shared" si="145"/>
        <v>5.673394215130946E-3</v>
      </c>
      <c r="X694" s="7">
        <f t="shared" si="146"/>
        <v>4.8759416258060441E-3</v>
      </c>
      <c r="Y694">
        <f>LN(B694/B693)</f>
        <v>1.107576386393164E-2</v>
      </c>
      <c r="Z694">
        <f>LN(C694/C693)</f>
        <v>2.8094505726606461E-4</v>
      </c>
    </row>
    <row r="695" spans="1:26" x14ac:dyDescent="0.3">
      <c r="A695" s="9">
        <v>41197</v>
      </c>
      <c r="B695" s="1">
        <v>21238.799999999999</v>
      </c>
      <c r="C695" s="1">
        <v>29.270399999999999</v>
      </c>
      <c r="D695" s="6">
        <f t="shared" si="148"/>
        <v>4.4569383330745893E-3</v>
      </c>
      <c r="E695" s="5">
        <f t="shared" si="147"/>
        <v>2.6997009824869522E-4</v>
      </c>
      <c r="G695" s="25" t="str">
        <f>IF(VLOOKUP(A695,Aux!B:C,2,FALSE)=0,"",VLOOKUP(A695,Aux!B:C,2,FALSE))</f>
        <v/>
      </c>
      <c r="H695" s="25" t="str">
        <f t="shared" si="136"/>
        <v/>
      </c>
      <c r="L695" s="13">
        <f t="shared" si="139"/>
        <v>114106.655563434</v>
      </c>
      <c r="M695" s="14">
        <f t="shared" si="140"/>
        <v>254.13412899283594</v>
      </c>
      <c r="N695" s="14">
        <f t="shared" si="141"/>
        <v>15.33897030109085</v>
      </c>
      <c r="O695" s="1">
        <f t="shared" si="142"/>
        <v>2.6966694502635975</v>
      </c>
      <c r="P695" s="1">
        <f t="shared" si="143"/>
        <v>1941.6418102648238</v>
      </c>
      <c r="S695" s="6">
        <f t="shared" si="137"/>
        <v>0.5019341145128805</v>
      </c>
      <c r="T695" s="6">
        <f t="shared" si="138"/>
        <v>0.49806588548711944</v>
      </c>
      <c r="V695" s="1">
        <f t="shared" si="144"/>
        <v>114480.41653852035</v>
      </c>
      <c r="W695" s="7">
        <f t="shared" si="145"/>
        <v>2.364382623036565E-3</v>
      </c>
      <c r="X695" s="7">
        <f t="shared" si="146"/>
        <v>2.0556357222901267E-3</v>
      </c>
      <c r="Y695">
        <f>LN(B695/B694)</f>
        <v>4.4470355964440194E-3</v>
      </c>
      <c r="Z695">
        <f>LN(C695/C694)</f>
        <v>2.6993366287921368E-4</v>
      </c>
    </row>
    <row r="696" spans="1:26" x14ac:dyDescent="0.3">
      <c r="A696" s="11">
        <v>41198</v>
      </c>
      <c r="B696" s="12">
        <v>21368.07</v>
      </c>
      <c r="C696" s="12">
        <v>29.278300000000002</v>
      </c>
      <c r="D696" s="16">
        <f t="shared" si="148"/>
        <v>6.0865020622633548E-3</v>
      </c>
      <c r="E696" s="15">
        <f t="shared" si="147"/>
        <v>2.6989723406600774E-4</v>
      </c>
      <c r="G696" s="25" t="str">
        <f>IF(VLOOKUP(A696,Aux!B:C,2,FALSE)=0,"",VLOOKUP(A696,Aux!B:C,2,FALSE))</f>
        <v/>
      </c>
      <c r="H696" s="25" t="str">
        <f t="shared" si="136"/>
        <v/>
      </c>
      <c r="L696" s="13">
        <f t="shared" si="139"/>
        <v>114470.59299357067</v>
      </c>
      <c r="M696" s="14">
        <f t="shared" si="140"/>
        <v>348.59845983557642</v>
      </c>
      <c r="N696" s="14">
        <f t="shared" si="141"/>
        <v>15.338970301097747</v>
      </c>
      <c r="O696" s="1">
        <f t="shared" si="142"/>
        <v>2.6966694502635975</v>
      </c>
      <c r="P696" s="1">
        <f t="shared" si="143"/>
        <v>1941.6418102648238</v>
      </c>
      <c r="S696" s="6">
        <f t="shared" si="137"/>
        <v>0.50338362083378474</v>
      </c>
      <c r="T696" s="6">
        <f t="shared" si="138"/>
        <v>0.49661637916621526</v>
      </c>
      <c r="V696" s="1">
        <f t="shared" si="144"/>
        <v>114796.32029685506</v>
      </c>
      <c r="W696" s="7">
        <f t="shared" si="145"/>
        <v>3.1843741226959097E-3</v>
      </c>
      <c r="X696" s="7">
        <f t="shared" si="146"/>
        <v>2.7556564403350718E-3</v>
      </c>
      <c r="Y696">
        <f>LN(B696/B695)</f>
        <v>6.0680541263417754E-3</v>
      </c>
      <c r="Z696">
        <f>LN(C696/C695)</f>
        <v>2.6986081835971443E-4</v>
      </c>
    </row>
    <row r="697" spans="1:26" x14ac:dyDescent="0.3">
      <c r="A697" s="9">
        <v>41199</v>
      </c>
      <c r="B697" s="1">
        <v>21420.78</v>
      </c>
      <c r="C697" s="1">
        <v>29.28622</v>
      </c>
      <c r="D697" s="6">
        <f t="shared" si="148"/>
        <v>2.4667646633504958E-3</v>
      </c>
      <c r="E697" s="5">
        <f t="shared" si="147"/>
        <v>2.7050750897417153E-4</v>
      </c>
      <c r="G697" s="25" t="str">
        <f>IF(VLOOKUP(A697,Aux!B:C,2,FALSE)=0,"",VLOOKUP(A697,Aux!B:C,2,FALSE))</f>
        <v/>
      </c>
      <c r="H697" s="25" t="str">
        <f t="shared" si="136"/>
        <v/>
      </c>
      <c r="L697" s="13">
        <f t="shared" si="139"/>
        <v>114628.11224343136</v>
      </c>
      <c r="M697" s="14">
        <f t="shared" si="140"/>
        <v>142.14144672339188</v>
      </c>
      <c r="N697" s="14">
        <f t="shared" si="141"/>
        <v>15.377803137294675</v>
      </c>
      <c r="O697" s="1">
        <f t="shared" si="142"/>
        <v>2.6966694502635975</v>
      </c>
      <c r="P697" s="1">
        <f t="shared" si="143"/>
        <v>1941.6418102648238</v>
      </c>
      <c r="S697" s="6">
        <f t="shared" si="137"/>
        <v>0.50393190550102263</v>
      </c>
      <c r="T697" s="6">
        <f t="shared" si="138"/>
        <v>0.49606809449897737</v>
      </c>
      <c r="V697" s="1">
        <f t="shared" si="144"/>
        <v>114935.64219975588</v>
      </c>
      <c r="W697" s="7">
        <f t="shared" si="145"/>
        <v>1.3751214745591925E-3</v>
      </c>
      <c r="X697" s="7">
        <f t="shared" si="146"/>
        <v>1.2129084561589996E-3</v>
      </c>
      <c r="Y697">
        <f>LN(B697/B696)</f>
        <v>2.4637271935216724E-3</v>
      </c>
      <c r="Z697">
        <f>LN(C697/C696)</f>
        <v>2.7047092841469449E-4</v>
      </c>
    </row>
    <row r="698" spans="1:26" x14ac:dyDescent="0.3">
      <c r="A698" s="11">
        <v>41200</v>
      </c>
      <c r="B698" s="12">
        <v>21370.61</v>
      </c>
      <c r="C698" s="12">
        <v>29.294149999999998</v>
      </c>
      <c r="D698" s="16">
        <f t="shared" si="148"/>
        <v>-2.3421182608662772E-3</v>
      </c>
      <c r="E698" s="15">
        <f t="shared" si="147"/>
        <v>2.707758119688819E-4</v>
      </c>
      <c r="G698" s="25" t="str">
        <f>IF(VLOOKUP(A698,Aux!B:C,2,FALSE)=0,"",VLOOKUP(A698,Aux!B:C,2,FALSE))</f>
        <v/>
      </c>
      <c r="H698" s="25" t="str">
        <f t="shared" si="136"/>
        <v/>
      </c>
      <c r="L698" s="13">
        <f t="shared" si="139"/>
        <v>114508.21755666703</v>
      </c>
      <c r="M698" s="14">
        <f t="shared" si="140"/>
        <v>-135.29190631971997</v>
      </c>
      <c r="N698" s="14">
        <f t="shared" si="141"/>
        <v>15.397219555396589</v>
      </c>
      <c r="O698" s="1">
        <f t="shared" si="142"/>
        <v>2.6966694502635975</v>
      </c>
      <c r="P698" s="1">
        <f t="shared" si="143"/>
        <v>1941.6418102648238</v>
      </c>
      <c r="S698" s="6">
        <f t="shared" si="137"/>
        <v>0.50327803846897246</v>
      </c>
      <c r="T698" s="6">
        <f t="shared" si="138"/>
        <v>0.49672196153102743</v>
      </c>
      <c r="V698" s="1">
        <f t="shared" si="144"/>
        <v>114837.63871521964</v>
      </c>
      <c r="W698" s="7">
        <f t="shared" si="145"/>
        <v>-1.0464922590910702E-3</v>
      </c>
      <c r="X698" s="7">
        <f t="shared" si="146"/>
        <v>-8.5304514161923758E-4</v>
      </c>
      <c r="Y698">
        <f>LN(B698/B697)</f>
        <v>-2.3448653099543203E-3</v>
      </c>
      <c r="Z698">
        <f>LN(C698/C697)</f>
        <v>2.707391588150839E-4</v>
      </c>
    </row>
    <row r="699" spans="1:26" x14ac:dyDescent="0.3">
      <c r="A699" s="9">
        <v>41201</v>
      </c>
      <c r="B699" s="1">
        <v>21129.56</v>
      </c>
      <c r="C699" s="1">
        <v>29.302099999999999</v>
      </c>
      <c r="D699" s="6">
        <f t="shared" si="148"/>
        <v>-1.1279509569450674E-2</v>
      </c>
      <c r="E699" s="5">
        <f t="shared" si="147"/>
        <v>2.7138524244607609E-4</v>
      </c>
      <c r="G699" s="25" t="str">
        <f>IF(VLOOKUP(A699,Aux!B:C,2,FALSE)=0,"",VLOOKUP(A699,Aux!B:C,2,FALSE))</f>
        <v/>
      </c>
      <c r="H699" s="25" t="str">
        <f t="shared" si="136"/>
        <v/>
      </c>
      <c r="L699" s="13">
        <f t="shared" si="139"/>
        <v>113873.6214380726</v>
      </c>
      <c r="M699" s="14">
        <f t="shared" si="140"/>
        <v>-650.03217098603818</v>
      </c>
      <c r="N699" s="14">
        <f t="shared" si="141"/>
        <v>15.436052391607314</v>
      </c>
      <c r="O699" s="1">
        <f t="shared" si="142"/>
        <v>2.6966694502635975</v>
      </c>
      <c r="P699" s="1">
        <f t="shared" si="143"/>
        <v>1941.6418102648238</v>
      </c>
      <c r="S699" s="6">
        <f t="shared" si="137"/>
        <v>0.50037434684114779</v>
      </c>
      <c r="T699" s="6">
        <f t="shared" si="138"/>
        <v>0.49962565315885216</v>
      </c>
      <c r="V699" s="1">
        <f t="shared" si="144"/>
        <v>114299.31313631452</v>
      </c>
      <c r="W699" s="7">
        <f t="shared" si="145"/>
        <v>-5.557339888558238E-3</v>
      </c>
      <c r="X699" s="7">
        <f t="shared" si="146"/>
        <v>-4.6987320463842842E-3</v>
      </c>
      <c r="Y699">
        <f>LN(B699/B698)</f>
        <v>-1.1343605675060625E-2</v>
      </c>
      <c r="Z699">
        <f>LN(C699/C698)</f>
        <v>2.713484241323147E-4</v>
      </c>
    </row>
    <row r="700" spans="1:26" x14ac:dyDescent="0.3">
      <c r="A700" s="11">
        <v>41204</v>
      </c>
      <c r="B700" s="12">
        <v>21033.58</v>
      </c>
      <c r="C700" s="12">
        <v>29.31006</v>
      </c>
      <c r="D700" s="16">
        <f t="shared" si="148"/>
        <v>-4.5424514282360606E-3</v>
      </c>
      <c r="E700" s="15">
        <f t="shared" si="147"/>
        <v>2.7165288494690465E-4</v>
      </c>
      <c r="G700" s="25" t="str">
        <f>IF(VLOOKUP(A700,Aux!B:C,2,FALSE)=0,"",VLOOKUP(A700,Aux!B:C,2,FALSE))</f>
        <v/>
      </c>
      <c r="H700" s="25" t="str">
        <f t="shared" si="136"/>
        <v/>
      </c>
      <c r="L700" s="13">
        <f t="shared" si="139"/>
        <v>113630.25057304601</v>
      </c>
      <c r="M700" s="14">
        <f t="shared" si="140"/>
        <v>-258.82633383629889</v>
      </c>
      <c r="N700" s="14">
        <f t="shared" si="141"/>
        <v>15.455468809709227</v>
      </c>
      <c r="O700" s="1">
        <f t="shared" si="142"/>
        <v>2.6966694502635975</v>
      </c>
      <c r="P700" s="1">
        <f t="shared" si="143"/>
        <v>1941.6418102648238</v>
      </c>
      <c r="S700" s="6">
        <f t="shared" si="137"/>
        <v>0.49916824375224939</v>
      </c>
      <c r="T700" s="6">
        <f t="shared" si="138"/>
        <v>0.50083175624775056</v>
      </c>
      <c r="V700" s="1">
        <f t="shared" si="144"/>
        <v>114095.69149330974</v>
      </c>
      <c r="W700" s="7">
        <f t="shared" si="145"/>
        <v>-2.139488490540721E-3</v>
      </c>
      <c r="X700" s="7">
        <f t="shared" si="146"/>
        <v>-1.7830661163825156E-3</v>
      </c>
      <c r="Y700">
        <f>LN(B700/B699)</f>
        <v>-4.5527997103288432E-3</v>
      </c>
      <c r="Z700">
        <f>LN(C700/C699)</f>
        <v>2.7161599398282797E-4</v>
      </c>
    </row>
    <row r="701" spans="1:26" x14ac:dyDescent="0.3">
      <c r="A701" s="9">
        <v>41205</v>
      </c>
      <c r="B701" s="1">
        <v>20709.009999999998</v>
      </c>
      <c r="C701" s="1">
        <v>29.318059999999999</v>
      </c>
      <c r="D701" s="6">
        <f t="shared" si="148"/>
        <v>-1.5431039319031892E-2</v>
      </c>
      <c r="E701" s="5">
        <f t="shared" si="147"/>
        <v>2.729438288424646E-4</v>
      </c>
      <c r="G701" s="25" t="str">
        <f>IF(VLOOKUP(A701,Aux!B:C,2,FALSE)=0,"",VLOOKUP(A701,Aux!B:C,2,FALSE))</f>
        <v/>
      </c>
      <c r="H701" s="25" t="str">
        <f t="shared" si="136"/>
        <v/>
      </c>
      <c r="L701" s="13">
        <f t="shared" si="139"/>
        <v>112770.52570405607</v>
      </c>
      <c r="M701" s="14">
        <f t="shared" si="140"/>
        <v>-875.25800347206484</v>
      </c>
      <c r="N701" s="14">
        <f t="shared" si="141"/>
        <v>15.53313448211688</v>
      </c>
      <c r="O701" s="1">
        <f t="shared" si="142"/>
        <v>2.6966694502635975</v>
      </c>
      <c r="P701" s="1">
        <f t="shared" si="143"/>
        <v>1941.6418102648238</v>
      </c>
      <c r="S701" s="6">
        <f t="shared" si="137"/>
        <v>0.49521232843020013</v>
      </c>
      <c r="T701" s="6">
        <f t="shared" si="138"/>
        <v>0.50478767156979976</v>
      </c>
      <c r="V701" s="1">
        <f t="shared" si="144"/>
        <v>113364.79420948245</v>
      </c>
      <c r="W701" s="7">
        <f t="shared" si="145"/>
        <v>-7.5947531236755387E-3</v>
      </c>
      <c r="X701" s="7">
        <f t="shared" si="146"/>
        <v>-6.4266089747540226E-3</v>
      </c>
      <c r="Y701">
        <f>LN(B701/B700)</f>
        <v>-1.55513369559206E-2</v>
      </c>
      <c r="Z701">
        <f>LN(C701/C700)</f>
        <v>2.729065864521793E-4</v>
      </c>
    </row>
    <row r="702" spans="1:26" x14ac:dyDescent="0.3">
      <c r="A702" s="11">
        <v>41206</v>
      </c>
      <c r="B702" s="12">
        <v>20667.75</v>
      </c>
      <c r="C702" s="12">
        <v>29.326059999999998</v>
      </c>
      <c r="D702" s="16">
        <f t="shared" si="148"/>
        <v>-1.992369504867586E-3</v>
      </c>
      <c r="E702" s="15">
        <f t="shared" si="147"/>
        <v>2.7286935083692399E-4</v>
      </c>
      <c r="G702" s="25" t="str">
        <f>IF(VLOOKUP(A702,Aux!B:C,2,FALSE)=0,"",VLOOKUP(A702,Aux!B:C,2,FALSE))</f>
        <v/>
      </c>
      <c r="H702" s="25" t="str">
        <f t="shared" si="136"/>
        <v/>
      </c>
      <c r="L702" s="13">
        <f t="shared" si="139"/>
        <v>112674.79425702032</v>
      </c>
      <c r="M702" s="14">
        <f t="shared" si="140"/>
        <v>-111.26458151787172</v>
      </c>
      <c r="N702" s="14">
        <f t="shared" si="141"/>
        <v>15.53313448211688</v>
      </c>
      <c r="O702" s="1">
        <f t="shared" si="142"/>
        <v>2.6966694502635975</v>
      </c>
      <c r="P702" s="1">
        <f t="shared" si="143"/>
        <v>1941.6418102648238</v>
      </c>
      <c r="S702" s="6">
        <f t="shared" si="137"/>
        <v>0.49464558953222049</v>
      </c>
      <c r="T702" s="6">
        <f t="shared" si="138"/>
        <v>0.5053544104677794</v>
      </c>
      <c r="V702" s="1">
        <f t="shared" si="144"/>
        <v>113287.50300589198</v>
      </c>
      <c r="W702" s="7">
        <f t="shared" si="145"/>
        <v>-8.4926538112345439E-4</v>
      </c>
      <c r="X702" s="7">
        <f t="shared" si="146"/>
        <v>-6.8202447128141888E-4</v>
      </c>
      <c r="Y702">
        <f>LN(B702/B701)</f>
        <v>-1.9943569131961299E-3</v>
      </c>
      <c r="Z702">
        <f>LN(C702/C701)</f>
        <v>2.7283212876663172E-4</v>
      </c>
    </row>
    <row r="703" spans="1:26" x14ac:dyDescent="0.3">
      <c r="A703" s="9">
        <v>41207</v>
      </c>
      <c r="B703" s="1">
        <v>20922.060000000001</v>
      </c>
      <c r="C703" s="1">
        <v>29.33408</v>
      </c>
      <c r="D703" s="6">
        <f t="shared" si="148"/>
        <v>1.2304677577385181E-2</v>
      </c>
      <c r="E703" s="5">
        <f t="shared" si="147"/>
        <v>2.7347690074974729E-4</v>
      </c>
      <c r="G703" s="25" t="str">
        <f>IF(VLOOKUP(A703,Aux!B:C,2,FALSE)=0,"",VLOOKUP(A703,Aux!B:C,2,FALSE))</f>
        <v/>
      </c>
      <c r="H703" s="25" t="str">
        <f t="shared" si="136"/>
        <v/>
      </c>
      <c r="L703" s="13">
        <f t="shared" si="139"/>
        <v>113376.15623223518</v>
      </c>
      <c r="M703" s="14">
        <f t="shared" si="140"/>
        <v>685.79000789653901</v>
      </c>
      <c r="N703" s="14">
        <f t="shared" si="141"/>
        <v>15.571967318327603</v>
      </c>
      <c r="O703" s="1">
        <f t="shared" si="142"/>
        <v>2.6966694502635975</v>
      </c>
      <c r="P703" s="1">
        <f t="shared" si="143"/>
        <v>1941.6418102648238</v>
      </c>
      <c r="S703" s="6">
        <f t="shared" si="137"/>
        <v>0.49763444019934649</v>
      </c>
      <c r="T703" s="6">
        <f t="shared" si="138"/>
        <v>0.50236555980065334</v>
      </c>
      <c r="V703" s="1">
        <f t="shared" si="144"/>
        <v>113892.1468740447</v>
      </c>
      <c r="W703" s="7">
        <f t="shared" si="145"/>
        <v>6.2053640940757954E-3</v>
      </c>
      <c r="X703" s="7">
        <f t="shared" si="146"/>
        <v>5.3230586118479615E-3</v>
      </c>
      <c r="Y703">
        <f>LN(B703/B702)</f>
        <v>1.2229590354148813E-2</v>
      </c>
      <c r="Z703">
        <f>LN(C703/C702)</f>
        <v>2.7343951275847142E-4</v>
      </c>
    </row>
    <row r="704" spans="1:26" x14ac:dyDescent="0.3">
      <c r="A704" s="11">
        <v>41208</v>
      </c>
      <c r="B704" s="12">
        <v>20848.75</v>
      </c>
      <c r="C704" s="12">
        <v>29.34207</v>
      </c>
      <c r="D704" s="16">
        <f t="shared" si="148"/>
        <v>-3.503957067325203E-3</v>
      </c>
      <c r="E704" s="15">
        <f t="shared" si="147"/>
        <v>2.7237943034186252E-4</v>
      </c>
      <c r="G704" s="25" t="str">
        <f>IF(VLOOKUP(A704,Aux!B:C,2,FALSE)=0,"",VLOOKUP(A704,Aux!B:C,2,FALSE))</f>
        <v/>
      </c>
      <c r="H704" s="25" t="str">
        <f t="shared" si="136"/>
        <v/>
      </c>
      <c r="L704" s="13">
        <f t="shared" si="139"/>
        <v>113193.97711290036</v>
      </c>
      <c r="M704" s="14">
        <f t="shared" si="140"/>
        <v>-197.69283739882786</v>
      </c>
      <c r="N704" s="14">
        <f t="shared" si="141"/>
        <v>15.513718064014967</v>
      </c>
      <c r="O704" s="1">
        <f t="shared" si="142"/>
        <v>2.6966694502635975</v>
      </c>
      <c r="P704" s="1">
        <f t="shared" si="143"/>
        <v>1941.6418102648238</v>
      </c>
      <c r="S704" s="6">
        <f t="shared" si="137"/>
        <v>0.49668885779237909</v>
      </c>
      <c r="T704" s="6">
        <f t="shared" si="138"/>
        <v>0.50331114220762085</v>
      </c>
      <c r="V704" s="1">
        <f t="shared" si="144"/>
        <v>113740.89282801462</v>
      </c>
      <c r="W704" s="7">
        <f t="shared" si="145"/>
        <v>-1.6081480458770734E-3</v>
      </c>
      <c r="X704" s="7">
        <f t="shared" si="146"/>
        <v>-1.3289289506326709E-3</v>
      </c>
      <c r="Y704">
        <f>LN(B704/B703)</f>
        <v>-3.5101103028771191E-3</v>
      </c>
      <c r="Z704">
        <f>LN(C704/C703)</f>
        <v>2.7234234179944369E-4</v>
      </c>
    </row>
    <row r="705" spans="1:26" x14ac:dyDescent="0.3">
      <c r="A705" s="9">
        <v>41211</v>
      </c>
      <c r="B705" s="1">
        <v>20819.759999999998</v>
      </c>
      <c r="C705" s="1">
        <v>29.35005</v>
      </c>
      <c r="D705" s="6">
        <f t="shared" si="148"/>
        <v>-1.3904910366330236E-3</v>
      </c>
      <c r="E705" s="5">
        <f t="shared" si="147"/>
        <v>2.7196445240562639E-4</v>
      </c>
      <c r="G705" s="25" t="str">
        <f>IF(VLOOKUP(A705,Aux!B:C,2,FALSE)=0,"",VLOOKUP(A705,Aux!B:C,2,FALSE))</f>
        <v/>
      </c>
      <c r="H705" s="25" t="str">
        <f t="shared" si="136"/>
        <v/>
      </c>
      <c r="L705" s="13">
        <f t="shared" si="139"/>
        <v>113131.29496718313</v>
      </c>
      <c r="M705" s="14">
        <f t="shared" si="140"/>
        <v>-78.176447363146011</v>
      </c>
      <c r="N705" s="14">
        <f t="shared" si="141"/>
        <v>15.494301645913053</v>
      </c>
      <c r="O705" s="1">
        <f t="shared" si="142"/>
        <v>2.6966694502635975</v>
      </c>
      <c r="P705" s="1">
        <f t="shared" si="143"/>
        <v>1941.6418102648238</v>
      </c>
      <c r="S705" s="6">
        <f t="shared" si="137"/>
        <v>0.49627303187951805</v>
      </c>
      <c r="T705" s="6">
        <f t="shared" si="138"/>
        <v>0.5037269681204819</v>
      </c>
      <c r="V705" s="1">
        <f t="shared" si="144"/>
        <v>113691.86420098183</v>
      </c>
      <c r="W705" s="7">
        <f t="shared" si="145"/>
        <v>-5.5391204653209626E-4</v>
      </c>
      <c r="X705" s="7">
        <f t="shared" si="146"/>
        <v>-4.3114833969167785E-4</v>
      </c>
      <c r="Y705">
        <f>LN(B705/B704)</f>
        <v>-1.3914586663855153E-3</v>
      </c>
      <c r="Z705">
        <f>LN(C705/C704)</f>
        <v>2.7192747677782592E-4</v>
      </c>
    </row>
    <row r="706" spans="1:26" x14ac:dyDescent="0.3">
      <c r="A706" s="11">
        <v>41212</v>
      </c>
      <c r="B706" s="12">
        <v>20954.669999999998</v>
      </c>
      <c r="C706" s="12">
        <v>29.35802</v>
      </c>
      <c r="D706" s="16">
        <f t="shared" si="148"/>
        <v>6.4799017856114194E-3</v>
      </c>
      <c r="E706" s="15">
        <f t="shared" si="147"/>
        <v>2.7154979293042558E-4</v>
      </c>
      <c r="G706" s="25" t="str">
        <f>IF(VLOOKUP(A706,Aux!B:C,2,FALSE)=0,"",VLOOKUP(A706,Aux!B:C,2,FALSE))</f>
        <v/>
      </c>
      <c r="H706" s="25" t="str">
        <f t="shared" si="136"/>
        <v/>
      </c>
      <c r="L706" s="13">
        <f t="shared" si="139"/>
        <v>113510.57752794601</v>
      </c>
      <c r="M706" s="14">
        <f t="shared" si="140"/>
        <v>363.80767553506155</v>
      </c>
      <c r="N706" s="14">
        <f t="shared" si="141"/>
        <v>15.474885227811139</v>
      </c>
      <c r="O706" s="1">
        <f t="shared" si="142"/>
        <v>2.6966694502635975</v>
      </c>
      <c r="P706" s="1">
        <f t="shared" si="143"/>
        <v>1941.6418102648238</v>
      </c>
      <c r="S706" s="6">
        <f t="shared" si="137"/>
        <v>0.49781984780619248</v>
      </c>
      <c r="T706" s="6">
        <f t="shared" si="138"/>
        <v>0.50218015219380741</v>
      </c>
      <c r="V706" s="1">
        <f t="shared" si="144"/>
        <v>114020.9362358771</v>
      </c>
      <c r="W706" s="7">
        <f t="shared" si="145"/>
        <v>3.3469800673300858E-3</v>
      </c>
      <c r="X706" s="7">
        <f t="shared" si="146"/>
        <v>2.890239488854101E-3</v>
      </c>
      <c r="Y706">
        <f>LN(B706/B705)</f>
        <v>6.4589974786767911E-3</v>
      </c>
      <c r="Z706">
        <f>LN(C706/C705)</f>
        <v>2.7151292995867589E-4</v>
      </c>
    </row>
    <row r="707" spans="1:26" x14ac:dyDescent="0.3">
      <c r="A707" s="9">
        <v>41213</v>
      </c>
      <c r="B707" s="1">
        <v>20741.23</v>
      </c>
      <c r="C707" s="1">
        <v>29.36598</v>
      </c>
      <c r="D707" s="6">
        <f t="shared" si="148"/>
        <v>-1.0185796292664029E-2</v>
      </c>
      <c r="E707" s="5">
        <f t="shared" si="147"/>
        <v>2.711354512328068E-4</v>
      </c>
      <c r="G707" s="25" t="str">
        <f>IF(VLOOKUP(A707,Aux!B:C,2,FALSE)=0,"",VLOOKUP(A707,Aux!B:C,2,FALSE))</f>
        <v/>
      </c>
      <c r="H707" s="25" t="str">
        <f t="shared" ref="H707:H770" si="149">IF(ISNUMBER(G707),1-G707,"")</f>
        <v/>
      </c>
      <c r="L707" s="13">
        <f t="shared" si="139"/>
        <v>112950.45586929146</v>
      </c>
      <c r="M707" s="14">
        <f t="shared" si="140"/>
        <v>-575.57712746425875</v>
      </c>
      <c r="N707" s="14">
        <f t="shared" si="141"/>
        <v>15.455468809709227</v>
      </c>
      <c r="O707" s="1">
        <f t="shared" si="142"/>
        <v>2.6966694502635975</v>
      </c>
      <c r="P707" s="1">
        <f t="shared" si="143"/>
        <v>1941.6418102648238</v>
      </c>
      <c r="S707" s="6">
        <f t="shared" ref="S707:S770" si="150">O707*B707/L707</f>
        <v>0.49519270082997052</v>
      </c>
      <c r="T707" s="6">
        <f t="shared" ref="T707:T770" si="151">P707*C707/L707</f>
        <v>0.50480729917002931</v>
      </c>
      <c r="V707" s="1">
        <f t="shared" si="144"/>
        <v>113546.33026409955</v>
      </c>
      <c r="W707" s="7">
        <f t="shared" si="145"/>
        <v>-4.9467477247407366E-3</v>
      </c>
      <c r="X707" s="7">
        <f t="shared" si="146"/>
        <v>-4.1711329330468006E-3</v>
      </c>
      <c r="Y707">
        <f>LN(B707/B706)</f>
        <v>-1.0238026489179824E-2</v>
      </c>
      <c r="Z707">
        <f>LN(C707/C706)</f>
        <v>2.7109870065912138E-4</v>
      </c>
    </row>
    <row r="708" spans="1:26" x14ac:dyDescent="0.3">
      <c r="A708" s="11">
        <v>41214</v>
      </c>
      <c r="B708" s="12">
        <v>21159.45</v>
      </c>
      <c r="C708" s="12">
        <v>29.37396</v>
      </c>
      <c r="D708" s="16">
        <f t="shared" si="148"/>
        <v>2.0163702924079319E-2</v>
      </c>
      <c r="E708" s="15">
        <f t="shared" si="147"/>
        <v>2.7174301691967884E-4</v>
      </c>
      <c r="G708" s="25" t="str">
        <f>IF(VLOOKUP(A708,Aux!B:C,2,FALSE)=0,"",VLOOKUP(A708,Aux!B:C,2,FALSE))</f>
        <v/>
      </c>
      <c r="H708" s="25" t="str">
        <f t="shared" si="149"/>
        <v/>
      </c>
      <c r="L708" s="13">
        <f t="shared" ref="L708:L771" si="152">L707+M708+N708</f>
        <v>114093.75126842661</v>
      </c>
      <c r="M708" s="14">
        <f t="shared" ref="M708:M771" si="153">O707*(B708-B707)</f>
        <v>1127.801097489245</v>
      </c>
      <c r="N708" s="14">
        <f t="shared" ref="N708:N771" si="154">P707*(C708-C707)</f>
        <v>15.494301645913053</v>
      </c>
      <c r="O708" s="1">
        <f t="shared" ref="O708:O771" si="155">IF(ISNUMBER(G708),L708*G708/B708,O707)</f>
        <v>2.6966694502635975</v>
      </c>
      <c r="P708" s="1">
        <f t="shared" ref="P708:P771" si="156">IF(ISNUMBER(H708),L708*H708/C708,P707)</f>
        <v>1941.6418102648238</v>
      </c>
      <c r="S708" s="6">
        <f t="shared" si="150"/>
        <v>0.50011540303496371</v>
      </c>
      <c r="T708" s="6">
        <f t="shared" si="151"/>
        <v>0.49988459696503618</v>
      </c>
      <c r="V708" s="1">
        <f t="shared" ref="V708:V771" si="157">$O$2*B708+$P$2*C708</f>
        <v>114529.03075055627</v>
      </c>
      <c r="W708" s="7">
        <f t="shared" ref="W708:W771" si="158">LN(L708/L707)</f>
        <v>1.0071211040079169E-2</v>
      </c>
      <c r="X708" s="7">
        <f t="shared" ref="X708:X771" si="159">LN(V708/V707)</f>
        <v>8.6173847389723404E-3</v>
      </c>
      <c r="Y708">
        <f>LN(B708/B707)</f>
        <v>1.9963107481368796E-2</v>
      </c>
      <c r="Z708">
        <f>LN(C708/C707)</f>
        <v>2.7170610147358158E-4</v>
      </c>
    </row>
    <row r="709" spans="1:26" x14ac:dyDescent="0.3">
      <c r="A709" s="9">
        <v>41218</v>
      </c>
      <c r="B709" s="1">
        <v>21144.35</v>
      </c>
      <c r="C709" s="1">
        <v>29.381969999999999</v>
      </c>
      <c r="D709" s="6">
        <f t="shared" si="148"/>
        <v>-7.1362913497285962E-4</v>
      </c>
      <c r="E709" s="5">
        <f t="shared" ref="E709:E772" si="160">C709/C708-1</f>
        <v>2.7269050546796514E-4</v>
      </c>
      <c r="G709" s="25" t="str">
        <f>IF(VLOOKUP(A709,Aux!B:C,2,FALSE)=0,"",VLOOKUP(A709,Aux!B:C,2,FALSE))</f>
        <v/>
      </c>
      <c r="H709" s="25" t="str">
        <f t="shared" si="149"/>
        <v/>
      </c>
      <c r="L709" s="13">
        <f t="shared" si="152"/>
        <v>114068.58411062784</v>
      </c>
      <c r="M709" s="14">
        <f t="shared" si="153"/>
        <v>-40.71970869898621</v>
      </c>
      <c r="N709" s="14">
        <f t="shared" si="154"/>
        <v>15.552550900218792</v>
      </c>
      <c r="O709" s="1">
        <f t="shared" si="155"/>
        <v>2.6966694502635975</v>
      </c>
      <c r="P709" s="1">
        <f t="shared" si="156"/>
        <v>1941.6418102648238</v>
      </c>
      <c r="S709" s="6">
        <f t="shared" si="150"/>
        <v>0.49986876873462105</v>
      </c>
      <c r="T709" s="6">
        <f t="shared" si="151"/>
        <v>0.50013123126537895</v>
      </c>
      <c r="V709" s="1">
        <f t="shared" si="157"/>
        <v>114512.11395337211</v>
      </c>
      <c r="W709" s="7">
        <f t="shared" si="158"/>
        <v>-2.2060747107122993E-4</v>
      </c>
      <c r="X709" s="7">
        <f t="shared" si="159"/>
        <v>-1.4771841309811664E-4</v>
      </c>
      <c r="Y709">
        <f>LN(B709/B708)</f>
        <v>-7.1388388945135654E-4</v>
      </c>
      <c r="Z709">
        <f>LN(C709/C708)</f>
        <v>2.7265333216979572E-4</v>
      </c>
    </row>
    <row r="710" spans="1:26" x14ac:dyDescent="0.3">
      <c r="A710" s="11">
        <v>41219</v>
      </c>
      <c r="B710" s="12">
        <v>21417.01</v>
      </c>
      <c r="C710" s="12">
        <v>29.389990000000001</v>
      </c>
      <c r="D710" s="16">
        <f t="shared" si="148"/>
        <v>1.2895170577482906E-2</v>
      </c>
      <c r="E710" s="15">
        <f t="shared" si="160"/>
        <v>2.7295651040426527E-4</v>
      </c>
      <c r="G710" s="25" t="str">
        <f>IF(VLOOKUP(A710,Aux!B:C,2,FALSE)=0,"",VLOOKUP(A710,Aux!B:C,2,FALSE))</f>
        <v/>
      </c>
      <c r="H710" s="25" t="str">
        <f t="shared" si="149"/>
        <v/>
      </c>
      <c r="L710" s="13">
        <f t="shared" si="152"/>
        <v>114819.42997025505</v>
      </c>
      <c r="M710" s="14">
        <f t="shared" si="153"/>
        <v>735.27389230887206</v>
      </c>
      <c r="N710" s="14">
        <f t="shared" si="154"/>
        <v>15.571967318327603</v>
      </c>
      <c r="O710" s="1">
        <f t="shared" si="155"/>
        <v>2.6966694502635975</v>
      </c>
      <c r="P710" s="1">
        <f t="shared" si="156"/>
        <v>1941.6418102648238</v>
      </c>
      <c r="S710" s="6">
        <f t="shared" si="150"/>
        <v>0.5030036867275145</v>
      </c>
      <c r="T710" s="6">
        <f t="shared" si="151"/>
        <v>0.49699631327248533</v>
      </c>
      <c r="V710" s="1">
        <f t="shared" si="157"/>
        <v>115159.09191341125</v>
      </c>
      <c r="W710" s="7">
        <f t="shared" si="158"/>
        <v>6.5608376739292535E-3</v>
      </c>
      <c r="X710" s="7">
        <f t="shared" si="159"/>
        <v>5.6339641613924931E-3</v>
      </c>
      <c r="Y710">
        <f>LN(B710/B709)</f>
        <v>1.281273578285229E-2</v>
      </c>
      <c r="Z710">
        <f>LN(C710/C709)</f>
        <v>2.7291926455349006E-4</v>
      </c>
    </row>
    <row r="711" spans="1:26" x14ac:dyDescent="0.3">
      <c r="A711" s="9">
        <v>41220</v>
      </c>
      <c r="B711" s="1">
        <v>21122.5</v>
      </c>
      <c r="C711" s="1">
        <v>29.398009999999999</v>
      </c>
      <c r="D711" s="6">
        <f t="shared" si="148"/>
        <v>-1.3751219241154522E-2</v>
      </c>
      <c r="E711" s="5">
        <f t="shared" si="160"/>
        <v>2.7288202547870455E-4</v>
      </c>
      <c r="G711" s="25" t="str">
        <f>IF(VLOOKUP(A711,Aux!B:C,2,FALSE)=0,"",VLOOKUP(A711,Aux!B:C,2,FALSE))</f>
        <v/>
      </c>
      <c r="H711" s="25" t="str">
        <f t="shared" si="149"/>
        <v/>
      </c>
      <c r="L711" s="13">
        <f t="shared" si="152"/>
        <v>114040.80581777624</v>
      </c>
      <c r="M711" s="14">
        <f t="shared" si="153"/>
        <v>-794.19611979712784</v>
      </c>
      <c r="N711" s="14">
        <f t="shared" si="154"/>
        <v>15.571967318320706</v>
      </c>
      <c r="O711" s="1">
        <f t="shared" si="155"/>
        <v>2.6966694502635975</v>
      </c>
      <c r="P711" s="1">
        <f t="shared" si="156"/>
        <v>1941.6418102648238</v>
      </c>
      <c r="S711" s="6">
        <f t="shared" si="150"/>
        <v>0.49947385108983572</v>
      </c>
      <c r="T711" s="6">
        <f t="shared" si="151"/>
        <v>0.50052614891016423</v>
      </c>
      <c r="V711" s="1">
        <f t="shared" si="157"/>
        <v>114497.58884373761</v>
      </c>
      <c r="W711" s="7">
        <f t="shared" si="158"/>
        <v>-6.8043900590162654E-3</v>
      </c>
      <c r="X711" s="7">
        <f t="shared" si="159"/>
        <v>-5.7608156395312577E-3</v>
      </c>
      <c r="Y711">
        <f>LN(B711/B710)</f>
        <v>-1.3846643062264116E-2</v>
      </c>
      <c r="Z711">
        <f>LN(C711/C710)</f>
        <v>2.7284479995075419E-4</v>
      </c>
    </row>
    <row r="712" spans="1:26" x14ac:dyDescent="0.3">
      <c r="A712" s="11">
        <v>41221</v>
      </c>
      <c r="B712" s="12">
        <v>20786.73</v>
      </c>
      <c r="C712" s="12">
        <v>29.40605</v>
      </c>
      <c r="D712" s="16">
        <f t="shared" si="148"/>
        <v>-1.5896319091016742E-2</v>
      </c>
      <c r="E712" s="15">
        <f t="shared" si="160"/>
        <v>2.7348789935111029E-4</v>
      </c>
      <c r="G712" s="25" t="str">
        <f>IF(VLOOKUP(A712,Aux!B:C,2,FALSE)=0,"",VLOOKUP(A712,Aux!B:C,2,FALSE))</f>
        <v/>
      </c>
      <c r="H712" s="25" t="str">
        <f t="shared" si="149"/>
        <v/>
      </c>
      <c r="L712" s="13">
        <f t="shared" si="152"/>
        <v>113150.95591661577</v>
      </c>
      <c r="M712" s="14">
        <f t="shared" si="153"/>
        <v>-905.46070131500926</v>
      </c>
      <c r="N712" s="14">
        <f t="shared" si="154"/>
        <v>15.610800154531431</v>
      </c>
      <c r="O712" s="1">
        <f t="shared" si="155"/>
        <v>2.6966694502635975</v>
      </c>
      <c r="P712" s="1">
        <f t="shared" si="156"/>
        <v>1941.6418102648238</v>
      </c>
      <c r="S712" s="6">
        <f t="shared" si="150"/>
        <v>0.49539961291344586</v>
      </c>
      <c r="T712" s="6">
        <f t="shared" si="151"/>
        <v>0.50460038708655397</v>
      </c>
      <c r="V712" s="1">
        <f t="shared" si="157"/>
        <v>113740.94225343069</v>
      </c>
      <c r="W712" s="7">
        <f t="shared" si="158"/>
        <v>-7.8335098486780642E-3</v>
      </c>
      <c r="X712" s="7">
        <f t="shared" si="159"/>
        <v>-6.6303385200022318E-3</v>
      </c>
      <c r="Y712">
        <f>LN(B712/B711)</f>
        <v>-1.6024020703150607E-2</v>
      </c>
      <c r="Z712">
        <f>LN(C712/C711)</f>
        <v>2.7345050835273291E-4</v>
      </c>
    </row>
    <row r="713" spans="1:26" x14ac:dyDescent="0.3">
      <c r="A713" s="9">
        <v>41222</v>
      </c>
      <c r="B713" s="1">
        <v>20747.97</v>
      </c>
      <c r="C713" s="1">
        <v>29.41404</v>
      </c>
      <c r="D713" s="6">
        <f t="shared" si="148"/>
        <v>-1.8646511500365337E-3</v>
      </c>
      <c r="E713" s="5">
        <f t="shared" si="160"/>
        <v>2.7171279379589741E-4</v>
      </c>
      <c r="G713" s="25" t="str">
        <f>IF(VLOOKUP(A713,Aux!B:C,2,FALSE)=0,"",VLOOKUP(A713,Aux!B:C,2,FALSE))</f>
        <v/>
      </c>
      <c r="H713" s="25" t="str">
        <f t="shared" si="149"/>
        <v/>
      </c>
      <c r="L713" s="13">
        <f t="shared" si="152"/>
        <v>113061.94672678757</v>
      </c>
      <c r="M713" s="14">
        <f t="shared" si="153"/>
        <v>-104.52290789221273</v>
      </c>
      <c r="N713" s="14">
        <f t="shared" si="154"/>
        <v>15.513718064014967</v>
      </c>
      <c r="O713" s="1">
        <f t="shared" si="155"/>
        <v>2.6966694502635975</v>
      </c>
      <c r="P713" s="1">
        <f t="shared" si="156"/>
        <v>1941.6418102648238</v>
      </c>
      <c r="S713" s="6">
        <f t="shared" si="150"/>
        <v>0.49486514670748527</v>
      </c>
      <c r="T713" s="6">
        <f t="shared" si="151"/>
        <v>0.50513485329251462</v>
      </c>
      <c r="V713" s="1">
        <f t="shared" si="157"/>
        <v>113669.39626596609</v>
      </c>
      <c r="W713" s="7">
        <f t="shared" si="158"/>
        <v>-7.8695064146772574E-4</v>
      </c>
      <c r="X713" s="7">
        <f t="shared" si="159"/>
        <v>-6.2922372211368389E-4</v>
      </c>
      <c r="Y713">
        <f>LN(B713/B712)</f>
        <v>-1.8663917761023554E-3</v>
      </c>
      <c r="Z713">
        <f>LN(C713/C712)</f>
        <v>2.7167588656003532E-4</v>
      </c>
    </row>
    <row r="714" spans="1:26" x14ac:dyDescent="0.3">
      <c r="A714" s="11">
        <v>41225</v>
      </c>
      <c r="B714" s="12">
        <v>20629.7</v>
      </c>
      <c r="C714" s="12">
        <v>29.422039999999999</v>
      </c>
      <c r="D714" s="16">
        <f t="shared" si="148"/>
        <v>-5.7003167056826065E-3</v>
      </c>
      <c r="E714" s="15">
        <f t="shared" si="160"/>
        <v>2.7197895970765273E-4</v>
      </c>
      <c r="G714" s="25" t="str">
        <f>IF(VLOOKUP(A714,Aux!B:C,2,FALSE)=0,"",VLOOKUP(A714,Aux!B:C,2,FALSE))</f>
        <v/>
      </c>
      <c r="H714" s="25" t="str">
        <f t="shared" si="149"/>
        <v/>
      </c>
      <c r="L714" s="13">
        <f t="shared" si="152"/>
        <v>112758.54476538701</v>
      </c>
      <c r="M714" s="14">
        <f t="shared" si="153"/>
        <v>-318.93509588267688</v>
      </c>
      <c r="N714" s="14">
        <f t="shared" si="154"/>
        <v>15.53313448211688</v>
      </c>
      <c r="O714" s="1">
        <f t="shared" si="155"/>
        <v>2.6966694502635975</v>
      </c>
      <c r="P714" s="1">
        <f t="shared" si="156"/>
        <v>1941.6418102648238</v>
      </c>
      <c r="S714" s="6">
        <f t="shared" si="150"/>
        <v>0.49336821323699714</v>
      </c>
      <c r="T714" s="6">
        <f t="shared" si="151"/>
        <v>0.5066317867630028</v>
      </c>
      <c r="V714" s="1">
        <f t="shared" si="157"/>
        <v>113414.4402985514</v>
      </c>
      <c r="W714" s="7">
        <f t="shared" si="158"/>
        <v>-2.6871090569027989E-3</v>
      </c>
      <c r="X714" s="7">
        <f t="shared" si="159"/>
        <v>-2.2454797170915505E-3</v>
      </c>
      <c r="Y714">
        <f>LN(B714/B713)</f>
        <v>-5.716625517413634E-3</v>
      </c>
      <c r="Z714">
        <f>LN(C714/C713)</f>
        <v>2.7194198013534934E-4</v>
      </c>
    </row>
    <row r="715" spans="1:26" x14ac:dyDescent="0.3">
      <c r="A715" s="9">
        <v>41226</v>
      </c>
      <c r="B715" s="1">
        <v>20819.34</v>
      </c>
      <c r="C715" s="1">
        <v>29.430009999999999</v>
      </c>
      <c r="D715" s="6">
        <f t="shared" si="148"/>
        <v>9.1925718745304863E-3</v>
      </c>
      <c r="E715" s="5">
        <f t="shared" si="160"/>
        <v>2.7088536348940373E-4</v>
      </c>
      <c r="G715" s="25" t="str">
        <f>IF(VLOOKUP(A715,Aux!B:C,2,FALSE)=0,"",VLOOKUP(A715,Aux!B:C,2,FALSE))</f>
        <v/>
      </c>
      <c r="H715" s="25" t="str">
        <f t="shared" si="149"/>
        <v/>
      </c>
      <c r="L715" s="13">
        <f t="shared" si="152"/>
        <v>113285.41604516281</v>
      </c>
      <c r="M715" s="14">
        <f t="shared" si="153"/>
        <v>511.39639454798709</v>
      </c>
      <c r="N715" s="14">
        <f t="shared" si="154"/>
        <v>15.474885227811139</v>
      </c>
      <c r="O715" s="1">
        <f t="shared" si="155"/>
        <v>2.6966694502635975</v>
      </c>
      <c r="P715" s="1">
        <f t="shared" si="156"/>
        <v>1941.6418102648238</v>
      </c>
      <c r="S715" s="6">
        <f t="shared" si="150"/>
        <v>0.49558787099540497</v>
      </c>
      <c r="T715" s="6">
        <f t="shared" si="151"/>
        <v>0.50441212900459487</v>
      </c>
      <c r="V715" s="1">
        <f t="shared" si="157"/>
        <v>113869.77635791231</v>
      </c>
      <c r="W715" s="7">
        <f t="shared" si="158"/>
        <v>4.6616793655301532E-3</v>
      </c>
      <c r="X715" s="7">
        <f t="shared" si="159"/>
        <v>4.0067601281574316E-3</v>
      </c>
      <c r="Y715">
        <f>LN(B715/B714)</f>
        <v>9.1505773479774091E-3</v>
      </c>
      <c r="Z715">
        <f>LN(C715/C714)</f>
        <v>2.7084868067373636E-4</v>
      </c>
    </row>
    <row r="716" spans="1:26" x14ac:dyDescent="0.3">
      <c r="A716" s="11">
        <v>41227</v>
      </c>
      <c r="B716" s="12">
        <v>20477.900000000001</v>
      </c>
      <c r="C716" s="12">
        <v>29.43798</v>
      </c>
      <c r="D716" s="16">
        <f t="shared" si="148"/>
        <v>-1.6400135643108715E-2</v>
      </c>
      <c r="E716" s="15">
        <f t="shared" si="160"/>
        <v>2.7081200448120235E-4</v>
      </c>
      <c r="G716" s="25" t="str">
        <f>IF(VLOOKUP(A716,Aux!B:C,2,FALSE)=0,"",VLOOKUP(A716,Aux!B:C,2,FALSE))</f>
        <v/>
      </c>
      <c r="H716" s="25" t="str">
        <f t="shared" si="149"/>
        <v/>
      </c>
      <c r="L716" s="13">
        <f t="shared" si="152"/>
        <v>112380.14011329263</v>
      </c>
      <c r="M716" s="14">
        <f t="shared" si="153"/>
        <v>-920.75081709799917</v>
      </c>
      <c r="N716" s="14">
        <f t="shared" si="154"/>
        <v>15.474885227811139</v>
      </c>
      <c r="O716" s="1">
        <f t="shared" si="155"/>
        <v>2.6966694502635975</v>
      </c>
      <c r="P716" s="1">
        <f t="shared" si="156"/>
        <v>1941.6418102648238</v>
      </c>
      <c r="S716" s="6">
        <f t="shared" si="150"/>
        <v>0.49138688810925502</v>
      </c>
      <c r="T716" s="6">
        <f t="shared" si="151"/>
        <v>0.50861311189074476</v>
      </c>
      <c r="V716" s="1">
        <f t="shared" si="157"/>
        <v>113099.89227999542</v>
      </c>
      <c r="W716" s="7">
        <f t="shared" si="158"/>
        <v>-8.0232074709750481E-3</v>
      </c>
      <c r="X716" s="7">
        <f t="shared" si="159"/>
        <v>-6.7840521181186742E-3</v>
      </c>
      <c r="Y716">
        <f>LN(B716/B715)</f>
        <v>-1.6536106544855621E-2</v>
      </c>
      <c r="Z716">
        <f>LN(C716/C715)</f>
        <v>2.7077534152934577E-4</v>
      </c>
    </row>
    <row r="717" spans="1:26" x14ac:dyDescent="0.3">
      <c r="A717" s="9">
        <v>41229</v>
      </c>
      <c r="B717" s="1">
        <v>20314.650000000001</v>
      </c>
      <c r="C717" s="1">
        <v>29.44595</v>
      </c>
      <c r="D717" s="6">
        <f t="shared" si="148"/>
        <v>-7.9720088485635276E-3</v>
      </c>
      <c r="E717" s="5">
        <f t="shared" si="160"/>
        <v>2.7073868519522648E-4</v>
      </c>
      <c r="G717" s="25" t="str">
        <f>IF(VLOOKUP(A717,Aux!B:C,2,FALSE)=0,"",VLOOKUP(A717,Aux!B:C,2,FALSE))</f>
        <v/>
      </c>
      <c r="H717" s="25" t="str">
        <f t="shared" si="149"/>
        <v/>
      </c>
      <c r="L717" s="13">
        <f t="shared" si="152"/>
        <v>111955.3837107649</v>
      </c>
      <c r="M717" s="14">
        <f t="shared" si="153"/>
        <v>-440.23128775553226</v>
      </c>
      <c r="N717" s="14">
        <f t="shared" si="154"/>
        <v>15.474885227811139</v>
      </c>
      <c r="O717" s="1">
        <f t="shared" si="155"/>
        <v>2.6966694502635975</v>
      </c>
      <c r="P717" s="1">
        <f t="shared" si="156"/>
        <v>1941.6418102648238</v>
      </c>
      <c r="S717" s="6">
        <f t="shared" si="150"/>
        <v>0.48931899683650432</v>
      </c>
      <c r="T717" s="6">
        <f t="shared" si="151"/>
        <v>0.51068100316349552</v>
      </c>
      <c r="V717" s="1">
        <f t="shared" si="157"/>
        <v>112741.09876519808</v>
      </c>
      <c r="W717" s="7">
        <f t="shared" si="158"/>
        <v>-3.7868002611975054E-3</v>
      </c>
      <c r="X717" s="7">
        <f t="shared" si="159"/>
        <v>-3.1774020738950634E-3</v>
      </c>
      <c r="Y717">
        <f>LN(B717/B716)</f>
        <v>-8.003955208824411E-3</v>
      </c>
      <c r="Z717">
        <f>LN(C717/C716)</f>
        <v>2.7070204209105059E-4</v>
      </c>
    </row>
    <row r="718" spans="1:26" x14ac:dyDescent="0.3">
      <c r="A718" s="11">
        <v>41232</v>
      </c>
      <c r="B718" s="12">
        <v>20590.849999999999</v>
      </c>
      <c r="C718" s="12">
        <v>29.45391</v>
      </c>
      <c r="D718" s="16">
        <f t="shared" si="148"/>
        <v>1.3596099366713021E-2</v>
      </c>
      <c r="E718" s="15">
        <f t="shared" si="160"/>
        <v>2.7032580032226861E-4</v>
      </c>
      <c r="G718" s="25" t="str">
        <f>IF(VLOOKUP(A718,Aux!B:C,2,FALSE)=0,"",VLOOKUP(A718,Aux!B:C,2,FALSE))</f>
        <v/>
      </c>
      <c r="H718" s="25" t="str">
        <f t="shared" si="149"/>
        <v/>
      </c>
      <c r="L718" s="13">
        <f t="shared" si="152"/>
        <v>112715.65928173742</v>
      </c>
      <c r="M718" s="14">
        <f t="shared" si="153"/>
        <v>744.82010216279775</v>
      </c>
      <c r="N718" s="14">
        <f t="shared" si="154"/>
        <v>15.455468809709227</v>
      </c>
      <c r="O718" s="1">
        <f t="shared" si="155"/>
        <v>2.6966694502635975</v>
      </c>
      <c r="P718" s="1">
        <f t="shared" si="156"/>
        <v>1941.6418102648238</v>
      </c>
      <c r="S718" s="6">
        <f t="shared" si="150"/>
        <v>0.49262645939167055</v>
      </c>
      <c r="T718" s="6">
        <f t="shared" si="151"/>
        <v>0.50737354060832918</v>
      </c>
      <c r="V718" s="1">
        <f t="shared" si="157"/>
        <v>113396.10940111939</v>
      </c>
      <c r="W718" s="7">
        <f t="shared" si="158"/>
        <v>6.7679257893457313E-3</v>
      </c>
      <c r="X718" s="7">
        <f t="shared" si="159"/>
        <v>5.7930534567839911E-3</v>
      </c>
      <c r="Y718">
        <f>LN(B718/B717)</f>
        <v>1.3504501720932344E-2</v>
      </c>
      <c r="Z718">
        <f>LN(C718/C717)</f>
        <v>2.7028926888655343E-4</v>
      </c>
    </row>
    <row r="719" spans="1:26" x14ac:dyDescent="0.3">
      <c r="A719" s="9">
        <v>41234</v>
      </c>
      <c r="B719" s="1">
        <v>20596.18</v>
      </c>
      <c r="C719" s="1">
        <v>29.46978</v>
      </c>
      <c r="D719" s="6">
        <f t="shared" si="148"/>
        <v>2.5885283997517661E-4</v>
      </c>
      <c r="E719" s="5">
        <f t="shared" si="160"/>
        <v>5.388079205783658E-4</v>
      </c>
      <c r="G719" s="25" t="str">
        <f>IF(VLOOKUP(A719,Aux!B:C,2,FALSE)=0,"",VLOOKUP(A719,Aux!B:C,2,FALSE))</f>
        <v/>
      </c>
      <c r="H719" s="25" t="str">
        <f t="shared" si="149"/>
        <v/>
      </c>
      <c r="L719" s="13">
        <f t="shared" si="152"/>
        <v>112760.84638543623</v>
      </c>
      <c r="M719" s="14">
        <f t="shared" si="153"/>
        <v>14.373248169909683</v>
      </c>
      <c r="N719" s="14">
        <f t="shared" si="154"/>
        <v>30.813855528901989</v>
      </c>
      <c r="O719" s="1">
        <f t="shared" si="155"/>
        <v>2.6966694502635975</v>
      </c>
      <c r="P719" s="1">
        <f t="shared" si="156"/>
        <v>1941.6418102648238</v>
      </c>
      <c r="S719" s="6">
        <f t="shared" si="150"/>
        <v>0.49255651388320532</v>
      </c>
      <c r="T719" s="6">
        <f t="shared" si="151"/>
        <v>0.50744348611679446</v>
      </c>
      <c r="V719" s="1">
        <f t="shared" si="157"/>
        <v>113443.90918972791</v>
      </c>
      <c r="W719" s="7">
        <f t="shared" si="158"/>
        <v>4.0081430364611394E-4</v>
      </c>
      <c r="X719" s="7">
        <f t="shared" si="159"/>
        <v>4.2144053428436076E-4</v>
      </c>
      <c r="Y719">
        <f>LN(B719/B718)</f>
        <v>2.5881934335913315E-4</v>
      </c>
      <c r="Z719">
        <f>LN(C719/C718)</f>
        <v>5.3866281571082178E-4</v>
      </c>
    </row>
    <row r="720" spans="1:26" x14ac:dyDescent="0.3">
      <c r="A720" s="11">
        <v>41235</v>
      </c>
      <c r="B720" s="12">
        <v>20647.72</v>
      </c>
      <c r="C720" s="12">
        <v>29.477679999999999</v>
      </c>
      <c r="D720" s="16">
        <f t="shared" si="148"/>
        <v>2.5024057859273086E-3</v>
      </c>
      <c r="E720" s="15">
        <f t="shared" si="160"/>
        <v>2.6807122414895801E-4</v>
      </c>
      <c r="G720" s="25" t="str">
        <f>IF(VLOOKUP(A720,Aux!B:C,2,FALSE)=0,"",VLOOKUP(A720,Aux!B:C,2,FALSE))</f>
        <v/>
      </c>
      <c r="H720" s="25" t="str">
        <f t="shared" si="149"/>
        <v/>
      </c>
      <c r="L720" s="13">
        <f t="shared" si="152"/>
        <v>112915.17169920391</v>
      </c>
      <c r="M720" s="14">
        <f t="shared" si="153"/>
        <v>138.98634346658818</v>
      </c>
      <c r="N720" s="14">
        <f t="shared" si="154"/>
        <v>15.33897030109085</v>
      </c>
      <c r="O720" s="1">
        <f t="shared" si="155"/>
        <v>2.6966694502635975</v>
      </c>
      <c r="P720" s="1">
        <f t="shared" si="156"/>
        <v>1941.6418102648238</v>
      </c>
      <c r="S720" s="6">
        <f t="shared" si="150"/>
        <v>0.49311421046166865</v>
      </c>
      <c r="T720" s="6">
        <f t="shared" si="151"/>
        <v>0.50688578953833108</v>
      </c>
      <c r="V720" s="1">
        <f t="shared" si="157"/>
        <v>113580.48711905268</v>
      </c>
      <c r="W720" s="7">
        <f t="shared" si="158"/>
        <v>1.3676715774522199E-3</v>
      </c>
      <c r="X720" s="7">
        <f t="shared" si="159"/>
        <v>1.2032006077081216E-3</v>
      </c>
      <c r="Y720">
        <f>LN(B720/B719)</f>
        <v>2.4992799821688719E-3</v>
      </c>
      <c r="Z720">
        <f>LN(C720/C719)</f>
        <v>2.6803529947845318E-4</v>
      </c>
    </row>
    <row r="721" spans="1:26" x14ac:dyDescent="0.3">
      <c r="A721" s="9">
        <v>41236</v>
      </c>
      <c r="B721" s="1">
        <v>21007.55</v>
      </c>
      <c r="C721" s="1">
        <v>29.485690000000002</v>
      </c>
      <c r="D721" s="6">
        <f t="shared" si="148"/>
        <v>1.7427105753080596E-2</v>
      </c>
      <c r="E721" s="5">
        <f t="shared" si="160"/>
        <v>2.7173101818056544E-4</v>
      </c>
      <c r="G721" s="25" t="str">
        <f>IF(VLOOKUP(A721,Aux!B:C,2,FALSE)=0,"",VLOOKUP(A721,Aux!B:C,2,FALSE))</f>
        <v/>
      </c>
      <c r="H721" s="25" t="str">
        <f t="shared" si="149"/>
        <v/>
      </c>
      <c r="L721" s="13">
        <f t="shared" si="152"/>
        <v>113901.06681839249</v>
      </c>
      <c r="M721" s="14">
        <f t="shared" si="153"/>
        <v>970.34256828834521</v>
      </c>
      <c r="N721" s="14">
        <f t="shared" si="154"/>
        <v>15.552550900225691</v>
      </c>
      <c r="O721" s="1">
        <f t="shared" si="155"/>
        <v>2.6966694502635975</v>
      </c>
      <c r="P721" s="1">
        <f t="shared" si="156"/>
        <v>1941.6418102648238</v>
      </c>
      <c r="S721" s="6">
        <f t="shared" si="150"/>
        <v>0.49736512477280198</v>
      </c>
      <c r="T721" s="6">
        <f t="shared" si="151"/>
        <v>0.50263487522719774</v>
      </c>
      <c r="V721" s="1">
        <f t="shared" si="157"/>
        <v>114428.5469469901</v>
      </c>
      <c r="W721" s="7">
        <f t="shared" si="158"/>
        <v>8.6933928074643119E-3</v>
      </c>
      <c r="X721" s="7">
        <f t="shared" si="159"/>
        <v>7.4388608516337204E-3</v>
      </c>
      <c r="Y721">
        <f>LN(B721/B720)</f>
        <v>1.72769952307942E-2</v>
      </c>
      <c r="Z721">
        <f>LN(C721/C720)</f>
        <v>2.7169410599408401E-4</v>
      </c>
    </row>
    <row r="722" spans="1:26" x14ac:dyDescent="0.3">
      <c r="A722" s="11">
        <v>41239</v>
      </c>
      <c r="B722" s="12">
        <v>20792.61</v>
      </c>
      <c r="C722" s="12">
        <v>29.493739999999999</v>
      </c>
      <c r="D722" s="16">
        <f t="shared" si="148"/>
        <v>-1.0231559605951124E-2</v>
      </c>
      <c r="E722" s="15">
        <f t="shared" si="160"/>
        <v>2.7301379075739263E-4</v>
      </c>
      <c r="G722" s="25" t="str">
        <f>IF(VLOOKUP(A722,Aux!B:C,2,FALSE)=0,"",VLOOKUP(A722,Aux!B:C,2,FALSE))</f>
        <v/>
      </c>
      <c r="H722" s="25" t="str">
        <f t="shared" si="149"/>
        <v/>
      </c>
      <c r="L722" s="13">
        <f t="shared" si="152"/>
        <v>113337.07490332545</v>
      </c>
      <c r="M722" s="14">
        <f t="shared" si="153"/>
        <v>-579.62213163965407</v>
      </c>
      <c r="N722" s="14">
        <f t="shared" si="154"/>
        <v>15.630216572626445</v>
      </c>
      <c r="O722" s="1">
        <f t="shared" si="155"/>
        <v>2.6966694502635975</v>
      </c>
      <c r="P722" s="1">
        <f t="shared" si="156"/>
        <v>1941.6418102648238</v>
      </c>
      <c r="S722" s="6">
        <f t="shared" si="150"/>
        <v>0.4947259864088851</v>
      </c>
      <c r="T722" s="6">
        <f t="shared" si="151"/>
        <v>0.50527401359111457</v>
      </c>
      <c r="V722" s="1">
        <f t="shared" si="157"/>
        <v>113950.68176466381</v>
      </c>
      <c r="W722" s="7">
        <f t="shared" si="158"/>
        <v>-4.9638944313519723E-3</v>
      </c>
      <c r="X722" s="7">
        <f t="shared" si="159"/>
        <v>-4.1848453769066851E-3</v>
      </c>
      <c r="Y722">
        <f>LN(B722/B721)</f>
        <v>-1.0284261803913069E-2</v>
      </c>
      <c r="Z722">
        <f>LN(C722/C721)</f>
        <v>2.7297652927419904E-4</v>
      </c>
    </row>
    <row r="723" spans="1:26" x14ac:dyDescent="0.3">
      <c r="A723" s="9">
        <v>41240</v>
      </c>
      <c r="B723" s="1">
        <v>20602.12</v>
      </c>
      <c r="C723" s="1">
        <v>29.501799999999999</v>
      </c>
      <c r="D723" s="6">
        <f t="shared" si="148"/>
        <v>-9.1614280265922554E-3</v>
      </c>
      <c r="E723" s="5">
        <f t="shared" si="160"/>
        <v>2.7327832957091402E-4</v>
      </c>
      <c r="G723" s="25" t="str">
        <f>IF(VLOOKUP(A723,Aux!B:C,2,FALSE)=0,"",VLOOKUP(A723,Aux!B:C,2,FALSE))</f>
        <v/>
      </c>
      <c r="H723" s="25" t="str">
        <f t="shared" si="149"/>
        <v/>
      </c>
      <c r="L723" s="13">
        <f t="shared" si="152"/>
        <v>112839.03597273548</v>
      </c>
      <c r="M723" s="14">
        <f t="shared" si="153"/>
        <v>-513.68856358071696</v>
      </c>
      <c r="N723" s="14">
        <f t="shared" si="154"/>
        <v>15.649632990735256</v>
      </c>
      <c r="O723" s="1">
        <f t="shared" si="155"/>
        <v>2.6966694502635975</v>
      </c>
      <c r="P723" s="1">
        <f t="shared" si="156"/>
        <v>1941.6418102648238</v>
      </c>
      <c r="S723" s="6">
        <f t="shared" si="150"/>
        <v>0.49235716288898945</v>
      </c>
      <c r="T723" s="6">
        <f t="shared" si="151"/>
        <v>0.50764283711101021</v>
      </c>
      <c r="V723" s="1">
        <f t="shared" si="157"/>
        <v>113529.2459589277</v>
      </c>
      <c r="W723" s="7">
        <f t="shared" si="158"/>
        <v>-4.4039994641770332E-3</v>
      </c>
      <c r="X723" s="7">
        <f t="shared" si="159"/>
        <v>-3.7052613134676672E-3</v>
      </c>
      <c r="Y723">
        <f>LN(B723/B722)</f>
        <v>-9.2036519940810781E-3</v>
      </c>
      <c r="Z723">
        <f>LN(C723/C722)</f>
        <v>2.7324099584971726E-4</v>
      </c>
    </row>
    <row r="724" spans="1:26" x14ac:dyDescent="0.3">
      <c r="A724" s="11">
        <v>41241</v>
      </c>
      <c r="B724" s="12">
        <v>20672.310000000001</v>
      </c>
      <c r="C724" s="12">
        <v>29.50986</v>
      </c>
      <c r="D724" s="16">
        <f t="shared" si="148"/>
        <v>3.4069309372046774E-3</v>
      </c>
      <c r="E724" s="15">
        <f t="shared" si="160"/>
        <v>2.7320366892857884E-4</v>
      </c>
      <c r="G724" s="25" t="str">
        <f>IF(VLOOKUP(A724,Aux!B:C,2,FALSE)=0,"",VLOOKUP(A724,Aux!B:C,2,FALSE))</f>
        <v/>
      </c>
      <c r="H724" s="25" t="str">
        <f t="shared" si="149"/>
        <v/>
      </c>
      <c r="L724" s="13">
        <f t="shared" si="152"/>
        <v>113043.96483444022</v>
      </c>
      <c r="M724" s="14">
        <f t="shared" si="153"/>
        <v>189.27922871400818</v>
      </c>
      <c r="N724" s="14">
        <f t="shared" si="154"/>
        <v>15.649632990735256</v>
      </c>
      <c r="O724" s="1">
        <f t="shared" si="155"/>
        <v>2.6966694502635975</v>
      </c>
      <c r="P724" s="1">
        <f t="shared" si="156"/>
        <v>1941.6418102648238</v>
      </c>
      <c r="S724" s="6">
        <f t="shared" si="150"/>
        <v>0.49313899176327236</v>
      </c>
      <c r="T724" s="6">
        <f t="shared" si="151"/>
        <v>0.5068610082367272</v>
      </c>
      <c r="V724" s="1">
        <f t="shared" si="157"/>
        <v>113709.2080318268</v>
      </c>
      <c r="W724" s="7">
        <f t="shared" si="158"/>
        <v>1.8144695899769551E-3</v>
      </c>
      <c r="X724" s="7">
        <f t="shared" si="159"/>
        <v>1.5839054294026662E-3</v>
      </c>
      <c r="Y724">
        <f>LN(B724/B723)</f>
        <v>3.4011404960275367E-3</v>
      </c>
      <c r="Z724">
        <f>LN(C724/C723)</f>
        <v>2.7316635560215789E-4</v>
      </c>
    </row>
    <row r="725" spans="1:26" x14ac:dyDescent="0.3">
      <c r="A725" s="9">
        <v>41242</v>
      </c>
      <c r="B725" s="1">
        <v>20992.560000000001</v>
      </c>
      <c r="C725" s="1">
        <v>29.517900000000001</v>
      </c>
      <c r="D725" s="6">
        <f t="shared" si="148"/>
        <v>1.5491737498131597E-2</v>
      </c>
      <c r="E725" s="5">
        <f t="shared" si="160"/>
        <v>2.7245130949449248E-4</v>
      </c>
      <c r="G725" s="25" t="str">
        <f>IF(VLOOKUP(A725,Aux!B:C,2,FALSE)=0,"",VLOOKUP(A725,Aux!B:C,2,FALSE))</f>
        <v/>
      </c>
      <c r="H725" s="25" t="str">
        <f t="shared" si="149"/>
        <v/>
      </c>
      <c r="L725" s="13">
        <f t="shared" si="152"/>
        <v>113923.18402604168</v>
      </c>
      <c r="M725" s="14">
        <f t="shared" si="153"/>
        <v>863.60839144691715</v>
      </c>
      <c r="N725" s="14">
        <f t="shared" si="154"/>
        <v>15.610800154531431</v>
      </c>
      <c r="O725" s="1">
        <f t="shared" si="155"/>
        <v>2.6966694502635975</v>
      </c>
      <c r="P725" s="1">
        <f t="shared" si="156"/>
        <v>1941.6418102648238</v>
      </c>
      <c r="S725" s="6">
        <f t="shared" si="150"/>
        <v>0.49691373813678807</v>
      </c>
      <c r="T725" s="6">
        <f t="shared" si="151"/>
        <v>0.50308626186321159</v>
      </c>
      <c r="V725" s="1">
        <f t="shared" si="157"/>
        <v>114466.02252922227</v>
      </c>
      <c r="W725" s="7">
        <f t="shared" si="158"/>
        <v>7.7475845640556417E-3</v>
      </c>
      <c r="X725" s="7">
        <f t="shared" si="159"/>
        <v>6.633649681026193E-3</v>
      </c>
      <c r="Y725">
        <f>LN(B725/B724)</f>
        <v>1.5372965617345115E-2</v>
      </c>
      <c r="Z725">
        <f>LN(C725/C724)</f>
        <v>2.7241420137642043E-4</v>
      </c>
    </row>
    <row r="726" spans="1:26" x14ac:dyDescent="0.3">
      <c r="A726" s="11">
        <v>41243</v>
      </c>
      <c r="B726" s="12">
        <v>20980.93</v>
      </c>
      <c r="C726" s="12">
        <v>29.52591</v>
      </c>
      <c r="D726" s="16">
        <f t="shared" si="148"/>
        <v>-5.5400580015019241E-4</v>
      </c>
      <c r="E726" s="15">
        <f t="shared" si="160"/>
        <v>2.7136076753420113E-4</v>
      </c>
      <c r="G726" s="25" t="str">
        <f>IF(VLOOKUP(A726,Aux!B:C,2,FALSE)=0,"",VLOOKUP(A726,Aux!B:C,2,FALSE))</f>
        <v/>
      </c>
      <c r="H726" s="25" t="str">
        <f t="shared" si="149"/>
        <v/>
      </c>
      <c r="L726" s="13">
        <f t="shared" si="152"/>
        <v>113907.37431123533</v>
      </c>
      <c r="M726" s="14">
        <f t="shared" si="153"/>
        <v>-31.362265706568387</v>
      </c>
      <c r="N726" s="14">
        <f t="shared" si="154"/>
        <v>15.552550900218792</v>
      </c>
      <c r="O726" s="1">
        <f t="shared" si="155"/>
        <v>2.6966694502635975</v>
      </c>
      <c r="P726" s="1">
        <f t="shared" si="156"/>
        <v>1941.6418102648238</v>
      </c>
      <c r="S726" s="6">
        <f t="shared" si="150"/>
        <v>0.49670737571850387</v>
      </c>
      <c r="T726" s="6">
        <f t="shared" si="151"/>
        <v>0.50329262428149579</v>
      </c>
      <c r="V726" s="1">
        <f t="shared" si="157"/>
        <v>114457.11114341937</v>
      </c>
      <c r="W726" s="7">
        <f t="shared" si="158"/>
        <v>-1.3878484911866704E-4</v>
      </c>
      <c r="X726" s="7">
        <f t="shared" si="159"/>
        <v>-7.7854829823769938E-5</v>
      </c>
      <c r="Y726">
        <f>LN(B726/B725)</f>
        <v>-5.5415931806598808E-4</v>
      </c>
      <c r="Z726">
        <f>LN(C726/C725)</f>
        <v>2.7132395586046821E-4</v>
      </c>
    </row>
    <row r="727" spans="1:26" x14ac:dyDescent="0.3">
      <c r="A727" s="9">
        <v>41246</v>
      </c>
      <c r="B727" s="1">
        <v>21195.37</v>
      </c>
      <c r="C727" s="1">
        <v>29.533899999999999</v>
      </c>
      <c r="D727" s="6">
        <f t="shared" si="148"/>
        <v>1.0220709949463558E-2</v>
      </c>
      <c r="E727" s="5">
        <f t="shared" si="160"/>
        <v>2.706097796816298E-4</v>
      </c>
      <c r="G727" s="25" t="str">
        <f>IF(VLOOKUP(A727,Aux!B:C,2,FALSE)=0,"",VLOOKUP(A727,Aux!B:C,2,FALSE))</f>
        <v/>
      </c>
      <c r="H727" s="25" t="str">
        <f t="shared" si="149"/>
        <v/>
      </c>
      <c r="L727" s="13">
        <f t="shared" si="152"/>
        <v>114501.16182621387</v>
      </c>
      <c r="M727" s="14">
        <f t="shared" si="153"/>
        <v>578.27379691452234</v>
      </c>
      <c r="N727" s="14">
        <f t="shared" si="154"/>
        <v>15.513718064014967</v>
      </c>
      <c r="O727" s="1">
        <f t="shared" si="155"/>
        <v>2.6966694502635975</v>
      </c>
      <c r="P727" s="1">
        <f t="shared" si="156"/>
        <v>1941.6418102648238</v>
      </c>
      <c r="S727" s="6">
        <f t="shared" si="150"/>
        <v>0.49918189347968744</v>
      </c>
      <c r="T727" s="6">
        <f t="shared" si="151"/>
        <v>0.50081810652031222</v>
      </c>
      <c r="V727" s="1">
        <f t="shared" si="157"/>
        <v>114969.70641293816</v>
      </c>
      <c r="W727" s="7">
        <f t="shared" si="158"/>
        <v>5.1993578058864703E-3</v>
      </c>
      <c r="X727" s="7">
        <f t="shared" si="159"/>
        <v>4.4684935084098537E-3</v>
      </c>
      <c r="Y727">
        <f>LN(B727/B726)</f>
        <v>1.0168831682562298E-2</v>
      </c>
      <c r="Z727">
        <f>LN(C727/C726)</f>
        <v>2.7057317145941321E-4</v>
      </c>
    </row>
    <row r="728" spans="1:26" x14ac:dyDescent="0.3">
      <c r="A728" s="11">
        <v>41247</v>
      </c>
      <c r="B728" s="12">
        <v>20994.94</v>
      </c>
      <c r="C728" s="12">
        <v>29.541910000000001</v>
      </c>
      <c r="D728" s="16">
        <f t="shared" si="148"/>
        <v>-9.4563105055490704E-3</v>
      </c>
      <c r="E728" s="15">
        <f t="shared" si="160"/>
        <v>2.7121375774963319E-4</v>
      </c>
      <c r="G728" s="25" t="str">
        <f>IF(VLOOKUP(A728,Aux!B:C,2,FALSE)=0,"",VLOOKUP(A728,Aux!B:C,2,FALSE))</f>
        <v/>
      </c>
      <c r="H728" s="25" t="str">
        <f t="shared" si="149"/>
        <v/>
      </c>
      <c r="L728" s="13">
        <f t="shared" si="152"/>
        <v>113976.22091919776</v>
      </c>
      <c r="M728" s="14">
        <f t="shared" si="153"/>
        <v>-540.49345791633368</v>
      </c>
      <c r="N728" s="14">
        <f t="shared" si="154"/>
        <v>15.552550900225691</v>
      </c>
      <c r="O728" s="1">
        <f t="shared" si="155"/>
        <v>2.6966694502635975</v>
      </c>
      <c r="P728" s="1">
        <f t="shared" si="156"/>
        <v>1941.6418102648238</v>
      </c>
      <c r="S728" s="6">
        <f t="shared" si="150"/>
        <v>0.49673881842647527</v>
      </c>
      <c r="T728" s="6">
        <f t="shared" si="151"/>
        <v>0.50326118157352429</v>
      </c>
      <c r="V728" s="1">
        <f t="shared" si="157"/>
        <v>114525.22682287593</v>
      </c>
      <c r="W728" s="7">
        <f t="shared" si="158"/>
        <v>-4.5951316878333906E-3</v>
      </c>
      <c r="X728" s="7">
        <f t="shared" si="159"/>
        <v>-3.873550841034796E-3</v>
      </c>
      <c r="Y728">
        <f>LN(B728/B727)</f>
        <v>-9.5013052908412016E-3</v>
      </c>
      <c r="Z728">
        <f>LN(C728/C727)</f>
        <v>2.7117698594696581E-4</v>
      </c>
    </row>
    <row r="729" spans="1:26" x14ac:dyDescent="0.3">
      <c r="A729" s="9">
        <v>41248</v>
      </c>
      <c r="B729" s="1">
        <v>21030.58</v>
      </c>
      <c r="C729" s="1">
        <v>29.54992</v>
      </c>
      <c r="D729" s="6">
        <f t="shared" si="148"/>
        <v>1.6975518863118211E-3</v>
      </c>
      <c r="E729" s="5">
        <f t="shared" si="160"/>
        <v>2.7114022079133271E-4</v>
      </c>
      <c r="G729" s="25" t="str">
        <f>IF(VLOOKUP(A729,Aux!B:C,2,FALSE)=0,"",VLOOKUP(A729,Aux!B:C,2,FALSE))</f>
        <v/>
      </c>
      <c r="H729" s="25" t="str">
        <f t="shared" si="149"/>
        <v/>
      </c>
      <c r="L729" s="13">
        <f t="shared" si="152"/>
        <v>114087.88276930538</v>
      </c>
      <c r="M729" s="14">
        <f t="shared" si="153"/>
        <v>96.109299207402856</v>
      </c>
      <c r="N729" s="14">
        <f t="shared" si="154"/>
        <v>15.552550900218792</v>
      </c>
      <c r="O729" s="1">
        <f t="shared" si="155"/>
        <v>2.6966694502635975</v>
      </c>
      <c r="P729" s="1">
        <f t="shared" si="156"/>
        <v>1941.6418102648238</v>
      </c>
      <c r="S729" s="6">
        <f t="shared" si="150"/>
        <v>0.49709505716748004</v>
      </c>
      <c r="T729" s="6">
        <f t="shared" si="151"/>
        <v>0.50290494283251963</v>
      </c>
      <c r="V729" s="1">
        <f t="shared" si="157"/>
        <v>114625.36898058647</v>
      </c>
      <c r="W729" s="7">
        <f t="shared" si="158"/>
        <v>9.7921467889125588E-4</v>
      </c>
      <c r="X729" s="7">
        <f t="shared" si="159"/>
        <v>8.7402927087776511E-4</v>
      </c>
      <c r="Y729">
        <f>LN(B729/B728)</f>
        <v>1.6961126736370544E-3</v>
      </c>
      <c r="Z729">
        <f>LN(C729/C728)</f>
        <v>2.7110346892479003E-4</v>
      </c>
    </row>
    <row r="730" spans="1:26" x14ac:dyDescent="0.3">
      <c r="A730" s="11">
        <v>41249</v>
      </c>
      <c r="B730" s="12">
        <v>20998.94</v>
      </c>
      <c r="C730" s="12">
        <v>29.557919999999999</v>
      </c>
      <c r="D730" s="16">
        <f t="shared" si="148"/>
        <v>-1.5044758632430932E-3</v>
      </c>
      <c r="E730" s="15">
        <f t="shared" si="160"/>
        <v>2.7072831330832159E-4</v>
      </c>
      <c r="G730" s="25" t="str">
        <f>IF(VLOOKUP(A730,Aux!B:C,2,FALSE)=0,"",VLOOKUP(A730,Aux!B:C,2,FALSE))</f>
        <v/>
      </c>
      <c r="H730" s="25" t="str">
        <f t="shared" si="149"/>
        <v/>
      </c>
      <c r="L730" s="13">
        <f t="shared" si="152"/>
        <v>114018.09328238115</v>
      </c>
      <c r="M730" s="14">
        <f t="shared" si="153"/>
        <v>-85.32262140634846</v>
      </c>
      <c r="N730" s="14">
        <f t="shared" si="154"/>
        <v>15.53313448211688</v>
      </c>
      <c r="O730" s="1">
        <f t="shared" si="155"/>
        <v>2.6966694502635975</v>
      </c>
      <c r="P730" s="1">
        <f t="shared" si="156"/>
        <v>1941.6418102648238</v>
      </c>
      <c r="S730" s="6">
        <f t="shared" si="150"/>
        <v>0.49665099946614072</v>
      </c>
      <c r="T730" s="6">
        <f t="shared" si="151"/>
        <v>0.50334900053385889</v>
      </c>
      <c r="V730" s="1">
        <f t="shared" si="157"/>
        <v>114570.27145350541</v>
      </c>
      <c r="W730" s="7">
        <f t="shared" si="158"/>
        <v>-6.11904083442384E-4</v>
      </c>
      <c r="X730" s="7">
        <f t="shared" si="159"/>
        <v>-4.8079036789759919E-4</v>
      </c>
      <c r="Y730">
        <f>LN(B730/B729)</f>
        <v>-1.5056087234377482E-3</v>
      </c>
      <c r="Z730">
        <f>LN(C730/C729)</f>
        <v>2.7069167301140289E-4</v>
      </c>
    </row>
    <row r="731" spans="1:26" x14ac:dyDescent="0.3">
      <c r="A731" s="9">
        <v>41250</v>
      </c>
      <c r="B731" s="1">
        <v>21180</v>
      </c>
      <c r="C731" s="1">
        <v>29.565909999999999</v>
      </c>
      <c r="D731" s="6">
        <f t="shared" ref="D731:D794" si="161">B731/B730-1</f>
        <v>8.6223399847802362E-3</v>
      </c>
      <c r="E731" s="5">
        <f t="shared" si="160"/>
        <v>2.7031672052690858E-4</v>
      </c>
      <c r="G731" s="25" t="str">
        <f>IF(VLOOKUP(A731,Aux!B:C,2,FALSE)=0,"",VLOOKUP(A731,Aux!B:C,2,FALSE))</f>
        <v/>
      </c>
      <c r="H731" s="25" t="str">
        <f t="shared" si="149"/>
        <v/>
      </c>
      <c r="L731" s="13">
        <f t="shared" si="152"/>
        <v>114521.86597110989</v>
      </c>
      <c r="M731" s="14">
        <f t="shared" si="153"/>
        <v>488.2589706647305</v>
      </c>
      <c r="N731" s="14">
        <f t="shared" si="154"/>
        <v>15.513718064014967</v>
      </c>
      <c r="O731" s="1">
        <f t="shared" si="155"/>
        <v>2.6966694502635975</v>
      </c>
      <c r="P731" s="1">
        <f t="shared" si="156"/>
        <v>1941.6418102648238</v>
      </c>
      <c r="S731" s="6">
        <f t="shared" si="150"/>
        <v>0.49872972704611146</v>
      </c>
      <c r="T731" s="6">
        <f t="shared" si="151"/>
        <v>0.50127027295388826</v>
      </c>
      <c r="V731" s="1">
        <f t="shared" si="157"/>
        <v>115005.85789538555</v>
      </c>
      <c r="W731" s="7">
        <f t="shared" si="158"/>
        <v>4.4086251377381588E-3</v>
      </c>
      <c r="X731" s="7">
        <f t="shared" si="159"/>
        <v>3.7947060594814099E-3</v>
      </c>
      <c r="Y731">
        <f>LN(B731/B730)</f>
        <v>8.5853799142794184E-3</v>
      </c>
      <c r="Z731">
        <f>LN(C731/C730)</f>
        <v>2.7028019154499186E-4</v>
      </c>
    </row>
    <row r="732" spans="1:26" x14ac:dyDescent="0.3">
      <c r="A732" s="11">
        <v>41253</v>
      </c>
      <c r="B732" s="12">
        <v>21411.57</v>
      </c>
      <c r="C732" s="12">
        <v>29.573889999999999</v>
      </c>
      <c r="D732" s="16">
        <f t="shared" si="161"/>
        <v>1.0933427762039649E-2</v>
      </c>
      <c r="E732" s="15">
        <f t="shared" si="160"/>
        <v>2.6990544177407649E-4</v>
      </c>
      <c r="G732" s="25" t="str">
        <f>IF(VLOOKUP(A732,Aux!B:C,2,FALSE)=0,"",VLOOKUP(A732,Aux!B:C,2,FALSE))</f>
        <v/>
      </c>
      <c r="H732" s="25" t="str">
        <f t="shared" si="149"/>
        <v/>
      </c>
      <c r="L732" s="13">
        <f t="shared" si="152"/>
        <v>115161.82801735334</v>
      </c>
      <c r="M732" s="14">
        <f t="shared" si="153"/>
        <v>624.46774459754045</v>
      </c>
      <c r="N732" s="14">
        <f t="shared" si="154"/>
        <v>15.494301645913053</v>
      </c>
      <c r="O732" s="1">
        <f t="shared" si="155"/>
        <v>2.6966694502635975</v>
      </c>
      <c r="P732" s="1">
        <f t="shared" si="156"/>
        <v>1941.6418102648238</v>
      </c>
      <c r="S732" s="6">
        <f t="shared" si="150"/>
        <v>0.50138077603700337</v>
      </c>
      <c r="T732" s="6">
        <f t="shared" si="151"/>
        <v>0.49861922396299624</v>
      </c>
      <c r="V732" s="1">
        <f t="shared" si="157"/>
        <v>115557.95030279033</v>
      </c>
      <c r="W732" s="7">
        <f t="shared" si="158"/>
        <v>5.5725653938882179E-3</v>
      </c>
      <c r="X732" s="7">
        <f t="shared" si="159"/>
        <v>4.7890730719246984E-3</v>
      </c>
      <c r="Y732">
        <f>LN(B732/B731)</f>
        <v>1.0874089959325491E-2</v>
      </c>
      <c r="Z732">
        <f>LN(C732/C731)</f>
        <v>2.6986902385310954E-4</v>
      </c>
    </row>
    <row r="733" spans="1:26" x14ac:dyDescent="0.3">
      <c r="A733" s="9">
        <v>41254</v>
      </c>
      <c r="B733" s="1">
        <v>21618.87</v>
      </c>
      <c r="C733" s="1">
        <v>29.58184</v>
      </c>
      <c r="D733" s="6">
        <f t="shared" si="161"/>
        <v>9.6816814460591871E-3</v>
      </c>
      <c r="E733" s="5">
        <f t="shared" si="160"/>
        <v>2.688182041659104E-4</v>
      </c>
      <c r="G733" s="25" t="str">
        <f>IF(VLOOKUP(A733,Aux!B:C,2,FALSE)=0,"",VLOOKUP(A733,Aux!B:C,2,FALSE))</f>
        <v/>
      </c>
      <c r="H733" s="25" t="str">
        <f t="shared" si="149"/>
        <v/>
      </c>
      <c r="L733" s="13">
        <f t="shared" si="152"/>
        <v>115736.28364678459</v>
      </c>
      <c r="M733" s="14">
        <f t="shared" si="153"/>
        <v>559.01957703964183</v>
      </c>
      <c r="N733" s="14">
        <f t="shared" si="154"/>
        <v>15.436052391607314</v>
      </c>
      <c r="O733" s="1">
        <f t="shared" si="155"/>
        <v>2.6966694502635975</v>
      </c>
      <c r="P733" s="1">
        <f t="shared" si="156"/>
        <v>1941.6418102648238</v>
      </c>
      <c r="S733" s="6">
        <f t="shared" si="150"/>
        <v>0.50372229383261224</v>
      </c>
      <c r="T733" s="6">
        <f t="shared" si="151"/>
        <v>0.49627770616738748</v>
      </c>
      <c r="V733" s="1">
        <f t="shared" si="157"/>
        <v>116053.98385725211</v>
      </c>
      <c r="W733" s="7">
        <f t="shared" si="158"/>
        <v>4.9758467970011013E-3</v>
      </c>
      <c r="X733" s="7">
        <f t="shared" si="159"/>
        <v>4.2833225727190432E-3</v>
      </c>
      <c r="Y733">
        <f>LN(B733/B732)</f>
        <v>9.6351142925577803E-3</v>
      </c>
      <c r="Z733">
        <f>LN(C733/C732)</f>
        <v>2.6878207902638333E-4</v>
      </c>
    </row>
    <row r="734" spans="1:26" x14ac:dyDescent="0.3">
      <c r="A734" s="11">
        <v>41255</v>
      </c>
      <c r="B734" s="12">
        <v>21579.59</v>
      </c>
      <c r="C734" s="12">
        <v>29.589749999999999</v>
      </c>
      <c r="D734" s="16">
        <f t="shared" si="161"/>
        <v>-1.8169312272102722E-3</v>
      </c>
      <c r="E734" s="15">
        <f t="shared" si="160"/>
        <v>2.6739377942686104E-4</v>
      </c>
      <c r="G734" s="25" t="str">
        <f>IF(VLOOKUP(A734,Aux!B:C,2,FALSE)=0,"",VLOOKUP(A734,Aux!B:C,2,FALSE))</f>
        <v/>
      </c>
      <c r="H734" s="25" t="str">
        <f t="shared" si="149"/>
        <v/>
      </c>
      <c r="L734" s="13">
        <f t="shared" si="152"/>
        <v>115645.71685749743</v>
      </c>
      <c r="M734" s="14">
        <f t="shared" si="153"/>
        <v>-105.92517600635097</v>
      </c>
      <c r="N734" s="14">
        <f t="shared" si="154"/>
        <v>15.358386719192763</v>
      </c>
      <c r="O734" s="1">
        <f t="shared" si="155"/>
        <v>2.6966694502635975</v>
      </c>
      <c r="P734" s="1">
        <f t="shared" si="156"/>
        <v>1941.6418102648238</v>
      </c>
      <c r="S734" s="6">
        <f t="shared" si="150"/>
        <v>0.5032008334032918</v>
      </c>
      <c r="T734" s="6">
        <f t="shared" si="151"/>
        <v>0.49679916659670781</v>
      </c>
      <c r="V734" s="1">
        <f t="shared" si="157"/>
        <v>115981.05924100088</v>
      </c>
      <c r="W734" s="7">
        <f t="shared" si="158"/>
        <v>-7.8283352823407912E-4</v>
      </c>
      <c r="X734" s="7">
        <f t="shared" si="159"/>
        <v>-6.2856556215401375E-4</v>
      </c>
      <c r="Y734">
        <f>LN(B734/B733)</f>
        <v>-1.8185838488557829E-3</v>
      </c>
      <c r="Z734">
        <f>LN(C734/C733)</f>
        <v>2.6735803608177975E-4</v>
      </c>
    </row>
    <row r="735" spans="1:26" x14ac:dyDescent="0.3">
      <c r="A735" s="9">
        <v>41256</v>
      </c>
      <c r="B735" s="1">
        <v>21541.81</v>
      </c>
      <c r="C735" s="1">
        <v>29.597670000000001</v>
      </c>
      <c r="D735" s="6">
        <f t="shared" si="161"/>
        <v>-1.7507283502605775E-3</v>
      </c>
      <c r="E735" s="5">
        <f t="shared" si="160"/>
        <v>2.676602539730677E-4</v>
      </c>
      <c r="G735" s="25" t="str">
        <f>IF(VLOOKUP(A735,Aux!B:C,2,FALSE)=0,"",VLOOKUP(A735,Aux!B:C,2,FALSE))</f>
        <v/>
      </c>
      <c r="H735" s="25" t="str">
        <f t="shared" si="149"/>
        <v/>
      </c>
      <c r="L735" s="13">
        <f t="shared" si="152"/>
        <v>115559.21448880379</v>
      </c>
      <c r="M735" s="14">
        <f t="shared" si="153"/>
        <v>-101.88017183095558</v>
      </c>
      <c r="N735" s="14">
        <f t="shared" si="154"/>
        <v>15.377803137301575</v>
      </c>
      <c r="O735" s="1">
        <f t="shared" si="155"/>
        <v>2.6966694502635975</v>
      </c>
      <c r="P735" s="1">
        <f t="shared" si="156"/>
        <v>1941.6418102648238</v>
      </c>
      <c r="S735" s="6">
        <f t="shared" si="150"/>
        <v>0.50269587922831682</v>
      </c>
      <c r="T735" s="6">
        <f t="shared" si="151"/>
        <v>0.49730412077168273</v>
      </c>
      <c r="V735" s="1">
        <f t="shared" si="157"/>
        <v>115911.61754854457</v>
      </c>
      <c r="W735" s="7">
        <f t="shared" si="158"/>
        <v>-7.4827446132840977E-4</v>
      </c>
      <c r="X735" s="7">
        <f t="shared" si="159"/>
        <v>-5.9891235457202804E-4</v>
      </c>
      <c r="Y735">
        <f>LN(B735/B734)</f>
        <v>-1.7522626661805418E-3</v>
      </c>
      <c r="Z735">
        <f>LN(C735/C734)</f>
        <v>2.6762443935791268E-4</v>
      </c>
    </row>
    <row r="736" spans="1:26" x14ac:dyDescent="0.3">
      <c r="A736" s="11">
        <v>41257</v>
      </c>
      <c r="B736" s="12">
        <v>21691.71</v>
      </c>
      <c r="C736" s="12">
        <v>29.605560000000001</v>
      </c>
      <c r="D736" s="16">
        <f t="shared" si="161"/>
        <v>6.9585610494196093E-3</v>
      </c>
      <c r="E736" s="15">
        <f t="shared" si="160"/>
        <v>2.6657503783233949E-4</v>
      </c>
      <c r="G736" s="25" t="str">
        <f>IF(VLOOKUP(A736,Aux!B:C,2,FALSE)=0,"",VLOOKUP(A736,Aux!B:C,2,FALSE))</f>
        <v/>
      </c>
      <c r="H736" s="25" t="str">
        <f t="shared" si="149"/>
        <v/>
      </c>
      <c r="L736" s="13">
        <f t="shared" si="152"/>
        <v>115978.76479328128</v>
      </c>
      <c r="M736" s="14">
        <f t="shared" si="153"/>
        <v>404.23075059450736</v>
      </c>
      <c r="N736" s="14">
        <f t="shared" si="154"/>
        <v>15.319553882988936</v>
      </c>
      <c r="O736" s="1">
        <f t="shared" si="155"/>
        <v>2.6966694502635975</v>
      </c>
      <c r="P736" s="1">
        <f t="shared" si="156"/>
        <v>1941.6418102648238</v>
      </c>
      <c r="S736" s="6">
        <f t="shared" si="150"/>
        <v>0.50436277524802575</v>
      </c>
      <c r="T736" s="6">
        <f t="shared" si="151"/>
        <v>0.49563722475197375</v>
      </c>
      <c r="V736" s="1">
        <f t="shared" si="157"/>
        <v>116275.09306719591</v>
      </c>
      <c r="W736" s="7">
        <f t="shared" si="158"/>
        <v>3.6240340782355161E-3</v>
      </c>
      <c r="X736" s="7">
        <f t="shared" si="159"/>
        <v>3.1308925011348339E-3</v>
      </c>
      <c r="Y736">
        <f>LN(B736/B735)</f>
        <v>6.9344619953838121E-3</v>
      </c>
      <c r="Z736">
        <f>LN(C736/C735)</f>
        <v>2.6653951302015369E-4</v>
      </c>
    </row>
    <row r="737" spans="1:26" x14ac:dyDescent="0.3">
      <c r="A737" s="9">
        <v>41260</v>
      </c>
      <c r="B737" s="1">
        <v>21712.44</v>
      </c>
      <c r="C737" s="1">
        <v>29.613399999999999</v>
      </c>
      <c r="D737" s="6">
        <f t="shared" si="161"/>
        <v>9.5566462948282194E-4</v>
      </c>
      <c r="E737" s="5">
        <f t="shared" si="160"/>
        <v>2.6481512256482098E-4</v>
      </c>
      <c r="G737" s="25" t="str">
        <f>IF(VLOOKUP(A737,Aux!B:C,2,FALSE)=0,"",VLOOKUP(A737,Aux!B:C,2,FALSE))</f>
        <v/>
      </c>
      <c r="H737" s="25" t="str">
        <f t="shared" si="149"/>
        <v/>
      </c>
      <c r="L737" s="13">
        <f t="shared" si="152"/>
        <v>116049.88922277771</v>
      </c>
      <c r="M737" s="14">
        <f t="shared" si="153"/>
        <v>55.901957703963198</v>
      </c>
      <c r="N737" s="14">
        <f t="shared" si="154"/>
        <v>15.222471792472472</v>
      </c>
      <c r="O737" s="1">
        <f t="shared" si="155"/>
        <v>2.6966694502635975</v>
      </c>
      <c r="P737" s="1">
        <f t="shared" si="156"/>
        <v>1941.6418102648238</v>
      </c>
      <c r="S737" s="6">
        <f t="shared" si="150"/>
        <v>0.50453536863169346</v>
      </c>
      <c r="T737" s="6">
        <f t="shared" si="151"/>
        <v>0.49546463136830621</v>
      </c>
      <c r="V737" s="1">
        <f t="shared" si="157"/>
        <v>116340.45702083342</v>
      </c>
      <c r="W737" s="7">
        <f t="shared" si="158"/>
        <v>6.1306593382366064E-4</v>
      </c>
      <c r="X737" s="7">
        <f t="shared" si="159"/>
        <v>5.6199127988754681E-4</v>
      </c>
      <c r="Y737">
        <f>LN(B737/B736)</f>
        <v>9.5520827276697104E-4</v>
      </c>
      <c r="Z737">
        <f>LN(C737/C736)</f>
        <v>2.6478006522925667E-4</v>
      </c>
    </row>
    <row r="738" spans="1:26" x14ac:dyDescent="0.3">
      <c r="A738" s="11">
        <v>41261</v>
      </c>
      <c r="B738" s="12">
        <v>21935.29</v>
      </c>
      <c r="C738" s="12">
        <v>29.621230000000001</v>
      </c>
      <c r="D738" s="16">
        <f t="shared" si="161"/>
        <v>1.0263701361984401E-2</v>
      </c>
      <c r="E738" s="15">
        <f t="shared" si="160"/>
        <v>2.6440732911447995E-4</v>
      </c>
      <c r="G738" s="25" t="str">
        <f>IF(VLOOKUP(A738,Aux!B:C,2,FALSE)=0,"",VLOOKUP(A738,Aux!B:C,2,FALSE))</f>
        <v/>
      </c>
      <c r="H738" s="25" t="str">
        <f t="shared" si="149"/>
        <v/>
      </c>
      <c r="L738" s="13">
        <f t="shared" si="152"/>
        <v>116666.04506514333</v>
      </c>
      <c r="M738" s="14">
        <f t="shared" si="153"/>
        <v>600.95278699124856</v>
      </c>
      <c r="N738" s="14">
        <f t="shared" si="154"/>
        <v>15.203055374377458</v>
      </c>
      <c r="O738" s="1">
        <f t="shared" si="155"/>
        <v>2.6966694502635975</v>
      </c>
      <c r="P738" s="1">
        <f t="shared" si="156"/>
        <v>1941.6418102648238</v>
      </c>
      <c r="S738" s="6">
        <f t="shared" si="150"/>
        <v>0.50702178506731332</v>
      </c>
      <c r="T738" s="6">
        <f t="shared" si="151"/>
        <v>0.4929782149326864</v>
      </c>
      <c r="V738" s="1">
        <f t="shared" si="157"/>
        <v>116872.09651334175</v>
      </c>
      <c r="W738" s="7">
        <f t="shared" si="158"/>
        <v>5.2953596327122302E-3</v>
      </c>
      <c r="X738" s="7">
        <f t="shared" si="159"/>
        <v>4.5592778380453064E-3</v>
      </c>
      <c r="Y738">
        <f>LN(B738/B737)</f>
        <v>1.0211387232396434E-2</v>
      </c>
      <c r="Z738">
        <f>LN(C738/C737)</f>
        <v>2.6437237965709463E-4</v>
      </c>
    </row>
    <row r="739" spans="1:26" x14ac:dyDescent="0.3">
      <c r="A739" s="9">
        <v>41262</v>
      </c>
      <c r="B739" s="1">
        <v>22185.57</v>
      </c>
      <c r="C739" s="1">
        <v>29.62904</v>
      </c>
      <c r="D739" s="6">
        <f t="shared" si="161"/>
        <v>1.1409924373007918E-2</v>
      </c>
      <c r="E739" s="5">
        <f t="shared" si="160"/>
        <v>2.6366224495055768E-4</v>
      </c>
      <c r="G739" s="25" t="str">
        <f>IF(VLOOKUP(A739,Aux!B:C,2,FALSE)=0,"",VLOOKUP(A739,Aux!B:C,2,FALSE))</f>
        <v/>
      </c>
      <c r="H739" s="25" t="str">
        <f t="shared" si="149"/>
        <v/>
      </c>
      <c r="L739" s="13">
        <f t="shared" si="152"/>
        <v>117356.13171769347</v>
      </c>
      <c r="M739" s="14">
        <f t="shared" si="153"/>
        <v>674.92243001197005</v>
      </c>
      <c r="N739" s="14">
        <f t="shared" si="154"/>
        <v>15.164222538166733</v>
      </c>
      <c r="O739" s="1">
        <f t="shared" si="155"/>
        <v>2.6966694502635975</v>
      </c>
      <c r="P739" s="1">
        <f t="shared" si="156"/>
        <v>1941.6418102648238</v>
      </c>
      <c r="S739" s="6">
        <f t="shared" si="150"/>
        <v>0.5097914184799649</v>
      </c>
      <c r="T739" s="6">
        <f t="shared" si="151"/>
        <v>0.49020858152003477</v>
      </c>
      <c r="V739" s="1">
        <f t="shared" si="157"/>
        <v>117466.97323270736</v>
      </c>
      <c r="W739" s="7">
        <f t="shared" si="158"/>
        <v>5.8976346793917283E-3</v>
      </c>
      <c r="X739" s="7">
        <f t="shared" si="159"/>
        <v>5.0770705698961341E-3</v>
      </c>
      <c r="Y739">
        <f>LN(B739/B738)</f>
        <v>1.1345322125992716E-2</v>
      </c>
      <c r="Z739">
        <f>LN(C739/C738)</f>
        <v>2.6362749216938148E-4</v>
      </c>
    </row>
    <row r="740" spans="1:26" x14ac:dyDescent="0.3">
      <c r="A740" s="11">
        <v>41263</v>
      </c>
      <c r="B740" s="12">
        <v>22180.12</v>
      </c>
      <c r="C740" s="12">
        <v>29.63682</v>
      </c>
      <c r="D740" s="16">
        <f t="shared" si="161"/>
        <v>-2.4565517135688442E-4</v>
      </c>
      <c r="E740" s="15">
        <f t="shared" si="160"/>
        <v>2.6258022534642045E-4</v>
      </c>
      <c r="G740" s="25" t="str">
        <f>IF(VLOOKUP(A740,Aux!B:C,2,FALSE)=0,"",VLOOKUP(A740,Aux!B:C,2,FALSE))</f>
        <v/>
      </c>
      <c r="H740" s="25" t="str">
        <f t="shared" si="149"/>
        <v/>
      </c>
      <c r="L740" s="13">
        <f t="shared" si="152"/>
        <v>117356.54084247339</v>
      </c>
      <c r="M740" s="14">
        <f t="shared" si="153"/>
        <v>-14.696848503938568</v>
      </c>
      <c r="N740" s="14">
        <f t="shared" si="154"/>
        <v>15.105973283860994</v>
      </c>
      <c r="O740" s="1">
        <f t="shared" si="155"/>
        <v>2.6966694502635975</v>
      </c>
      <c r="P740" s="1">
        <f t="shared" si="156"/>
        <v>1941.6418102648238</v>
      </c>
      <c r="S740" s="6">
        <f t="shared" si="150"/>
        <v>0.50966440879904873</v>
      </c>
      <c r="T740" s="6">
        <f t="shared" si="151"/>
        <v>0.49033559120095094</v>
      </c>
      <c r="V740" s="1">
        <f t="shared" si="157"/>
        <v>117471.80478261589</v>
      </c>
      <c r="W740" s="7">
        <f t="shared" si="158"/>
        <v>3.4861754627303909E-6</v>
      </c>
      <c r="X740" s="7">
        <f t="shared" si="159"/>
        <v>4.1130288920615887E-5</v>
      </c>
      <c r="Y740">
        <f>LN(B740/B739)</f>
        <v>-2.456853495308758E-4</v>
      </c>
      <c r="Z740">
        <f>LN(C740/C739)</f>
        <v>2.6254575719268734E-4</v>
      </c>
    </row>
    <row r="741" spans="1:26" x14ac:dyDescent="0.3">
      <c r="A741" s="9">
        <v>41264</v>
      </c>
      <c r="B741" s="1">
        <v>22151.75</v>
      </c>
      <c r="C741" s="1">
        <v>29.64462</v>
      </c>
      <c r="D741" s="6">
        <f t="shared" si="161"/>
        <v>-1.2790733323353454E-3</v>
      </c>
      <c r="E741" s="5">
        <f t="shared" si="160"/>
        <v>2.6318613130560387E-4</v>
      </c>
      <c r="G741" s="25" t="str">
        <f>IF(VLOOKUP(A741,Aux!B:C,2,FALSE)=0,"",VLOOKUP(A741,Aux!B:C,2,FALSE))</f>
        <v/>
      </c>
      <c r="H741" s="25" t="str">
        <f t="shared" si="149"/>
        <v/>
      </c>
      <c r="L741" s="13">
        <f t="shared" si="152"/>
        <v>117295.18113628948</v>
      </c>
      <c r="M741" s="14">
        <f t="shared" si="153"/>
        <v>-76.504512303975517</v>
      </c>
      <c r="N741" s="14">
        <f t="shared" si="154"/>
        <v>15.144806120064819</v>
      </c>
      <c r="O741" s="1">
        <f t="shared" si="155"/>
        <v>2.6966694502635975</v>
      </c>
      <c r="P741" s="1">
        <f t="shared" si="156"/>
        <v>1941.6418102648238</v>
      </c>
      <c r="S741" s="6">
        <f t="shared" si="150"/>
        <v>0.50927878635923929</v>
      </c>
      <c r="T741" s="6">
        <f t="shared" si="151"/>
        <v>0.49072121364076043</v>
      </c>
      <c r="V741" s="1">
        <f t="shared" si="157"/>
        <v>117423.80383342774</v>
      </c>
      <c r="W741" s="7">
        <f t="shared" si="158"/>
        <v>-5.2298535945130131E-4</v>
      </c>
      <c r="X741" s="7">
        <f t="shared" si="159"/>
        <v>-4.0870027446757108E-4</v>
      </c>
      <c r="Y741">
        <f>LN(B741/B740)</f>
        <v>-1.2798920448334372E-3</v>
      </c>
      <c r="Z741">
        <f>LN(C741/C740)</f>
        <v>2.6315150391124811E-4</v>
      </c>
    </row>
    <row r="742" spans="1:26" x14ac:dyDescent="0.3">
      <c r="A742" s="11">
        <v>41269</v>
      </c>
      <c r="B742" s="12">
        <v>21993.48</v>
      </c>
      <c r="C742" s="12">
        <v>29.660250000000001</v>
      </c>
      <c r="D742" s="16">
        <f t="shared" si="161"/>
        <v>-7.1448079722821189E-3</v>
      </c>
      <c r="E742" s="15">
        <f t="shared" si="160"/>
        <v>5.2724575319240685E-4</v>
      </c>
      <c r="G742" s="25" t="str">
        <f>IF(VLOOKUP(A742,Aux!B:C,2,FALSE)=0,"",VLOOKUP(A742,Aux!B:C,2,FALSE))</f>
        <v/>
      </c>
      <c r="H742" s="25" t="str">
        <f t="shared" si="149"/>
        <v/>
      </c>
      <c r="L742" s="13">
        <f t="shared" si="152"/>
        <v>116898.72712389071</v>
      </c>
      <c r="M742" s="14">
        <f t="shared" si="153"/>
        <v>-426.80187389322077</v>
      </c>
      <c r="N742" s="14">
        <f t="shared" si="154"/>
        <v>30.347861494442277</v>
      </c>
      <c r="O742" s="1">
        <f t="shared" si="155"/>
        <v>2.6966694502635975</v>
      </c>
      <c r="P742" s="1">
        <f t="shared" si="156"/>
        <v>1941.6418102648238</v>
      </c>
      <c r="S742" s="6">
        <f t="shared" si="150"/>
        <v>0.50735493088925476</v>
      </c>
      <c r="T742" s="6">
        <f t="shared" si="151"/>
        <v>0.49264506911074479</v>
      </c>
      <c r="V742" s="1">
        <f t="shared" si="157"/>
        <v>117093.63578748688</v>
      </c>
      <c r="W742" s="7">
        <f t="shared" si="158"/>
        <v>-3.3856934542320131E-3</v>
      </c>
      <c r="X742" s="7">
        <f t="shared" si="159"/>
        <v>-2.8157246182964899E-3</v>
      </c>
      <c r="Y742">
        <f>LN(B742/B741)</f>
        <v>-7.1704543447119297E-3</v>
      </c>
      <c r="Z742">
        <f>LN(C742/C741)</f>
        <v>5.2710680798697827E-4</v>
      </c>
    </row>
    <row r="743" spans="1:26" x14ac:dyDescent="0.3">
      <c r="A743" s="9">
        <v>41270</v>
      </c>
      <c r="B743" s="1">
        <v>21836.54</v>
      </c>
      <c r="C743" s="1">
        <v>29.668109999999999</v>
      </c>
      <c r="D743" s="6">
        <f t="shared" si="161"/>
        <v>-7.1357511407925678E-3</v>
      </c>
      <c r="E743" s="5">
        <f t="shared" si="160"/>
        <v>2.6500113788641144E-4</v>
      </c>
      <c r="G743" s="25" t="str">
        <f>IF(VLOOKUP(A743,Aux!B:C,2,FALSE)=0,"",VLOOKUP(A743,Aux!B:C,2,FALSE))</f>
        <v/>
      </c>
      <c r="H743" s="25" t="str">
        <f t="shared" si="149"/>
        <v/>
      </c>
      <c r="L743" s="13">
        <f t="shared" si="152"/>
        <v>116490.77312499502</v>
      </c>
      <c r="M743" s="14">
        <f t="shared" si="153"/>
        <v>-423.21530352436548</v>
      </c>
      <c r="N743" s="14">
        <f t="shared" si="154"/>
        <v>15.261304628676299</v>
      </c>
      <c r="O743" s="1">
        <f t="shared" si="155"/>
        <v>2.6966694502635975</v>
      </c>
      <c r="P743" s="1">
        <f t="shared" si="156"/>
        <v>1941.6418102648238</v>
      </c>
      <c r="S743" s="6">
        <f t="shared" si="150"/>
        <v>0.50549866515414266</v>
      </c>
      <c r="T743" s="6">
        <f t="shared" si="151"/>
        <v>0.49450133484585701</v>
      </c>
      <c r="V743" s="1">
        <f t="shared" si="157"/>
        <v>116749.15357884375</v>
      </c>
      <c r="W743" s="7">
        <f t="shared" si="158"/>
        <v>-3.4959106038704624E-3</v>
      </c>
      <c r="X743" s="7">
        <f t="shared" si="159"/>
        <v>-2.9462739370092585E-3</v>
      </c>
      <c r="Y743">
        <f>LN(B743/B742)</f>
        <v>-7.1613323798430471E-3</v>
      </c>
      <c r="Z743">
        <f>LN(C743/C742)</f>
        <v>2.649660312869265E-4</v>
      </c>
    </row>
    <row r="744" spans="1:26" x14ac:dyDescent="0.3">
      <c r="A744" s="11">
        <v>41271</v>
      </c>
      <c r="B744" s="12">
        <v>21982.33</v>
      </c>
      <c r="C744" s="12">
        <v>29.67596</v>
      </c>
      <c r="D744" s="16">
        <f t="shared" si="161"/>
        <v>6.6764240122290097E-3</v>
      </c>
      <c r="E744" s="15">
        <f t="shared" si="160"/>
        <v>2.64593868635421E-4</v>
      </c>
      <c r="G744" s="25">
        <f>IF(VLOOKUP(A744,Aux!B:C,2,FALSE)=0,"",VLOOKUP(A744,Aux!B:C,2,FALSE))</f>
        <v>0.5</v>
      </c>
      <c r="H744" s="25">
        <f t="shared" si="149"/>
        <v>0.5</v>
      </c>
      <c r="L744" s="13">
        <f t="shared" si="152"/>
        <v>116899.16245235954</v>
      </c>
      <c r="M744" s="14">
        <f t="shared" si="153"/>
        <v>393.14743915393223</v>
      </c>
      <c r="N744" s="14">
        <f t="shared" si="154"/>
        <v>15.241888210581283</v>
      </c>
      <c r="O744" s="1">
        <f t="shared" si="155"/>
        <v>2.6589347546952378</v>
      </c>
      <c r="P744" s="1">
        <f t="shared" si="156"/>
        <v>1969.5936113332061</v>
      </c>
      <c r="S744" s="6">
        <f t="shared" si="150"/>
        <v>0.5</v>
      </c>
      <c r="T744" s="6">
        <f t="shared" si="151"/>
        <v>0.5</v>
      </c>
      <c r="V744" s="1">
        <f t="shared" si="157"/>
        <v>117103.05769842808</v>
      </c>
      <c r="W744" s="7">
        <f t="shared" si="158"/>
        <v>3.4996345764829215E-3</v>
      </c>
      <c r="X744" s="7">
        <f t="shared" si="159"/>
        <v>3.0267354568201017E-3</v>
      </c>
      <c r="Y744">
        <f>LN(B744/B743)</f>
        <v>6.6542353990742108E-3</v>
      </c>
      <c r="Z744">
        <f>LN(C744/C743)</f>
        <v>2.6455886985126765E-4</v>
      </c>
    </row>
    <row r="745" spans="1:26" x14ac:dyDescent="0.3">
      <c r="A745" s="9">
        <v>41276</v>
      </c>
      <c r="B745" s="1">
        <v>22447.34</v>
      </c>
      <c r="C745" s="1">
        <v>29.691680000000002</v>
      </c>
      <c r="D745" s="6">
        <f t="shared" si="161"/>
        <v>2.1153808536219731E-2</v>
      </c>
      <c r="E745" s="5">
        <f t="shared" si="160"/>
        <v>5.2972170066278856E-4</v>
      </c>
      <c r="G745" s="25" t="str">
        <f>IF(VLOOKUP(A745,Aux!B:C,2,FALSE)=0,"",VLOOKUP(A745,Aux!B:C,2,FALSE))</f>
        <v/>
      </c>
      <c r="H745" s="25" t="str">
        <f t="shared" si="149"/>
        <v/>
      </c>
      <c r="L745" s="13">
        <f t="shared" si="152"/>
        <v>118166.55571421052</v>
      </c>
      <c r="M745" s="14">
        <f t="shared" si="153"/>
        <v>1236.4312502808282</v>
      </c>
      <c r="N745" s="14">
        <f t="shared" si="154"/>
        <v>30.962011570161412</v>
      </c>
      <c r="O745" s="1">
        <f t="shared" si="155"/>
        <v>2.6589347546952378</v>
      </c>
      <c r="P745" s="1">
        <f t="shared" si="156"/>
        <v>1969.5936113332061</v>
      </c>
      <c r="S745" s="6">
        <f t="shared" si="150"/>
        <v>0.50510072089105373</v>
      </c>
      <c r="T745" s="6">
        <f t="shared" si="151"/>
        <v>0.49489927910894632</v>
      </c>
      <c r="V745" s="1">
        <f t="shared" si="157"/>
        <v>118211.01975685984</v>
      </c>
      <c r="W745" s="7">
        <f t="shared" si="158"/>
        <v>1.078341455289644E-2</v>
      </c>
      <c r="X745" s="7">
        <f t="shared" si="159"/>
        <v>9.4169482603061374E-3</v>
      </c>
      <c r="Y745">
        <f>LN(B745/B744)</f>
        <v>2.0933172828111558E-2</v>
      </c>
      <c r="Z745">
        <f>LN(C745/C744)</f>
        <v>5.2958144765056895E-4</v>
      </c>
    </row>
    <row r="746" spans="1:26" x14ac:dyDescent="0.3">
      <c r="A746" s="11">
        <v>41277</v>
      </c>
      <c r="B746" s="12">
        <v>22761.82</v>
      </c>
      <c r="C746" s="12">
        <v>29.699570000000001</v>
      </c>
      <c r="D746" s="16">
        <f t="shared" si="161"/>
        <v>1.4009677761373851E-2</v>
      </c>
      <c r="E746" s="15">
        <f t="shared" si="160"/>
        <v>2.6573100612692357E-4</v>
      </c>
      <c r="G746" s="25" t="str">
        <f>IF(VLOOKUP(A746,Aux!B:C,2,FALSE)=0,"",VLOOKUP(A746,Aux!B:C,2,FALSE))</f>
        <v/>
      </c>
      <c r="H746" s="25" t="str">
        <f t="shared" si="149"/>
        <v/>
      </c>
      <c r="L746" s="13">
        <f t="shared" si="152"/>
        <v>119018.27760946049</v>
      </c>
      <c r="M746" s="14">
        <f t="shared" si="153"/>
        <v>836.18180165655724</v>
      </c>
      <c r="N746" s="14">
        <f t="shared" si="154"/>
        <v>15.540093593418465</v>
      </c>
      <c r="O746" s="1">
        <f t="shared" si="155"/>
        <v>2.6589347546952378</v>
      </c>
      <c r="P746" s="1">
        <f t="shared" si="156"/>
        <v>1969.5936113332061</v>
      </c>
      <c r="S746" s="6">
        <f t="shared" si="150"/>
        <v>0.50851176385454921</v>
      </c>
      <c r="T746" s="6">
        <f t="shared" si="151"/>
        <v>0.49148823614545095</v>
      </c>
      <c r="V746" s="1">
        <f t="shared" si="157"/>
        <v>118954.18709255039</v>
      </c>
      <c r="W746" s="7">
        <f t="shared" si="158"/>
        <v>7.181956319309693E-3</v>
      </c>
      <c r="X746" s="7">
        <f t="shared" si="159"/>
        <v>6.2671061913893555E-3</v>
      </c>
      <c r="Y746">
        <f>LN(B746/B745)</f>
        <v>1.3912449266813091E-2</v>
      </c>
      <c r="Z746">
        <f>LN(C746/C745)</f>
        <v>2.6569570589655365E-4</v>
      </c>
    </row>
    <row r="747" spans="1:26" x14ac:dyDescent="0.3">
      <c r="A747" s="9">
        <v>41278</v>
      </c>
      <c r="B747" s="1">
        <v>22595.599999999999</v>
      </c>
      <c r="C747" s="1">
        <v>29.707450000000001</v>
      </c>
      <c r="D747" s="6">
        <f t="shared" si="161"/>
        <v>-7.3025794949613809E-3</v>
      </c>
      <c r="E747" s="5">
        <f t="shared" si="160"/>
        <v>2.6532370670695471E-4</v>
      </c>
      <c r="G747" s="25" t="str">
        <f>IF(VLOOKUP(A747,Aux!B:C,2,FALSE)=0,"",VLOOKUP(A747,Aux!B:C,2,FALSE))</f>
        <v/>
      </c>
      <c r="H747" s="25" t="str">
        <f t="shared" si="149"/>
        <v/>
      </c>
      <c r="L747" s="13">
        <f t="shared" si="152"/>
        <v>118591.82987219236</v>
      </c>
      <c r="M747" s="14">
        <f t="shared" si="153"/>
        <v>-441.9681349254455</v>
      </c>
      <c r="N747" s="14">
        <f t="shared" si="154"/>
        <v>15.52039765730588</v>
      </c>
      <c r="O747" s="1">
        <f t="shared" si="155"/>
        <v>2.6589347546952378</v>
      </c>
      <c r="P747" s="1">
        <f t="shared" si="156"/>
        <v>1969.5936113332061</v>
      </c>
      <c r="S747" s="6">
        <f t="shared" si="150"/>
        <v>0.5066135349116444</v>
      </c>
      <c r="T747" s="6">
        <f t="shared" si="151"/>
        <v>0.49338646508835571</v>
      </c>
      <c r="V747" s="1">
        <f t="shared" si="157"/>
        <v>118588.34034194035</v>
      </c>
      <c r="W747" s="7">
        <f t="shared" si="158"/>
        <v>-3.5894785761699881E-3</v>
      </c>
      <c r="X747" s="7">
        <f t="shared" si="159"/>
        <v>-3.0802656166469531E-3</v>
      </c>
      <c r="Y747">
        <f>LN(B747/B746)</f>
        <v>-7.3293738535836275E-3</v>
      </c>
      <c r="Z747">
        <f>LN(C747/C746)</f>
        <v>2.6528851459701411E-4</v>
      </c>
    </row>
    <row r="748" spans="1:26" x14ac:dyDescent="0.3">
      <c r="A748" s="11">
        <v>41281</v>
      </c>
      <c r="B748" s="12">
        <v>22369.85</v>
      </c>
      <c r="C748" s="12">
        <v>29.715350000000001</v>
      </c>
      <c r="D748" s="16">
        <f t="shared" si="161"/>
        <v>-9.9908831807962173E-3</v>
      </c>
      <c r="E748" s="15">
        <f t="shared" si="160"/>
        <v>2.6592656050916652E-4</v>
      </c>
      <c r="G748" s="25" t="str">
        <f>IF(VLOOKUP(A748,Aux!B:C,2,FALSE)=0,"",VLOOKUP(A748,Aux!B:C,2,FALSE))</f>
        <v/>
      </c>
      <c r="H748" s="25" t="str">
        <f t="shared" si="149"/>
        <v/>
      </c>
      <c r="L748" s="13">
        <f t="shared" si="152"/>
        <v>118007.13514084945</v>
      </c>
      <c r="M748" s="14">
        <f t="shared" si="153"/>
        <v>-600.25452087244992</v>
      </c>
      <c r="N748" s="14">
        <f t="shared" si="154"/>
        <v>15.559789529531052</v>
      </c>
      <c r="O748" s="1">
        <f t="shared" si="155"/>
        <v>2.6589347546952378</v>
      </c>
      <c r="P748" s="1">
        <f t="shared" si="156"/>
        <v>1969.5936113332061</v>
      </c>
      <c r="S748" s="6">
        <f t="shared" si="150"/>
        <v>0.5040370783624728</v>
      </c>
      <c r="T748" s="6">
        <f t="shared" si="151"/>
        <v>0.49596292163752709</v>
      </c>
      <c r="V748" s="1">
        <f t="shared" si="157"/>
        <v>118085.20054160901</v>
      </c>
      <c r="W748" s="7">
        <f t="shared" si="158"/>
        <v>-4.9425061649924591E-3</v>
      </c>
      <c r="X748" s="7">
        <f t="shared" si="159"/>
        <v>-4.2517685450889874E-3</v>
      </c>
      <c r="Y748">
        <f>LN(B748/B747)</f>
        <v>-1.0041126987616528E-2</v>
      </c>
      <c r="Z748">
        <f>LN(C748/C747)</f>
        <v>2.6589120830862825E-4</v>
      </c>
    </row>
    <row r="749" spans="1:26" x14ac:dyDescent="0.3">
      <c r="A749" s="9">
        <v>41282</v>
      </c>
      <c r="B749" s="1">
        <v>22177.57</v>
      </c>
      <c r="C749" s="1">
        <v>29.723240000000001</v>
      </c>
      <c r="D749" s="6">
        <f t="shared" si="161"/>
        <v>-8.5954979581892577E-3</v>
      </c>
      <c r="E749" s="5">
        <f t="shared" si="160"/>
        <v>2.6551933596619115E-4</v>
      </c>
      <c r="G749" s="25" t="str">
        <f>IF(VLOOKUP(A749,Aux!B:C,2,FALSE)=0,"",VLOOKUP(A749,Aux!B:C,2,FALSE))</f>
        <v/>
      </c>
      <c r="H749" s="25" t="str">
        <f t="shared" si="149"/>
        <v/>
      </c>
      <c r="L749" s="13">
        <f t="shared" si="152"/>
        <v>117511.41525981008</v>
      </c>
      <c r="M749" s="14">
        <f t="shared" si="153"/>
        <v>-511.2599746327972</v>
      </c>
      <c r="N749" s="14">
        <f t="shared" si="154"/>
        <v>15.540093593418465</v>
      </c>
      <c r="O749" s="1">
        <f t="shared" si="155"/>
        <v>2.6589347546952378</v>
      </c>
      <c r="P749" s="1">
        <f t="shared" si="156"/>
        <v>1969.5936113332061</v>
      </c>
      <c r="S749" s="6">
        <f t="shared" si="150"/>
        <v>0.5018126240528249</v>
      </c>
      <c r="T749" s="6">
        <f t="shared" si="151"/>
        <v>0.49818737594717505</v>
      </c>
      <c r="V749" s="1">
        <f t="shared" si="157"/>
        <v>117659.25483073993</v>
      </c>
      <c r="W749" s="7">
        <f t="shared" si="158"/>
        <v>-4.2096099202594906E-3</v>
      </c>
      <c r="X749" s="7">
        <f t="shared" si="159"/>
        <v>-3.6136262352944532E-3</v>
      </c>
      <c r="Y749">
        <f>LN(B749/B748)</f>
        <v>-8.6326523107445596E-3</v>
      </c>
      <c r="Z749">
        <f>LN(C749/C748)</f>
        <v>2.6548409194581307E-4</v>
      </c>
    </row>
    <row r="750" spans="1:26" x14ac:dyDescent="0.3">
      <c r="A750" s="11">
        <v>41283</v>
      </c>
      <c r="B750" s="12">
        <v>22383.48</v>
      </c>
      <c r="C750" s="12">
        <v>29.731120000000001</v>
      </c>
      <c r="D750" s="16">
        <f t="shared" si="161"/>
        <v>9.2846060231124294E-3</v>
      </c>
      <c r="E750" s="15">
        <f t="shared" si="160"/>
        <v>2.6511241708515598E-4</v>
      </c>
      <c r="G750" s="25" t="str">
        <f>IF(VLOOKUP(A750,Aux!B:C,2,FALSE)=0,"",VLOOKUP(A750,Aux!B:C,2,FALSE))</f>
        <v/>
      </c>
      <c r="H750" s="25" t="str">
        <f t="shared" si="149"/>
        <v/>
      </c>
      <c r="L750" s="13">
        <f t="shared" si="152"/>
        <v>118074.43691280669</v>
      </c>
      <c r="M750" s="14">
        <f t="shared" si="153"/>
        <v>547.50125533929599</v>
      </c>
      <c r="N750" s="14">
        <f t="shared" si="154"/>
        <v>15.52039765730588</v>
      </c>
      <c r="O750" s="1">
        <f t="shared" si="155"/>
        <v>2.6589347546952378</v>
      </c>
      <c r="P750" s="1">
        <f t="shared" si="156"/>
        <v>1969.5936113332061</v>
      </c>
      <c r="S750" s="6">
        <f t="shared" si="150"/>
        <v>0.50405671590859358</v>
      </c>
      <c r="T750" s="6">
        <f t="shared" si="151"/>
        <v>0.49594328409140626</v>
      </c>
      <c r="V750" s="1">
        <f t="shared" si="157"/>
        <v>118151.92500730694</v>
      </c>
      <c r="W750" s="7">
        <f t="shared" si="158"/>
        <v>4.7797668638529991E-3</v>
      </c>
      <c r="X750" s="7">
        <f t="shared" si="159"/>
        <v>4.1785202359071296E-3</v>
      </c>
      <c r="Y750">
        <f>LN(B750/B749)</f>
        <v>9.2417690143023964E-3</v>
      </c>
      <c r="Z750">
        <f>LN(C750/C749)</f>
        <v>2.6507728099818106E-4</v>
      </c>
    </row>
    <row r="751" spans="1:26" x14ac:dyDescent="0.3">
      <c r="A751" s="9">
        <v>41284</v>
      </c>
      <c r="B751" s="1">
        <v>22393.89</v>
      </c>
      <c r="C751" s="1">
        <v>29.739000000000001</v>
      </c>
      <c r="D751" s="6">
        <f t="shared" si="161"/>
        <v>4.6507513576976578E-4</v>
      </c>
      <c r="E751" s="5">
        <f t="shared" si="160"/>
        <v>2.6504215111966545E-4</v>
      </c>
      <c r="G751" s="25" t="str">
        <f>IF(VLOOKUP(A751,Aux!B:C,2,FALSE)=0,"",VLOOKUP(A751,Aux!B:C,2,FALSE))</f>
        <v/>
      </c>
      <c r="H751" s="25" t="str">
        <f t="shared" si="149"/>
        <v/>
      </c>
      <c r="L751" s="13">
        <f t="shared" si="152"/>
        <v>118117.63682126037</v>
      </c>
      <c r="M751" s="14">
        <f t="shared" si="153"/>
        <v>27.679510796377038</v>
      </c>
      <c r="N751" s="14">
        <f t="shared" si="154"/>
        <v>15.52039765730588</v>
      </c>
      <c r="O751" s="1">
        <f t="shared" si="155"/>
        <v>2.6589347546952378</v>
      </c>
      <c r="P751" s="1">
        <f t="shared" si="156"/>
        <v>1969.5936113332061</v>
      </c>
      <c r="S751" s="6">
        <f t="shared" si="150"/>
        <v>0.5041067025741971</v>
      </c>
      <c r="T751" s="6">
        <f t="shared" si="151"/>
        <v>0.49589329742580279</v>
      </c>
      <c r="V751" s="1">
        <f t="shared" si="157"/>
        <v>118193.56984524737</v>
      </c>
      <c r="W751" s="7">
        <f t="shared" si="158"/>
        <v>3.6580320628412161E-4</v>
      </c>
      <c r="X751" s="7">
        <f t="shared" si="159"/>
        <v>3.5240644969698818E-4</v>
      </c>
      <c r="Y751">
        <f>LN(B751/B750)</f>
        <v>4.649670218482425E-4</v>
      </c>
      <c r="Z751">
        <f>LN(C751/C750)</f>
        <v>2.6500703365366584E-4</v>
      </c>
    </row>
    <row r="752" spans="1:26" x14ac:dyDescent="0.3">
      <c r="A752" s="11">
        <v>41285</v>
      </c>
      <c r="B752" s="12">
        <v>22294.44</v>
      </c>
      <c r="C752" s="12">
        <v>29.74689</v>
      </c>
      <c r="D752" s="16">
        <f t="shared" si="161"/>
        <v>-4.4409434894965294E-3</v>
      </c>
      <c r="E752" s="15">
        <f t="shared" si="160"/>
        <v>2.6530818117631583E-4</v>
      </c>
      <c r="G752" s="25" t="str">
        <f>IF(VLOOKUP(A752,Aux!B:C,2,FALSE)=0,"",VLOOKUP(A752,Aux!B:C,2,FALSE))</f>
        <v/>
      </c>
      <c r="H752" s="25" t="str">
        <f t="shared" si="149"/>
        <v/>
      </c>
      <c r="L752" s="13">
        <f t="shared" si="152"/>
        <v>117868.74585349935</v>
      </c>
      <c r="M752" s="14">
        <f t="shared" si="153"/>
        <v>-264.43106135444333</v>
      </c>
      <c r="N752" s="14">
        <f t="shared" si="154"/>
        <v>15.540093593418465</v>
      </c>
      <c r="O752" s="1">
        <f t="shared" si="155"/>
        <v>2.6589347546952378</v>
      </c>
      <c r="P752" s="1">
        <f t="shared" si="156"/>
        <v>1969.5936113332061</v>
      </c>
      <c r="S752" s="6">
        <f t="shared" si="150"/>
        <v>0.5029277347715817</v>
      </c>
      <c r="T752" s="6">
        <f t="shared" si="151"/>
        <v>0.49707226522841813</v>
      </c>
      <c r="V752" s="1">
        <f t="shared" si="157"/>
        <v>117981.78619158905</v>
      </c>
      <c r="W752" s="7">
        <f t="shared" si="158"/>
        <v>-2.1093679832310422E-3</v>
      </c>
      <c r="X752" s="7">
        <f t="shared" si="159"/>
        <v>-1.7934446165597253E-3</v>
      </c>
      <c r="Y752">
        <f>LN(B752/B751)</f>
        <v>-4.4508337713523721E-3</v>
      </c>
      <c r="Z752">
        <f>LN(C752/C751)</f>
        <v>2.6527299318445345E-4</v>
      </c>
    </row>
    <row r="753" spans="1:26" x14ac:dyDescent="0.3">
      <c r="A753" s="9">
        <v>41288</v>
      </c>
      <c r="B753" s="1">
        <v>22427.99</v>
      </c>
      <c r="C753" s="1">
        <v>29.75478</v>
      </c>
      <c r="D753" s="6">
        <f t="shared" si="161"/>
        <v>5.9902827790248026E-3</v>
      </c>
      <c r="E753" s="5">
        <f t="shared" si="160"/>
        <v>2.652378114149645E-4</v>
      </c>
      <c r="G753" s="25" t="str">
        <f>IF(VLOOKUP(A753,Aux!B:C,2,FALSE)=0,"",VLOOKUP(A753,Aux!B:C,2,FALSE))</f>
        <v/>
      </c>
      <c r="H753" s="25" t="str">
        <f t="shared" si="149"/>
        <v/>
      </c>
      <c r="L753" s="13">
        <f t="shared" si="152"/>
        <v>118239.38668358233</v>
      </c>
      <c r="M753" s="14">
        <f t="shared" si="153"/>
        <v>355.10073648955677</v>
      </c>
      <c r="N753" s="14">
        <f t="shared" si="154"/>
        <v>15.540093593418465</v>
      </c>
      <c r="O753" s="1">
        <f t="shared" si="155"/>
        <v>2.6589347546952378</v>
      </c>
      <c r="P753" s="1">
        <f t="shared" si="156"/>
        <v>1969.5936113332061</v>
      </c>
      <c r="S753" s="6">
        <f t="shared" si="150"/>
        <v>0.50435446057026601</v>
      </c>
      <c r="T753" s="6">
        <f t="shared" si="151"/>
        <v>0.49564553942973388</v>
      </c>
      <c r="V753" s="1">
        <f t="shared" si="157"/>
        <v>118307.54168831436</v>
      </c>
      <c r="W753" s="7">
        <f t="shared" si="158"/>
        <v>3.1395880400323017E-3</v>
      </c>
      <c r="X753" s="7">
        <f t="shared" si="159"/>
        <v>2.7572612443187354E-3</v>
      </c>
      <c r="Y753">
        <f>LN(B753/B752)</f>
        <v>5.9724123655135594E-3</v>
      </c>
      <c r="Z753">
        <f>LN(C753/C752)</f>
        <v>2.6520264208534895E-4</v>
      </c>
    </row>
    <row r="754" spans="1:26" x14ac:dyDescent="0.3">
      <c r="A754" s="11">
        <v>41289</v>
      </c>
      <c r="B754" s="12">
        <v>22292.29</v>
      </c>
      <c r="C754" s="12">
        <v>29.762699999999999</v>
      </c>
      <c r="D754" s="16">
        <f t="shared" si="161"/>
        <v>-6.050475321239257E-3</v>
      </c>
      <c r="E754" s="15">
        <f t="shared" si="160"/>
        <v>2.6617572033793557E-4</v>
      </c>
      <c r="G754" s="25" t="str">
        <f>IF(VLOOKUP(A754,Aux!B:C,2,FALSE)=0,"",VLOOKUP(A754,Aux!B:C,2,FALSE))</f>
        <v/>
      </c>
      <c r="H754" s="25" t="str">
        <f t="shared" si="149"/>
        <v/>
      </c>
      <c r="L754" s="13">
        <f t="shared" si="152"/>
        <v>117894.16841877195</v>
      </c>
      <c r="M754" s="14">
        <f t="shared" si="153"/>
        <v>-360.81744621214568</v>
      </c>
      <c r="N754" s="14">
        <f t="shared" si="154"/>
        <v>15.599181401756224</v>
      </c>
      <c r="O754" s="1">
        <f t="shared" si="155"/>
        <v>2.6589347546952378</v>
      </c>
      <c r="P754" s="1">
        <f t="shared" si="156"/>
        <v>1969.5936113332061</v>
      </c>
      <c r="S754" s="6">
        <f t="shared" si="150"/>
        <v>0.50277079382076639</v>
      </c>
      <c r="T754" s="6">
        <f t="shared" si="151"/>
        <v>0.49722920617923333</v>
      </c>
      <c r="V754" s="1">
        <f t="shared" si="157"/>
        <v>118012.19513059809</v>
      </c>
      <c r="W754" s="7">
        <f t="shared" si="158"/>
        <v>-2.9239259164992853E-3</v>
      </c>
      <c r="X754" s="7">
        <f t="shared" si="159"/>
        <v>-2.4995517976033966E-3</v>
      </c>
      <c r="Y754">
        <f>LN(B754/B753)</f>
        <v>-6.0688536161576656E-3</v>
      </c>
      <c r="Z754">
        <f>LN(C754/C753)</f>
        <v>2.6614030186577239E-4</v>
      </c>
    </row>
    <row r="755" spans="1:26" x14ac:dyDescent="0.3">
      <c r="A755" s="9">
        <v>41290</v>
      </c>
      <c r="B755" s="1">
        <v>22399.040000000001</v>
      </c>
      <c r="C755" s="1">
        <v>29.770620000000001</v>
      </c>
      <c r="D755" s="6">
        <f t="shared" si="161"/>
        <v>4.7886511435120127E-3</v>
      </c>
      <c r="E755" s="5">
        <f t="shared" si="160"/>
        <v>2.6610488967748758E-4</v>
      </c>
      <c r="G755" s="25" t="str">
        <f>IF(VLOOKUP(A755,Aux!B:C,2,FALSE)=0,"",VLOOKUP(A755,Aux!B:C,2,FALSE))</f>
        <v/>
      </c>
      <c r="H755" s="25" t="str">
        <f t="shared" si="149"/>
        <v/>
      </c>
      <c r="L755" s="13">
        <f t="shared" si="152"/>
        <v>118193.60888523742</v>
      </c>
      <c r="M755" s="14">
        <f t="shared" si="153"/>
        <v>283.84128506371661</v>
      </c>
      <c r="N755" s="14">
        <f t="shared" si="154"/>
        <v>15.599181401763222</v>
      </c>
      <c r="O755" s="1">
        <f t="shared" si="155"/>
        <v>2.6589347546952378</v>
      </c>
      <c r="P755" s="1">
        <f t="shared" si="156"/>
        <v>1969.5936113332061</v>
      </c>
      <c r="S755" s="6">
        <f t="shared" si="150"/>
        <v>0.50389853131261531</v>
      </c>
      <c r="T755" s="6">
        <f t="shared" si="151"/>
        <v>0.49610146868738442</v>
      </c>
      <c r="V755" s="1">
        <f t="shared" si="157"/>
        <v>118276.18920382822</v>
      </c>
      <c r="W755" s="7">
        <f t="shared" si="158"/>
        <v>2.5366889421775604E-3</v>
      </c>
      <c r="X755" s="7">
        <f t="shared" si="159"/>
        <v>2.2345083429969044E-3</v>
      </c>
      <c r="Y755">
        <f>LN(B755/B754)</f>
        <v>4.7772220258068248E-3</v>
      </c>
      <c r="Z755">
        <f>LN(C755/C754)</f>
        <v>2.6606949005120233E-4</v>
      </c>
    </row>
    <row r="756" spans="1:26" x14ac:dyDescent="0.3">
      <c r="A756" s="11">
        <v>41291</v>
      </c>
      <c r="B756" s="12">
        <v>22574.57</v>
      </c>
      <c r="C756" s="12">
        <v>29.778549999999999</v>
      </c>
      <c r="D756" s="16">
        <f t="shared" si="161"/>
        <v>7.8364965641384288E-3</v>
      </c>
      <c r="E756" s="15">
        <f t="shared" si="160"/>
        <v>2.6636999834050989E-4</v>
      </c>
      <c r="G756" s="25" t="str">
        <f>IF(VLOOKUP(A756,Aux!B:C,2,FALSE)=0,"",VLOOKUP(A756,Aux!B:C,2,FALSE))</f>
        <v/>
      </c>
      <c r="H756" s="25" t="str">
        <f t="shared" si="149"/>
        <v/>
      </c>
      <c r="L756" s="13">
        <f t="shared" si="152"/>
        <v>118675.95058006694</v>
      </c>
      <c r="M756" s="14">
        <f t="shared" si="153"/>
        <v>466.72281749165199</v>
      </c>
      <c r="N756" s="14">
        <f t="shared" si="154"/>
        <v>15.618877337868811</v>
      </c>
      <c r="O756" s="1">
        <f t="shared" si="155"/>
        <v>2.6589347546952378</v>
      </c>
      <c r="P756" s="1">
        <f t="shared" si="156"/>
        <v>1969.5936113332061</v>
      </c>
      <c r="S756" s="6">
        <f t="shared" si="150"/>
        <v>0.50578325643832911</v>
      </c>
      <c r="T756" s="6">
        <f t="shared" si="151"/>
        <v>0.49421674356167067</v>
      </c>
      <c r="V756" s="1">
        <f t="shared" si="157"/>
        <v>118698.88351432023</v>
      </c>
      <c r="W756" s="7">
        <f t="shared" si="158"/>
        <v>4.0726411837054867E-3</v>
      </c>
      <c r="X756" s="7">
        <f t="shared" si="159"/>
        <v>3.5674195933591466E-3</v>
      </c>
      <c r="Y756">
        <f>LN(B756/B755)</f>
        <v>7.805950702849826E-3</v>
      </c>
      <c r="Z756">
        <f>LN(C756/C755)</f>
        <v>2.6633452815115835E-4</v>
      </c>
    </row>
    <row r="757" spans="1:26" x14ac:dyDescent="0.3">
      <c r="A757" s="9">
        <v>41292</v>
      </c>
      <c r="B757" s="1">
        <v>22525.360000000001</v>
      </c>
      <c r="C757" s="1">
        <v>29.786480000000001</v>
      </c>
      <c r="D757" s="6">
        <f t="shared" si="161"/>
        <v>-2.179886482887583E-3</v>
      </c>
      <c r="E757" s="5">
        <f t="shared" si="160"/>
        <v>2.6629906425945649E-4</v>
      </c>
      <c r="G757" s="25" t="str">
        <f>IF(VLOOKUP(A757,Aux!B:C,2,FALSE)=0,"",VLOOKUP(A757,Aux!B:C,2,FALSE))</f>
        <v/>
      </c>
      <c r="H757" s="25" t="str">
        <f t="shared" si="149"/>
        <v/>
      </c>
      <c r="L757" s="13">
        <f t="shared" si="152"/>
        <v>118560.72327812627</v>
      </c>
      <c r="M757" s="14">
        <f t="shared" si="153"/>
        <v>-130.84617927855032</v>
      </c>
      <c r="N757" s="14">
        <f t="shared" si="154"/>
        <v>15.618877337875809</v>
      </c>
      <c r="O757" s="1">
        <f t="shared" si="155"/>
        <v>2.6589347546952378</v>
      </c>
      <c r="P757" s="1">
        <f t="shared" si="156"/>
        <v>1969.5936113332061</v>
      </c>
      <c r="S757" s="6">
        <f t="shared" si="150"/>
        <v>0.50517119759400031</v>
      </c>
      <c r="T757" s="6">
        <f t="shared" si="151"/>
        <v>0.49482880240599941</v>
      </c>
      <c r="V757" s="1">
        <f t="shared" si="157"/>
        <v>118603.09478336498</v>
      </c>
      <c r="W757" s="7">
        <f t="shared" si="158"/>
        <v>-9.7141229581269883E-4</v>
      </c>
      <c r="X757" s="7">
        <f t="shared" si="159"/>
        <v>-8.0731510832729068E-4</v>
      </c>
      <c r="Y757">
        <f>LN(B757/B756)</f>
        <v>-2.1822658939529499E-3</v>
      </c>
      <c r="Z757">
        <f>LN(C757/C756)</f>
        <v>2.6626361295726983E-4</v>
      </c>
    </row>
    <row r="758" spans="1:26" x14ac:dyDescent="0.3">
      <c r="A758" s="11">
        <v>41295</v>
      </c>
      <c r="B758" s="12">
        <v>22507.17</v>
      </c>
      <c r="C758" s="12">
        <v>29.79439</v>
      </c>
      <c r="D758" s="16">
        <f t="shared" si="161"/>
        <v>-8.0753426360347103E-4</v>
      </c>
      <c r="E758" s="15">
        <f t="shared" si="160"/>
        <v>2.6555672237860151E-4</v>
      </c>
      <c r="G758" s="25" t="str">
        <f>IF(VLOOKUP(A758,Aux!B:C,2,FALSE)=0,"",VLOOKUP(A758,Aux!B:C,2,FALSE))</f>
        <v/>
      </c>
      <c r="H758" s="25" t="str">
        <f t="shared" si="149"/>
        <v/>
      </c>
      <c r="L758" s="13">
        <f t="shared" si="152"/>
        <v>118527.93674040399</v>
      </c>
      <c r="M758" s="14">
        <f t="shared" si="153"/>
        <v>-48.366023187912567</v>
      </c>
      <c r="N758" s="14">
        <f t="shared" si="154"/>
        <v>15.579485465643639</v>
      </c>
      <c r="O758" s="1">
        <f t="shared" si="155"/>
        <v>2.6589347546952378</v>
      </c>
      <c r="P758" s="1">
        <f t="shared" si="156"/>
        <v>1969.5936113332061</v>
      </c>
      <c r="S758" s="6">
        <f t="shared" si="150"/>
        <v>0.50490287934316092</v>
      </c>
      <c r="T758" s="6">
        <f t="shared" si="151"/>
        <v>0.49509712065683886</v>
      </c>
      <c r="V758" s="1">
        <f t="shared" si="157"/>
        <v>118578.82553484591</v>
      </c>
      <c r="W758" s="7">
        <f t="shared" si="158"/>
        <v>-2.7657617980301807E-4</v>
      </c>
      <c r="X758" s="7">
        <f t="shared" si="159"/>
        <v>-2.046466996406304E-4</v>
      </c>
      <c r="Y758">
        <f>LN(B758/B757)</f>
        <v>-8.0786049503744895E-4</v>
      </c>
      <c r="Z758">
        <f>LN(C758/C757)</f>
        <v>2.6552146843334458E-4</v>
      </c>
    </row>
    <row r="759" spans="1:26" x14ac:dyDescent="0.3">
      <c r="A759" s="9">
        <v>41296</v>
      </c>
      <c r="B759" s="1">
        <v>22551.200000000001</v>
      </c>
      <c r="C759" s="1">
        <v>29.802309999999999</v>
      </c>
      <c r="D759" s="6">
        <f t="shared" si="161"/>
        <v>1.9562654922855582E-3</v>
      </c>
      <c r="E759" s="5">
        <f t="shared" si="160"/>
        <v>2.658218543825086E-4</v>
      </c>
      <c r="G759" s="25" t="str">
        <f>IF(VLOOKUP(A759,Aux!B:C,2,FALSE)=0,"",VLOOKUP(A759,Aux!B:C,2,FALSE))</f>
        <v/>
      </c>
      <c r="H759" s="25" t="str">
        <f t="shared" si="149"/>
        <v/>
      </c>
      <c r="L759" s="13">
        <f t="shared" si="152"/>
        <v>118660.60881905499</v>
      </c>
      <c r="M759" s="14">
        <f t="shared" si="153"/>
        <v>117.0728972492379</v>
      </c>
      <c r="N759" s="14">
        <f t="shared" si="154"/>
        <v>15.599181401756224</v>
      </c>
      <c r="O759" s="1">
        <f t="shared" si="155"/>
        <v>2.6589347546952378</v>
      </c>
      <c r="P759" s="1">
        <f t="shared" si="156"/>
        <v>1969.5936113332061</v>
      </c>
      <c r="S759" s="6">
        <f t="shared" si="150"/>
        <v>0.50532497714990898</v>
      </c>
      <c r="T759" s="6">
        <f t="shared" si="151"/>
        <v>0.49467502285009085</v>
      </c>
      <c r="V759" s="1">
        <f t="shared" si="157"/>
        <v>118698.12237411868</v>
      </c>
      <c r="W759" s="7">
        <f t="shared" si="158"/>
        <v>1.1187057298629223E-3</v>
      </c>
      <c r="X759" s="7">
        <f t="shared" si="159"/>
        <v>1.005549425480498E-3</v>
      </c>
      <c r="Y759">
        <f>LN(B759/B758)</f>
        <v>1.9543544968178578E-3</v>
      </c>
      <c r="Z759">
        <f>LN(C759/C758)</f>
        <v>2.6578653001322917E-4</v>
      </c>
    </row>
    <row r="760" spans="1:26" x14ac:dyDescent="0.3">
      <c r="A760" s="11">
        <v>41297</v>
      </c>
      <c r="B760" s="12">
        <v>22551.15</v>
      </c>
      <c r="C760" s="12">
        <v>29.81024</v>
      </c>
      <c r="D760" s="16">
        <f t="shared" si="161"/>
        <v>-2.2171769129553098E-6</v>
      </c>
      <c r="E760" s="15">
        <f t="shared" si="160"/>
        <v>2.6608675636219381E-4</v>
      </c>
      <c r="G760" s="25" t="str">
        <f>IF(VLOOKUP(A760,Aux!B:C,2,FALSE)=0,"",VLOOKUP(A760,Aux!B:C,2,FALSE))</f>
        <v/>
      </c>
      <c r="H760" s="25" t="str">
        <f t="shared" si="149"/>
        <v/>
      </c>
      <c r="L760" s="13">
        <f t="shared" si="152"/>
        <v>118676.09474965514</v>
      </c>
      <c r="M760" s="14">
        <f t="shared" si="153"/>
        <v>-0.13294673773282725</v>
      </c>
      <c r="N760" s="14">
        <f t="shared" si="154"/>
        <v>15.618877337875809</v>
      </c>
      <c r="O760" s="1">
        <f t="shared" si="155"/>
        <v>2.6589347546952378</v>
      </c>
      <c r="P760" s="1">
        <f t="shared" si="156"/>
        <v>1969.5936113332061</v>
      </c>
      <c r="S760" s="6">
        <f t="shared" si="150"/>
        <v>0.50525791752613902</v>
      </c>
      <c r="T760" s="6">
        <f t="shared" si="151"/>
        <v>0.49474208247386076</v>
      </c>
      <c r="V760" s="1">
        <f t="shared" si="157"/>
        <v>118715.74748278945</v>
      </c>
      <c r="W760" s="7">
        <f t="shared" si="158"/>
        <v>1.3049756223355649E-4</v>
      </c>
      <c r="X760" s="7">
        <f t="shared" si="159"/>
        <v>1.4847581326039242E-4</v>
      </c>
      <c r="Y760">
        <f>LN(B760/B759)</f>
        <v>-2.2171793708956747E-6</v>
      </c>
      <c r="Z760">
        <f>LN(C760/C759)</f>
        <v>2.6605136155982435E-4</v>
      </c>
    </row>
    <row r="761" spans="1:26" x14ac:dyDescent="0.3">
      <c r="A761" s="9">
        <v>41298</v>
      </c>
      <c r="B761" s="1">
        <v>22399.72</v>
      </c>
      <c r="C761" s="1">
        <v>29.818169999999999</v>
      </c>
      <c r="D761" s="6">
        <f t="shared" si="161"/>
        <v>-6.7149568868993814E-3</v>
      </c>
      <c r="E761" s="5">
        <f t="shared" si="160"/>
        <v>2.660159730347722E-4</v>
      </c>
      <c r="G761" s="25" t="str">
        <f>IF(VLOOKUP(A761,Aux!B:C,2,FALSE)=0,"",VLOOKUP(A761,Aux!B:C,2,FALSE))</f>
        <v/>
      </c>
      <c r="H761" s="25" t="str">
        <f t="shared" si="149"/>
        <v/>
      </c>
      <c r="L761" s="13">
        <f t="shared" si="152"/>
        <v>118289.0711370895</v>
      </c>
      <c r="M761" s="14">
        <f t="shared" si="153"/>
        <v>-402.64248990350063</v>
      </c>
      <c r="N761" s="14">
        <f t="shared" si="154"/>
        <v>15.618877337868811</v>
      </c>
      <c r="O761" s="1">
        <f t="shared" si="155"/>
        <v>2.6589347546952378</v>
      </c>
      <c r="P761" s="1">
        <f t="shared" si="156"/>
        <v>1969.5936113332061</v>
      </c>
      <c r="S761" s="6">
        <f t="shared" si="150"/>
        <v>0.50350715776960042</v>
      </c>
      <c r="T761" s="6">
        <f t="shared" si="151"/>
        <v>0.49649284223039936</v>
      </c>
      <c r="V761" s="1">
        <f t="shared" si="157"/>
        <v>118384.13363615944</v>
      </c>
      <c r="W761" s="7">
        <f t="shared" si="158"/>
        <v>-3.2665050599110378E-3</v>
      </c>
      <c r="X761" s="7">
        <f t="shared" si="159"/>
        <v>-2.7972520382069958E-3</v>
      </c>
      <c r="Y761">
        <f>LN(B761/B760)</f>
        <v>-6.7376036481812699E-3</v>
      </c>
      <c r="Z761">
        <f>LN(C761/C760)</f>
        <v>2.6598059705939468E-4</v>
      </c>
    </row>
    <row r="762" spans="1:26" x14ac:dyDescent="0.3">
      <c r="A762" s="11">
        <v>41302</v>
      </c>
      <c r="B762" s="12">
        <v>22030.61</v>
      </c>
      <c r="C762" s="12">
        <v>29.834040000000002</v>
      </c>
      <c r="D762" s="16">
        <f t="shared" si="161"/>
        <v>-1.6478330979137312E-2</v>
      </c>
      <c r="E762" s="15">
        <f t="shared" si="160"/>
        <v>5.3222582069945013E-4</v>
      </c>
      <c r="G762" s="25" t="str">
        <f>IF(VLOOKUP(A762,Aux!B:C,2,FALSE)=0,"",VLOOKUP(A762,Aux!B:C,2,FALSE))</f>
        <v/>
      </c>
      <c r="H762" s="25" t="str">
        <f t="shared" si="149"/>
        <v/>
      </c>
      <c r="L762" s="13">
        <f t="shared" si="152"/>
        <v>117338.88918039581</v>
      </c>
      <c r="M762" s="14">
        <f t="shared" si="153"/>
        <v>-981.43940730556074</v>
      </c>
      <c r="N762" s="14">
        <f t="shared" si="154"/>
        <v>31.257450611864204</v>
      </c>
      <c r="O762" s="1">
        <f t="shared" si="155"/>
        <v>2.6589347546952378</v>
      </c>
      <c r="P762" s="1">
        <f t="shared" si="156"/>
        <v>1969.5936113332061</v>
      </c>
      <c r="S762" s="6">
        <f t="shared" si="150"/>
        <v>0.49922029265232948</v>
      </c>
      <c r="T762" s="6">
        <f t="shared" si="151"/>
        <v>0.5007797073476703</v>
      </c>
      <c r="V762" s="1">
        <f t="shared" si="157"/>
        <v>117568.08724678669</v>
      </c>
      <c r="W762" s="7">
        <f t="shared" si="158"/>
        <v>-8.0651473273098441E-3</v>
      </c>
      <c r="X762" s="7">
        <f t="shared" si="159"/>
        <v>-6.9170753301218101E-3</v>
      </c>
      <c r="Y762">
        <f>LN(B762/B761)</f>
        <v>-1.6615608837665677E-2</v>
      </c>
      <c r="Z762">
        <f>LN(C762/C761)</f>
        <v>5.3208423877081849E-4</v>
      </c>
    </row>
    <row r="763" spans="1:26" x14ac:dyDescent="0.3">
      <c r="A763" s="9">
        <v>41303</v>
      </c>
      <c r="B763" s="1">
        <v>22129.05</v>
      </c>
      <c r="C763" s="1">
        <v>29.84198</v>
      </c>
      <c r="D763" s="6">
        <f t="shared" si="161"/>
        <v>4.4683283849153987E-3</v>
      </c>
      <c r="E763" s="5">
        <f t="shared" si="160"/>
        <v>2.6613894732308019E-4</v>
      </c>
      <c r="G763" s="25" t="str">
        <f>IF(VLOOKUP(A763,Aux!B:C,2,FALSE)=0,"",VLOOKUP(A763,Aux!B:C,2,FALSE))</f>
        <v/>
      </c>
      <c r="H763" s="25" t="str">
        <f t="shared" si="149"/>
        <v/>
      </c>
      <c r="L763" s="13">
        <f t="shared" si="152"/>
        <v>117616.27329092199</v>
      </c>
      <c r="M763" s="14">
        <f t="shared" si="153"/>
        <v>261.74553725219573</v>
      </c>
      <c r="N763" s="14">
        <f t="shared" si="154"/>
        <v>15.638573273981399</v>
      </c>
      <c r="O763" s="1">
        <f t="shared" si="155"/>
        <v>2.6589347546952378</v>
      </c>
      <c r="P763" s="1">
        <f t="shared" si="156"/>
        <v>1969.5936113332061</v>
      </c>
      <c r="S763" s="6">
        <f t="shared" si="150"/>
        <v>0.50026835987099827</v>
      </c>
      <c r="T763" s="6">
        <f t="shared" si="151"/>
        <v>0.49973164012900145</v>
      </c>
      <c r="V763" s="1">
        <f t="shared" si="157"/>
        <v>117812.95460198069</v>
      </c>
      <c r="W763" s="7">
        <f t="shared" si="158"/>
        <v>2.3611674370478237E-3</v>
      </c>
      <c r="X763" s="7">
        <f t="shared" si="159"/>
        <v>2.0806046366767163E-3</v>
      </c>
      <c r="Y763">
        <f>LN(B763/B762)</f>
        <v>4.458375044485847E-3</v>
      </c>
      <c r="Z763">
        <f>LN(C763/C762)</f>
        <v>2.6610353863572029E-4</v>
      </c>
    </row>
    <row r="764" spans="1:26" x14ac:dyDescent="0.3">
      <c r="A764" s="11">
        <v>41304</v>
      </c>
      <c r="B764" s="12">
        <v>21811.17</v>
      </c>
      <c r="C764" s="12">
        <v>29.84994</v>
      </c>
      <c r="D764" s="16">
        <f t="shared" si="161"/>
        <v>-1.4364828133155316E-2</v>
      </c>
      <c r="E764" s="15">
        <f t="shared" si="160"/>
        <v>2.6673833304635686E-4</v>
      </c>
      <c r="G764" s="25" t="str">
        <f>IF(VLOOKUP(A764,Aux!B:C,2,FALSE)=0,"",VLOOKUP(A764,Aux!B:C,2,FALSE))</f>
        <v/>
      </c>
      <c r="H764" s="25" t="str">
        <f t="shared" si="149"/>
        <v/>
      </c>
      <c r="L764" s="13">
        <f t="shared" si="152"/>
        <v>116786.72907624568</v>
      </c>
      <c r="M764" s="14">
        <f t="shared" si="153"/>
        <v>-845.22217982252494</v>
      </c>
      <c r="N764" s="14">
        <f t="shared" si="154"/>
        <v>15.677965146213568</v>
      </c>
      <c r="O764" s="1">
        <f t="shared" si="155"/>
        <v>2.6589347546952378</v>
      </c>
      <c r="P764" s="1">
        <f t="shared" si="156"/>
        <v>1969.5936113332061</v>
      </c>
      <c r="S764" s="6">
        <f t="shared" si="150"/>
        <v>0.49658448705848846</v>
      </c>
      <c r="T764" s="6">
        <f t="shared" si="151"/>
        <v>0.50341551294151121</v>
      </c>
      <c r="V764" s="1">
        <f t="shared" si="157"/>
        <v>117097.40189687238</v>
      </c>
      <c r="W764" s="7">
        <f t="shared" si="158"/>
        <v>-7.077961199069417E-3</v>
      </c>
      <c r="X764" s="7">
        <f t="shared" si="159"/>
        <v>-6.0921530142521553E-3</v>
      </c>
      <c r="Y764">
        <f>LN(B764/B763)</f>
        <v>-1.4469001098080038E-2</v>
      </c>
      <c r="Z764">
        <f>LN(C764/C763)</f>
        <v>2.6670276470201868E-4</v>
      </c>
    </row>
    <row r="765" spans="1:26" x14ac:dyDescent="0.3">
      <c r="A765" s="9">
        <v>41305</v>
      </c>
      <c r="B765" s="1">
        <v>22032.57</v>
      </c>
      <c r="C765" s="1">
        <v>29.857900000000001</v>
      </c>
      <c r="D765" s="6">
        <f t="shared" si="161"/>
        <v>1.0150762201202479E-2</v>
      </c>
      <c r="E765" s="5">
        <f t="shared" si="160"/>
        <v>2.6666720268120336E-4</v>
      </c>
      <c r="G765" s="25" t="str">
        <f>IF(VLOOKUP(A765,Aux!B:C,2,FALSE)=0,"",VLOOKUP(A765,Aux!B:C,2,FALSE))</f>
        <v/>
      </c>
      <c r="H765" s="25" t="str">
        <f t="shared" si="149"/>
        <v/>
      </c>
      <c r="L765" s="13">
        <f t="shared" si="152"/>
        <v>117391.09519608143</v>
      </c>
      <c r="M765" s="14">
        <f t="shared" si="153"/>
        <v>588.68815468952948</v>
      </c>
      <c r="N765" s="14">
        <f t="shared" si="154"/>
        <v>15.677965146213568</v>
      </c>
      <c r="O765" s="1">
        <f t="shared" si="155"/>
        <v>2.6589347546952378</v>
      </c>
      <c r="P765" s="1">
        <f t="shared" si="156"/>
        <v>1969.5936113332061</v>
      </c>
      <c r="S765" s="6">
        <f t="shared" si="150"/>
        <v>0.49904267449249584</v>
      </c>
      <c r="T765" s="6">
        <f t="shared" si="151"/>
        <v>0.50095732550750383</v>
      </c>
      <c r="V765" s="1">
        <f t="shared" si="157"/>
        <v>117625.98701587942</v>
      </c>
      <c r="W765" s="7">
        <f t="shared" si="158"/>
        <v>5.161611382446976E-3</v>
      </c>
      <c r="X765" s="7">
        <f t="shared" si="159"/>
        <v>4.5039057674791912E-3</v>
      </c>
      <c r="Y765">
        <f>LN(B765/B764)</f>
        <v>1.0099589219724939E-2</v>
      </c>
      <c r="Z765">
        <f>LN(C765/C764)</f>
        <v>2.6663165330247226E-4</v>
      </c>
    </row>
    <row r="766" spans="1:26" x14ac:dyDescent="0.3">
      <c r="A766" s="11">
        <v>41306</v>
      </c>
      <c r="B766" s="12">
        <v>22164.880000000001</v>
      </c>
      <c r="C766" s="12">
        <v>29.865860000000001</v>
      </c>
      <c r="D766" s="16">
        <f t="shared" si="161"/>
        <v>6.005200482740003E-3</v>
      </c>
      <c r="E766" s="15">
        <f t="shared" si="160"/>
        <v>2.6659611024215657E-4</v>
      </c>
      <c r="G766" s="25" t="str">
        <f>IF(VLOOKUP(A766,Aux!B:C,2,FALSE)=0,"",VLOOKUP(A766,Aux!B:C,2,FALSE))</f>
        <v/>
      </c>
      <c r="H766" s="25" t="str">
        <f t="shared" si="149"/>
        <v/>
      </c>
      <c r="L766" s="13">
        <f t="shared" si="152"/>
        <v>117758.57681862137</v>
      </c>
      <c r="M766" s="14">
        <f t="shared" si="153"/>
        <v>351.80365739373042</v>
      </c>
      <c r="N766" s="14">
        <f t="shared" si="154"/>
        <v>15.677965146213568</v>
      </c>
      <c r="O766" s="1">
        <f t="shared" si="155"/>
        <v>2.6589347546952378</v>
      </c>
      <c r="P766" s="1">
        <f t="shared" si="156"/>
        <v>1969.5936113332061</v>
      </c>
      <c r="S766" s="6">
        <f t="shared" si="150"/>
        <v>0.50047284331929776</v>
      </c>
      <c r="T766" s="6">
        <f t="shared" si="151"/>
        <v>0.49952715668070191</v>
      </c>
      <c r="V766" s="1">
        <f t="shared" si="157"/>
        <v>117949.03838850161</v>
      </c>
      <c r="W766" s="7">
        <f t="shared" si="158"/>
        <v>3.1255150691668503E-3</v>
      </c>
      <c r="X766" s="7">
        <f t="shared" si="159"/>
        <v>2.7426640372640409E-3</v>
      </c>
      <c r="Y766">
        <f>LN(B766/B765)</f>
        <v>5.9872411301301574E-3</v>
      </c>
      <c r="Z766">
        <f>LN(C766/C765)</f>
        <v>2.6656057981386749E-4</v>
      </c>
    </row>
    <row r="767" spans="1:26" x14ac:dyDescent="0.3">
      <c r="A767" s="9">
        <v>41309</v>
      </c>
      <c r="B767" s="1">
        <v>21957.43</v>
      </c>
      <c r="C767" s="1">
        <v>29.873830000000002</v>
      </c>
      <c r="D767" s="6">
        <f t="shared" si="161"/>
        <v>-9.3594009983360982E-3</v>
      </c>
      <c r="E767" s="5">
        <f t="shared" si="160"/>
        <v>2.6685988617103362E-4</v>
      </c>
      <c r="G767" s="25" t="str">
        <f>IF(VLOOKUP(A767,Aux!B:C,2,FALSE)=0,"",VLOOKUP(A767,Aux!B:C,2,FALSE))</f>
        <v/>
      </c>
      <c r="H767" s="25" t="str">
        <f t="shared" si="149"/>
        <v/>
      </c>
      <c r="L767" s="13">
        <f t="shared" si="152"/>
        <v>117222.67846484217</v>
      </c>
      <c r="M767" s="14">
        <f t="shared" si="153"/>
        <v>-551.59601486152906</v>
      </c>
      <c r="N767" s="14">
        <f t="shared" si="154"/>
        <v>15.697661082326155</v>
      </c>
      <c r="O767" s="1">
        <f t="shared" si="155"/>
        <v>2.6589347546952378</v>
      </c>
      <c r="P767" s="1">
        <f t="shared" si="156"/>
        <v>1969.5936113332061</v>
      </c>
      <c r="S767" s="6">
        <f t="shared" si="150"/>
        <v>0.49805527834188157</v>
      </c>
      <c r="T767" s="6">
        <f t="shared" si="151"/>
        <v>0.5019447216581181</v>
      </c>
      <c r="V767" s="1">
        <f t="shared" si="157"/>
        <v>117488.27392757998</v>
      </c>
      <c r="W767" s="7">
        <f t="shared" si="158"/>
        <v>-4.5612087843300859E-3</v>
      </c>
      <c r="X767" s="7">
        <f t="shared" si="159"/>
        <v>-3.9141208727242601E-3</v>
      </c>
      <c r="Y767">
        <f>LN(B767/B766)</f>
        <v>-9.4034754141831076E-3</v>
      </c>
      <c r="Z767">
        <f>LN(C767/C766)</f>
        <v>2.6682428540508008E-4</v>
      </c>
    </row>
    <row r="768" spans="1:26" x14ac:dyDescent="0.3">
      <c r="A768" s="11">
        <v>41310</v>
      </c>
      <c r="B768" s="12">
        <v>21902.26</v>
      </c>
      <c r="C768" s="12">
        <v>29.881810000000002</v>
      </c>
      <c r="D768" s="16">
        <f t="shared" si="161"/>
        <v>-2.512589132699139E-3</v>
      </c>
      <c r="E768" s="15">
        <f t="shared" si="160"/>
        <v>2.6712343211432454E-4</v>
      </c>
      <c r="G768" s="25" t="str">
        <f>IF(VLOOKUP(A768,Aux!B:C,2,FALSE)=0,"",VLOOKUP(A768,Aux!B:C,2,FALSE))</f>
        <v/>
      </c>
      <c r="H768" s="25" t="str">
        <f t="shared" si="149"/>
        <v/>
      </c>
      <c r="L768" s="13">
        <f t="shared" si="152"/>
        <v>117091.70239144407</v>
      </c>
      <c r="M768" s="14">
        <f t="shared" si="153"/>
        <v>-146.6934304165413</v>
      </c>
      <c r="N768" s="14">
        <f t="shared" si="154"/>
        <v>15.71735701843874</v>
      </c>
      <c r="O768" s="1">
        <f t="shared" si="155"/>
        <v>2.6589347546952378</v>
      </c>
      <c r="P768" s="1">
        <f t="shared" si="156"/>
        <v>1969.5936113332061</v>
      </c>
      <c r="S768" s="6">
        <f t="shared" si="150"/>
        <v>0.49735958339458469</v>
      </c>
      <c r="T768" s="6">
        <f t="shared" si="151"/>
        <v>0.50264041660541503</v>
      </c>
      <c r="V768" s="1">
        <f t="shared" si="157"/>
        <v>117378.84712476589</v>
      </c>
      <c r="W768" s="7">
        <f t="shared" si="158"/>
        <v>-1.1179517583240174E-3</v>
      </c>
      <c r="X768" s="7">
        <f t="shared" si="159"/>
        <v>-9.318188960771946E-4</v>
      </c>
      <c r="Y768">
        <f>LN(B768/B767)</f>
        <v>-2.5157509821702021E-3</v>
      </c>
      <c r="Z768">
        <f>LN(C768/C767)</f>
        <v>2.6708776100258408E-4</v>
      </c>
    </row>
    <row r="769" spans="1:26" x14ac:dyDescent="0.3">
      <c r="A769" s="9">
        <v>41311</v>
      </c>
      <c r="B769" s="1">
        <v>21748.81</v>
      </c>
      <c r="C769" s="1">
        <v>29.889790000000001</v>
      </c>
      <c r="D769" s="6">
        <f t="shared" si="161"/>
        <v>-7.0061263084264525E-3</v>
      </c>
      <c r="E769" s="5">
        <f t="shared" si="160"/>
        <v>2.6705209624178217E-4</v>
      </c>
      <c r="G769" s="25" t="str">
        <f>IF(VLOOKUP(A769,Aux!B:C,2,FALSE)=0,"",VLOOKUP(A769,Aux!B:C,2,FALSE))</f>
        <v/>
      </c>
      <c r="H769" s="25" t="str">
        <f t="shared" si="149"/>
        <v/>
      </c>
      <c r="L769" s="13">
        <f t="shared" si="152"/>
        <v>116699.40621035453</v>
      </c>
      <c r="M769" s="14">
        <f t="shared" si="153"/>
        <v>-408.0135381079765</v>
      </c>
      <c r="N769" s="14">
        <f t="shared" si="154"/>
        <v>15.71735701843874</v>
      </c>
      <c r="O769" s="1">
        <f t="shared" si="155"/>
        <v>2.6589347546952378</v>
      </c>
      <c r="P769" s="1">
        <f t="shared" si="156"/>
        <v>1969.5936113332061</v>
      </c>
      <c r="S769" s="6">
        <f t="shared" si="150"/>
        <v>0.4955352273003451</v>
      </c>
      <c r="T769" s="6">
        <f t="shared" si="151"/>
        <v>0.50446477269965462</v>
      </c>
      <c r="V769" s="1">
        <f t="shared" si="157"/>
        <v>117042.68492409901</v>
      </c>
      <c r="W769" s="7">
        <f t="shared" si="158"/>
        <v>-3.3559578173899796E-3</v>
      </c>
      <c r="X769" s="7">
        <f t="shared" si="159"/>
        <v>-2.8680166719711585E-3</v>
      </c>
      <c r="Y769">
        <f>LN(B769/B768)</f>
        <v>-7.030784450886559E-3</v>
      </c>
      <c r="Z769">
        <f>LN(C769/C768)</f>
        <v>2.6701644417789295E-4</v>
      </c>
    </row>
    <row r="770" spans="1:26" x14ac:dyDescent="0.3">
      <c r="A770" s="11">
        <v>41312</v>
      </c>
      <c r="B770" s="12">
        <v>21538.34</v>
      </c>
      <c r="C770" s="12">
        <v>29.897770000000001</v>
      </c>
      <c r="D770" s="16">
        <f t="shared" si="161"/>
        <v>-9.6773110804683204E-3</v>
      </c>
      <c r="E770" s="15">
        <f t="shared" si="160"/>
        <v>2.6698079845988154E-4</v>
      </c>
      <c r="G770" s="25" t="str">
        <f>IF(VLOOKUP(A770,Aux!B:C,2,FALSE)=0,"",VLOOKUP(A770,Aux!B:C,2,FALSE))</f>
        <v/>
      </c>
      <c r="H770" s="25" t="str">
        <f t="shared" si="149"/>
        <v/>
      </c>
      <c r="L770" s="13">
        <f t="shared" si="152"/>
        <v>116155.49756955226</v>
      </c>
      <c r="M770" s="14">
        <f t="shared" si="153"/>
        <v>-559.62599782070981</v>
      </c>
      <c r="N770" s="14">
        <f t="shared" si="154"/>
        <v>15.71735701843874</v>
      </c>
      <c r="O770" s="1">
        <f t="shared" si="155"/>
        <v>2.6589347546952378</v>
      </c>
      <c r="P770" s="1">
        <f t="shared" si="156"/>
        <v>1969.5936113332061</v>
      </c>
      <c r="S770" s="6">
        <f t="shared" si="150"/>
        <v>0.49303771222839232</v>
      </c>
      <c r="T770" s="6">
        <f t="shared" si="151"/>
        <v>0.50696228777160735</v>
      </c>
      <c r="V770" s="1">
        <f t="shared" si="157"/>
        <v>116574.97558886184</v>
      </c>
      <c r="W770" s="7">
        <f t="shared" si="158"/>
        <v>-4.671661375218952E-3</v>
      </c>
      <c r="X770" s="7">
        <f t="shared" si="159"/>
        <v>-4.0040633836510428E-3</v>
      </c>
      <c r="Y770">
        <f>LN(B770/B769)</f>
        <v>-9.7244405595746271E-3</v>
      </c>
      <c r="Z770">
        <f>LN(C770/C769)</f>
        <v>2.6694516542859073E-4</v>
      </c>
    </row>
    <row r="771" spans="1:26" x14ac:dyDescent="0.3">
      <c r="A771" s="9">
        <v>41313</v>
      </c>
      <c r="B771" s="1">
        <v>21607.68</v>
      </c>
      <c r="C771" s="1">
        <v>29.905740000000002</v>
      </c>
      <c r="D771" s="6">
        <f t="shared" si="161"/>
        <v>3.2193753093321398E-3</v>
      </c>
      <c r="E771" s="5">
        <f t="shared" si="160"/>
        <v>2.6657506563210198E-4</v>
      </c>
      <c r="G771" s="25" t="str">
        <f>IF(VLOOKUP(A771,Aux!B:C,2,FALSE)=0,"",VLOOKUP(A771,Aux!B:C,2,FALSE))</f>
        <v/>
      </c>
      <c r="H771" s="25" t="str">
        <f t="shared" ref="H771:H834" si="162">IF(ISNUMBER(G771),1-G771,"")</f>
        <v/>
      </c>
      <c r="L771" s="13">
        <f t="shared" si="152"/>
        <v>116355.56576652516</v>
      </c>
      <c r="M771" s="14">
        <f t="shared" si="153"/>
        <v>184.37053589056816</v>
      </c>
      <c r="N771" s="14">
        <f t="shared" si="154"/>
        <v>15.697661082326155</v>
      </c>
      <c r="O771" s="1">
        <f t="shared" si="155"/>
        <v>2.6589347546952378</v>
      </c>
      <c r="P771" s="1">
        <f t="shared" si="156"/>
        <v>1969.5936113332061</v>
      </c>
      <c r="S771" s="6">
        <f t="shared" ref="S771:S834" si="163">O771*B771/L771</f>
        <v>0.49377450010098456</v>
      </c>
      <c r="T771" s="6">
        <f t="shared" ref="T771:T834" si="164">P771*C771/L771</f>
        <v>0.506225499899015</v>
      </c>
      <c r="V771" s="1">
        <f t="shared" si="157"/>
        <v>116752.77534010624</v>
      </c>
      <c r="W771" s="7">
        <f t="shared" si="158"/>
        <v>1.7209352835039664E-3</v>
      </c>
      <c r="X771" s="7">
        <f t="shared" si="159"/>
        <v>1.5240346246930794E-3</v>
      </c>
      <c r="Y771">
        <f>LN(B771/B770)</f>
        <v>3.2142042161284186E-3</v>
      </c>
      <c r="Z771">
        <f>LN(C771/C770)</f>
        <v>2.6653954081250745E-4</v>
      </c>
    </row>
    <row r="772" spans="1:26" x14ac:dyDescent="0.3">
      <c r="A772" s="11">
        <v>41318</v>
      </c>
      <c r="B772" s="12">
        <v>21590.05</v>
      </c>
      <c r="C772" s="12">
        <v>29.913720000000001</v>
      </c>
      <c r="D772" s="16">
        <f t="shared" si="161"/>
        <v>-8.1591360109001254E-4</v>
      </c>
      <c r="E772" s="15">
        <f t="shared" si="160"/>
        <v>2.668384062725071E-4</v>
      </c>
      <c r="G772" s="25" t="str">
        <f>IF(VLOOKUP(A772,Aux!B:C,2,FALSE)=0,"",VLOOKUP(A772,Aux!B:C,2,FALSE))</f>
        <v/>
      </c>
      <c r="H772" s="25" t="str">
        <f t="shared" si="162"/>
        <v/>
      </c>
      <c r="L772" s="13">
        <f t="shared" ref="L772:L835" si="165">L771+M772+N772</f>
        <v>116324.40610381833</v>
      </c>
      <c r="M772" s="14">
        <f t="shared" ref="M772:M835" si="166">O771*(B772-B771)</f>
        <v>-46.877019725279752</v>
      </c>
      <c r="N772" s="14">
        <f t="shared" ref="N772:N835" si="167">P771*(C772-C771)</f>
        <v>15.71735701843874</v>
      </c>
      <c r="O772" s="1">
        <f t="shared" ref="O772:O835" si="168">IF(ISNUMBER(G772),L772*G772/B772,O771)</f>
        <v>2.6589347546952378</v>
      </c>
      <c r="P772" s="1">
        <f t="shared" ref="P772:P835" si="169">IF(ISNUMBER(H772),L772*H772/C772,P771)</f>
        <v>1969.5936113332061</v>
      </c>
      <c r="S772" s="6">
        <f t="shared" si="163"/>
        <v>0.49350378156560865</v>
      </c>
      <c r="T772" s="6">
        <f t="shared" si="164"/>
        <v>0.50649621843439085</v>
      </c>
      <c r="V772" s="1">
        <f t="shared" ref="V772:V835" si="170">$O$2*B772+$P$2*C772</f>
        <v>116729.95463044837</v>
      </c>
      <c r="W772" s="7">
        <f t="shared" ref="W772:W835" si="171">LN(L772/L771)</f>
        <v>-2.6783278889568269E-4</v>
      </c>
      <c r="X772" s="7">
        <f t="shared" ref="X772:X835" si="172">LN(V772/V771)</f>
        <v>-1.9548092257976082E-4</v>
      </c>
      <c r="Y772">
        <f>LN(B772/B771)</f>
        <v>-8.1624663975840973E-4</v>
      </c>
      <c r="Z772">
        <f>LN(C772/C771)</f>
        <v>2.6680281123691701E-4</v>
      </c>
    </row>
    <row r="773" spans="1:26" x14ac:dyDescent="0.3">
      <c r="A773" s="9">
        <v>41319</v>
      </c>
      <c r="B773" s="1">
        <v>21475.35</v>
      </c>
      <c r="C773" s="1">
        <v>29.921690000000002</v>
      </c>
      <c r="D773" s="6">
        <f t="shared" si="161"/>
        <v>-5.3126324394802138E-3</v>
      </c>
      <c r="E773" s="5">
        <f t="shared" ref="E773:E836" si="173">C773/C772-1</f>
        <v>2.6643292776684646E-4</v>
      </c>
      <c r="G773" s="25" t="str">
        <f>IF(VLOOKUP(A773,Aux!B:C,2,FALSE)=0,"",VLOOKUP(A773,Aux!B:C,2,FALSE))</f>
        <v/>
      </c>
      <c r="H773" s="25" t="str">
        <f t="shared" si="162"/>
        <v/>
      </c>
      <c r="L773" s="13">
        <f t="shared" si="165"/>
        <v>116035.12394853712</v>
      </c>
      <c r="M773" s="14">
        <f t="shared" si="166"/>
        <v>-304.97981636354569</v>
      </c>
      <c r="N773" s="14">
        <f t="shared" si="167"/>
        <v>15.697661082326155</v>
      </c>
      <c r="O773" s="1">
        <f t="shared" si="168"/>
        <v>2.6589347546952378</v>
      </c>
      <c r="P773" s="1">
        <f t="shared" si="169"/>
        <v>1969.5936113332061</v>
      </c>
      <c r="S773" s="6">
        <f t="shared" si="163"/>
        <v>0.49210577402036948</v>
      </c>
      <c r="T773" s="6">
        <f t="shared" si="164"/>
        <v>0.50789422597962997</v>
      </c>
      <c r="V773" s="1">
        <f t="shared" si="170"/>
        <v>116483.16766393912</v>
      </c>
      <c r="W773" s="7">
        <f t="shared" si="171"/>
        <v>-2.4899542934639649E-3</v>
      </c>
      <c r="X773" s="7">
        <f t="shared" si="172"/>
        <v>-2.1164079979573889E-3</v>
      </c>
      <c r="Y773">
        <f>LN(B773/B772)</f>
        <v>-5.3267946525566625E-3</v>
      </c>
      <c r="Z773">
        <f>LN(C773/C772)</f>
        <v>2.6639744081746855E-4</v>
      </c>
    </row>
    <row r="774" spans="1:26" x14ac:dyDescent="0.3">
      <c r="A774" s="11">
        <v>41320</v>
      </c>
      <c r="B774" s="12">
        <v>21558.77</v>
      </c>
      <c r="C774" s="12">
        <v>29.929659999999998</v>
      </c>
      <c r="D774" s="16">
        <f t="shared" si="161"/>
        <v>3.8844535711874961E-3</v>
      </c>
      <c r="E774" s="15">
        <f t="shared" si="173"/>
        <v>2.663619601699363E-4</v>
      </c>
      <c r="G774" s="25" t="str">
        <f>IF(VLOOKUP(A774,Aux!B:C,2,FALSE)=0,"",VLOOKUP(A774,Aux!B:C,2,FALSE))</f>
        <v/>
      </c>
      <c r="H774" s="25" t="str">
        <f t="shared" si="162"/>
        <v/>
      </c>
      <c r="L774" s="13">
        <f t="shared" si="165"/>
        <v>116272.62994685612</v>
      </c>
      <c r="M774" s="14">
        <f t="shared" si="166"/>
        <v>221.80833723668175</v>
      </c>
      <c r="N774" s="14">
        <f t="shared" si="167"/>
        <v>15.697661082319158</v>
      </c>
      <c r="O774" s="1">
        <f t="shared" si="168"/>
        <v>2.6589347546952378</v>
      </c>
      <c r="P774" s="1">
        <f t="shared" si="169"/>
        <v>1969.5936113332061</v>
      </c>
      <c r="S774" s="6">
        <f t="shared" si="163"/>
        <v>0.49300822427153684</v>
      </c>
      <c r="T774" s="6">
        <f t="shared" si="164"/>
        <v>0.50699177572846255</v>
      </c>
      <c r="V774" s="1">
        <f t="shared" si="170"/>
        <v>116693.45046770455</v>
      </c>
      <c r="W774" s="7">
        <f t="shared" si="171"/>
        <v>2.0447537982512093E-3</v>
      </c>
      <c r="X774" s="7">
        <f t="shared" si="172"/>
        <v>1.8036359087485777E-3</v>
      </c>
      <c r="Y774">
        <f>LN(B774/B773)</f>
        <v>3.876928562151286E-3</v>
      </c>
      <c r="Z774">
        <f>LN(C774/C773)</f>
        <v>2.6632649212110976E-4</v>
      </c>
    </row>
    <row r="775" spans="1:26" x14ac:dyDescent="0.3">
      <c r="A775" s="9">
        <v>41323</v>
      </c>
      <c r="B775" s="1">
        <v>21563.56</v>
      </c>
      <c r="C775" s="1">
        <v>29.937629999999999</v>
      </c>
      <c r="D775" s="6">
        <f t="shared" si="161"/>
        <v>2.2218336203794209E-4</v>
      </c>
      <c r="E775" s="5">
        <f t="shared" si="173"/>
        <v>2.6629103036923674E-4</v>
      </c>
      <c r="G775" s="25" t="str">
        <f>IF(VLOOKUP(A775,Aux!B:C,2,FALSE)=0,"",VLOOKUP(A775,Aux!B:C,2,FALSE))</f>
        <v/>
      </c>
      <c r="H775" s="25" t="str">
        <f t="shared" si="162"/>
        <v/>
      </c>
      <c r="L775" s="13">
        <f t="shared" si="165"/>
        <v>116301.06390541345</v>
      </c>
      <c r="M775" s="14">
        <f t="shared" si="166"/>
        <v>12.73629747499251</v>
      </c>
      <c r="N775" s="14">
        <f t="shared" si="167"/>
        <v>15.697661082326155</v>
      </c>
      <c r="O775" s="1">
        <f t="shared" si="168"/>
        <v>2.6589347546952378</v>
      </c>
      <c r="P775" s="1">
        <f t="shared" si="169"/>
        <v>1969.5936113332061</v>
      </c>
      <c r="S775" s="6">
        <f t="shared" si="163"/>
        <v>0.49299720220605159</v>
      </c>
      <c r="T775" s="6">
        <f t="shared" si="164"/>
        <v>0.50700279779394775</v>
      </c>
      <c r="V775" s="1">
        <f t="shared" si="170"/>
        <v>116722.33111097786</v>
      </c>
      <c r="W775" s="7">
        <f t="shared" si="171"/>
        <v>2.4451569073032753E-4</v>
      </c>
      <c r="X775" s="7">
        <f t="shared" si="172"/>
        <v>2.4746093195026513E-4</v>
      </c>
      <c r="Y775">
        <f>LN(B775/B774)</f>
        <v>2.2215868297021001E-4</v>
      </c>
      <c r="Z775">
        <f>LN(C775/C774)</f>
        <v>2.6625558120586573E-4</v>
      </c>
    </row>
    <row r="776" spans="1:26" x14ac:dyDescent="0.3">
      <c r="A776" s="11">
        <v>41324</v>
      </c>
      <c r="B776" s="12">
        <v>21486.44</v>
      </c>
      <c r="C776" s="12">
        <v>29.945599999999999</v>
      </c>
      <c r="D776" s="16">
        <f t="shared" si="161"/>
        <v>-3.5764038962028399E-3</v>
      </c>
      <c r="E776" s="15">
        <f t="shared" si="173"/>
        <v>2.6622013833432767E-4</v>
      </c>
      <c r="G776" s="25" t="str">
        <f>IF(VLOOKUP(A776,Aux!B:C,2,FALSE)=0,"",VLOOKUP(A776,Aux!B:C,2,FALSE))</f>
        <v/>
      </c>
      <c r="H776" s="25" t="str">
        <f t="shared" si="162"/>
        <v/>
      </c>
      <c r="L776" s="13">
        <f t="shared" si="165"/>
        <v>116111.70451821368</v>
      </c>
      <c r="M776" s="14">
        <f t="shared" si="166"/>
        <v>-205.05704828210369</v>
      </c>
      <c r="N776" s="14">
        <f t="shared" si="167"/>
        <v>15.697661082326155</v>
      </c>
      <c r="O776" s="1">
        <f t="shared" si="168"/>
        <v>2.6589347546952378</v>
      </c>
      <c r="P776" s="1">
        <f t="shared" si="169"/>
        <v>1969.5936113332061</v>
      </c>
      <c r="S776" s="6">
        <f t="shared" si="163"/>
        <v>0.49203516826946736</v>
      </c>
      <c r="T776" s="6">
        <f t="shared" si="164"/>
        <v>0.50796483173053186</v>
      </c>
      <c r="V776" s="1">
        <f t="shared" si="170"/>
        <v>116562.24251902403</v>
      </c>
      <c r="W776" s="7">
        <f t="shared" si="171"/>
        <v>-1.6295096898906328E-3</v>
      </c>
      <c r="X776" s="7">
        <f t="shared" si="172"/>
        <v>-1.3724749527370642E-3</v>
      </c>
      <c r="Y776">
        <f>LN(B776/B775)</f>
        <v>-3.5828145178293841E-3</v>
      </c>
      <c r="Z776">
        <f>LN(C776/C775)</f>
        <v>2.6618470804133247E-4</v>
      </c>
    </row>
    <row r="777" spans="1:26" x14ac:dyDescent="0.3">
      <c r="A777" s="9">
        <v>41325</v>
      </c>
      <c r="B777" s="1">
        <v>21143.279999999999</v>
      </c>
      <c r="C777" s="1">
        <v>29.953569999999999</v>
      </c>
      <c r="D777" s="6">
        <f t="shared" si="161"/>
        <v>-1.5971003107075887E-2</v>
      </c>
      <c r="E777" s="5">
        <f t="shared" si="173"/>
        <v>2.6614928403501104E-4</v>
      </c>
      <c r="G777" s="25" t="str">
        <f>IF(VLOOKUP(A777,Aux!B:C,2,FALSE)=0,"",VLOOKUP(A777,Aux!B:C,2,FALSE))</f>
        <v/>
      </c>
      <c r="H777" s="25" t="str">
        <f t="shared" si="162"/>
        <v/>
      </c>
      <c r="L777" s="13">
        <f t="shared" si="165"/>
        <v>115214.96212887479</v>
      </c>
      <c r="M777" s="14">
        <f t="shared" si="166"/>
        <v>-912.44005042121739</v>
      </c>
      <c r="N777" s="14">
        <f t="shared" si="167"/>
        <v>15.697661082326155</v>
      </c>
      <c r="O777" s="1">
        <f t="shared" si="168"/>
        <v>2.6589347546952378</v>
      </c>
      <c r="P777" s="1">
        <f t="shared" si="169"/>
        <v>1969.5936113332061</v>
      </c>
      <c r="S777" s="6">
        <f t="shared" si="163"/>
        <v>0.48794532395340173</v>
      </c>
      <c r="T777" s="6">
        <f t="shared" si="164"/>
        <v>0.51205467604659749</v>
      </c>
      <c r="V777" s="1">
        <f t="shared" si="170"/>
        <v>115788.39034094123</v>
      </c>
      <c r="W777" s="7">
        <f t="shared" si="171"/>
        <v>-7.7530783137185026E-3</v>
      </c>
      <c r="X777" s="7">
        <f t="shared" si="172"/>
        <v>-6.6610968938412077E-3</v>
      </c>
      <c r="Y777">
        <f>LN(B777/B776)</f>
        <v>-1.6099913976950018E-2</v>
      </c>
      <c r="Z777">
        <f>LN(C777/C776)</f>
        <v>2.6611387259732806E-4</v>
      </c>
    </row>
    <row r="778" spans="1:26" x14ac:dyDescent="0.3">
      <c r="A778" s="11">
        <v>41326</v>
      </c>
      <c r="B778" s="12">
        <v>21046.35</v>
      </c>
      <c r="C778" s="12">
        <v>29.961549999999999</v>
      </c>
      <c r="D778" s="16">
        <f t="shared" si="161"/>
        <v>-4.584435338320314E-3</v>
      </c>
      <c r="E778" s="15">
        <f t="shared" si="173"/>
        <v>2.6641231746338256E-4</v>
      </c>
      <c r="G778" s="25" t="str">
        <f>IF(VLOOKUP(A778,Aux!B:C,2,FALSE)=0,"",VLOOKUP(A778,Aux!B:C,2,FALSE))</f>
        <v/>
      </c>
      <c r="H778" s="25" t="str">
        <f t="shared" si="162"/>
        <v/>
      </c>
      <c r="L778" s="13">
        <f t="shared" si="165"/>
        <v>114972.94894012062</v>
      </c>
      <c r="M778" s="14">
        <f t="shared" si="166"/>
        <v>-257.73054577261018</v>
      </c>
      <c r="N778" s="14">
        <f t="shared" si="167"/>
        <v>15.71735701843874</v>
      </c>
      <c r="O778" s="1">
        <f t="shared" si="168"/>
        <v>2.6589347546952378</v>
      </c>
      <c r="P778" s="1">
        <f t="shared" si="169"/>
        <v>1969.5936113332061</v>
      </c>
      <c r="S778" s="6">
        <f t="shared" si="163"/>
        <v>0.48673076571798857</v>
      </c>
      <c r="T778" s="6">
        <f t="shared" si="164"/>
        <v>0.51326923428201066</v>
      </c>
      <c r="V778" s="1">
        <f t="shared" si="170"/>
        <v>115582.6217573545</v>
      </c>
      <c r="W778" s="7">
        <f t="shared" si="171"/>
        <v>-2.102745333608433E-3</v>
      </c>
      <c r="X778" s="7">
        <f t="shared" si="172"/>
        <v>-1.7786898710468652E-3</v>
      </c>
      <c r="Y778">
        <f>LN(B778/B777)</f>
        <v>-4.5949760899397871E-3</v>
      </c>
      <c r="Z778">
        <f>LN(C778/C777)</f>
        <v>2.663768360035932E-4</v>
      </c>
    </row>
    <row r="779" spans="1:26" x14ac:dyDescent="0.3">
      <c r="A779" s="9">
        <v>41327</v>
      </c>
      <c r="B779" s="1">
        <v>21201.73</v>
      </c>
      <c r="C779" s="1">
        <v>29.969539999999999</v>
      </c>
      <c r="D779" s="6">
        <f t="shared" si="161"/>
        <v>7.3827528288754607E-3</v>
      </c>
      <c r="E779" s="5">
        <f t="shared" si="173"/>
        <v>2.6667512194800125E-4</v>
      </c>
      <c r="G779" s="25" t="str">
        <f>IF(VLOOKUP(A779,Aux!B:C,2,FALSE)=0,"",VLOOKUP(A779,Aux!B:C,2,FALSE))</f>
        <v/>
      </c>
      <c r="H779" s="25" t="str">
        <f t="shared" si="162"/>
        <v/>
      </c>
      <c r="L779" s="13">
        <f t="shared" si="165"/>
        <v>115401.83127525971</v>
      </c>
      <c r="M779" s="14">
        <f t="shared" si="166"/>
        <v>413.14528218454876</v>
      </c>
      <c r="N779" s="14">
        <f t="shared" si="167"/>
        <v>15.737052954551327</v>
      </c>
      <c r="O779" s="1">
        <f t="shared" si="168"/>
        <v>2.6589347546952378</v>
      </c>
      <c r="P779" s="1">
        <f t="shared" si="169"/>
        <v>1969.5936113332061</v>
      </c>
      <c r="S779" s="6">
        <f t="shared" si="163"/>
        <v>0.4885019252614784</v>
      </c>
      <c r="T779" s="6">
        <f t="shared" si="164"/>
        <v>0.51149807473852094</v>
      </c>
      <c r="V779" s="1">
        <f t="shared" si="170"/>
        <v>115958.96354094344</v>
      </c>
      <c r="W779" s="7">
        <f t="shared" si="171"/>
        <v>3.7233487989961015E-3</v>
      </c>
      <c r="X779" s="7">
        <f t="shared" si="172"/>
        <v>3.2507518208143558E-3</v>
      </c>
      <c r="Y779">
        <f>LN(B779/B778)</f>
        <v>7.3556337032803223E-3</v>
      </c>
      <c r="Z779">
        <f>LN(C779/C778)</f>
        <v>2.6663957045799312E-4</v>
      </c>
    </row>
    <row r="780" spans="1:26" x14ac:dyDescent="0.3">
      <c r="A780" s="11">
        <v>41330</v>
      </c>
      <c r="B780" s="12">
        <v>21155.02</v>
      </c>
      <c r="C780" s="12">
        <v>29.977550000000001</v>
      </c>
      <c r="D780" s="16">
        <f t="shared" si="161"/>
        <v>-2.2031221037150939E-3</v>
      </c>
      <c r="E780" s="15">
        <f t="shared" si="173"/>
        <v>2.6727136953064168E-4</v>
      </c>
      <c r="G780" s="25" t="str">
        <f>IF(VLOOKUP(A780,Aux!B:C,2,FALSE)=0,"",VLOOKUP(A780,Aux!B:C,2,FALSE))</f>
        <v/>
      </c>
      <c r="H780" s="25" t="str">
        <f t="shared" si="162"/>
        <v/>
      </c>
      <c r="L780" s="13">
        <f t="shared" si="165"/>
        <v>115293.40887769469</v>
      </c>
      <c r="M780" s="14">
        <f t="shared" si="166"/>
        <v>-124.19884239181224</v>
      </c>
      <c r="N780" s="14">
        <f t="shared" si="167"/>
        <v>15.776444826783498</v>
      </c>
      <c r="O780" s="1">
        <f t="shared" si="168"/>
        <v>2.6589347546952378</v>
      </c>
      <c r="P780" s="1">
        <f t="shared" si="169"/>
        <v>1969.5936113332061</v>
      </c>
      <c r="S780" s="6">
        <f t="shared" si="163"/>
        <v>0.48788407300840292</v>
      </c>
      <c r="T780" s="6">
        <f t="shared" si="164"/>
        <v>0.51211592699159625</v>
      </c>
      <c r="V780" s="1">
        <f t="shared" si="170"/>
        <v>115869.12136803559</v>
      </c>
      <c r="W780" s="7">
        <f t="shared" si="171"/>
        <v>-9.3996222441347123E-4</v>
      </c>
      <c r="X780" s="7">
        <f t="shared" si="172"/>
        <v>-7.7507587090487086E-4</v>
      </c>
      <c r="Y780">
        <f>LN(B780/B779)</f>
        <v>-2.2055525475829178E-3</v>
      </c>
      <c r="Z780">
        <f>LN(C780/C779)</f>
        <v>2.6723565890096721E-4</v>
      </c>
    </row>
    <row r="781" spans="1:26" x14ac:dyDescent="0.3">
      <c r="A781" s="9">
        <v>41331</v>
      </c>
      <c r="B781" s="1">
        <v>21181.87</v>
      </c>
      <c r="C781" s="1">
        <v>29.985600000000002</v>
      </c>
      <c r="D781" s="6">
        <f t="shared" si="161"/>
        <v>1.2692022980833606E-3</v>
      </c>
      <c r="E781" s="5">
        <f t="shared" si="173"/>
        <v>2.6853428649098454E-4</v>
      </c>
      <c r="G781" s="25" t="str">
        <f>IF(VLOOKUP(A781,Aux!B:C,2,FALSE)=0,"",VLOOKUP(A781,Aux!B:C,2,FALSE))</f>
        <v/>
      </c>
      <c r="H781" s="25" t="str">
        <f t="shared" si="162"/>
        <v/>
      </c>
      <c r="L781" s="13">
        <f t="shared" si="165"/>
        <v>115380.65650442948</v>
      </c>
      <c r="M781" s="14">
        <f t="shared" si="166"/>
        <v>71.392398163563271</v>
      </c>
      <c r="N781" s="14">
        <f t="shared" si="167"/>
        <v>15.855228571233843</v>
      </c>
      <c r="O781" s="1">
        <f t="shared" si="168"/>
        <v>2.6589347546952378</v>
      </c>
      <c r="P781" s="1">
        <f t="shared" si="169"/>
        <v>1969.5936113332061</v>
      </c>
      <c r="S781" s="6">
        <f t="shared" si="163"/>
        <v>0.48813390405933627</v>
      </c>
      <c r="T781" s="6">
        <f t="shared" si="164"/>
        <v>0.51186609594066301</v>
      </c>
      <c r="V781" s="1">
        <f t="shared" si="170"/>
        <v>115949.07417356876</v>
      </c>
      <c r="W781" s="7">
        <f t="shared" si="171"/>
        <v>7.5645808514056008E-4</v>
      </c>
      <c r="X781" s="7">
        <f t="shared" si="172"/>
        <v>6.8978889699798434E-4</v>
      </c>
      <c r="Y781">
        <f>LN(B781/B780)</f>
        <v>1.2683975417070873E-3</v>
      </c>
      <c r="Z781">
        <f>LN(C781/C780)</f>
        <v>2.684982376129027E-4</v>
      </c>
    </row>
    <row r="782" spans="1:26" x14ac:dyDescent="0.3">
      <c r="A782" s="11">
        <v>41332</v>
      </c>
      <c r="B782" s="12">
        <v>21242.9</v>
      </c>
      <c r="C782" s="12">
        <v>29.99363</v>
      </c>
      <c r="D782" s="16">
        <f t="shared" si="161"/>
        <v>2.8812375866720252E-3</v>
      </c>
      <c r="E782" s="15">
        <f t="shared" si="173"/>
        <v>2.6779520836650583E-4</v>
      </c>
      <c r="G782" s="25" t="str">
        <f>IF(VLOOKUP(A782,Aux!B:C,2,FALSE)=0,"",VLOOKUP(A782,Aux!B:C,2,FALSE))</f>
        <v/>
      </c>
      <c r="H782" s="25" t="str">
        <f t="shared" si="162"/>
        <v/>
      </c>
      <c r="L782" s="13">
        <f t="shared" si="165"/>
        <v>115558.74712920754</v>
      </c>
      <c r="M782" s="14">
        <f t="shared" si="166"/>
        <v>162.27478807905695</v>
      </c>
      <c r="N782" s="14">
        <f t="shared" si="167"/>
        <v>15.815836699001673</v>
      </c>
      <c r="O782" s="1">
        <f t="shared" si="168"/>
        <v>2.6589347546952378</v>
      </c>
      <c r="P782" s="1">
        <f t="shared" si="169"/>
        <v>1969.5936113332061</v>
      </c>
      <c r="S782" s="6">
        <f t="shared" si="163"/>
        <v>0.488785890326075</v>
      </c>
      <c r="T782" s="6">
        <f t="shared" si="164"/>
        <v>0.51121410967392433</v>
      </c>
      <c r="V782" s="1">
        <f t="shared" si="170"/>
        <v>116107.83669207548</v>
      </c>
      <c r="W782" s="7">
        <f t="shared" si="171"/>
        <v>1.5423150599550267E-3</v>
      </c>
      <c r="X782" s="7">
        <f t="shared" si="172"/>
        <v>1.368306961296029E-3</v>
      </c>
      <c r="Y782">
        <f>LN(B782/B781)</f>
        <v>2.877094777360817E-3</v>
      </c>
      <c r="Z782">
        <f>LN(C782/C781)</f>
        <v>2.6775935762998797E-4</v>
      </c>
    </row>
    <row r="783" spans="1:26" x14ac:dyDescent="0.3">
      <c r="A783" s="9">
        <v>41333</v>
      </c>
      <c r="B783" s="1">
        <v>21395.64</v>
      </c>
      <c r="C783" s="1">
        <v>30.001660000000001</v>
      </c>
      <c r="D783" s="6">
        <f t="shared" si="161"/>
        <v>7.1901670675849072E-3</v>
      </c>
      <c r="E783" s="5">
        <f t="shared" si="173"/>
        <v>2.6772351329262811E-4</v>
      </c>
      <c r="G783" s="25" t="str">
        <f>IF(VLOOKUP(A783,Aux!B:C,2,FALSE)=0,"",VLOOKUP(A783,Aux!B:C,2,FALSE))</f>
        <v/>
      </c>
      <c r="H783" s="25" t="str">
        <f t="shared" si="162"/>
        <v/>
      </c>
      <c r="L783" s="13">
        <f t="shared" si="165"/>
        <v>115980.6886603387</v>
      </c>
      <c r="M783" s="14">
        <f t="shared" si="166"/>
        <v>406.12569443214522</v>
      </c>
      <c r="N783" s="14">
        <f t="shared" si="167"/>
        <v>15.815836699008671</v>
      </c>
      <c r="O783" s="1">
        <f t="shared" si="168"/>
        <v>2.6589347546952378</v>
      </c>
      <c r="P783" s="1">
        <f t="shared" si="169"/>
        <v>1969.5936113332061</v>
      </c>
      <c r="S783" s="6">
        <f t="shared" si="163"/>
        <v>0.49050933782221845</v>
      </c>
      <c r="T783" s="6">
        <f t="shared" si="164"/>
        <v>0.50949066217778083</v>
      </c>
      <c r="V783" s="1">
        <f t="shared" si="170"/>
        <v>116478.17738861518</v>
      </c>
      <c r="W783" s="7">
        <f t="shared" si="171"/>
        <v>3.6446663763103019E-3</v>
      </c>
      <c r="X783" s="7">
        <f t="shared" si="172"/>
        <v>3.1845509798467211E-3</v>
      </c>
      <c r="Y783">
        <f>LN(B783/B782)</f>
        <v>7.1644410589484309E-3</v>
      </c>
      <c r="Z783">
        <f>LN(C783/C782)</f>
        <v>2.6768768174799856E-4</v>
      </c>
    </row>
    <row r="784" spans="1:26" x14ac:dyDescent="0.3">
      <c r="A784" s="11">
        <v>41334</v>
      </c>
      <c r="B784" s="12">
        <v>21331.51</v>
      </c>
      <c r="C784" s="12">
        <v>30.009689999999999</v>
      </c>
      <c r="D784" s="16">
        <f t="shared" si="161"/>
        <v>-2.997339644899677E-3</v>
      </c>
      <c r="E784" s="15">
        <f t="shared" si="173"/>
        <v>2.6765185659716195E-4</v>
      </c>
      <c r="G784" s="25" t="str">
        <f>IF(VLOOKUP(A784,Aux!B:C,2,FALSE)=0,"",VLOOKUP(A784,Aux!B:C,2,FALSE))</f>
        <v/>
      </c>
      <c r="H784" s="25" t="str">
        <f t="shared" si="162"/>
        <v/>
      </c>
      <c r="L784" s="13">
        <f t="shared" si="165"/>
        <v>115825.98701121908</v>
      </c>
      <c r="M784" s="14">
        <f t="shared" si="166"/>
        <v>-170.51748581860829</v>
      </c>
      <c r="N784" s="14">
        <f t="shared" si="167"/>
        <v>15.815836699001673</v>
      </c>
      <c r="O784" s="1">
        <f t="shared" si="168"/>
        <v>2.6589347546952378</v>
      </c>
      <c r="P784" s="1">
        <f t="shared" si="169"/>
        <v>1969.5936113332061</v>
      </c>
      <c r="S784" s="6">
        <f t="shared" si="163"/>
        <v>0.48969229421403598</v>
      </c>
      <c r="T784" s="6">
        <f t="shared" si="164"/>
        <v>0.51030770578596329</v>
      </c>
      <c r="V784" s="1">
        <f t="shared" si="170"/>
        <v>116348.19140900168</v>
      </c>
      <c r="W784" s="7">
        <f t="shared" si="171"/>
        <v>-1.3347473418427287E-3</v>
      </c>
      <c r="X784" s="7">
        <f t="shared" si="172"/>
        <v>-1.1165916798005489E-3</v>
      </c>
      <c r="Y784">
        <f>LN(B784/B783)</f>
        <v>-3.0018406636779229E-3</v>
      </c>
      <c r="Z784">
        <f>LN(C784/C783)</f>
        <v>2.6761604422901404E-4</v>
      </c>
    </row>
    <row r="785" spans="1:26" x14ac:dyDescent="0.3">
      <c r="A785" s="9">
        <v>41337</v>
      </c>
      <c r="B785" s="1">
        <v>21187.1</v>
      </c>
      <c r="C785" s="1">
        <v>30.01773</v>
      </c>
      <c r="D785" s="6">
        <f t="shared" si="161"/>
        <v>-6.7697973561178237E-3</v>
      </c>
      <c r="E785" s="5">
        <f t="shared" si="173"/>
        <v>2.6791346395116378E-4</v>
      </c>
      <c r="G785" s="25" t="str">
        <f>IF(VLOOKUP(A785,Aux!B:C,2,FALSE)=0,"",VLOOKUP(A785,Aux!B:C,2,FALSE))</f>
        <v/>
      </c>
      <c r="H785" s="25" t="str">
        <f t="shared" si="162"/>
        <v/>
      </c>
      <c r="L785" s="13">
        <f t="shared" si="165"/>
        <v>115457.84577592865</v>
      </c>
      <c r="M785" s="14">
        <f t="shared" si="166"/>
        <v>-383.97676792553892</v>
      </c>
      <c r="N785" s="14">
        <f t="shared" si="167"/>
        <v>15.835532635121258</v>
      </c>
      <c r="O785" s="1">
        <f t="shared" si="168"/>
        <v>2.6589347546952378</v>
      </c>
      <c r="P785" s="1">
        <f t="shared" si="169"/>
        <v>1969.5936113332061</v>
      </c>
      <c r="S785" s="6">
        <f t="shared" si="163"/>
        <v>0.48792800664698138</v>
      </c>
      <c r="T785" s="6">
        <f t="shared" si="164"/>
        <v>0.51207199335301801</v>
      </c>
      <c r="V785" s="1">
        <f t="shared" si="170"/>
        <v>116033.01903250338</v>
      </c>
      <c r="W785" s="7">
        <f t="shared" si="171"/>
        <v>-3.1834611331219963E-3</v>
      </c>
      <c r="X785" s="7">
        <f t="shared" si="172"/>
        <v>-2.7125477929170819E-3</v>
      </c>
      <c r="Y785">
        <f>LN(B785/B784)</f>
        <v>-6.7928163824902653E-3</v>
      </c>
      <c r="Z785">
        <f>LN(C785/C784)</f>
        <v>2.6787758154785688E-4</v>
      </c>
    </row>
    <row r="786" spans="1:26" x14ac:dyDescent="0.3">
      <c r="A786" s="11">
        <v>41338</v>
      </c>
      <c r="B786" s="12">
        <v>21137.06</v>
      </c>
      <c r="C786" s="12">
        <v>30.025780000000001</v>
      </c>
      <c r="D786" s="16">
        <f t="shared" si="161"/>
        <v>-2.3618145003325708E-3</v>
      </c>
      <c r="E786" s="15">
        <f t="shared" si="173"/>
        <v>2.681748420017005E-4</v>
      </c>
      <c r="G786" s="25" t="str">
        <f>IF(VLOOKUP(A786,Aux!B:C,2,FALSE)=0,"",VLOOKUP(A786,Aux!B:C,2,FALSE))</f>
        <v/>
      </c>
      <c r="H786" s="25" t="str">
        <f t="shared" si="162"/>
        <v/>
      </c>
      <c r="L786" s="13">
        <f t="shared" si="165"/>
        <v>115340.64790937495</v>
      </c>
      <c r="M786" s="14">
        <f t="shared" si="166"/>
        <v>-133.05309512494236</v>
      </c>
      <c r="N786" s="14">
        <f t="shared" si="167"/>
        <v>15.855228571233843</v>
      </c>
      <c r="O786" s="1">
        <f t="shared" si="168"/>
        <v>2.6589347546952378</v>
      </c>
      <c r="P786" s="1">
        <f t="shared" si="169"/>
        <v>1969.5936113332061</v>
      </c>
      <c r="S786" s="6">
        <f t="shared" si="163"/>
        <v>0.4872702248927665</v>
      </c>
      <c r="T786" s="6">
        <f t="shared" si="164"/>
        <v>0.51272977510723294</v>
      </c>
      <c r="V786" s="1">
        <f t="shared" si="170"/>
        <v>115935.58391840995</v>
      </c>
      <c r="W786" s="7">
        <f t="shared" si="171"/>
        <v>-1.0155861483811298E-3</v>
      </c>
      <c r="X786" s="7">
        <f t="shared" si="172"/>
        <v>-8.400716181767631E-4</v>
      </c>
      <c r="Y786">
        <f>LN(B786/B785)</f>
        <v>-2.3646079835257568E-3</v>
      </c>
      <c r="Z786">
        <f>LN(C786/C785)</f>
        <v>2.6813888955630981E-4</v>
      </c>
    </row>
    <row r="787" spans="1:26" x14ac:dyDescent="0.3">
      <c r="A787" s="9">
        <v>41339</v>
      </c>
      <c r="B787" s="1">
        <v>21801.9</v>
      </c>
      <c r="C787" s="1">
        <v>30.033829999999998</v>
      </c>
      <c r="D787" s="6">
        <f t="shared" si="161"/>
        <v>3.1453759415926319E-2</v>
      </c>
      <c r="E787" s="5">
        <f t="shared" si="173"/>
        <v>2.6810294353718511E-4</v>
      </c>
      <c r="G787" s="25" t="str">
        <f>IF(VLOOKUP(A787,Aux!B:C,2,FALSE)=0,"",VLOOKUP(A787,Aux!B:C,2,FALSE))</f>
        <v/>
      </c>
      <c r="H787" s="25" t="str">
        <f t="shared" si="162"/>
        <v/>
      </c>
      <c r="L787" s="13">
        <f t="shared" si="165"/>
        <v>117124.26932025775</v>
      </c>
      <c r="M787" s="14">
        <f t="shared" si="166"/>
        <v>1767.7661823115823</v>
      </c>
      <c r="N787" s="14">
        <f t="shared" si="167"/>
        <v>15.855228571226846</v>
      </c>
      <c r="O787" s="1">
        <f t="shared" si="168"/>
        <v>2.6589347546952378</v>
      </c>
      <c r="P787" s="1">
        <f t="shared" si="169"/>
        <v>1969.5936113332061</v>
      </c>
      <c r="S787" s="6">
        <f t="shared" si="163"/>
        <v>0.4949429350964043</v>
      </c>
      <c r="T787" s="6">
        <f t="shared" si="164"/>
        <v>0.50505706490359525</v>
      </c>
      <c r="V787" s="1">
        <f t="shared" si="170"/>
        <v>117487.40197095272</v>
      </c>
      <c r="W787" s="7">
        <f t="shared" si="171"/>
        <v>1.534559652001918E-2</v>
      </c>
      <c r="X787" s="7">
        <f t="shared" si="172"/>
        <v>1.3296384751653926E-2</v>
      </c>
      <c r="Y787">
        <f>LN(B787/B786)</f>
        <v>3.0969224037601491E-2</v>
      </c>
      <c r="Z787">
        <f>LN(C787/C786)</f>
        <v>2.6806701036540106E-4</v>
      </c>
    </row>
    <row r="788" spans="1:26" x14ac:dyDescent="0.3">
      <c r="A788" s="11">
        <v>41340</v>
      </c>
      <c r="B788" s="12">
        <v>21952.43</v>
      </c>
      <c r="C788" s="12">
        <v>30.041879999999999</v>
      </c>
      <c r="D788" s="16">
        <f t="shared" si="161"/>
        <v>6.9044441080823304E-3</v>
      </c>
      <c r="E788" s="15">
        <f t="shared" si="173"/>
        <v>2.6803108361472816E-4</v>
      </c>
      <c r="G788" s="25" t="str">
        <f>IF(VLOOKUP(A788,Aux!B:C,2,FALSE)=0,"",VLOOKUP(A788,Aux!B:C,2,FALSE))</f>
        <v/>
      </c>
      <c r="H788" s="25" t="str">
        <f t="shared" si="162"/>
        <v/>
      </c>
      <c r="L788" s="13">
        <f t="shared" si="165"/>
        <v>117540.37399745325</v>
      </c>
      <c r="M788" s="14">
        <f t="shared" si="166"/>
        <v>400.24944862427105</v>
      </c>
      <c r="N788" s="14">
        <f t="shared" si="167"/>
        <v>15.855228571233843</v>
      </c>
      <c r="O788" s="1">
        <f t="shared" si="168"/>
        <v>2.6589347546952378</v>
      </c>
      <c r="P788" s="1">
        <f t="shared" si="169"/>
        <v>1969.5936113332061</v>
      </c>
      <c r="S788" s="6">
        <f t="shared" si="163"/>
        <v>0.49659599584291847</v>
      </c>
      <c r="T788" s="6">
        <f t="shared" si="164"/>
        <v>0.50340400415708098</v>
      </c>
      <c r="V788" s="1">
        <f t="shared" si="170"/>
        <v>117852.68886283545</v>
      </c>
      <c r="W788" s="7">
        <f t="shared" si="171"/>
        <v>3.5463809751528539E-3</v>
      </c>
      <c r="X788" s="7">
        <f t="shared" si="172"/>
        <v>3.1043345308575318E-3</v>
      </c>
      <c r="Y788">
        <f>LN(B788/B787)</f>
        <v>6.8807175835626389E-3</v>
      </c>
      <c r="Z788">
        <f>LN(C788/C787)</f>
        <v>2.6799516970105647E-4</v>
      </c>
    </row>
    <row r="789" spans="1:26" x14ac:dyDescent="0.3">
      <c r="A789" s="9">
        <v>41341</v>
      </c>
      <c r="B789" s="1">
        <v>21936.79</v>
      </c>
      <c r="C789" s="1">
        <v>30.049939999999999</v>
      </c>
      <c r="D789" s="6">
        <f t="shared" si="161"/>
        <v>-7.124496012513859E-4</v>
      </c>
      <c r="E789" s="5">
        <f t="shared" si="173"/>
        <v>2.6829213085211023E-4</v>
      </c>
      <c r="G789" s="25" t="str">
        <f>IF(VLOOKUP(A789,Aux!B:C,2,FALSE)=0,"",VLOOKUP(A789,Aux!B:C,2,FALSE))</f>
        <v/>
      </c>
      <c r="H789" s="25" t="str">
        <f t="shared" si="162"/>
        <v/>
      </c>
      <c r="L789" s="13">
        <f t="shared" si="165"/>
        <v>117514.66318239715</v>
      </c>
      <c r="M789" s="14">
        <f t="shared" si="166"/>
        <v>-41.585739563431972</v>
      </c>
      <c r="N789" s="14">
        <f t="shared" si="167"/>
        <v>15.87492450734643</v>
      </c>
      <c r="O789" s="1">
        <f t="shared" si="168"/>
        <v>2.6589347546952378</v>
      </c>
      <c r="P789" s="1">
        <f t="shared" si="169"/>
        <v>1969.5936113332061</v>
      </c>
      <c r="S789" s="6">
        <f t="shared" si="163"/>
        <v>0.49635076813280721</v>
      </c>
      <c r="T789" s="6">
        <f t="shared" si="164"/>
        <v>0.50364923186719235</v>
      </c>
      <c r="V789" s="1">
        <f t="shared" si="170"/>
        <v>117834.63812338507</v>
      </c>
      <c r="W789" s="7">
        <f t="shared" si="171"/>
        <v>-2.1876421341237418E-4</v>
      </c>
      <c r="X789" s="7">
        <f t="shared" si="172"/>
        <v>-1.5317530829081415E-4</v>
      </c>
      <c r="Y789">
        <f>LN(B789/B788)</f>
        <v>-7.1270351407577075E-4</v>
      </c>
      <c r="Z789">
        <f>LN(C789/C788)</f>
        <v>2.6825614695435887E-4</v>
      </c>
    </row>
    <row r="790" spans="1:26" x14ac:dyDescent="0.3">
      <c r="A790" s="11">
        <v>41344</v>
      </c>
      <c r="B790" s="12">
        <v>21999.27</v>
      </c>
      <c r="C790" s="12">
        <v>30.05799</v>
      </c>
      <c r="D790" s="16">
        <f t="shared" si="161"/>
        <v>2.8481833486120323E-3</v>
      </c>
      <c r="E790" s="15">
        <f t="shared" si="173"/>
        <v>2.6788739012451046E-4</v>
      </c>
      <c r="G790" s="25" t="str">
        <f>IF(VLOOKUP(A790,Aux!B:C,2,FALSE)=0,"",VLOOKUP(A790,Aux!B:C,2,FALSE))</f>
        <v/>
      </c>
      <c r="H790" s="25" t="str">
        <f t="shared" si="162"/>
        <v/>
      </c>
      <c r="L790" s="13">
        <f t="shared" si="165"/>
        <v>117696.64865444174</v>
      </c>
      <c r="M790" s="14">
        <f t="shared" si="166"/>
        <v>166.1302434733573</v>
      </c>
      <c r="N790" s="14">
        <f t="shared" si="167"/>
        <v>15.855228571233843</v>
      </c>
      <c r="O790" s="1">
        <f t="shared" si="168"/>
        <v>2.6589347546952378</v>
      </c>
      <c r="P790" s="1">
        <f t="shared" si="169"/>
        <v>1969.5936113332061</v>
      </c>
      <c r="S790" s="6">
        <f t="shared" si="163"/>
        <v>0.49699481038466076</v>
      </c>
      <c r="T790" s="6">
        <f t="shared" si="164"/>
        <v>0.50300518961533891</v>
      </c>
      <c r="V790" s="1">
        <f t="shared" si="170"/>
        <v>117996.79058526231</v>
      </c>
      <c r="W790" s="7">
        <f t="shared" si="171"/>
        <v>1.5474213968476888E-3</v>
      </c>
      <c r="X790" s="7">
        <f t="shared" si="172"/>
        <v>1.3751558756897365E-3</v>
      </c>
      <c r="Y790">
        <f>LN(B790/B789)</f>
        <v>2.8441349596326892E-3</v>
      </c>
      <c r="Z790">
        <f>LN(C790/C789)</f>
        <v>2.67851514704522E-4</v>
      </c>
    </row>
    <row r="791" spans="1:26" x14ac:dyDescent="0.3">
      <c r="A791" s="9">
        <v>41345</v>
      </c>
      <c r="B791" s="1">
        <v>21830.03</v>
      </c>
      <c r="C791" s="1">
        <v>30.06606</v>
      </c>
      <c r="D791" s="6">
        <f t="shared" si="161"/>
        <v>-7.6929825398752705E-3</v>
      </c>
      <c r="E791" s="5">
        <f t="shared" si="173"/>
        <v>2.6848102617638148E-4</v>
      </c>
      <c r="G791" s="25" t="str">
        <f>IF(VLOOKUP(A791,Aux!B:C,2,FALSE)=0,"",VLOOKUP(A791,Aux!B:C,2,FALSE))</f>
        <v/>
      </c>
      <c r="H791" s="25" t="str">
        <f t="shared" si="162"/>
        <v/>
      </c>
      <c r="L791" s="13">
        <f t="shared" si="165"/>
        <v>117262.54515700058</v>
      </c>
      <c r="M791" s="14">
        <f t="shared" si="166"/>
        <v>-449.99811788462631</v>
      </c>
      <c r="N791" s="14">
        <f t="shared" si="167"/>
        <v>15.894620443459017</v>
      </c>
      <c r="O791" s="1">
        <f t="shared" si="168"/>
        <v>2.6589347546952378</v>
      </c>
      <c r="P791" s="1">
        <f t="shared" si="169"/>
        <v>1969.5936113332061</v>
      </c>
      <c r="S791" s="6">
        <f t="shared" si="163"/>
        <v>0.49499714836757841</v>
      </c>
      <c r="T791" s="6">
        <f t="shared" si="164"/>
        <v>0.5050028516324212</v>
      </c>
      <c r="V791" s="1">
        <f t="shared" si="170"/>
        <v>117624.4016441798</v>
      </c>
      <c r="W791" s="7">
        <f t="shared" si="171"/>
        <v>-3.6951436914615669E-3</v>
      </c>
      <c r="X791" s="7">
        <f t="shared" si="172"/>
        <v>-3.1609147514754681E-3</v>
      </c>
      <c r="Y791">
        <f>LN(B791/B790)</f>
        <v>-7.7227261730856301E-3</v>
      </c>
      <c r="Z791">
        <f>LN(C791/C790)</f>
        <v>2.6844499159526305E-4</v>
      </c>
    </row>
    <row r="792" spans="1:26" x14ac:dyDescent="0.3">
      <c r="A792" s="11">
        <v>41346</v>
      </c>
      <c r="B792" s="12">
        <v>21643.85</v>
      </c>
      <c r="C792" s="12">
        <v>30.074120000000001</v>
      </c>
      <c r="D792" s="16">
        <f t="shared" si="161"/>
        <v>-8.5286186047385248E-3</v>
      </c>
      <c r="E792" s="15">
        <f t="shared" si="173"/>
        <v>2.6807636251646727E-4</v>
      </c>
      <c r="G792" s="25" t="str">
        <f>IF(VLOOKUP(A792,Aux!B:C,2,FALSE)=0,"",VLOOKUP(A792,Aux!B:C,2,FALSE))</f>
        <v/>
      </c>
      <c r="H792" s="25" t="str">
        <f t="shared" si="162"/>
        <v/>
      </c>
      <c r="L792" s="13">
        <f t="shared" si="165"/>
        <v>116783.37960887876</v>
      </c>
      <c r="M792" s="14">
        <f t="shared" si="166"/>
        <v>-495.04047262916015</v>
      </c>
      <c r="N792" s="14">
        <f t="shared" si="167"/>
        <v>15.87492450734643</v>
      </c>
      <c r="O792" s="1">
        <f t="shared" si="168"/>
        <v>2.6589347546952378</v>
      </c>
      <c r="P792" s="1">
        <f t="shared" si="169"/>
        <v>1969.5936113332061</v>
      </c>
      <c r="S792" s="6">
        <f t="shared" si="163"/>
        <v>0.49278917242462783</v>
      </c>
      <c r="T792" s="6">
        <f t="shared" si="164"/>
        <v>0.50721082757537184</v>
      </c>
      <c r="V792" s="1">
        <f t="shared" si="170"/>
        <v>117212.9091592083</v>
      </c>
      <c r="W792" s="7">
        <f t="shared" si="171"/>
        <v>-4.0946341456381541E-3</v>
      </c>
      <c r="X792" s="7">
        <f t="shared" si="172"/>
        <v>-3.5044934274559188E-3</v>
      </c>
      <c r="Y792">
        <f>LN(B792/B791)</f>
        <v>-8.5651953871572224E-3</v>
      </c>
      <c r="Z792">
        <f>LN(C792/C791)</f>
        <v>2.6804043646886993E-4</v>
      </c>
    </row>
    <row r="793" spans="1:26" x14ac:dyDescent="0.3">
      <c r="A793" s="9">
        <v>41347</v>
      </c>
      <c r="B793" s="1">
        <v>21697.02</v>
      </c>
      <c r="C793" s="1">
        <v>30.082180000000001</v>
      </c>
      <c r="D793" s="6">
        <f t="shared" si="161"/>
        <v>2.4565869750530211E-3</v>
      </c>
      <c r="E793" s="5">
        <f t="shared" si="173"/>
        <v>2.6800451684039217E-4</v>
      </c>
      <c r="G793" s="25" t="str">
        <f>IF(VLOOKUP(A793,Aux!B:C,2,FALSE)=0,"",VLOOKUP(A793,Aux!B:C,2,FALSE))</f>
        <v/>
      </c>
      <c r="H793" s="25" t="str">
        <f t="shared" si="162"/>
        <v/>
      </c>
      <c r="L793" s="13">
        <f t="shared" si="165"/>
        <v>116940.63009429326</v>
      </c>
      <c r="M793" s="14">
        <f t="shared" si="166"/>
        <v>141.37556090715083</v>
      </c>
      <c r="N793" s="14">
        <f t="shared" si="167"/>
        <v>15.87492450734643</v>
      </c>
      <c r="O793" s="1">
        <f t="shared" si="168"/>
        <v>2.6589347546952378</v>
      </c>
      <c r="P793" s="1">
        <f t="shared" si="169"/>
        <v>1969.5936113332061</v>
      </c>
      <c r="S793" s="6">
        <f t="shared" si="163"/>
        <v>0.49333546864592281</v>
      </c>
      <c r="T793" s="6">
        <f t="shared" si="164"/>
        <v>0.50666453135407685</v>
      </c>
      <c r="V793" s="1">
        <f t="shared" si="170"/>
        <v>117353.60549674461</v>
      </c>
      <c r="W793" s="7">
        <f t="shared" si="171"/>
        <v>1.3456085178539772E-3</v>
      </c>
      <c r="X793" s="7">
        <f t="shared" si="172"/>
        <v>1.1996286393715391E-3</v>
      </c>
      <c r="Y793">
        <f>LN(B793/B792)</f>
        <v>2.453574497869497E-3</v>
      </c>
      <c r="Z793">
        <f>LN(C793/C792)</f>
        <v>2.6796861004518103E-4</v>
      </c>
    </row>
    <row r="794" spans="1:26" x14ac:dyDescent="0.3">
      <c r="A794" s="11">
        <v>41348</v>
      </c>
      <c r="B794" s="12">
        <v>21599.9</v>
      </c>
      <c r="C794" s="12">
        <v>30.090250000000001</v>
      </c>
      <c r="D794" s="16">
        <f t="shared" si="161"/>
        <v>-4.4761907395577394E-3</v>
      </c>
      <c r="E794" s="15">
        <f t="shared" si="173"/>
        <v>2.6826513238065175E-4</v>
      </c>
      <c r="G794" s="25" t="str">
        <f>IF(VLOOKUP(A794,Aux!B:C,2,FALSE)=0,"",VLOOKUP(A794,Aux!B:C,2,FALSE))</f>
        <v/>
      </c>
      <c r="H794" s="25" t="str">
        <f t="shared" si="162"/>
        <v/>
      </c>
      <c r="L794" s="13">
        <f t="shared" si="165"/>
        <v>116698.28897136071</v>
      </c>
      <c r="M794" s="14">
        <f t="shared" si="166"/>
        <v>-258.23574337599877</v>
      </c>
      <c r="N794" s="14">
        <f t="shared" si="167"/>
        <v>15.894620443459017</v>
      </c>
      <c r="O794" s="1">
        <f t="shared" si="168"/>
        <v>2.6589347546952378</v>
      </c>
      <c r="P794" s="1">
        <f t="shared" si="169"/>
        <v>1969.5936113332061</v>
      </c>
      <c r="S794" s="6">
        <f t="shared" si="163"/>
        <v>0.49214710270547674</v>
      </c>
      <c r="T794" s="6">
        <f t="shared" si="164"/>
        <v>0.50785289729452288</v>
      </c>
      <c r="V794" s="1">
        <f t="shared" si="170"/>
        <v>117147.5999184332</v>
      </c>
      <c r="W794" s="7">
        <f t="shared" si="171"/>
        <v>-2.0744935031521529E-3</v>
      </c>
      <c r="X794" s="7">
        <f t="shared" si="172"/>
        <v>-1.7569686342597502E-3</v>
      </c>
      <c r="Y794">
        <f>LN(B794/B793)</f>
        <v>-4.4862388774590378E-3</v>
      </c>
      <c r="Z794">
        <f>LN(C794/C793)</f>
        <v>2.6822915572407067E-4</v>
      </c>
    </row>
    <row r="795" spans="1:26" x14ac:dyDescent="0.3">
      <c r="A795" s="9">
        <v>41351</v>
      </c>
      <c r="B795" s="1">
        <v>21601.71</v>
      </c>
      <c r="C795" s="1">
        <v>30.098320000000001</v>
      </c>
      <c r="D795" s="6">
        <f t="shared" ref="D795:D858" si="174">B795/B794-1</f>
        <v>8.3796684243742092E-5</v>
      </c>
      <c r="E795" s="5">
        <f t="shared" si="173"/>
        <v>2.6819318550019844E-4</v>
      </c>
      <c r="G795" s="25" t="str">
        <f>IF(VLOOKUP(A795,Aux!B:C,2,FALSE)=0,"",VLOOKUP(A795,Aux!B:C,2,FALSE))</f>
        <v/>
      </c>
      <c r="H795" s="25" t="str">
        <f t="shared" si="162"/>
        <v/>
      </c>
      <c r="L795" s="13">
        <f t="shared" si="165"/>
        <v>116718.99626371017</v>
      </c>
      <c r="M795" s="14">
        <f t="shared" si="166"/>
        <v>4.8126719059921896</v>
      </c>
      <c r="N795" s="14">
        <f t="shared" si="167"/>
        <v>15.894620443459017</v>
      </c>
      <c r="O795" s="1">
        <f t="shared" si="168"/>
        <v>2.6589347546952378</v>
      </c>
      <c r="P795" s="1">
        <f t="shared" si="169"/>
        <v>1969.5936113332061</v>
      </c>
      <c r="S795" s="6">
        <f t="shared" si="163"/>
        <v>0.49210102312802295</v>
      </c>
      <c r="T795" s="6">
        <f t="shared" si="164"/>
        <v>0.50789897687197672</v>
      </c>
      <c r="V795" s="1">
        <f t="shared" si="170"/>
        <v>117169.82931071171</v>
      </c>
      <c r="W795" s="7">
        <f t="shared" si="171"/>
        <v>1.7742724051410006E-4</v>
      </c>
      <c r="X795" s="7">
        <f t="shared" si="172"/>
        <v>1.897374208852177E-4</v>
      </c>
      <c r="Y795">
        <f>LN(B795/B794)</f>
        <v>8.3793173497721522E-5</v>
      </c>
      <c r="Z795">
        <f>LN(C795/C794)</f>
        <v>2.6815722813669366E-4</v>
      </c>
    </row>
    <row r="796" spans="1:26" x14ac:dyDescent="0.3">
      <c r="A796" s="11">
        <v>41352</v>
      </c>
      <c r="B796" s="12">
        <v>21401.84</v>
      </c>
      <c r="C796" s="12">
        <v>30.106390000000001</v>
      </c>
      <c r="D796" s="16">
        <f t="shared" si="174"/>
        <v>-9.2525082505041656E-3</v>
      </c>
      <c r="E796" s="15">
        <f t="shared" si="173"/>
        <v>2.6812127720088341E-4</v>
      </c>
      <c r="G796" s="25" t="str">
        <f>IF(VLOOKUP(A796,Aux!B:C,2,FALSE)=0,"",VLOOKUP(A796,Aux!B:C,2,FALSE))</f>
        <v/>
      </c>
      <c r="H796" s="25" t="str">
        <f t="shared" si="162"/>
        <v/>
      </c>
      <c r="L796" s="13">
        <f t="shared" si="165"/>
        <v>116203.44959473269</v>
      </c>
      <c r="M796" s="14">
        <f t="shared" si="166"/>
        <v>-531.44128942093448</v>
      </c>
      <c r="N796" s="14">
        <f t="shared" si="167"/>
        <v>15.894620443459017</v>
      </c>
      <c r="O796" s="1">
        <f t="shared" si="168"/>
        <v>2.6589347546952378</v>
      </c>
      <c r="P796" s="1">
        <f t="shared" si="169"/>
        <v>1969.5936113332061</v>
      </c>
      <c r="S796" s="6">
        <f t="shared" si="163"/>
        <v>0.48971090263576983</v>
      </c>
      <c r="T796" s="6">
        <f t="shared" si="164"/>
        <v>0.51028909736422989</v>
      </c>
      <c r="V796" s="1">
        <f t="shared" si="170"/>
        <v>116726.77588818606</v>
      </c>
      <c r="W796" s="7">
        <f t="shared" si="171"/>
        <v>-4.4267739760239554E-3</v>
      </c>
      <c r="X796" s="7">
        <f t="shared" si="172"/>
        <v>-3.7884598800094621E-3</v>
      </c>
      <c r="Y796">
        <f>LN(B796/B795)</f>
        <v>-9.295578583234548E-3</v>
      </c>
      <c r="Z796">
        <f>LN(C796/C795)</f>
        <v>2.6808533911493968E-4</v>
      </c>
    </row>
    <row r="797" spans="1:26" x14ac:dyDescent="0.3">
      <c r="A797" s="9">
        <v>41353</v>
      </c>
      <c r="B797" s="1">
        <v>21365.45</v>
      </c>
      <c r="C797" s="1">
        <v>30.114460000000001</v>
      </c>
      <c r="D797" s="6">
        <f t="shared" si="174"/>
        <v>-1.7003210938871804E-3</v>
      </c>
      <c r="E797" s="5">
        <f t="shared" si="173"/>
        <v>2.6804940745139838E-4</v>
      </c>
      <c r="G797" s="25" t="str">
        <f>IF(VLOOKUP(A797,Aux!B:C,2,FALSE)=0,"",VLOOKUP(A797,Aux!B:C,2,FALSE))</f>
        <v/>
      </c>
      <c r="H797" s="25" t="str">
        <f t="shared" si="162"/>
        <v/>
      </c>
      <c r="L797" s="13">
        <f t="shared" si="165"/>
        <v>116122.5855794528</v>
      </c>
      <c r="M797" s="14">
        <f t="shared" si="166"/>
        <v>-96.758635723358154</v>
      </c>
      <c r="N797" s="14">
        <f t="shared" si="167"/>
        <v>15.894620443459017</v>
      </c>
      <c r="O797" s="1">
        <f t="shared" si="168"/>
        <v>2.6589347546952378</v>
      </c>
      <c r="P797" s="1">
        <f t="shared" si="169"/>
        <v>1969.5936113332061</v>
      </c>
      <c r="S797" s="6">
        <f t="shared" si="163"/>
        <v>0.48921867586072287</v>
      </c>
      <c r="T797" s="6">
        <f t="shared" si="164"/>
        <v>0.51078132413927679</v>
      </c>
      <c r="V797" s="1">
        <f t="shared" si="170"/>
        <v>116660.87654422142</v>
      </c>
      <c r="W797" s="7">
        <f t="shared" si="171"/>
        <v>-6.9612532650296358E-4</v>
      </c>
      <c r="X797" s="7">
        <f t="shared" si="172"/>
        <v>-5.6472007005640848E-4</v>
      </c>
      <c r="Y797">
        <f>LN(B797/B796)</f>
        <v>-1.701768280485592E-3</v>
      </c>
      <c r="Z797">
        <f>LN(C797/C796)</f>
        <v>2.6801348862751713E-4</v>
      </c>
    </row>
    <row r="798" spans="1:26" x14ac:dyDescent="0.3">
      <c r="A798" s="11">
        <v>41354</v>
      </c>
      <c r="B798" s="12">
        <v>21204.04</v>
      </c>
      <c r="C798" s="12">
        <v>30.122540000000001</v>
      </c>
      <c r="D798" s="16">
        <f t="shared" si="174"/>
        <v>-7.554720354591149E-3</v>
      </c>
      <c r="E798" s="15">
        <f t="shared" si="173"/>
        <v>2.6830964261015389E-4</v>
      </c>
      <c r="G798" s="25" t="str">
        <f>IF(VLOOKUP(A798,Aux!B:C,2,FALSE)=0,"",VLOOKUP(A798,Aux!B:C,2,FALSE))</f>
        <v/>
      </c>
      <c r="H798" s="25" t="str">
        <f t="shared" si="162"/>
        <v/>
      </c>
      <c r="L798" s="13">
        <f t="shared" si="165"/>
        <v>115709.32123707701</v>
      </c>
      <c r="M798" s="14">
        <f t="shared" si="166"/>
        <v>-429.17865875535796</v>
      </c>
      <c r="N798" s="14">
        <f t="shared" si="167"/>
        <v>15.914316379571602</v>
      </c>
      <c r="O798" s="1">
        <f t="shared" si="168"/>
        <v>2.6589347546952378</v>
      </c>
      <c r="P798" s="1">
        <f t="shared" si="169"/>
        <v>1969.5936113332061</v>
      </c>
      <c r="S798" s="6">
        <f t="shared" si="163"/>
        <v>0.48725684580268708</v>
      </c>
      <c r="T798" s="6">
        <f t="shared" si="164"/>
        <v>0.51274315419731264</v>
      </c>
      <c r="V798" s="1">
        <f t="shared" si="170"/>
        <v>116306.5740583584</v>
      </c>
      <c r="W798" s="7">
        <f t="shared" si="171"/>
        <v>-3.5652105509668655E-3</v>
      </c>
      <c r="X798" s="7">
        <f t="shared" si="172"/>
        <v>-3.0416503086851338E-3</v>
      </c>
      <c r="Y798">
        <f>LN(B798/B797)</f>
        <v>-7.5834017992487436E-3</v>
      </c>
      <c r="Z798">
        <f>LN(C798/C797)</f>
        <v>2.6827365401524254E-4</v>
      </c>
    </row>
    <row r="799" spans="1:26" x14ac:dyDescent="0.3">
      <c r="A799" s="9">
        <v>41355</v>
      </c>
      <c r="B799" s="1">
        <v>21115.38</v>
      </c>
      <c r="C799" s="1">
        <v>30.130610000000001</v>
      </c>
      <c r="D799" s="6">
        <f t="shared" si="174"/>
        <v>-4.181278661990806E-3</v>
      </c>
      <c r="E799" s="5">
        <f t="shared" si="173"/>
        <v>2.6790569453960522E-4</v>
      </c>
      <c r="G799" s="25" t="str">
        <f>IF(VLOOKUP(A799,Aux!B:C,2,FALSE)=0,"",VLOOKUP(A799,Aux!B:C,2,FALSE))</f>
        <v/>
      </c>
      <c r="H799" s="25" t="str">
        <f t="shared" si="162"/>
        <v/>
      </c>
      <c r="L799" s="13">
        <f t="shared" si="165"/>
        <v>115489.47470216919</v>
      </c>
      <c r="M799" s="14">
        <f t="shared" si="166"/>
        <v>-235.74115535127939</v>
      </c>
      <c r="N799" s="14">
        <f t="shared" si="167"/>
        <v>15.894620443459017</v>
      </c>
      <c r="O799" s="1">
        <f t="shared" si="168"/>
        <v>2.6589347546952378</v>
      </c>
      <c r="P799" s="1">
        <f t="shared" si="169"/>
        <v>1969.5936113332061</v>
      </c>
      <c r="S799" s="6">
        <f t="shared" si="163"/>
        <v>0.48614315620869475</v>
      </c>
      <c r="T799" s="6">
        <f t="shared" si="164"/>
        <v>0.51385684379130492</v>
      </c>
      <c r="V799" s="1">
        <f t="shared" si="170"/>
        <v>116120.08599597937</v>
      </c>
      <c r="W799" s="7">
        <f t="shared" si="171"/>
        <v>-1.9017971116763593E-3</v>
      </c>
      <c r="X799" s="7">
        <f t="shared" si="172"/>
        <v>-1.6047049194259019E-3</v>
      </c>
      <c r="Y799">
        <f>LN(B799/B798)</f>
        <v>-4.1900446515120001E-3</v>
      </c>
      <c r="Z799">
        <f>LN(C799/C798)</f>
        <v>2.6786981421724057E-4</v>
      </c>
    </row>
    <row r="800" spans="1:26" x14ac:dyDescent="0.3">
      <c r="A800" s="11">
        <v>41358</v>
      </c>
      <c r="B800" s="12">
        <v>20994.04</v>
      </c>
      <c r="C800" s="12">
        <v>30.13869</v>
      </c>
      <c r="D800" s="16">
        <f t="shared" si="174"/>
        <v>-5.7465222032471175E-3</v>
      </c>
      <c r="E800" s="15">
        <f t="shared" si="173"/>
        <v>2.6816582870381467E-4</v>
      </c>
      <c r="G800" s="25" t="str">
        <f>IF(VLOOKUP(A800,Aux!B:C,2,FALSE)=0,"",VLOOKUP(A800,Aux!B:C,2,FALSE))</f>
        <v/>
      </c>
      <c r="H800" s="25" t="str">
        <f t="shared" si="162"/>
        <v/>
      </c>
      <c r="L800" s="13">
        <f t="shared" si="165"/>
        <v>115182.75387541404</v>
      </c>
      <c r="M800" s="14">
        <f t="shared" si="166"/>
        <v>-322.63514313472052</v>
      </c>
      <c r="N800" s="14">
        <f t="shared" si="167"/>
        <v>15.914316379571602</v>
      </c>
      <c r="O800" s="1">
        <f t="shared" si="168"/>
        <v>2.6589347546952378</v>
      </c>
      <c r="P800" s="1">
        <f t="shared" si="169"/>
        <v>1969.5936113332061</v>
      </c>
      <c r="S800" s="6">
        <f t="shared" si="163"/>
        <v>0.48463663803212187</v>
      </c>
      <c r="T800" s="6">
        <f t="shared" si="164"/>
        <v>0.5153633619678778</v>
      </c>
      <c r="V800" s="1">
        <f t="shared" si="170"/>
        <v>115858.22640177244</v>
      </c>
      <c r="W800" s="7">
        <f t="shared" si="171"/>
        <v>-2.6593665775303242E-3</v>
      </c>
      <c r="X800" s="7">
        <f t="shared" si="172"/>
        <v>-2.2576222985855581E-3</v>
      </c>
      <c r="Y800">
        <f>LN(B800/B799)</f>
        <v>-5.7630969907208644E-3</v>
      </c>
      <c r="Z800">
        <f>LN(C800/C799)</f>
        <v>2.6812987867487508E-4</v>
      </c>
    </row>
    <row r="801" spans="1:26" x14ac:dyDescent="0.3">
      <c r="A801" s="9">
        <v>41359</v>
      </c>
      <c r="B801" s="1">
        <v>21226.71</v>
      </c>
      <c r="C801" s="1">
        <v>30.14677</v>
      </c>
      <c r="D801" s="6">
        <f t="shared" si="174"/>
        <v>1.1082669176585291E-2</v>
      </c>
      <c r="E801" s="5">
        <f t="shared" si="173"/>
        <v>2.6809393507143398E-4</v>
      </c>
      <c r="G801" s="25" t="str">
        <f>IF(VLOOKUP(A801,Aux!B:C,2,FALSE)=0,"",VLOOKUP(A801,Aux!B:C,2,FALSE))</f>
        <v/>
      </c>
      <c r="H801" s="25" t="str">
        <f t="shared" si="162"/>
        <v/>
      </c>
      <c r="L801" s="13">
        <f t="shared" si="165"/>
        <v>115817.32254116854</v>
      </c>
      <c r="M801" s="14">
        <f t="shared" si="166"/>
        <v>618.65434937493637</v>
      </c>
      <c r="N801" s="14">
        <f t="shared" si="167"/>
        <v>15.914316379571602</v>
      </c>
      <c r="O801" s="1">
        <f t="shared" si="168"/>
        <v>2.6589347546952378</v>
      </c>
      <c r="P801" s="1">
        <f t="shared" si="169"/>
        <v>1969.5936113332061</v>
      </c>
      <c r="S801" s="6">
        <f t="shared" si="163"/>
        <v>0.48732292983870851</v>
      </c>
      <c r="T801" s="6">
        <f t="shared" si="164"/>
        <v>0.51267707016129116</v>
      </c>
      <c r="V801" s="1">
        <f t="shared" si="170"/>
        <v>116413.08026090158</v>
      </c>
      <c r="W801" s="7">
        <f t="shared" si="171"/>
        <v>5.494113004781866E-3</v>
      </c>
      <c r="X801" s="7">
        <f t="shared" si="172"/>
        <v>4.7776449232623218E-3</v>
      </c>
      <c r="Y801">
        <f>LN(B801/B800)</f>
        <v>1.1021706405151616E-2</v>
      </c>
      <c r="Z801">
        <f>LN(C801/C800)</f>
        <v>2.6805800431415824E-4</v>
      </c>
    </row>
    <row r="802" spans="1:26" x14ac:dyDescent="0.3">
      <c r="A802" s="11">
        <v>41360</v>
      </c>
      <c r="B802" s="12">
        <v>21356.29</v>
      </c>
      <c r="C802" s="12">
        <v>30.154859999999999</v>
      </c>
      <c r="D802" s="16">
        <f t="shared" si="174"/>
        <v>6.1045729649107372E-3</v>
      </c>
      <c r="E802" s="15">
        <f t="shared" si="173"/>
        <v>2.683537904724087E-4</v>
      </c>
      <c r="G802" s="25" t="str">
        <f>IF(VLOOKUP(A802,Aux!B:C,2,FALSE)=0,"",VLOOKUP(A802,Aux!B:C,2,FALSE))</f>
        <v/>
      </c>
      <c r="H802" s="25" t="str">
        <f t="shared" si="162"/>
        <v/>
      </c>
      <c r="L802" s="13">
        <f t="shared" si="165"/>
        <v>116177.80131899765</v>
      </c>
      <c r="M802" s="14">
        <f t="shared" si="166"/>
        <v>344.54476551341355</v>
      </c>
      <c r="N802" s="14">
        <f t="shared" si="167"/>
        <v>15.934012315684189</v>
      </c>
      <c r="O802" s="1">
        <f t="shared" si="168"/>
        <v>2.6589347546952378</v>
      </c>
      <c r="P802" s="1">
        <f t="shared" si="169"/>
        <v>1969.5936113332061</v>
      </c>
      <c r="S802" s="6">
        <f t="shared" si="163"/>
        <v>0.48877652243075076</v>
      </c>
      <c r="T802" s="6">
        <f t="shared" si="164"/>
        <v>0.51122347756924891</v>
      </c>
      <c r="V802" s="1">
        <f t="shared" si="170"/>
        <v>116730.12425524782</v>
      </c>
      <c r="W802" s="7">
        <f t="shared" si="171"/>
        <v>3.1076434878441229E-3</v>
      </c>
      <c r="X802" s="7">
        <f t="shared" si="172"/>
        <v>2.7197377717673764E-3</v>
      </c>
      <c r="Y802">
        <f>LN(B802/B801)</f>
        <v>6.0860155444915146E-3</v>
      </c>
      <c r="Z802">
        <f>LN(C802/C801)</f>
        <v>2.6831779003440358E-4</v>
      </c>
    </row>
    <row r="803" spans="1:26" x14ac:dyDescent="0.3">
      <c r="A803" s="9">
        <v>41361</v>
      </c>
      <c r="B803" s="1">
        <v>21531.88</v>
      </c>
      <c r="C803" s="1">
        <v>30.162939999999999</v>
      </c>
      <c r="D803" s="6">
        <f t="shared" si="174"/>
        <v>8.2219336785556152E-3</v>
      </c>
      <c r="E803" s="5">
        <f t="shared" si="173"/>
        <v>2.6795017453240533E-4</v>
      </c>
      <c r="G803" s="25" t="str">
        <f>IF(VLOOKUP(A803,Aux!B:C,2,FALSE)=0,"",VLOOKUP(A803,Aux!B:C,2,FALSE))</f>
        <v/>
      </c>
      <c r="H803" s="25" t="str">
        <f t="shared" si="162"/>
        <v/>
      </c>
      <c r="L803" s="13">
        <f t="shared" si="165"/>
        <v>116660.59798895415</v>
      </c>
      <c r="M803" s="14">
        <f t="shared" si="166"/>
        <v>466.88235357693719</v>
      </c>
      <c r="N803" s="14">
        <f t="shared" si="167"/>
        <v>15.914316379571602</v>
      </c>
      <c r="O803" s="1">
        <f t="shared" si="168"/>
        <v>2.6589347546952378</v>
      </c>
      <c r="P803" s="1">
        <f t="shared" si="169"/>
        <v>1969.5936113332061</v>
      </c>
      <c r="S803" s="6">
        <f t="shared" si="163"/>
        <v>0.49075579118279605</v>
      </c>
      <c r="T803" s="6">
        <f t="shared" si="164"/>
        <v>0.50924420881720367</v>
      </c>
      <c r="V803" s="1">
        <f t="shared" si="170"/>
        <v>117153.29255770787</v>
      </c>
      <c r="W803" s="7">
        <f t="shared" si="171"/>
        <v>4.1470596200930973E-3</v>
      </c>
      <c r="X803" s="7">
        <f t="shared" si="172"/>
        <v>3.6186299139158817E-3</v>
      </c>
      <c r="Y803">
        <f>LN(B803/B802)</f>
        <v>8.1883177149674677E-3</v>
      </c>
      <c r="Z803">
        <f>LN(C803/C802)</f>
        <v>2.6791428229580024E-4</v>
      </c>
    </row>
    <row r="804" spans="1:26" x14ac:dyDescent="0.3">
      <c r="A804" s="11">
        <v>41365</v>
      </c>
      <c r="B804" s="12">
        <v>21361.439999999999</v>
      </c>
      <c r="C804" s="12">
        <v>30.171050000000001</v>
      </c>
      <c r="D804" s="16">
        <f t="shared" si="174"/>
        <v>-7.9157045274264037E-3</v>
      </c>
      <c r="E804" s="15">
        <f t="shared" si="173"/>
        <v>2.6887299447597712E-4</v>
      </c>
      <c r="G804" s="25" t="str">
        <f>IF(VLOOKUP(A804,Aux!B:C,2,FALSE)=0,"",VLOOKUP(A804,Aux!B:C,2,FALSE))</f>
        <v/>
      </c>
      <c r="H804" s="25" t="str">
        <f t="shared" si="162"/>
        <v/>
      </c>
      <c r="L804" s="13">
        <f t="shared" si="165"/>
        <v>116223.3825535518</v>
      </c>
      <c r="M804" s="14">
        <f t="shared" si="166"/>
        <v>-453.18883959026249</v>
      </c>
      <c r="N804" s="14">
        <f t="shared" si="167"/>
        <v>15.973404187916358</v>
      </c>
      <c r="O804" s="1">
        <f t="shared" si="168"/>
        <v>2.6589347546952378</v>
      </c>
      <c r="P804" s="1">
        <f t="shared" si="169"/>
        <v>1969.5936113332061</v>
      </c>
      <c r="S804" s="6">
        <f t="shared" si="163"/>
        <v>0.48870265155263515</v>
      </c>
      <c r="T804" s="6">
        <f t="shared" si="164"/>
        <v>0.51129734844736463</v>
      </c>
      <c r="V804" s="1">
        <f t="shared" si="170"/>
        <v>116778.22465994761</v>
      </c>
      <c r="W804" s="7">
        <f t="shared" si="171"/>
        <v>-3.7547962556895072E-3</v>
      </c>
      <c r="X804" s="7">
        <f t="shared" si="172"/>
        <v>-3.2066497375874527E-3</v>
      </c>
      <c r="Y804">
        <f>LN(B804/B803)</f>
        <v>-7.9472000326866327E-3</v>
      </c>
      <c r="Z804">
        <f>LN(C804/C803)</f>
        <v>2.6883685461027534E-4</v>
      </c>
    </row>
    <row r="805" spans="1:26" x14ac:dyDescent="0.3">
      <c r="A805" s="9">
        <v>41366</v>
      </c>
      <c r="B805" s="1">
        <v>21092.36</v>
      </c>
      <c r="C805" s="1">
        <v>30.179179999999999</v>
      </c>
      <c r="D805" s="6">
        <f t="shared" si="174"/>
        <v>-1.2596529072946283E-2</v>
      </c>
      <c r="E805" s="5">
        <f t="shared" si="173"/>
        <v>2.6946360832647009E-4</v>
      </c>
      <c r="G805" s="25" t="str">
        <f>IF(VLOOKUP(A805,Aux!B:C,2,FALSE)=0,"",VLOOKUP(A805,Aux!B:C,2,FALSE))</f>
        <v/>
      </c>
      <c r="H805" s="25" t="str">
        <f t="shared" si="162"/>
        <v/>
      </c>
      <c r="L805" s="13">
        <f t="shared" si="165"/>
        <v>115523.92918581855</v>
      </c>
      <c r="M805" s="14">
        <f t="shared" si="166"/>
        <v>-715.46616379338957</v>
      </c>
      <c r="N805" s="14">
        <f t="shared" si="167"/>
        <v>16.012796060134534</v>
      </c>
      <c r="O805" s="1">
        <f t="shared" si="168"/>
        <v>2.6589347546952378</v>
      </c>
      <c r="P805" s="1">
        <f t="shared" si="169"/>
        <v>1969.5936113332061</v>
      </c>
      <c r="S805" s="6">
        <f t="shared" si="163"/>
        <v>0.48546833074154383</v>
      </c>
      <c r="T805" s="6">
        <f t="shared" si="164"/>
        <v>0.51453166925845584</v>
      </c>
      <c r="V805" s="1">
        <f t="shared" si="170"/>
        <v>116175.63557439088</v>
      </c>
      <c r="W805" s="7">
        <f t="shared" si="171"/>
        <v>-6.0363633679621203E-3</v>
      </c>
      <c r="X805" s="7">
        <f t="shared" si="172"/>
        <v>-5.1734745152245323E-3</v>
      </c>
      <c r="Y805">
        <f>LN(B805/B804)</f>
        <v>-1.2676537944742175E-2</v>
      </c>
      <c r="Z805">
        <f>LN(C805/C804)</f>
        <v>2.6942730952902083E-4</v>
      </c>
    </row>
    <row r="806" spans="1:26" x14ac:dyDescent="0.3">
      <c r="A806" s="11">
        <v>41367</v>
      </c>
      <c r="B806" s="12">
        <v>21315.15</v>
      </c>
      <c r="C806" s="12">
        <v>30.18731</v>
      </c>
      <c r="D806" s="16">
        <f t="shared" si="174"/>
        <v>1.056259233201029E-2</v>
      </c>
      <c r="E806" s="15">
        <f t="shared" si="173"/>
        <v>2.6939101725109715E-4</v>
      </c>
      <c r="G806" s="25" t="str">
        <f>IF(VLOOKUP(A806,Aux!B:C,2,FALSE)=0,"",VLOOKUP(A806,Aux!B:C,2,FALSE))</f>
        <v/>
      </c>
      <c r="H806" s="25" t="str">
        <f t="shared" si="162"/>
        <v/>
      </c>
      <c r="L806" s="13">
        <f t="shared" si="165"/>
        <v>116132.32605587725</v>
      </c>
      <c r="M806" s="14">
        <f t="shared" si="166"/>
        <v>592.3840739985543</v>
      </c>
      <c r="N806" s="14">
        <f t="shared" si="167"/>
        <v>16.012796060141532</v>
      </c>
      <c r="O806" s="1">
        <f t="shared" si="168"/>
        <v>2.6589347546952378</v>
      </c>
      <c r="P806" s="1">
        <f t="shared" si="169"/>
        <v>1969.5936113332061</v>
      </c>
      <c r="S806" s="6">
        <f t="shared" si="163"/>
        <v>0.4880259877794289</v>
      </c>
      <c r="T806" s="6">
        <f t="shared" si="164"/>
        <v>0.51197401222057082</v>
      </c>
      <c r="V806" s="1">
        <f t="shared" si="170"/>
        <v>116707.80778453886</v>
      </c>
      <c r="W806" s="7">
        <f t="shared" si="171"/>
        <v>5.2525952145496121E-3</v>
      </c>
      <c r="X806" s="7">
        <f t="shared" si="172"/>
        <v>4.5702960140828475E-3</v>
      </c>
      <c r="Y806">
        <f>LN(B806/B805)</f>
        <v>1.0507197884839045E-2</v>
      </c>
      <c r="Z806">
        <f>LN(C806/C805)</f>
        <v>2.693547380063982E-4</v>
      </c>
    </row>
    <row r="807" spans="1:26" x14ac:dyDescent="0.3">
      <c r="A807" s="9">
        <v>41368</v>
      </c>
      <c r="B807" s="1">
        <v>21002.23</v>
      </c>
      <c r="C807" s="1">
        <v>30.195419999999999</v>
      </c>
      <c r="D807" s="6">
        <f t="shared" si="174"/>
        <v>-1.468063795000274E-2</v>
      </c>
      <c r="E807" s="5">
        <f t="shared" si="173"/>
        <v>2.686559352256257E-4</v>
      </c>
      <c r="G807" s="25" t="str">
        <f>IF(VLOOKUP(A807,Aux!B:C,2,FALSE)=0,"",VLOOKUP(A807,Aux!B:C,2,FALSE))</f>
        <v/>
      </c>
      <c r="H807" s="25" t="str">
        <f t="shared" si="162"/>
        <v/>
      </c>
      <c r="L807" s="13">
        <f t="shared" si="165"/>
        <v>115316.26559662592</v>
      </c>
      <c r="M807" s="14">
        <f t="shared" si="166"/>
        <v>-832.03386343923887</v>
      </c>
      <c r="N807" s="14">
        <f t="shared" si="167"/>
        <v>15.973404187909361</v>
      </c>
      <c r="O807" s="1">
        <f t="shared" si="168"/>
        <v>2.6589347546952378</v>
      </c>
      <c r="P807" s="1">
        <f t="shared" si="169"/>
        <v>1969.5936113332061</v>
      </c>
      <c r="S807" s="6">
        <f t="shared" si="163"/>
        <v>0.48426437488396179</v>
      </c>
      <c r="T807" s="6">
        <f t="shared" si="164"/>
        <v>0.51573562511603777</v>
      </c>
      <c r="V807" s="1">
        <f t="shared" si="170"/>
        <v>116004.03354280151</v>
      </c>
      <c r="W807" s="7">
        <f t="shared" si="171"/>
        <v>-7.0517935336082372E-3</v>
      </c>
      <c r="X807" s="7">
        <f t="shared" si="172"/>
        <v>-6.0484793837817345E-3</v>
      </c>
      <c r="Y807">
        <f>LN(B807/B806)</f>
        <v>-1.4789464928285749E-2</v>
      </c>
      <c r="Z807">
        <f>LN(C807/C806)</f>
        <v>2.6861985368206227E-4</v>
      </c>
    </row>
    <row r="808" spans="1:26" x14ac:dyDescent="0.3">
      <c r="A808" s="11">
        <v>41369</v>
      </c>
      <c r="B808" s="12">
        <v>21073.96</v>
      </c>
      <c r="C808" s="12">
        <v>30.20354</v>
      </c>
      <c r="D808" s="16">
        <f t="shared" si="174"/>
        <v>3.4153516079007407E-3</v>
      </c>
      <c r="E808" s="15">
        <f t="shared" si="173"/>
        <v>2.6891495465219961E-4</v>
      </c>
      <c r="G808" s="25" t="str">
        <f>IF(VLOOKUP(A808,Aux!B:C,2,FALSE)=0,"",VLOOKUP(A808,Aux!B:C,2,FALSE))</f>
        <v/>
      </c>
      <c r="H808" s="25" t="str">
        <f t="shared" si="162"/>
        <v/>
      </c>
      <c r="L808" s="13">
        <f t="shared" si="165"/>
        <v>115522.98408670424</v>
      </c>
      <c r="M808" s="14">
        <f t="shared" si="166"/>
        <v>190.72538995428823</v>
      </c>
      <c r="N808" s="14">
        <f t="shared" si="167"/>
        <v>15.993100124028945</v>
      </c>
      <c r="O808" s="1">
        <f t="shared" si="168"/>
        <v>2.6589347546952378</v>
      </c>
      <c r="P808" s="1">
        <f t="shared" si="169"/>
        <v>1969.5936113332061</v>
      </c>
      <c r="S808" s="6">
        <f t="shared" si="163"/>
        <v>0.48504879878277268</v>
      </c>
      <c r="T808" s="6">
        <f t="shared" si="164"/>
        <v>0.51495120121722704</v>
      </c>
      <c r="V808" s="1">
        <f t="shared" si="170"/>
        <v>116187.68267751779</v>
      </c>
      <c r="W808" s="7">
        <f t="shared" si="171"/>
        <v>1.791017304208096E-3</v>
      </c>
      <c r="X808" s="7">
        <f t="shared" si="172"/>
        <v>1.5818753227002924E-3</v>
      </c>
      <c r="Y808">
        <f>LN(B808/B807)</f>
        <v>3.4095325402751552E-3</v>
      </c>
      <c r="Z808">
        <f>LN(C808/C807)</f>
        <v>2.6887880350669234E-4</v>
      </c>
    </row>
    <row r="809" spans="1:26" x14ac:dyDescent="0.3">
      <c r="A809" s="9">
        <v>41372</v>
      </c>
      <c r="B809" s="1">
        <v>21048.5</v>
      </c>
      <c r="C809" s="1">
        <v>30.211659999999998</v>
      </c>
      <c r="D809" s="6">
        <f t="shared" si="174"/>
        <v>-1.2081260475012012E-3</v>
      </c>
      <c r="E809" s="5">
        <f t="shared" si="173"/>
        <v>2.6884265884064007E-4</v>
      </c>
      <c r="G809" s="25" t="str">
        <f>IF(VLOOKUP(A809,Aux!B:C,2,FALSE)=0,"",VLOOKUP(A809,Aux!B:C,2,FALSE))</f>
        <v/>
      </c>
      <c r="H809" s="25" t="str">
        <f t="shared" si="162"/>
        <v/>
      </c>
      <c r="L809" s="13">
        <f t="shared" si="165"/>
        <v>115471.28070797371</v>
      </c>
      <c r="M809" s="14">
        <f t="shared" si="166"/>
        <v>-67.696478854538427</v>
      </c>
      <c r="N809" s="14">
        <f t="shared" si="167"/>
        <v>15.993100124021948</v>
      </c>
      <c r="O809" s="1">
        <f t="shared" si="168"/>
        <v>2.6589347546952378</v>
      </c>
      <c r="P809" s="1">
        <f t="shared" si="169"/>
        <v>1969.5936113332061</v>
      </c>
      <c r="S809" s="6">
        <f t="shared" si="163"/>
        <v>0.48467972158152411</v>
      </c>
      <c r="T809" s="6">
        <f t="shared" si="164"/>
        <v>0.51532027841847561</v>
      </c>
      <c r="V809" s="1">
        <f t="shared" si="170"/>
        <v>116147.11108250965</v>
      </c>
      <c r="W809" s="7">
        <f t="shared" si="171"/>
        <v>-4.4765942253954029E-4</v>
      </c>
      <c r="X809" s="7">
        <f t="shared" si="172"/>
        <v>-3.4925113680937646E-4</v>
      </c>
      <c r="Y809">
        <f>LN(B809/B808)</f>
        <v>-1.2088564200885535E-3</v>
      </c>
      <c r="Z809">
        <f>LN(C809/C808)</f>
        <v>2.6880652712871911E-4</v>
      </c>
    </row>
    <row r="810" spans="1:26" x14ac:dyDescent="0.3">
      <c r="A810" s="11">
        <v>41373</v>
      </c>
      <c r="B810" s="12">
        <v>21424.66</v>
      </c>
      <c r="C810" s="12">
        <v>30.21979</v>
      </c>
      <c r="D810" s="16">
        <f t="shared" si="174"/>
        <v>1.7871107204789016E-2</v>
      </c>
      <c r="E810" s="15">
        <f t="shared" si="173"/>
        <v>2.6910139992319948E-4</v>
      </c>
      <c r="G810" s="25" t="str">
        <f>IF(VLOOKUP(A810,Aux!B:C,2,FALSE)=0,"",VLOOKUP(A810,Aux!B:C,2,FALSE))</f>
        <v/>
      </c>
      <c r="H810" s="25" t="str">
        <f t="shared" si="162"/>
        <v/>
      </c>
      <c r="L810" s="13">
        <f t="shared" si="165"/>
        <v>116487.47840136001</v>
      </c>
      <c r="M810" s="14">
        <f t="shared" si="166"/>
        <v>1000.1848973261602</v>
      </c>
      <c r="N810" s="14">
        <f t="shared" si="167"/>
        <v>16.012796060141532</v>
      </c>
      <c r="O810" s="1">
        <f t="shared" si="168"/>
        <v>2.6589347546952378</v>
      </c>
      <c r="P810" s="1">
        <f t="shared" si="169"/>
        <v>1969.5936113332061</v>
      </c>
      <c r="S810" s="6">
        <f t="shared" si="163"/>
        <v>0.489037739191578</v>
      </c>
      <c r="T810" s="6">
        <f t="shared" si="164"/>
        <v>0.51096226080842178</v>
      </c>
      <c r="V810" s="1">
        <f t="shared" si="170"/>
        <v>117033.11324756892</v>
      </c>
      <c r="W810" s="7">
        <f t="shared" si="171"/>
        <v>8.7619385319821549E-3</v>
      </c>
      <c r="X810" s="7">
        <f t="shared" si="172"/>
        <v>7.5993273569362916E-3</v>
      </c>
      <c r="Y810">
        <f>LN(B810/B809)</f>
        <v>1.7713296364382337E-2</v>
      </c>
      <c r="Z810">
        <f>LN(C810/C809)</f>
        <v>2.6906519863587828E-4</v>
      </c>
    </row>
    <row r="811" spans="1:26" x14ac:dyDescent="0.3">
      <c r="A811" s="9">
        <v>41374</v>
      </c>
      <c r="B811" s="1">
        <v>21552.77</v>
      </c>
      <c r="C811" s="1">
        <v>30.227910000000001</v>
      </c>
      <c r="D811" s="6">
        <f t="shared" si="174"/>
        <v>5.9795581353450089E-3</v>
      </c>
      <c r="E811" s="5">
        <f t="shared" si="173"/>
        <v>2.6869809485785545E-4</v>
      </c>
      <c r="G811" s="25" t="str">
        <f>IF(VLOOKUP(A811,Aux!B:C,2,FALSE)=0,"",VLOOKUP(A811,Aux!B:C,2,FALSE))</f>
        <v/>
      </c>
      <c r="H811" s="25" t="str">
        <f t="shared" si="162"/>
        <v/>
      </c>
      <c r="L811" s="13">
        <f t="shared" si="165"/>
        <v>116844.10763290805</v>
      </c>
      <c r="M811" s="14">
        <f t="shared" si="166"/>
        <v>340.63613142400845</v>
      </c>
      <c r="N811" s="14">
        <f t="shared" si="167"/>
        <v>15.993100124028945</v>
      </c>
      <c r="O811" s="1">
        <f t="shared" si="168"/>
        <v>2.6589347546952378</v>
      </c>
      <c r="P811" s="1">
        <f t="shared" si="169"/>
        <v>1969.5936113332061</v>
      </c>
      <c r="S811" s="6">
        <f t="shared" si="163"/>
        <v>0.49046041237267135</v>
      </c>
      <c r="T811" s="6">
        <f t="shared" si="164"/>
        <v>0.50953958762732832</v>
      </c>
      <c r="V811" s="1">
        <f t="shared" si="170"/>
        <v>117346.83301446817</v>
      </c>
      <c r="W811" s="7">
        <f t="shared" si="171"/>
        <v>3.0568472559927458E-3</v>
      </c>
      <c r="X811" s="7">
        <f t="shared" si="172"/>
        <v>2.6770204469875989E-3</v>
      </c>
      <c r="Y811">
        <f>LN(B811/B810)</f>
        <v>5.9617515261095044E-3</v>
      </c>
      <c r="Z811">
        <f>LN(C811/C810)</f>
        <v>2.6866200199001045E-4</v>
      </c>
    </row>
    <row r="812" spans="1:26" x14ac:dyDescent="0.3">
      <c r="A812" s="11">
        <v>41375</v>
      </c>
      <c r="B812" s="12">
        <v>21341.1</v>
      </c>
      <c r="C812" s="12">
        <v>30.236039999999999</v>
      </c>
      <c r="D812" s="16">
        <f t="shared" si="174"/>
        <v>-9.8210114059585907E-3</v>
      </c>
      <c r="E812" s="15">
        <f t="shared" si="173"/>
        <v>2.6895673567906009E-4</v>
      </c>
      <c r="G812" s="25" t="str">
        <f>IF(VLOOKUP(A812,Aux!B:C,2,FALSE)=0,"",VLOOKUP(A812,Aux!B:C,2,FALSE))</f>
        <v/>
      </c>
      <c r="H812" s="25" t="str">
        <f t="shared" si="162"/>
        <v/>
      </c>
      <c r="L812" s="13">
        <f t="shared" si="165"/>
        <v>116297.30370944184</v>
      </c>
      <c r="M812" s="14">
        <f t="shared" si="166"/>
        <v>-562.81671952634599</v>
      </c>
      <c r="N812" s="14">
        <f t="shared" si="167"/>
        <v>16.012796060134534</v>
      </c>
      <c r="O812" s="1">
        <f t="shared" si="168"/>
        <v>2.6589347546952378</v>
      </c>
      <c r="P812" s="1">
        <f t="shared" si="169"/>
        <v>1969.5936113332061</v>
      </c>
      <c r="S812" s="6">
        <f t="shared" si="163"/>
        <v>0.48792698268566659</v>
      </c>
      <c r="T812" s="6">
        <f t="shared" si="164"/>
        <v>0.51207301731433319</v>
      </c>
      <c r="V812" s="1">
        <f t="shared" si="170"/>
        <v>116876.69080712399</v>
      </c>
      <c r="W812" s="7">
        <f t="shared" si="171"/>
        <v>-4.6907576216299682E-3</v>
      </c>
      <c r="X812" s="7">
        <f t="shared" si="172"/>
        <v>-4.0144801092231721E-3</v>
      </c>
      <c r="Y812">
        <f>LN(B812/B811)</f>
        <v>-9.8695556355919874E-3</v>
      </c>
      <c r="Z812">
        <f>LN(C812/C811)</f>
        <v>2.6892057330015813E-4</v>
      </c>
    </row>
    <row r="813" spans="1:26" x14ac:dyDescent="0.3">
      <c r="A813" s="9">
        <v>41376</v>
      </c>
      <c r="B813" s="1">
        <v>21170.73</v>
      </c>
      <c r="C813" s="1">
        <v>30.24417</v>
      </c>
      <c r="D813" s="6">
        <f t="shared" si="174"/>
        <v>-7.9831873708477996E-3</v>
      </c>
      <c r="E813" s="5">
        <f t="shared" si="173"/>
        <v>2.68884417403914E-4</v>
      </c>
      <c r="G813" s="25" t="str">
        <f>IF(VLOOKUP(A813,Aux!B:C,2,FALSE)=0,"",VLOOKUP(A813,Aux!B:C,2,FALSE))</f>
        <v/>
      </c>
      <c r="H813" s="25" t="str">
        <f t="shared" si="162"/>
        <v/>
      </c>
      <c r="L813" s="13">
        <f t="shared" si="165"/>
        <v>115860.31379134455</v>
      </c>
      <c r="M813" s="14">
        <f t="shared" si="166"/>
        <v>-453.00271415742498</v>
      </c>
      <c r="N813" s="14">
        <f t="shared" si="167"/>
        <v>16.012796060141532</v>
      </c>
      <c r="O813" s="1">
        <f t="shared" si="168"/>
        <v>2.6589347546952378</v>
      </c>
      <c r="P813" s="1">
        <f t="shared" si="169"/>
        <v>1969.5936113332061</v>
      </c>
      <c r="S813" s="6">
        <f t="shared" si="163"/>
        <v>0.48585739100142522</v>
      </c>
      <c r="T813" s="6">
        <f t="shared" si="164"/>
        <v>0.51414260899857456</v>
      </c>
      <c r="V813" s="1">
        <f t="shared" si="170"/>
        <v>116501.82914446158</v>
      </c>
      <c r="W813" s="7">
        <f t="shared" si="171"/>
        <v>-3.7646012988472961E-3</v>
      </c>
      <c r="X813" s="7">
        <f t="shared" si="172"/>
        <v>-3.2124806098019674E-3</v>
      </c>
      <c r="Y813">
        <f>LN(B813/B812)</f>
        <v>-8.0152236260124608E-3</v>
      </c>
      <c r="Z813">
        <f>LN(C813/C812)</f>
        <v>2.6884827446765577E-4</v>
      </c>
    </row>
    <row r="814" spans="1:26" x14ac:dyDescent="0.3">
      <c r="A814" s="11">
        <v>41379</v>
      </c>
      <c r="B814" s="12">
        <v>20515.689999999999</v>
      </c>
      <c r="C814" s="12">
        <v>30.252300000000002</v>
      </c>
      <c r="D814" s="16">
        <f t="shared" si="174"/>
        <v>-3.0940831988315987E-2</v>
      </c>
      <c r="E814" s="15">
        <f t="shared" si="173"/>
        <v>2.6881213800877823E-4</v>
      </c>
      <c r="G814" s="25" t="str">
        <f>IF(VLOOKUP(A814,Aux!B:C,2,FALSE)=0,"",VLOOKUP(A814,Aux!B:C,2,FALSE))</f>
        <v/>
      </c>
      <c r="H814" s="25" t="str">
        <f t="shared" si="162"/>
        <v/>
      </c>
      <c r="L814" s="13">
        <f t="shared" si="165"/>
        <v>114134.61796568912</v>
      </c>
      <c r="M814" s="14">
        <f t="shared" si="166"/>
        <v>-1741.7086217155709</v>
      </c>
      <c r="N814" s="14">
        <f t="shared" si="167"/>
        <v>16.012796060141532</v>
      </c>
      <c r="O814" s="1">
        <f t="shared" si="168"/>
        <v>2.6589347546952378</v>
      </c>
      <c r="P814" s="1">
        <f t="shared" si="169"/>
        <v>1969.5936113332061</v>
      </c>
      <c r="S814" s="6">
        <f t="shared" si="163"/>
        <v>0.47794334558470414</v>
      </c>
      <c r="T814" s="6">
        <f t="shared" si="164"/>
        <v>0.52205665441529558</v>
      </c>
      <c r="V814" s="1">
        <f t="shared" si="170"/>
        <v>115008.8168379518</v>
      </c>
      <c r="W814" s="7">
        <f t="shared" si="171"/>
        <v>-1.5006662954691883E-2</v>
      </c>
      <c r="X814" s="7">
        <f t="shared" si="172"/>
        <v>-1.2898180112827982E-2</v>
      </c>
      <c r="Y814">
        <f>LN(B814/B813)</f>
        <v>-3.1429608055940958E-2</v>
      </c>
      <c r="Z814">
        <f>LN(C814/C813)</f>
        <v>2.6877601449948801E-4</v>
      </c>
    </row>
    <row r="815" spans="1:26" x14ac:dyDescent="0.3">
      <c r="A815" s="9">
        <v>41380</v>
      </c>
      <c r="B815" s="1">
        <v>20932.55</v>
      </c>
      <c r="C815" s="1">
        <v>30.260439999999999</v>
      </c>
      <c r="D815" s="6">
        <f t="shared" si="174"/>
        <v>2.0319082614330908E-2</v>
      </c>
      <c r="E815" s="5">
        <f t="shared" si="173"/>
        <v>2.6907045084167969E-4</v>
      </c>
      <c r="G815" s="25" t="str">
        <f>IF(VLOOKUP(A815,Aux!B:C,2,FALSE)=0,"",VLOOKUP(A815,Aux!B:C,2,FALSE))</f>
        <v/>
      </c>
      <c r="H815" s="25" t="str">
        <f t="shared" si="162"/>
        <v/>
      </c>
      <c r="L815" s="13">
        <f t="shared" si="165"/>
        <v>115259.05399952762</v>
      </c>
      <c r="M815" s="14">
        <f t="shared" si="166"/>
        <v>1108.4035418422584</v>
      </c>
      <c r="N815" s="14">
        <f t="shared" si="167"/>
        <v>16.032491996247121</v>
      </c>
      <c r="O815" s="1">
        <f t="shared" si="168"/>
        <v>2.6589347546952378</v>
      </c>
      <c r="P815" s="1">
        <f t="shared" si="169"/>
        <v>1969.5936113332061</v>
      </c>
      <c r="S815" s="6">
        <f t="shared" si="163"/>
        <v>0.48289728891600925</v>
      </c>
      <c r="T815" s="6">
        <f t="shared" si="164"/>
        <v>0.51710271108399064</v>
      </c>
      <c r="V815" s="1">
        <f t="shared" si="170"/>
        <v>115988.7376980293</v>
      </c>
      <c r="W815" s="7">
        <f t="shared" si="171"/>
        <v>9.8036273633053256E-3</v>
      </c>
      <c r="X815" s="7">
        <f t="shared" si="172"/>
        <v>8.4843040023489212E-3</v>
      </c>
      <c r="Y815">
        <f>LN(B815/B814)</f>
        <v>2.0115404468780938E-2</v>
      </c>
      <c r="Z815">
        <f>LN(C815/C814)</f>
        <v>2.6903425788008038E-4</v>
      </c>
    </row>
    <row r="816" spans="1:26" x14ac:dyDescent="0.3">
      <c r="A816" s="11">
        <v>41381</v>
      </c>
      <c r="B816" s="12">
        <v>20593.3</v>
      </c>
      <c r="C816" s="12">
        <v>30.268560000000001</v>
      </c>
      <c r="D816" s="16">
        <f t="shared" si="174"/>
        <v>-1.6206816656355816E-2</v>
      </c>
      <c r="E816" s="15">
        <f t="shared" si="173"/>
        <v>2.6833714248697405E-4</v>
      </c>
      <c r="G816" s="25" t="str">
        <f>IF(VLOOKUP(A816,Aux!B:C,2,FALSE)=0,"",VLOOKUP(A816,Aux!B:C,2,FALSE))</f>
        <v/>
      </c>
      <c r="H816" s="25" t="str">
        <f t="shared" si="162"/>
        <v/>
      </c>
      <c r="L816" s="13">
        <f t="shared" si="165"/>
        <v>114373.00348412129</v>
      </c>
      <c r="M816" s="14">
        <f t="shared" si="166"/>
        <v>-902.04361553035938</v>
      </c>
      <c r="N816" s="14">
        <f t="shared" si="167"/>
        <v>15.993100124028945</v>
      </c>
      <c r="O816" s="1">
        <f t="shared" si="168"/>
        <v>2.6589347546952378</v>
      </c>
      <c r="P816" s="1">
        <f t="shared" si="169"/>
        <v>1969.5936113332061</v>
      </c>
      <c r="S816" s="6">
        <f t="shared" si="163"/>
        <v>0.47875144846980777</v>
      </c>
      <c r="T816" s="6">
        <f t="shared" si="164"/>
        <v>0.52124855153019201</v>
      </c>
      <c r="V816" s="1">
        <f t="shared" si="170"/>
        <v>115224.24159658825</v>
      </c>
      <c r="W816" s="7">
        <f t="shared" si="171"/>
        <v>-7.717170873145337E-3</v>
      </c>
      <c r="X816" s="7">
        <f t="shared" si="172"/>
        <v>-6.6129409325158244E-3</v>
      </c>
      <c r="Y816">
        <f>LN(B816/B815)</f>
        <v>-1.6339583549513093E-2</v>
      </c>
      <c r="Z816">
        <f>LN(C816/C815)</f>
        <v>2.6830114651518185E-4</v>
      </c>
    </row>
    <row r="817" spans="1:26" x14ac:dyDescent="0.3">
      <c r="A817" s="9">
        <v>41382</v>
      </c>
      <c r="B817" s="1">
        <v>20667.419999999998</v>
      </c>
      <c r="C817" s="1">
        <v>30.276689999999999</v>
      </c>
      <c r="D817" s="6">
        <f t="shared" si="174"/>
        <v>3.5992288754109758E-3</v>
      </c>
      <c r="E817" s="5">
        <f t="shared" si="173"/>
        <v>2.6859553279034998E-4</v>
      </c>
      <c r="G817" s="25" t="str">
        <f>IF(VLOOKUP(A817,Aux!B:C,2,FALSE)=0,"",VLOOKUP(A817,Aux!B:C,2,FALSE))</f>
        <v/>
      </c>
      <c r="H817" s="25" t="str">
        <f t="shared" si="162"/>
        <v/>
      </c>
      <c r="L817" s="13">
        <f t="shared" si="165"/>
        <v>114586.09652419944</v>
      </c>
      <c r="M817" s="14">
        <f t="shared" si="166"/>
        <v>197.0802440180083</v>
      </c>
      <c r="N817" s="14">
        <f t="shared" si="167"/>
        <v>16.012796060134534</v>
      </c>
      <c r="O817" s="1">
        <f t="shared" si="168"/>
        <v>2.6589347546952378</v>
      </c>
      <c r="P817" s="1">
        <f t="shared" si="169"/>
        <v>1969.5936113332061</v>
      </c>
      <c r="S817" s="6">
        <f t="shared" si="163"/>
        <v>0.47958105734300716</v>
      </c>
      <c r="T817" s="6">
        <f t="shared" si="164"/>
        <v>0.52041894265699262</v>
      </c>
      <c r="V817" s="1">
        <f t="shared" si="170"/>
        <v>115413.42691623178</v>
      </c>
      <c r="W817" s="7">
        <f t="shared" si="171"/>
        <v>1.8614075753979977E-3</v>
      </c>
      <c r="X817" s="7">
        <f t="shared" si="172"/>
        <v>1.6405417492656115E-3</v>
      </c>
      <c r="Y817">
        <f>LN(B817/B816)</f>
        <v>3.5927671513365533E-3</v>
      </c>
      <c r="Z817">
        <f>LN(C817/C816)</f>
        <v>2.6855946746807762E-4</v>
      </c>
    </row>
    <row r="818" spans="1:26" x14ac:dyDescent="0.3">
      <c r="A818" s="11">
        <v>41383</v>
      </c>
      <c r="B818" s="12">
        <v>20938.5</v>
      </c>
      <c r="C818" s="12">
        <v>30.28509</v>
      </c>
      <c r="D818" s="16">
        <f t="shared" si="174"/>
        <v>1.3116296083400814E-2</v>
      </c>
      <c r="E818" s="15">
        <f t="shared" si="173"/>
        <v>2.7744116017980325E-4</v>
      </c>
      <c r="G818" s="25" t="str">
        <f>IF(VLOOKUP(A818,Aux!B:C,2,FALSE)=0,"",VLOOKUP(A818,Aux!B:C,2,FALSE))</f>
        <v/>
      </c>
      <c r="H818" s="25" t="str">
        <f t="shared" si="162"/>
        <v/>
      </c>
      <c r="L818" s="13">
        <f t="shared" si="165"/>
        <v>115323.42514383743</v>
      </c>
      <c r="M818" s="14">
        <f t="shared" si="166"/>
        <v>720.78403330278968</v>
      </c>
      <c r="N818" s="14">
        <f t="shared" si="167"/>
        <v>16.544586335202357</v>
      </c>
      <c r="O818" s="1">
        <f t="shared" si="168"/>
        <v>2.6589347546952378</v>
      </c>
      <c r="P818" s="1">
        <f t="shared" si="169"/>
        <v>1969.5936113332061</v>
      </c>
      <c r="S818" s="6">
        <f t="shared" si="163"/>
        <v>0.48276493081736488</v>
      </c>
      <c r="T818" s="6">
        <f t="shared" si="164"/>
        <v>0.51723506918263484</v>
      </c>
      <c r="V818" s="1">
        <f t="shared" si="170"/>
        <v>116057.6098713376</v>
      </c>
      <c r="W818" s="7">
        <f t="shared" si="171"/>
        <v>6.4140983995400747E-3</v>
      </c>
      <c r="X818" s="7">
        <f t="shared" si="172"/>
        <v>5.56600624539172E-3</v>
      </c>
      <c r="Y818">
        <f>LN(B818/B817)</f>
        <v>1.3031022313244326E-2</v>
      </c>
      <c r="Z818">
        <f>LN(C818/C817)</f>
        <v>2.7740268049818943E-4</v>
      </c>
    </row>
    <row r="819" spans="1:26" x14ac:dyDescent="0.3">
      <c r="A819" s="9">
        <v>41386</v>
      </c>
      <c r="B819" s="1">
        <v>21023.3</v>
      </c>
      <c r="C819" s="1">
        <v>30.293489999999998</v>
      </c>
      <c r="D819" s="6">
        <f t="shared" si="174"/>
        <v>4.04995582300538E-3</v>
      </c>
      <c r="E819" s="5">
        <f t="shared" si="173"/>
        <v>2.7736420793189609E-4</v>
      </c>
      <c r="G819" s="25" t="str">
        <f>IF(VLOOKUP(A819,Aux!B:C,2,FALSE)=0,"",VLOOKUP(A819,Aux!B:C,2,FALSE))</f>
        <v/>
      </c>
      <c r="H819" s="25" t="str">
        <f t="shared" si="162"/>
        <v/>
      </c>
      <c r="L819" s="13">
        <f t="shared" si="165"/>
        <v>115565.44739737078</v>
      </c>
      <c r="M819" s="14">
        <f t="shared" si="166"/>
        <v>225.47766719815422</v>
      </c>
      <c r="N819" s="14">
        <f t="shared" si="167"/>
        <v>16.544586335195358</v>
      </c>
      <c r="O819" s="1">
        <f t="shared" si="168"/>
        <v>2.6589347546952378</v>
      </c>
      <c r="P819" s="1">
        <f t="shared" si="169"/>
        <v>1969.5936113332061</v>
      </c>
      <c r="S819" s="6">
        <f t="shared" si="163"/>
        <v>0.48370498524679406</v>
      </c>
      <c r="T819" s="6">
        <f t="shared" si="164"/>
        <v>0.51629501475320572</v>
      </c>
      <c r="V819" s="1">
        <f t="shared" si="170"/>
        <v>116272.03835033413</v>
      </c>
      <c r="W819" s="7">
        <f t="shared" si="171"/>
        <v>2.0964400710305753E-3</v>
      </c>
      <c r="X819" s="7">
        <f t="shared" si="172"/>
        <v>1.845899062162768E-3</v>
      </c>
      <c r="Y819">
        <f>LN(B819/B818)</f>
        <v>4.0417768275312392E-3</v>
      </c>
      <c r="Z819">
        <f>LN(C819/C818)</f>
        <v>2.7732574959112239E-4</v>
      </c>
    </row>
    <row r="820" spans="1:26" x14ac:dyDescent="0.3">
      <c r="A820" s="11">
        <v>41387</v>
      </c>
      <c r="B820" s="12">
        <v>21326.87</v>
      </c>
      <c r="C820" s="12">
        <v>30.3019</v>
      </c>
      <c r="D820" s="16">
        <f t="shared" si="174"/>
        <v>1.4439693102414886E-2</v>
      </c>
      <c r="E820" s="15">
        <f t="shared" si="173"/>
        <v>2.7761740228671172E-4</v>
      </c>
      <c r="G820" s="25" t="str">
        <f>IF(VLOOKUP(A820,Aux!B:C,2,FALSE)=0,"",VLOOKUP(A820,Aux!B:C,2,FALSE))</f>
        <v/>
      </c>
      <c r="H820" s="25" t="str">
        <f t="shared" si="162"/>
        <v/>
      </c>
      <c r="L820" s="13">
        <f t="shared" si="165"/>
        <v>116389.18450312492</v>
      </c>
      <c r="M820" s="14">
        <f t="shared" si="166"/>
        <v>807.17282348283254</v>
      </c>
      <c r="N820" s="14">
        <f t="shared" si="167"/>
        <v>16.564282271314944</v>
      </c>
      <c r="O820" s="1">
        <f t="shared" si="168"/>
        <v>2.6589347546952378</v>
      </c>
      <c r="P820" s="1">
        <f t="shared" si="169"/>
        <v>1969.5936113332061</v>
      </c>
      <c r="S820" s="6">
        <f t="shared" si="163"/>
        <v>0.48721671256614663</v>
      </c>
      <c r="T820" s="6">
        <f t="shared" si="164"/>
        <v>0.51278328743385315</v>
      </c>
      <c r="V820" s="1">
        <f t="shared" si="170"/>
        <v>116991.19924327084</v>
      </c>
      <c r="W820" s="7">
        <f t="shared" si="171"/>
        <v>7.1026007277356414E-3</v>
      </c>
      <c r="X820" s="7">
        <f t="shared" si="172"/>
        <v>6.1661081184419047E-3</v>
      </c>
      <c r="Y820">
        <f>LN(B820/B819)</f>
        <v>1.4336433570941564E-2</v>
      </c>
      <c r="Z820">
        <f>LN(C820/C819)</f>
        <v>2.7757887370632349E-4</v>
      </c>
    </row>
    <row r="821" spans="1:26" x14ac:dyDescent="0.3">
      <c r="A821" s="9">
        <v>41388</v>
      </c>
      <c r="B821" s="1">
        <v>21328.880000000001</v>
      </c>
      <c r="C821" s="1">
        <v>30.310300000000002</v>
      </c>
      <c r="D821" s="6">
        <f t="shared" si="174"/>
        <v>9.4247303987993192E-5</v>
      </c>
      <c r="E821" s="5">
        <f t="shared" si="173"/>
        <v>2.7721033994576594E-4</v>
      </c>
      <c r="G821" s="25" t="str">
        <f>IF(VLOOKUP(A821,Aux!B:C,2,FALSE)=0,"",VLOOKUP(A821,Aux!B:C,2,FALSE))</f>
        <v/>
      </c>
      <c r="H821" s="25" t="str">
        <f t="shared" si="162"/>
        <v/>
      </c>
      <c r="L821" s="13">
        <f t="shared" si="165"/>
        <v>116411.07354831707</v>
      </c>
      <c r="M821" s="14">
        <f t="shared" si="166"/>
        <v>5.3444588569428451</v>
      </c>
      <c r="N821" s="14">
        <f t="shared" si="167"/>
        <v>16.544586335202357</v>
      </c>
      <c r="O821" s="1">
        <f t="shared" si="168"/>
        <v>2.6589347546952378</v>
      </c>
      <c r="P821" s="1">
        <f t="shared" si="169"/>
        <v>1969.5936113332061</v>
      </c>
      <c r="S821" s="6">
        <f t="shared" si="163"/>
        <v>0.48717101030071236</v>
      </c>
      <c r="T821" s="6">
        <f t="shared" si="164"/>
        <v>0.51282898969928736</v>
      </c>
      <c r="V821" s="1">
        <f t="shared" si="170"/>
        <v>117014.6282962577</v>
      </c>
      <c r="W821" s="7">
        <f t="shared" si="171"/>
        <v>1.8805000853405429E-4</v>
      </c>
      <c r="X821" s="7">
        <f t="shared" si="172"/>
        <v>2.0024332993328294E-4</v>
      </c>
      <c r="Y821">
        <f>LN(B821/B820)</f>
        <v>9.4242862989871225E-5</v>
      </c>
      <c r="Z821">
        <f>LN(C821/C820)</f>
        <v>2.7717192425879932E-4</v>
      </c>
    </row>
    <row r="822" spans="1:26" x14ac:dyDescent="0.3">
      <c r="A822" s="11">
        <v>41389</v>
      </c>
      <c r="B822" s="12">
        <v>21289.3</v>
      </c>
      <c r="C822" s="12">
        <v>30.318709999999999</v>
      </c>
      <c r="D822" s="16">
        <f t="shared" si="174"/>
        <v>-1.8556998773494593E-3</v>
      </c>
      <c r="E822" s="15">
        <f t="shared" si="173"/>
        <v>2.7746343652146344E-4</v>
      </c>
      <c r="G822" s="25" t="str">
        <f>IF(VLOOKUP(A822,Aux!B:C,2,FALSE)=0,"",VLOOKUP(A822,Aux!B:C,2,FALSE))</f>
        <v/>
      </c>
      <c r="H822" s="25" t="str">
        <f t="shared" si="162"/>
        <v/>
      </c>
      <c r="L822" s="13">
        <f t="shared" si="165"/>
        <v>116322.39719299754</v>
      </c>
      <c r="M822" s="14">
        <f t="shared" si="166"/>
        <v>-105.24063759084216</v>
      </c>
      <c r="N822" s="14">
        <f t="shared" si="167"/>
        <v>16.564282271307945</v>
      </c>
      <c r="O822" s="1">
        <f t="shared" si="168"/>
        <v>2.6589347546952378</v>
      </c>
      <c r="P822" s="1">
        <f t="shared" si="169"/>
        <v>1969.5936113332061</v>
      </c>
      <c r="S822" s="6">
        <f t="shared" si="163"/>
        <v>0.48663766427727118</v>
      </c>
      <c r="T822" s="6">
        <f t="shared" si="164"/>
        <v>0.51336233572272871</v>
      </c>
      <c r="V822" s="1">
        <f t="shared" si="170"/>
        <v>116942.13013574315</v>
      </c>
      <c r="W822" s="7">
        <f t="shared" si="171"/>
        <v>-7.6204217062834478E-4</v>
      </c>
      <c r="X822" s="7">
        <f t="shared" si="172"/>
        <v>-6.1975694415476105E-4</v>
      </c>
      <c r="Y822">
        <f>LN(B822/B821)</f>
        <v>-1.8574238214455604E-3</v>
      </c>
      <c r="Z822">
        <f>LN(C822/C821)</f>
        <v>2.7742495066094181E-4</v>
      </c>
    </row>
    <row r="823" spans="1:26" x14ac:dyDescent="0.3">
      <c r="A823" s="9">
        <v>41390</v>
      </c>
      <c r="B823" s="1">
        <v>20971.34</v>
      </c>
      <c r="C823" s="1">
        <v>30.327120000000001</v>
      </c>
      <c r="D823" s="6">
        <f t="shared" si="174"/>
        <v>-1.4935202190771824E-2</v>
      </c>
      <c r="E823" s="5">
        <f t="shared" si="173"/>
        <v>2.7738647191788424E-4</v>
      </c>
      <c r="G823" s="25" t="str">
        <f>IF(VLOOKUP(A823,Aux!B:C,2,FALSE)=0,"",VLOOKUP(A823,Aux!B:C,2,FALSE))</f>
        <v/>
      </c>
      <c r="H823" s="25" t="str">
        <f t="shared" si="162"/>
        <v/>
      </c>
      <c r="L823" s="13">
        <f t="shared" si="165"/>
        <v>115493.52658066596</v>
      </c>
      <c r="M823" s="14">
        <f t="shared" si="166"/>
        <v>-845.4348946028955</v>
      </c>
      <c r="N823" s="14">
        <f t="shared" si="167"/>
        <v>16.564282271314944</v>
      </c>
      <c r="O823" s="1">
        <f t="shared" si="168"/>
        <v>2.6589347546952378</v>
      </c>
      <c r="P823" s="1">
        <f t="shared" si="169"/>
        <v>1969.5936113332061</v>
      </c>
      <c r="S823" s="6">
        <f t="shared" si="163"/>
        <v>0.48280995852684522</v>
      </c>
      <c r="T823" s="6">
        <f t="shared" si="164"/>
        <v>0.5171900414731545</v>
      </c>
      <c r="V823" s="1">
        <f t="shared" si="170"/>
        <v>116227.39957744413</v>
      </c>
      <c r="W823" s="7">
        <f t="shared" si="171"/>
        <v>-7.1511407078846227E-3</v>
      </c>
      <c r="X823" s="7">
        <f t="shared" si="172"/>
        <v>-6.1305848814562323E-3</v>
      </c>
      <c r="Y823">
        <f>LN(B823/B822)</f>
        <v>-1.5047855395861997E-2</v>
      </c>
      <c r="Z823">
        <f>LN(C823/C822)</f>
        <v>2.7734800740334228E-4</v>
      </c>
    </row>
    <row r="824" spans="1:26" x14ac:dyDescent="0.3">
      <c r="A824" s="11">
        <v>41393</v>
      </c>
      <c r="B824" s="12">
        <v>21177.71</v>
      </c>
      <c r="C824" s="12">
        <v>30.335519999999999</v>
      </c>
      <c r="D824" s="16">
        <f t="shared" si="174"/>
        <v>9.8405728961525885E-3</v>
      </c>
      <c r="E824" s="15">
        <f t="shared" si="173"/>
        <v>2.769798121284861E-4</v>
      </c>
      <c r="G824" s="25" t="str">
        <f>IF(VLOOKUP(A824,Aux!B:C,2,FALSE)=0,"",VLOOKUP(A824,Aux!B:C,2,FALSE))</f>
        <v/>
      </c>
      <c r="H824" s="25" t="str">
        <f t="shared" si="162"/>
        <v/>
      </c>
      <c r="L824" s="13">
        <f t="shared" si="165"/>
        <v>116058.79553232761</v>
      </c>
      <c r="M824" s="14">
        <f t="shared" si="166"/>
        <v>548.72436532645349</v>
      </c>
      <c r="N824" s="14">
        <f t="shared" si="167"/>
        <v>16.544586335195358</v>
      </c>
      <c r="O824" s="1">
        <f t="shared" si="168"/>
        <v>2.6589347546952378</v>
      </c>
      <c r="P824" s="1">
        <f t="shared" si="169"/>
        <v>1969.5936113332061</v>
      </c>
      <c r="S824" s="6">
        <f t="shared" si="163"/>
        <v>0.48518639957944393</v>
      </c>
      <c r="T824" s="6">
        <f t="shared" si="164"/>
        <v>0.51481360042055579</v>
      </c>
      <c r="V824" s="1">
        <f t="shared" si="170"/>
        <v>116722.29429898201</v>
      </c>
      <c r="W824" s="7">
        <f t="shared" si="171"/>
        <v>4.8824392640051031E-3</v>
      </c>
      <c r="X824" s="7">
        <f t="shared" si="172"/>
        <v>4.2489471254750838E-3</v>
      </c>
      <c r="Y824">
        <f>LN(B824/B823)</f>
        <v>9.7924697760931774E-3</v>
      </c>
      <c r="Z824">
        <f>LN(C824/C823)</f>
        <v>2.7694146030194712E-4</v>
      </c>
    </row>
    <row r="825" spans="1:26" x14ac:dyDescent="0.3">
      <c r="A825" s="9">
        <v>41394</v>
      </c>
      <c r="B825" s="1">
        <v>21700.22</v>
      </c>
      <c r="C825" s="1">
        <v>30.34393</v>
      </c>
      <c r="D825" s="6">
        <f t="shared" si="174"/>
        <v>2.4672639298583432E-2</v>
      </c>
      <c r="E825" s="5">
        <f t="shared" si="173"/>
        <v>2.7723276212188175E-4</v>
      </c>
      <c r="G825" s="25" t="str">
        <f>IF(VLOOKUP(A825,Aux!B:C,2,FALSE)=0,"",VLOOKUP(A825,Aux!B:C,2,FALSE))</f>
        <v/>
      </c>
      <c r="H825" s="25" t="str">
        <f t="shared" si="162"/>
        <v/>
      </c>
      <c r="L825" s="13">
        <f t="shared" si="165"/>
        <v>117464.67981327474</v>
      </c>
      <c r="M825" s="14">
        <f t="shared" si="166"/>
        <v>1389.3199986758141</v>
      </c>
      <c r="N825" s="14">
        <f t="shared" si="167"/>
        <v>16.564282271314944</v>
      </c>
      <c r="O825" s="1">
        <f t="shared" si="168"/>
        <v>2.6589347546952378</v>
      </c>
      <c r="P825" s="1">
        <f t="shared" si="169"/>
        <v>1969.5936113332061</v>
      </c>
      <c r="S825" s="6">
        <f t="shared" si="163"/>
        <v>0.49120696735608904</v>
      </c>
      <c r="T825" s="6">
        <f t="shared" si="164"/>
        <v>0.50879303264391074</v>
      </c>
      <c r="V825" s="1">
        <f t="shared" si="170"/>
        <v>117946.5574304809</v>
      </c>
      <c r="W825" s="7">
        <f t="shared" si="171"/>
        <v>1.2040770327422253E-2</v>
      </c>
      <c r="X825" s="7">
        <f t="shared" si="172"/>
        <v>1.0434058287154015E-2</v>
      </c>
      <c r="Y825">
        <f>LN(B825/B824)</f>
        <v>2.4373185284836427E-2</v>
      </c>
      <c r="Z825">
        <f>LN(C825/C824)</f>
        <v>2.7719434022072738E-4</v>
      </c>
    </row>
    <row r="826" spans="1:26" x14ac:dyDescent="0.3">
      <c r="A826" s="11">
        <v>41396</v>
      </c>
      <c r="B826" s="12">
        <v>21544.57</v>
      </c>
      <c r="C826" s="12">
        <v>30.352329999999998</v>
      </c>
      <c r="D826" s="16">
        <f t="shared" si="174"/>
        <v>-7.1727383409017076E-3</v>
      </c>
      <c r="E826" s="15">
        <f t="shared" si="173"/>
        <v>2.7682637021642087E-4</v>
      </c>
      <c r="G826" s="25" t="str">
        <f>IF(VLOOKUP(A826,Aux!B:C,2,FALSE)=0,"",VLOOKUP(A826,Aux!B:C,2,FALSE))</f>
        <v/>
      </c>
      <c r="H826" s="25" t="str">
        <f t="shared" si="162"/>
        <v/>
      </c>
      <c r="L826" s="13">
        <f t="shared" si="165"/>
        <v>117067.36120504161</v>
      </c>
      <c r="M826" s="14">
        <f t="shared" si="166"/>
        <v>-413.86319456831762</v>
      </c>
      <c r="N826" s="14">
        <f t="shared" si="167"/>
        <v>16.544586335195358</v>
      </c>
      <c r="O826" s="1">
        <f t="shared" si="168"/>
        <v>2.6589347546952378</v>
      </c>
      <c r="P826" s="1">
        <f t="shared" si="169"/>
        <v>1969.5936113332061</v>
      </c>
      <c r="S826" s="6">
        <f t="shared" si="163"/>
        <v>0.48933883328615868</v>
      </c>
      <c r="T826" s="6">
        <f t="shared" si="164"/>
        <v>0.5106611667138411</v>
      </c>
      <c r="V826" s="1">
        <f t="shared" si="170"/>
        <v>117606.25934849144</v>
      </c>
      <c r="W826" s="7">
        <f t="shared" si="171"/>
        <v>-3.3881851418060163E-3</v>
      </c>
      <c r="X826" s="7">
        <f t="shared" si="172"/>
        <v>-2.8893589419817867E-3</v>
      </c>
      <c r="Y826">
        <f>LN(B826/B825)</f>
        <v>-7.198586102203741E-3</v>
      </c>
      <c r="Z826">
        <f>LN(C826/C825)</f>
        <v>2.7678806086665967E-4</v>
      </c>
    </row>
    <row r="827" spans="1:26" x14ac:dyDescent="0.3">
      <c r="A827" s="9">
        <v>41397</v>
      </c>
      <c r="B827" s="1">
        <v>21610.63</v>
      </c>
      <c r="C827" s="1">
        <v>30.36074</v>
      </c>
      <c r="D827" s="6">
        <f t="shared" si="174"/>
        <v>3.066201831830595E-3</v>
      </c>
      <c r="E827" s="5">
        <f t="shared" si="173"/>
        <v>2.7707922258368711E-4</v>
      </c>
      <c r="G827" s="25" t="str">
        <f>IF(VLOOKUP(A827,Aux!B:C,2,FALSE)=0,"",VLOOKUP(A827,Aux!B:C,2,FALSE))</f>
        <v/>
      </c>
      <c r="H827" s="25" t="str">
        <f t="shared" si="162"/>
        <v/>
      </c>
      <c r="L827" s="13">
        <f t="shared" si="165"/>
        <v>117259.5747172081</v>
      </c>
      <c r="M827" s="14">
        <f t="shared" si="166"/>
        <v>175.64922989517089</v>
      </c>
      <c r="N827" s="14">
        <f t="shared" si="167"/>
        <v>16.564282271314944</v>
      </c>
      <c r="O827" s="1">
        <f t="shared" si="168"/>
        <v>2.6589347546952378</v>
      </c>
      <c r="P827" s="1">
        <f t="shared" si="169"/>
        <v>1969.5936113332061</v>
      </c>
      <c r="S827" s="6">
        <f t="shared" si="163"/>
        <v>0.49003465445305749</v>
      </c>
      <c r="T827" s="6">
        <f t="shared" si="164"/>
        <v>0.50996534554694228</v>
      </c>
      <c r="V827" s="1">
        <f t="shared" si="170"/>
        <v>117777.47636328389</v>
      </c>
      <c r="W827" s="7">
        <f t="shared" si="171"/>
        <v>1.640558773329213E-3</v>
      </c>
      <c r="X827" s="7">
        <f t="shared" si="172"/>
        <v>1.4547907863890299E-3</v>
      </c>
      <c r="Y827">
        <f>LN(B827/B826)</f>
        <v>3.0615106220116574E-3</v>
      </c>
      <c r="Z827">
        <f>LN(C827/C826)</f>
        <v>2.7704084322514486E-4</v>
      </c>
    </row>
    <row r="828" spans="1:26" x14ac:dyDescent="0.3">
      <c r="A828" s="11">
        <v>41400</v>
      </c>
      <c r="B828" s="12">
        <v>21612.7</v>
      </c>
      <c r="C828" s="12">
        <v>30.369160000000001</v>
      </c>
      <c r="D828" s="16">
        <f t="shared" si="174"/>
        <v>9.5786194109104272E-5</v>
      </c>
      <c r="E828" s="15">
        <f t="shared" si="173"/>
        <v>2.7733184369016506E-4</v>
      </c>
      <c r="G828" s="25" t="str">
        <f>IF(VLOOKUP(A828,Aux!B:C,2,FALSE)=0,"",VLOOKUP(A828,Aux!B:C,2,FALSE))</f>
        <v/>
      </c>
      <c r="H828" s="25" t="str">
        <f t="shared" si="162"/>
        <v/>
      </c>
      <c r="L828" s="13">
        <f t="shared" si="165"/>
        <v>117281.66269035776</v>
      </c>
      <c r="M828" s="14">
        <f t="shared" si="166"/>
        <v>5.5039949422183687</v>
      </c>
      <c r="N828" s="14">
        <f t="shared" si="167"/>
        <v>16.583978207427531</v>
      </c>
      <c r="O828" s="1">
        <f t="shared" si="168"/>
        <v>2.6589347546952378</v>
      </c>
      <c r="P828" s="1">
        <f t="shared" si="169"/>
        <v>1969.5936113332061</v>
      </c>
      <c r="S828" s="6">
        <f t="shared" si="163"/>
        <v>0.48998929461396834</v>
      </c>
      <c r="T828" s="6">
        <f t="shared" si="164"/>
        <v>0.51001070538603133</v>
      </c>
      <c r="V828" s="1">
        <f t="shared" si="170"/>
        <v>117801.08858101876</v>
      </c>
      <c r="W828" s="7">
        <f t="shared" si="171"/>
        <v>1.8835044497168894E-4</v>
      </c>
      <c r="X828" s="7">
        <f t="shared" si="172"/>
        <v>2.0046151329197086E-4</v>
      </c>
      <c r="Y828">
        <f>LN(B828/B827)</f>
        <v>9.5781606904538232E-5</v>
      </c>
      <c r="Z828">
        <f>LN(C828/C827)</f>
        <v>2.7729339432306109E-4</v>
      </c>
    </row>
    <row r="829" spans="1:26" x14ac:dyDescent="0.3">
      <c r="A829" s="9">
        <v>41401</v>
      </c>
      <c r="B829" s="1">
        <v>21927.95</v>
      </c>
      <c r="C829" s="1">
        <v>30.377580000000002</v>
      </c>
      <c r="D829" s="6">
        <f t="shared" si="174"/>
        <v>1.4586331184905266E-2</v>
      </c>
      <c r="E829" s="5">
        <f t="shared" si="173"/>
        <v>2.7725495206332162E-4</v>
      </c>
      <c r="G829" s="25" t="str">
        <f>IF(VLOOKUP(A829,Aux!B:C,2,FALSE)=0,"",VLOOKUP(A829,Aux!B:C,2,FALSE))</f>
        <v/>
      </c>
      <c r="H829" s="25" t="str">
        <f t="shared" si="162"/>
        <v/>
      </c>
      <c r="L829" s="13">
        <f t="shared" si="165"/>
        <v>118136.47584998286</v>
      </c>
      <c r="M829" s="14">
        <f t="shared" si="166"/>
        <v>838.22918141767366</v>
      </c>
      <c r="N829" s="14">
        <f t="shared" si="167"/>
        <v>16.583978207427531</v>
      </c>
      <c r="O829" s="1">
        <f t="shared" si="168"/>
        <v>2.6589347546952378</v>
      </c>
      <c r="P829" s="1">
        <f t="shared" si="169"/>
        <v>1969.5936113332061</v>
      </c>
      <c r="S829" s="6">
        <f t="shared" si="163"/>
        <v>0.49353925563395673</v>
      </c>
      <c r="T829" s="6">
        <f t="shared" si="164"/>
        <v>0.50646074436604294</v>
      </c>
      <c r="V829" s="1">
        <f t="shared" si="170"/>
        <v>118547.21801384867</v>
      </c>
      <c r="W829" s="7">
        <f t="shared" si="171"/>
        <v>7.2621160094689993E-3</v>
      </c>
      <c r="X829" s="7">
        <f t="shared" si="172"/>
        <v>6.3138333610300666E-3</v>
      </c>
      <c r="Y829">
        <f>LN(B829/B828)</f>
        <v>1.448097393759081E-2</v>
      </c>
      <c r="Z829">
        <f>LN(C829/C828)</f>
        <v>2.7721652401184742E-4</v>
      </c>
    </row>
    <row r="830" spans="1:26" x14ac:dyDescent="0.3">
      <c r="A830" s="11">
        <v>41402</v>
      </c>
      <c r="B830" s="12">
        <v>21889.85</v>
      </c>
      <c r="C830" s="12">
        <v>30.386009999999999</v>
      </c>
      <c r="D830" s="16">
        <f t="shared" si="174"/>
        <v>-1.7375085222285369E-3</v>
      </c>
      <c r="E830" s="15">
        <f t="shared" si="173"/>
        <v>2.7750729320752399E-4</v>
      </c>
      <c r="G830" s="25" t="str">
        <f>IF(VLOOKUP(A830,Aux!B:C,2,FALSE)=0,"",VLOOKUP(A830,Aux!B:C,2,FALSE))</f>
        <v/>
      </c>
      <c r="H830" s="25" t="str">
        <f t="shared" si="162"/>
        <v/>
      </c>
      <c r="L830" s="13">
        <f t="shared" si="165"/>
        <v>118051.77410997251</v>
      </c>
      <c r="M830" s="14">
        <f t="shared" si="166"/>
        <v>-101.30541415389436</v>
      </c>
      <c r="N830" s="14">
        <f t="shared" si="167"/>
        <v>16.603674143533119</v>
      </c>
      <c r="O830" s="1">
        <f t="shared" si="168"/>
        <v>2.6589347546952378</v>
      </c>
      <c r="P830" s="1">
        <f t="shared" si="169"/>
        <v>1969.5936113332061</v>
      </c>
      <c r="S830" s="6">
        <f t="shared" si="163"/>
        <v>0.4930352244079384</v>
      </c>
      <c r="T830" s="6">
        <f t="shared" si="164"/>
        <v>0.50696477559206121</v>
      </c>
      <c r="V830" s="1">
        <f t="shared" si="170"/>
        <v>118478.17900775405</v>
      </c>
      <c r="W830" s="7">
        <f t="shared" si="171"/>
        <v>-7.172392670322708E-4</v>
      </c>
      <c r="X830" s="7">
        <f t="shared" si="172"/>
        <v>-5.8254523704684988E-4</v>
      </c>
      <c r="Y830">
        <f>LN(B830/B829)</f>
        <v>-1.7390197409182081E-3</v>
      </c>
      <c r="Z830">
        <f>LN(C830/C829)</f>
        <v>2.7746879518078977E-4</v>
      </c>
    </row>
    <row r="831" spans="1:26" x14ac:dyDescent="0.3">
      <c r="A831" s="9">
        <v>41403</v>
      </c>
      <c r="B831" s="1">
        <v>21910.54</v>
      </c>
      <c r="C831" s="1">
        <v>30.39443</v>
      </c>
      <c r="D831" s="6">
        <f t="shared" si="174"/>
        <v>9.4518692453360309E-4</v>
      </c>
      <c r="E831" s="5">
        <f t="shared" si="173"/>
        <v>2.771012054560984E-4</v>
      </c>
      <c r="G831" s="25" t="str">
        <f>IF(VLOOKUP(A831,Aux!B:C,2,FALSE)=0,"",VLOOKUP(A831,Aux!B:C,2,FALSE))</f>
        <v/>
      </c>
      <c r="H831" s="25" t="str">
        <f t="shared" si="162"/>
        <v/>
      </c>
      <c r="L831" s="13">
        <f t="shared" si="165"/>
        <v>118123.37144825459</v>
      </c>
      <c r="M831" s="14">
        <f t="shared" si="166"/>
        <v>55.013360074650663</v>
      </c>
      <c r="N831" s="14">
        <f t="shared" si="167"/>
        <v>16.583978207427531</v>
      </c>
      <c r="O831" s="1">
        <f t="shared" si="168"/>
        <v>2.6589347546952378</v>
      </c>
      <c r="P831" s="1">
        <f t="shared" si="169"/>
        <v>1969.5936113332061</v>
      </c>
      <c r="S831" s="6">
        <f t="shared" si="163"/>
        <v>0.49320211221418736</v>
      </c>
      <c r="T831" s="6">
        <f t="shared" si="164"/>
        <v>0.50679788778581214</v>
      </c>
      <c r="V831" s="1">
        <f t="shared" si="170"/>
        <v>118544.74821682001</v>
      </c>
      <c r="W831" s="7">
        <f t="shared" si="171"/>
        <v>6.0630715654840872E-4</v>
      </c>
      <c r="X831" s="7">
        <f t="shared" si="172"/>
        <v>5.6171115255203817E-4</v>
      </c>
      <c r="Y831">
        <f>LN(B831/B830)</f>
        <v>9.4474051664290425E-4</v>
      </c>
      <c r="Z831">
        <f>LN(C831/C830)</f>
        <v>2.7706282000800471E-4</v>
      </c>
    </row>
    <row r="832" spans="1:26" x14ac:dyDescent="0.3">
      <c r="A832" s="11">
        <v>41404</v>
      </c>
      <c r="B832" s="12">
        <v>21804.34</v>
      </c>
      <c r="C832" s="12">
        <v>30.40286</v>
      </c>
      <c r="D832" s="16">
        <f t="shared" si="174"/>
        <v>-4.846982319924642E-3</v>
      </c>
      <c r="E832" s="15">
        <f t="shared" si="173"/>
        <v>2.7735344929968875E-4</v>
      </c>
      <c r="G832" s="25" t="str">
        <f>IF(VLOOKUP(A832,Aux!B:C,2,FALSE)=0,"",VLOOKUP(A832,Aux!B:C,2,FALSE))</f>
        <v/>
      </c>
      <c r="H832" s="25" t="str">
        <f t="shared" si="162"/>
        <v/>
      </c>
      <c r="L832" s="13">
        <f t="shared" si="165"/>
        <v>117857.59625144949</v>
      </c>
      <c r="M832" s="14">
        <f t="shared" si="166"/>
        <v>-282.37887094863618</v>
      </c>
      <c r="N832" s="14">
        <f t="shared" si="167"/>
        <v>16.603674143540118</v>
      </c>
      <c r="O832" s="1">
        <f t="shared" si="168"/>
        <v>2.6589347546952378</v>
      </c>
      <c r="P832" s="1">
        <f t="shared" si="169"/>
        <v>1969.5936113332061</v>
      </c>
      <c r="S832" s="6">
        <f t="shared" si="163"/>
        <v>0.49191837669503236</v>
      </c>
      <c r="T832" s="6">
        <f t="shared" si="164"/>
        <v>0.50808162330496731</v>
      </c>
      <c r="V832" s="1">
        <f t="shared" si="170"/>
        <v>118318.60012857466</v>
      </c>
      <c r="W832" s="7">
        <f t="shared" si="171"/>
        <v>-2.2525147834633239E-3</v>
      </c>
      <c r="X832" s="7">
        <f t="shared" si="172"/>
        <v>-1.9095242766917154E-3</v>
      </c>
      <c r="Y832">
        <f>LN(B832/B831)</f>
        <v>-4.8587670343521816E-3</v>
      </c>
      <c r="Z832">
        <f>LN(C832/C831)</f>
        <v>2.7731499394208925E-4</v>
      </c>
    </row>
    <row r="833" spans="1:26" x14ac:dyDescent="0.3">
      <c r="A833" s="9">
        <v>41407</v>
      </c>
      <c r="B833" s="1">
        <v>21535.62</v>
      </c>
      <c r="C833" s="1">
        <v>30.411280000000001</v>
      </c>
      <c r="D833" s="6">
        <f t="shared" si="174"/>
        <v>-1.232415198075254E-2</v>
      </c>
      <c r="E833" s="5">
        <f t="shared" si="173"/>
        <v>2.7694762926921968E-4</v>
      </c>
      <c r="G833" s="25" t="str">
        <f>IF(VLOOKUP(A833,Aux!B:C,2,FALSE)=0,"",VLOOKUP(A833,Aux!B:C,2,FALSE))</f>
        <v/>
      </c>
      <c r="H833" s="25" t="str">
        <f t="shared" si="162"/>
        <v/>
      </c>
      <c r="L833" s="13">
        <f t="shared" si="165"/>
        <v>117159.67128237522</v>
      </c>
      <c r="M833" s="14">
        <f t="shared" si="166"/>
        <v>-714.50894728170738</v>
      </c>
      <c r="N833" s="14">
        <f t="shared" si="167"/>
        <v>16.583978207427531</v>
      </c>
      <c r="O833" s="1">
        <f t="shared" si="168"/>
        <v>2.6589347546952378</v>
      </c>
      <c r="P833" s="1">
        <f t="shared" si="169"/>
        <v>1969.5936113332061</v>
      </c>
      <c r="S833" s="6">
        <f t="shared" si="163"/>
        <v>0.48875016338940486</v>
      </c>
      <c r="T833" s="6">
        <f t="shared" si="164"/>
        <v>0.51124983661059464</v>
      </c>
      <c r="V833" s="1">
        <f t="shared" si="170"/>
        <v>117717.49034402464</v>
      </c>
      <c r="W833" s="7">
        <f t="shared" si="171"/>
        <v>-5.9393680138397067E-3</v>
      </c>
      <c r="X833" s="7">
        <f t="shared" si="172"/>
        <v>-5.0933828201657301E-3</v>
      </c>
      <c r="Y833">
        <f>LN(B833/B832)</f>
        <v>-1.2400724116601061E-2</v>
      </c>
      <c r="Z833">
        <f>LN(C833/C832)</f>
        <v>2.7690928635369709E-4</v>
      </c>
    </row>
    <row r="834" spans="1:26" x14ac:dyDescent="0.3">
      <c r="A834" s="11">
        <v>41408</v>
      </c>
      <c r="B834" s="12">
        <v>21628.04</v>
      </c>
      <c r="C834" s="12">
        <v>30.419689999999999</v>
      </c>
      <c r="D834" s="16">
        <f t="shared" si="174"/>
        <v>4.2914947421992533E-3</v>
      </c>
      <c r="E834" s="15">
        <f t="shared" si="173"/>
        <v>2.7654212515870746E-4</v>
      </c>
      <c r="G834" s="25" t="str">
        <f>IF(VLOOKUP(A834,Aux!B:C,2,FALSE)=0,"",VLOOKUP(A834,Aux!B:C,2,FALSE))</f>
        <v/>
      </c>
      <c r="H834" s="25" t="str">
        <f t="shared" si="162"/>
        <v/>
      </c>
      <c r="L834" s="13">
        <f t="shared" si="165"/>
        <v>117421.97431467546</v>
      </c>
      <c r="M834" s="14">
        <f t="shared" si="166"/>
        <v>245.73875002893891</v>
      </c>
      <c r="N834" s="14">
        <f t="shared" si="167"/>
        <v>16.564282271307945</v>
      </c>
      <c r="O834" s="1">
        <f t="shared" si="168"/>
        <v>2.6589347546952378</v>
      </c>
      <c r="P834" s="1">
        <f t="shared" si="169"/>
        <v>1969.5936113332061</v>
      </c>
      <c r="S834" s="6">
        <f t="shared" si="163"/>
        <v>0.48975115235097411</v>
      </c>
      <c r="T834" s="6">
        <f t="shared" si="164"/>
        <v>0.51024884764902534</v>
      </c>
      <c r="V834" s="1">
        <f t="shared" si="170"/>
        <v>117949.52080089482</v>
      </c>
      <c r="W834" s="7">
        <f t="shared" si="171"/>
        <v>2.2363483805646479E-3</v>
      </c>
      <c r="X834" s="7">
        <f t="shared" si="172"/>
        <v>1.9691388346457211E-3</v>
      </c>
      <c r="Y834">
        <f>LN(B834/B833)</f>
        <v>4.2823125395143446E-3</v>
      </c>
      <c r="Z834">
        <f>LN(C834/C833)</f>
        <v>2.765038944333221E-4</v>
      </c>
    </row>
    <row r="835" spans="1:26" x14ac:dyDescent="0.3">
      <c r="A835" s="9">
        <v>41409</v>
      </c>
      <c r="B835" s="1">
        <v>21702.17</v>
      </c>
      <c r="C835" s="1">
        <v>30.42811</v>
      </c>
      <c r="D835" s="6">
        <f t="shared" si="174"/>
        <v>3.4274950480948085E-3</v>
      </c>
      <c r="E835" s="5">
        <f t="shared" si="173"/>
        <v>2.7679440520267384E-4</v>
      </c>
      <c r="G835" s="25" t="str">
        <f>IF(VLOOKUP(A835,Aux!B:C,2,FALSE)=0,"",VLOOKUP(A835,Aux!B:C,2,FALSE))</f>
        <v/>
      </c>
      <c r="H835" s="25" t="str">
        <f t="shared" ref="H835:H898" si="175">IF(ISNUMBER(G835),1-G835,"")</f>
        <v/>
      </c>
      <c r="L835" s="13">
        <f t="shared" si="165"/>
        <v>117635.66512624845</v>
      </c>
      <c r="M835" s="14">
        <f t="shared" si="166"/>
        <v>197.10683336555101</v>
      </c>
      <c r="N835" s="14">
        <f t="shared" si="167"/>
        <v>16.583978207427531</v>
      </c>
      <c r="O835" s="1">
        <f t="shared" si="168"/>
        <v>2.6589347546952378</v>
      </c>
      <c r="P835" s="1">
        <f t="shared" si="169"/>
        <v>1969.5936113332061</v>
      </c>
      <c r="S835" s="6">
        <f t="shared" ref="S835:S898" si="176">O835*B835/L835</f>
        <v>0.49053706631721594</v>
      </c>
      <c r="T835" s="6">
        <f t="shared" ref="T835:T898" si="177">P835*C835/L835</f>
        <v>0.5094629336827835</v>
      </c>
      <c r="V835" s="1">
        <f t="shared" si="170"/>
        <v>118139.37795930199</v>
      </c>
      <c r="W835" s="7">
        <f t="shared" si="171"/>
        <v>1.8181997483713679E-3</v>
      </c>
      <c r="X835" s="7">
        <f t="shared" si="172"/>
        <v>1.6083534662668989E-3</v>
      </c>
      <c r="Y835">
        <f>LN(B835/B834)</f>
        <v>3.421634574287884E-3</v>
      </c>
      <c r="Z835">
        <f>LN(C835/C834)</f>
        <v>2.767561046987119E-4</v>
      </c>
    </row>
    <row r="836" spans="1:26" x14ac:dyDescent="0.3">
      <c r="A836" s="11">
        <v>41410</v>
      </c>
      <c r="B836" s="12">
        <v>21640.57</v>
      </c>
      <c r="C836" s="12">
        <v>30.436530000000001</v>
      </c>
      <c r="D836" s="16">
        <f t="shared" si="174"/>
        <v>-2.8384258348358449E-3</v>
      </c>
      <c r="E836" s="15">
        <f t="shared" si="173"/>
        <v>2.7671781126081818E-4</v>
      </c>
      <c r="G836" s="25" t="str">
        <f>IF(VLOOKUP(A836,Aux!B:C,2,FALSE)=0,"",VLOOKUP(A836,Aux!B:C,2,FALSE))</f>
        <v/>
      </c>
      <c r="H836" s="25" t="str">
        <f t="shared" si="175"/>
        <v/>
      </c>
      <c r="L836" s="13">
        <f t="shared" ref="L836:L899" si="178">L835+M836+N836</f>
        <v>117488.45872356665</v>
      </c>
      <c r="M836" s="14">
        <f t="shared" ref="M836:M899" si="179">O835*(B836-B835)</f>
        <v>-163.79038088922277</v>
      </c>
      <c r="N836" s="14">
        <f t="shared" ref="N836:N899" si="180">P835*(C836-C835)</f>
        <v>16.583978207427531</v>
      </c>
      <c r="O836" s="1">
        <f t="shared" ref="O836:O899" si="181">IF(ISNUMBER(G836),L836*G836/B836,O835)</f>
        <v>2.6589347546952378</v>
      </c>
      <c r="P836" s="1">
        <f t="shared" ref="P836:P899" si="182">IF(ISNUMBER(H836),L836*H836/C836,P835)</f>
        <v>1969.5936113332061</v>
      </c>
      <c r="S836" s="6">
        <f t="shared" si="176"/>
        <v>0.48975758393256691</v>
      </c>
      <c r="T836" s="6">
        <f t="shared" si="177"/>
        <v>0.51024241606743248</v>
      </c>
      <c r="V836" s="1">
        <f t="shared" ref="V836:V899" si="183">$O$2*B836+$P$2*C836</f>
        <v>118016.10125984836</v>
      </c>
      <c r="W836" s="7">
        <f t="shared" ref="W836:W899" si="184">LN(L836/L835)</f>
        <v>-1.2521592383230062E-3</v>
      </c>
      <c r="X836" s="7">
        <f t="shared" ref="X836:X899" si="185">LN(V836/V835)</f>
        <v>-1.0440300691633687E-3</v>
      </c>
      <c r="Y836">
        <f>LN(B836/B835)</f>
        <v>-2.8424618044552764E-3</v>
      </c>
      <c r="Z836">
        <f>LN(C836/C835)</f>
        <v>2.7667953194883247E-4</v>
      </c>
    </row>
    <row r="837" spans="1:26" x14ac:dyDescent="0.3">
      <c r="A837" s="9">
        <v>41411</v>
      </c>
      <c r="B837" s="1">
        <v>21822.91</v>
      </c>
      <c r="C837" s="1">
        <v>30.444949999999999</v>
      </c>
      <c r="D837" s="6">
        <f t="shared" si="174"/>
        <v>8.4258409089963404E-3</v>
      </c>
      <c r="E837" s="5">
        <f t="shared" ref="E837:E900" si="186">C837/C836-1</f>
        <v>2.766412596968415E-4</v>
      </c>
      <c r="G837" s="25" t="str">
        <f>IF(VLOOKUP(A837,Aux!B:C,2,FALSE)=0,"",VLOOKUP(A837,Aux!B:C,2,FALSE))</f>
        <v/>
      </c>
      <c r="H837" s="25" t="str">
        <f t="shared" si="175"/>
        <v/>
      </c>
      <c r="L837" s="13">
        <f t="shared" si="178"/>
        <v>117989.87286494521</v>
      </c>
      <c r="M837" s="14">
        <f t="shared" si="179"/>
        <v>484.83016317113004</v>
      </c>
      <c r="N837" s="14">
        <f t="shared" si="180"/>
        <v>16.583978207420532</v>
      </c>
      <c r="O837" s="1">
        <f t="shared" si="181"/>
        <v>2.6589347546952378</v>
      </c>
      <c r="P837" s="1">
        <f t="shared" si="182"/>
        <v>1969.5936113332061</v>
      </c>
      <c r="S837" s="6">
        <f t="shared" si="176"/>
        <v>0.49178537478385298</v>
      </c>
      <c r="T837" s="6">
        <f t="shared" si="177"/>
        <v>0.50821462521614635</v>
      </c>
      <c r="V837" s="1">
        <f t="shared" si="183"/>
        <v>118455.6026734616</v>
      </c>
      <c r="W837" s="7">
        <f t="shared" si="184"/>
        <v>4.2586924734774028E-3</v>
      </c>
      <c r="X837" s="7">
        <f t="shared" si="185"/>
        <v>3.7171628771052409E-3</v>
      </c>
      <c r="Y837">
        <f>LN(B837/B836)</f>
        <v>8.390541656803141E-3</v>
      </c>
      <c r="Z837">
        <f>LN(C837/C836)</f>
        <v>2.7660300155924844E-4</v>
      </c>
    </row>
    <row r="838" spans="1:26" x14ac:dyDescent="0.3">
      <c r="A838" s="11">
        <v>41414</v>
      </c>
      <c r="B838" s="12">
        <v>22060.25</v>
      </c>
      <c r="C838" s="12">
        <v>30.45337</v>
      </c>
      <c r="D838" s="16">
        <f t="shared" si="174"/>
        <v>1.0875726472775682E-2</v>
      </c>
      <c r="E838" s="15">
        <f t="shared" si="186"/>
        <v>2.765647504758828E-4</v>
      </c>
      <c r="G838" s="25" t="str">
        <f>IF(VLOOKUP(A838,Aux!B:C,2,FALSE)=0,"",VLOOKUP(A838,Aux!B:C,2,FALSE))</f>
        <v/>
      </c>
      <c r="H838" s="25" t="str">
        <f t="shared" si="175"/>
        <v/>
      </c>
      <c r="L838" s="13">
        <f t="shared" si="178"/>
        <v>118637.52841783201</v>
      </c>
      <c r="M838" s="14">
        <f t="shared" si="179"/>
        <v>631.07157467936815</v>
      </c>
      <c r="N838" s="14">
        <f t="shared" si="180"/>
        <v>16.583978207427531</v>
      </c>
      <c r="O838" s="1">
        <f t="shared" si="181"/>
        <v>2.6589347546952378</v>
      </c>
      <c r="P838" s="1">
        <f t="shared" si="182"/>
        <v>1969.5936113332061</v>
      </c>
      <c r="S838" s="6">
        <f t="shared" si="176"/>
        <v>0.49441998838412343</v>
      </c>
      <c r="T838" s="6">
        <f t="shared" si="177"/>
        <v>0.50558001161587596</v>
      </c>
      <c r="V838" s="1">
        <f t="shared" si="183"/>
        <v>119021.99101098512</v>
      </c>
      <c r="W838" s="7">
        <f t="shared" si="184"/>
        <v>5.4740673873542919E-3</v>
      </c>
      <c r="X838" s="7">
        <f t="shared" si="185"/>
        <v>4.7700450612680953E-3</v>
      </c>
      <c r="Y838">
        <f>LN(B838/B837)</f>
        <v>1.0817011090967639E-2</v>
      </c>
      <c r="Z838">
        <f>LN(C838/C837)</f>
        <v>2.7652651349511815E-4</v>
      </c>
    </row>
    <row r="839" spans="1:26" x14ac:dyDescent="0.3">
      <c r="A839" s="9">
        <v>41415</v>
      </c>
      <c r="B839" s="1">
        <v>22191.94</v>
      </c>
      <c r="C839" s="1">
        <v>30.4618</v>
      </c>
      <c r="D839" s="6">
        <f t="shared" si="174"/>
        <v>5.9695606350789188E-3</v>
      </c>
      <c r="E839" s="5">
        <f t="shared" si="186"/>
        <v>2.768166544457884E-4</v>
      </c>
      <c r="G839" s="25" t="str">
        <f>IF(VLOOKUP(A839,Aux!B:C,2,FALSE)=0,"",VLOOKUP(A839,Aux!B:C,2,FALSE))</f>
        <v/>
      </c>
      <c r="H839" s="25" t="str">
        <f t="shared" si="175"/>
        <v/>
      </c>
      <c r="L839" s="13">
        <f t="shared" si="178"/>
        <v>119004.28720982137</v>
      </c>
      <c r="M839" s="14">
        <f t="shared" si="179"/>
        <v>350.15511784581236</v>
      </c>
      <c r="N839" s="14">
        <f t="shared" si="180"/>
        <v>16.603674143540118</v>
      </c>
      <c r="O839" s="1">
        <f t="shared" si="181"/>
        <v>2.6589347546952378</v>
      </c>
      <c r="P839" s="1">
        <f t="shared" si="182"/>
        <v>1969.5936113332061</v>
      </c>
      <c r="S839" s="6">
        <f t="shared" si="176"/>
        <v>0.49583861156257247</v>
      </c>
      <c r="T839" s="6">
        <f t="shared" si="177"/>
        <v>0.50416138843742686</v>
      </c>
      <c r="V839" s="1">
        <f t="shared" si="183"/>
        <v>119344.66347417649</v>
      </c>
      <c r="W839" s="7">
        <f t="shared" si="184"/>
        <v>3.0866544442936399E-3</v>
      </c>
      <c r="X839" s="7">
        <f t="shared" si="185"/>
        <v>2.7073640898517067E-3</v>
      </c>
      <c r="Y839">
        <f>LN(B839/B838)</f>
        <v>5.9518134017574505E-3</v>
      </c>
      <c r="Z839">
        <f>LN(C839/C838)</f>
        <v>2.7677834778481721E-4</v>
      </c>
    </row>
    <row r="840" spans="1:26" x14ac:dyDescent="0.3">
      <c r="A840" s="11">
        <v>41416</v>
      </c>
      <c r="B840" s="12">
        <v>22180.959999999999</v>
      </c>
      <c r="C840" s="12">
        <v>30.470230000000001</v>
      </c>
      <c r="D840" s="16">
        <f t="shared" si="174"/>
        <v>-4.9477422884158795E-4</v>
      </c>
      <c r="E840" s="15">
        <f t="shared" si="186"/>
        <v>2.767400481915594E-4</v>
      </c>
      <c r="G840" s="25" t="str">
        <f>IF(VLOOKUP(A840,Aux!B:C,2,FALSE)=0,"",VLOOKUP(A840,Aux!B:C,2,FALSE))</f>
        <v/>
      </c>
      <c r="H840" s="25" t="str">
        <f t="shared" si="175"/>
        <v/>
      </c>
      <c r="L840" s="13">
        <f t="shared" si="178"/>
        <v>118991.69578035835</v>
      </c>
      <c r="M840" s="14">
        <f t="shared" si="179"/>
        <v>-29.19510360655255</v>
      </c>
      <c r="N840" s="14">
        <f t="shared" si="180"/>
        <v>16.603674143540118</v>
      </c>
      <c r="O840" s="1">
        <f t="shared" si="181"/>
        <v>2.6589347546952378</v>
      </c>
      <c r="P840" s="1">
        <f t="shared" si="182"/>
        <v>1969.5936113332061</v>
      </c>
      <c r="S840" s="6">
        <f t="shared" si="176"/>
        <v>0.49564572594518969</v>
      </c>
      <c r="T840" s="6">
        <f t="shared" si="177"/>
        <v>0.5043542740548097</v>
      </c>
      <c r="V840" s="1">
        <f t="shared" si="183"/>
        <v>119338.19125674453</v>
      </c>
      <c r="W840" s="7">
        <f t="shared" si="184"/>
        <v>-1.0581211763802926E-4</v>
      </c>
      <c r="X840" s="7">
        <f t="shared" si="185"/>
        <v>-5.4232780488984205E-5</v>
      </c>
      <c r="Y840">
        <f>LN(B840/B839)</f>
        <v>-4.9489666999916941E-4</v>
      </c>
      <c r="Z840">
        <f>LN(C840/C839)</f>
        <v>2.7670176272767406E-4</v>
      </c>
    </row>
    <row r="841" spans="1:26" x14ac:dyDescent="0.3">
      <c r="A841" s="9">
        <v>41417</v>
      </c>
      <c r="B841" s="1">
        <v>22035.58</v>
      </c>
      <c r="C841" s="1">
        <v>30.478660000000001</v>
      </c>
      <c r="D841" s="6">
        <f t="shared" si="174"/>
        <v>-6.5542699684772998E-3</v>
      </c>
      <c r="E841" s="5">
        <f t="shared" si="186"/>
        <v>2.7666348432564547E-4</v>
      </c>
      <c r="G841" s="25" t="str">
        <f>IF(VLOOKUP(A841,Aux!B:C,2,FALSE)=0,"",VLOOKUP(A841,Aux!B:C,2,FALSE))</f>
        <v/>
      </c>
      <c r="H841" s="25" t="str">
        <f t="shared" si="175"/>
        <v/>
      </c>
      <c r="L841" s="13">
        <f t="shared" si="178"/>
        <v>118621.74351986431</v>
      </c>
      <c r="M841" s="14">
        <f t="shared" si="179"/>
        <v>-386.55593463758669</v>
      </c>
      <c r="N841" s="14">
        <f t="shared" si="180"/>
        <v>16.603674143540118</v>
      </c>
      <c r="O841" s="1">
        <f t="shared" si="181"/>
        <v>2.6589347546952378</v>
      </c>
      <c r="P841" s="1">
        <f t="shared" si="182"/>
        <v>1969.5936113332061</v>
      </c>
      <c r="S841" s="6">
        <f t="shared" si="176"/>
        <v>0.49393279649489941</v>
      </c>
      <c r="T841" s="6">
        <f t="shared" si="177"/>
        <v>0.50606720350509993</v>
      </c>
      <c r="V841" s="1">
        <f t="shared" si="183"/>
        <v>119021.65353797545</v>
      </c>
      <c r="W841" s="7">
        <f t="shared" si="184"/>
        <v>-3.1139026522822824E-3</v>
      </c>
      <c r="X841" s="7">
        <f t="shared" si="185"/>
        <v>-2.6559666970523781E-3</v>
      </c>
      <c r="Y841">
        <f>LN(B841/B840)</f>
        <v>-6.5758435134468324E-3</v>
      </c>
      <c r="Z841">
        <f>LN(C841/C840)</f>
        <v>2.7662522004125666E-4</v>
      </c>
    </row>
    <row r="842" spans="1:26" x14ac:dyDescent="0.3">
      <c r="A842" s="11">
        <v>41418</v>
      </c>
      <c r="B842" s="12">
        <v>22012.59</v>
      </c>
      <c r="C842" s="12">
        <v>30.487089999999998</v>
      </c>
      <c r="D842" s="16">
        <f t="shared" si="174"/>
        <v>-1.0433126788584879E-3</v>
      </c>
      <c r="E842" s="15">
        <f t="shared" si="186"/>
        <v>2.7658696281251949E-4</v>
      </c>
      <c r="G842" s="25" t="str">
        <f>IF(VLOOKUP(A842,Aux!B:C,2,FALSE)=0,"",VLOOKUP(A842,Aux!B:C,2,FALSE))</f>
        <v/>
      </c>
      <c r="H842" s="25" t="str">
        <f t="shared" si="175"/>
        <v/>
      </c>
      <c r="L842" s="13">
        <f t="shared" si="178"/>
        <v>118577.2182839974</v>
      </c>
      <c r="M842" s="14">
        <f t="shared" si="179"/>
        <v>-61.128910010447775</v>
      </c>
      <c r="N842" s="14">
        <f t="shared" si="180"/>
        <v>16.603674143533119</v>
      </c>
      <c r="O842" s="1">
        <f t="shared" si="181"/>
        <v>2.6589347546952378</v>
      </c>
      <c r="P842" s="1">
        <f t="shared" si="182"/>
        <v>1969.5936113332061</v>
      </c>
      <c r="S842" s="6">
        <f t="shared" si="176"/>
        <v>0.49360274628533574</v>
      </c>
      <c r="T842" s="6">
        <f t="shared" si="177"/>
        <v>0.5063972537146636</v>
      </c>
      <c r="V842" s="1">
        <f t="shared" si="183"/>
        <v>118987.47383043144</v>
      </c>
      <c r="W842" s="7">
        <f t="shared" si="184"/>
        <v>-3.7542522152095677E-4</v>
      </c>
      <c r="X842" s="7">
        <f t="shared" si="185"/>
        <v>-2.8721342040014571E-4</v>
      </c>
      <c r="Y842">
        <f>LN(B842/B841)</f>
        <v>-1.0438573083769627E-3</v>
      </c>
      <c r="Z842">
        <f>LN(C842/C841)</f>
        <v>2.7654871969005744E-4</v>
      </c>
    </row>
    <row r="843" spans="1:26" x14ac:dyDescent="0.3">
      <c r="A843" s="9">
        <v>41421</v>
      </c>
      <c r="B843" s="1">
        <v>21987.06</v>
      </c>
      <c r="C843" s="1">
        <v>30.495529999999999</v>
      </c>
      <c r="D843" s="6">
        <f t="shared" si="174"/>
        <v>-1.1597908287938052E-3</v>
      </c>
      <c r="E843" s="5">
        <f t="shared" si="186"/>
        <v>2.7683849130899496E-4</v>
      </c>
      <c r="G843" s="25" t="str">
        <f>IF(VLOOKUP(A843,Aux!B:C,2,FALSE)=0,"",VLOOKUP(A843,Aux!B:C,2,FALSE))</f>
        <v/>
      </c>
      <c r="H843" s="25" t="str">
        <f t="shared" si="175"/>
        <v/>
      </c>
      <c r="L843" s="13">
        <f t="shared" si="178"/>
        <v>118525.95904978969</v>
      </c>
      <c r="M843" s="14">
        <f t="shared" si="179"/>
        <v>-67.88260428736632</v>
      </c>
      <c r="N843" s="14">
        <f t="shared" si="180"/>
        <v>16.623370079652702</v>
      </c>
      <c r="O843" s="1">
        <f t="shared" si="181"/>
        <v>2.6589347546952378</v>
      </c>
      <c r="P843" s="1">
        <f t="shared" si="182"/>
        <v>1969.5936113332061</v>
      </c>
      <c r="S843" s="6">
        <f t="shared" si="176"/>
        <v>0.49324349244886551</v>
      </c>
      <c r="T843" s="6">
        <f t="shared" si="177"/>
        <v>0.50675650755113377</v>
      </c>
      <c r="V843" s="1">
        <f t="shared" si="183"/>
        <v>118947.45662536239</v>
      </c>
      <c r="W843" s="7">
        <f t="shared" si="184"/>
        <v>-4.3237914888109928E-4</v>
      </c>
      <c r="X843" s="7">
        <f t="shared" si="185"/>
        <v>-3.3637100168268993E-4</v>
      </c>
      <c r="Y843">
        <f>LN(B843/B842)</f>
        <v>-1.1604639066470925E-3</v>
      </c>
      <c r="Z843">
        <f>LN(C843/C842)</f>
        <v>2.7680017860465093E-4</v>
      </c>
    </row>
    <row r="844" spans="1:26" x14ac:dyDescent="0.3">
      <c r="A844" s="11">
        <v>41422</v>
      </c>
      <c r="B844" s="12">
        <v>22029.82</v>
      </c>
      <c r="C844" s="12">
        <v>30.503969999999999</v>
      </c>
      <c r="D844" s="16">
        <f t="shared" si="174"/>
        <v>1.944780248018585E-3</v>
      </c>
      <c r="E844" s="15">
        <f t="shared" si="186"/>
        <v>2.7676187296954424E-4</v>
      </c>
      <c r="G844" s="25" t="str">
        <f>IF(VLOOKUP(A844,Aux!B:C,2,FALSE)=0,"",VLOOKUP(A844,Aux!B:C,2,FALSE))</f>
        <v/>
      </c>
      <c r="H844" s="25" t="str">
        <f t="shared" si="175"/>
        <v/>
      </c>
      <c r="L844" s="13">
        <f t="shared" si="178"/>
        <v>118656.27846998011</v>
      </c>
      <c r="M844" s="14">
        <f t="shared" si="179"/>
        <v>113.69605011076411</v>
      </c>
      <c r="N844" s="14">
        <f t="shared" si="180"/>
        <v>16.623370079652702</v>
      </c>
      <c r="O844" s="1">
        <f t="shared" si="181"/>
        <v>2.6589347546952378</v>
      </c>
      <c r="P844" s="1">
        <f t="shared" si="182"/>
        <v>1969.5936113332061</v>
      </c>
      <c r="S844" s="6">
        <f t="shared" si="176"/>
        <v>0.49365996298712383</v>
      </c>
      <c r="T844" s="6">
        <f t="shared" si="177"/>
        <v>0.50634003701287533</v>
      </c>
      <c r="V844" s="1">
        <f t="shared" si="183"/>
        <v>119064.98683909033</v>
      </c>
      <c r="W844" s="7">
        <f t="shared" si="184"/>
        <v>1.0988970731314383E-3</v>
      </c>
      <c r="X844" s="7">
        <f t="shared" si="185"/>
        <v>9.8759730012371776E-4</v>
      </c>
      <c r="Y844">
        <f>LN(B844/B843)</f>
        <v>1.9428916111713704E-3</v>
      </c>
      <c r="Z844">
        <f>LN(C844/C843)</f>
        <v>2.7672358146730176E-4</v>
      </c>
    </row>
    <row r="845" spans="1:26" x14ac:dyDescent="0.3">
      <c r="A845" s="9">
        <v>41423</v>
      </c>
      <c r="B845" s="1">
        <v>21652.66</v>
      </c>
      <c r="C845" s="1">
        <v>30.512409999999999</v>
      </c>
      <c r="D845" s="6">
        <f t="shared" si="174"/>
        <v>-1.7120430398432696E-2</v>
      </c>
      <c r="E845" s="5">
        <f t="shared" si="186"/>
        <v>2.7668529702862266E-4</v>
      </c>
      <c r="G845" s="25" t="str">
        <f>IF(VLOOKUP(A845,Aux!B:C,2,FALSE)=0,"",VLOOKUP(A845,Aux!B:C,2,FALSE))</f>
        <v/>
      </c>
      <c r="H845" s="25" t="str">
        <f t="shared" si="175"/>
        <v/>
      </c>
      <c r="L845" s="13">
        <f t="shared" si="178"/>
        <v>117670.05800797892</v>
      </c>
      <c r="M845" s="14">
        <f t="shared" si="179"/>
        <v>-1002.8438320808555</v>
      </c>
      <c r="N845" s="14">
        <f t="shared" si="180"/>
        <v>16.623370079652702</v>
      </c>
      <c r="O845" s="1">
        <f t="shared" si="181"/>
        <v>2.6589347546952378</v>
      </c>
      <c r="P845" s="1">
        <f t="shared" si="182"/>
        <v>1969.5936113332061</v>
      </c>
      <c r="S845" s="6">
        <f t="shared" si="176"/>
        <v>0.48927493688917445</v>
      </c>
      <c r="T845" s="6">
        <f t="shared" si="177"/>
        <v>0.51072506311082466</v>
      </c>
      <c r="V845" s="1">
        <f t="shared" si="183"/>
        <v>118213.74692393804</v>
      </c>
      <c r="W845" s="7">
        <f t="shared" si="184"/>
        <v>-8.3463079212642028E-3</v>
      </c>
      <c r="X845" s="7">
        <f t="shared" si="185"/>
        <v>-7.1750514980013563E-3</v>
      </c>
      <c r="Y845">
        <f>LN(B845/B844)</f>
        <v>-1.7268679461814141E-2</v>
      </c>
      <c r="Z845">
        <f>LN(C845/C844)</f>
        <v>2.7664702671088685E-4</v>
      </c>
    </row>
    <row r="846" spans="1:26" x14ac:dyDescent="0.3">
      <c r="A846" s="11">
        <v>41425</v>
      </c>
      <c r="B846" s="12">
        <v>21510.81</v>
      </c>
      <c r="C846" s="12">
        <v>30.520849999999999</v>
      </c>
      <c r="D846" s="16">
        <f t="shared" si="174"/>
        <v>-6.5511581486985548E-3</v>
      </c>
      <c r="E846" s="15">
        <f t="shared" si="186"/>
        <v>2.7660876345070307E-4</v>
      </c>
      <c r="G846" s="25" t="str">
        <f>IF(VLOOKUP(A846,Aux!B:C,2,FALSE)=0,"",VLOOKUP(A846,Aux!B:C,2,FALSE))</f>
        <v/>
      </c>
      <c r="H846" s="25" t="str">
        <f t="shared" si="175"/>
        <v/>
      </c>
      <c r="L846" s="13">
        <f t="shared" si="178"/>
        <v>117309.51148310506</v>
      </c>
      <c r="M846" s="14">
        <f t="shared" si="179"/>
        <v>-377.16989495351561</v>
      </c>
      <c r="N846" s="14">
        <f t="shared" si="180"/>
        <v>16.623370079652702</v>
      </c>
      <c r="O846" s="1">
        <f t="shared" si="181"/>
        <v>2.6589347546952378</v>
      </c>
      <c r="P846" s="1">
        <f t="shared" si="182"/>
        <v>1969.5936113332061</v>
      </c>
      <c r="S846" s="6">
        <f t="shared" si="176"/>
        <v>0.48756353672893121</v>
      </c>
      <c r="T846" s="6">
        <f t="shared" si="177"/>
        <v>0.51243646327106795</v>
      </c>
      <c r="V846" s="1">
        <f t="shared" si="183"/>
        <v>117905.37540997363</v>
      </c>
      <c r="W846" s="7">
        <f t="shared" si="184"/>
        <v>-3.0687502628456158E-3</v>
      </c>
      <c r="X846" s="7">
        <f t="shared" si="185"/>
        <v>-2.6120009784860155E-3</v>
      </c>
      <c r="Y846">
        <f>LN(B846/B845)</f>
        <v>-6.5727111683060446E-3</v>
      </c>
      <c r="Z846">
        <f>LN(C846/C845)</f>
        <v>2.7657051429989853E-4</v>
      </c>
    </row>
    <row r="847" spans="1:26" x14ac:dyDescent="0.3">
      <c r="A847" s="9">
        <v>41428</v>
      </c>
      <c r="B847" s="1">
        <v>21517.33</v>
      </c>
      <c r="C847" s="1">
        <v>30.529859999999999</v>
      </c>
      <c r="D847" s="6">
        <f t="shared" si="174"/>
        <v>3.0310341637540539E-4</v>
      </c>
      <c r="E847" s="5">
        <f t="shared" si="186"/>
        <v>2.9520802992055728E-4</v>
      </c>
      <c r="G847" s="25" t="str">
        <f>IF(VLOOKUP(A847,Aux!B:C,2,FALSE)=0,"",VLOOKUP(A847,Aux!B:C,2,FALSE))</f>
        <v/>
      </c>
      <c r="H847" s="25" t="str">
        <f t="shared" si="175"/>
        <v/>
      </c>
      <c r="L847" s="13">
        <f t="shared" si="178"/>
        <v>117344.59377614378</v>
      </c>
      <c r="M847" s="14">
        <f t="shared" si="179"/>
        <v>17.336254600614112</v>
      </c>
      <c r="N847" s="14">
        <f t="shared" si="180"/>
        <v>17.746038438112112</v>
      </c>
      <c r="O847" s="1">
        <f t="shared" si="181"/>
        <v>2.6589347546952378</v>
      </c>
      <c r="P847" s="1">
        <f t="shared" si="182"/>
        <v>1969.5936113332061</v>
      </c>
      <c r="S847" s="6">
        <f t="shared" si="176"/>
        <v>0.48756550876464794</v>
      </c>
      <c r="T847" s="6">
        <f t="shared" si="177"/>
        <v>0.51243449123535123</v>
      </c>
      <c r="V847" s="1">
        <f t="shared" si="183"/>
        <v>117940.57384152262</v>
      </c>
      <c r="W847" s="7">
        <f t="shared" si="184"/>
        <v>2.9901282367375846E-4</v>
      </c>
      <c r="X847" s="7">
        <f t="shared" si="185"/>
        <v>2.98486634364907E-4</v>
      </c>
      <c r="Y847">
        <f>LN(B847/B846)</f>
        <v>3.0305748981499338E-4</v>
      </c>
      <c r="Z847">
        <f>LN(C847/C846)</f>
        <v>2.9516446460376919E-4</v>
      </c>
    </row>
    <row r="848" spans="1:26" x14ac:dyDescent="0.3">
      <c r="A848" s="11">
        <v>41429</v>
      </c>
      <c r="B848" s="12">
        <v>21487.75</v>
      </c>
      <c r="C848" s="12">
        <v>30.538869999999999</v>
      </c>
      <c r="D848" s="16">
        <f t="shared" si="174"/>
        <v>-1.3747058766121478E-3</v>
      </c>
      <c r="E848" s="15">
        <f t="shared" si="186"/>
        <v>2.9512090785877021E-4</v>
      </c>
      <c r="G848" s="25" t="str">
        <f>IF(VLOOKUP(A848,Aux!B:C,2,FALSE)=0,"",VLOOKUP(A848,Aux!B:C,2,FALSE))</f>
        <v/>
      </c>
      <c r="H848" s="25" t="str">
        <f t="shared" si="175"/>
        <v/>
      </c>
      <c r="L848" s="13">
        <f t="shared" si="178"/>
        <v>117283.68852453801</v>
      </c>
      <c r="M848" s="14">
        <f t="shared" si="179"/>
        <v>-78.651290043889773</v>
      </c>
      <c r="N848" s="14">
        <f t="shared" si="180"/>
        <v>17.746038438112112</v>
      </c>
      <c r="O848" s="1">
        <f t="shared" si="181"/>
        <v>2.6589347546952378</v>
      </c>
      <c r="P848" s="1">
        <f t="shared" si="182"/>
        <v>1969.5936113332061</v>
      </c>
      <c r="S848" s="6">
        <f t="shared" si="176"/>
        <v>0.48714809360083305</v>
      </c>
      <c r="T848" s="6">
        <f t="shared" si="177"/>
        <v>0.512851906399166</v>
      </c>
      <c r="V848" s="1">
        <f t="shared" si="183"/>
        <v>117892.48831028688</v>
      </c>
      <c r="W848" s="7">
        <f t="shared" si="184"/>
        <v>-5.1916378005710453E-4</v>
      </c>
      <c r="X848" s="7">
        <f t="shared" si="185"/>
        <v>-4.0779296561189337E-4</v>
      </c>
      <c r="Y848">
        <f>LN(B848/B847)</f>
        <v>-1.3756516516100785E-3</v>
      </c>
      <c r="Z848">
        <f>LN(C848/C847)</f>
        <v>2.950773682497312E-4</v>
      </c>
    </row>
    <row r="849" spans="1:26" x14ac:dyDescent="0.3">
      <c r="A849" s="9">
        <v>41430</v>
      </c>
      <c r="B849" s="1">
        <v>21024.39</v>
      </c>
      <c r="C849" s="1">
        <v>30.547879999999999</v>
      </c>
      <c r="D849" s="6">
        <f t="shared" si="174"/>
        <v>-2.15639143232772E-2</v>
      </c>
      <c r="E849" s="5">
        <f t="shared" si="186"/>
        <v>2.9503383720475007E-4</v>
      </c>
      <c r="G849" s="25" t="str">
        <f>IF(VLOOKUP(A849,Aux!B:C,2,FALSE)=0,"",VLOOKUP(A849,Aux!B:C,2,FALSE))</f>
        <v/>
      </c>
      <c r="H849" s="25" t="str">
        <f t="shared" si="175"/>
        <v/>
      </c>
      <c r="L849" s="13">
        <f t="shared" si="178"/>
        <v>116069.39055504053</v>
      </c>
      <c r="M849" s="14">
        <f t="shared" si="179"/>
        <v>-1232.0440079355869</v>
      </c>
      <c r="N849" s="14">
        <f t="shared" si="180"/>
        <v>17.746038438112112</v>
      </c>
      <c r="O849" s="1">
        <f t="shared" si="181"/>
        <v>2.6589347546952378</v>
      </c>
      <c r="P849" s="1">
        <f t="shared" si="182"/>
        <v>1969.5936113332061</v>
      </c>
      <c r="S849" s="6">
        <f t="shared" si="176"/>
        <v>0.48162983367055628</v>
      </c>
      <c r="T849" s="6">
        <f t="shared" si="177"/>
        <v>0.51837016632944288</v>
      </c>
      <c r="V849" s="1">
        <f t="shared" si="183"/>
        <v>116843.65714534553</v>
      </c>
      <c r="W849" s="7">
        <f t="shared" si="184"/>
        <v>-1.0407481528783305E-2</v>
      </c>
      <c r="X849" s="7">
        <f t="shared" si="185"/>
        <v>-8.9363156464025966E-3</v>
      </c>
      <c r="Y849">
        <f>LN(B849/B848)</f>
        <v>-2.1799812954148748E-2</v>
      </c>
      <c r="Z849">
        <f>LN(C849/C848)</f>
        <v>2.9499032328071179E-4</v>
      </c>
    </row>
    <row r="850" spans="1:26" x14ac:dyDescent="0.3">
      <c r="A850" s="11">
        <v>41431</v>
      </c>
      <c r="B850" s="12">
        <v>21066.41</v>
      </c>
      <c r="C850" s="12">
        <v>30.556889999999999</v>
      </c>
      <c r="D850" s="16">
        <f t="shared" si="174"/>
        <v>1.998631113673266E-3</v>
      </c>
      <c r="E850" s="15">
        <f t="shared" si="186"/>
        <v>2.9494681791342181E-4</v>
      </c>
      <c r="G850" s="25" t="str">
        <f>IF(VLOOKUP(A850,Aux!B:C,2,FALSE)=0,"",VLOOKUP(A850,Aux!B:C,2,FALSE))</f>
        <v/>
      </c>
      <c r="H850" s="25" t="str">
        <f t="shared" si="175"/>
        <v/>
      </c>
      <c r="L850" s="13">
        <f t="shared" si="178"/>
        <v>116198.86503187094</v>
      </c>
      <c r="M850" s="14">
        <f t="shared" si="179"/>
        <v>111.72843839229505</v>
      </c>
      <c r="N850" s="14">
        <f t="shared" si="180"/>
        <v>17.746038438112112</v>
      </c>
      <c r="O850" s="1">
        <f t="shared" si="181"/>
        <v>2.6589347546952378</v>
      </c>
      <c r="P850" s="1">
        <f t="shared" si="182"/>
        <v>1969.5936113332061</v>
      </c>
      <c r="S850" s="6">
        <f t="shared" si="176"/>
        <v>0.48205470587252092</v>
      </c>
      <c r="T850" s="6">
        <f t="shared" si="177"/>
        <v>0.51794529412747814</v>
      </c>
      <c r="V850" s="1">
        <f t="shared" si="183"/>
        <v>116960.75531869118</v>
      </c>
      <c r="W850" s="7">
        <f t="shared" si="184"/>
        <v>1.1148703029947458E-3</v>
      </c>
      <c r="X850" s="7">
        <f t="shared" si="185"/>
        <v>1.0016764175021504E-3</v>
      </c>
      <c r="Y850">
        <f>LN(B850/B849)</f>
        <v>1.9966365077211702E-3</v>
      </c>
      <c r="Z850">
        <f>LN(C850/C849)</f>
        <v>2.9490332965166263E-4</v>
      </c>
    </row>
    <row r="851" spans="1:26" x14ac:dyDescent="0.3">
      <c r="A851" s="9">
        <v>41432</v>
      </c>
      <c r="B851" s="1">
        <v>20747.75</v>
      </c>
      <c r="C851" s="1">
        <v>30.565909999999999</v>
      </c>
      <c r="D851" s="6">
        <f t="shared" si="174"/>
        <v>-1.5126450116559997E-2</v>
      </c>
      <c r="E851" s="5">
        <f t="shared" si="186"/>
        <v>2.9518710837383999E-4</v>
      </c>
      <c r="G851" s="25" t="str">
        <f>IF(VLOOKUP(A851,Aux!B:C,2,FALSE)=0,"",VLOOKUP(A851,Aux!B:C,2,FALSE))</f>
        <v/>
      </c>
      <c r="H851" s="25" t="str">
        <f t="shared" si="175"/>
        <v/>
      </c>
      <c r="L851" s="13">
        <f t="shared" si="178"/>
        <v>115369.33461731397</v>
      </c>
      <c r="M851" s="14">
        <f t="shared" si="179"/>
        <v>-847.29614893118412</v>
      </c>
      <c r="N851" s="14">
        <f t="shared" si="180"/>
        <v>17.765734374224699</v>
      </c>
      <c r="O851" s="1">
        <f t="shared" si="181"/>
        <v>2.6589347546952378</v>
      </c>
      <c r="P851" s="1">
        <f t="shared" si="182"/>
        <v>1969.5936113332061</v>
      </c>
      <c r="S851" s="6">
        <f t="shared" si="176"/>
        <v>0.47817657733503982</v>
      </c>
      <c r="T851" s="6">
        <f t="shared" si="177"/>
        <v>0.5218234226649594</v>
      </c>
      <c r="V851" s="1">
        <f t="shared" si="183"/>
        <v>116245.77448670752</v>
      </c>
      <c r="W851" s="7">
        <f t="shared" si="184"/>
        <v>-7.1644894603033298E-3</v>
      </c>
      <c r="X851" s="7">
        <f t="shared" si="185"/>
        <v>-6.1317585983600995E-3</v>
      </c>
      <c r="Y851">
        <f>LN(B851/B850)</f>
        <v>-1.5242021803773213E-2</v>
      </c>
      <c r="Z851">
        <f>LN(C851/C850)</f>
        <v>2.9514354923121903E-4</v>
      </c>
    </row>
    <row r="852" spans="1:26" x14ac:dyDescent="0.3">
      <c r="A852" s="11">
        <v>41435</v>
      </c>
      <c r="B852" s="12">
        <v>20665.11</v>
      </c>
      <c r="C852" s="12">
        <v>30.574940000000002</v>
      </c>
      <c r="D852" s="16">
        <f t="shared" si="174"/>
        <v>-3.9830825029220085E-3</v>
      </c>
      <c r="E852" s="15">
        <f t="shared" si="186"/>
        <v>2.9542716051977891E-4</v>
      </c>
      <c r="G852" s="25" t="str">
        <f>IF(VLOOKUP(A852,Aux!B:C,2,FALSE)=0,"",VLOOKUP(A852,Aux!B:C,2,FALSE))</f>
        <v/>
      </c>
      <c r="H852" s="25" t="str">
        <f t="shared" si="175"/>
        <v/>
      </c>
      <c r="L852" s="13">
        <f t="shared" si="178"/>
        <v>115167.38567949629</v>
      </c>
      <c r="M852" s="14">
        <f t="shared" si="179"/>
        <v>-219.7343681280129</v>
      </c>
      <c r="N852" s="14">
        <f t="shared" si="180"/>
        <v>17.785430310344285</v>
      </c>
      <c r="O852" s="1">
        <f t="shared" si="181"/>
        <v>2.6589347546952378</v>
      </c>
      <c r="P852" s="1">
        <f t="shared" si="182"/>
        <v>1969.5936113332061</v>
      </c>
      <c r="S852" s="6">
        <f t="shared" si="176"/>
        <v>0.47710711556407737</v>
      </c>
      <c r="T852" s="6">
        <f t="shared" si="177"/>
        <v>0.52289288443592197</v>
      </c>
      <c r="V852" s="1">
        <f t="shared" si="183"/>
        <v>116075.32242207229</v>
      </c>
      <c r="W852" s="7">
        <f t="shared" si="184"/>
        <v>-1.7519897846555643E-3</v>
      </c>
      <c r="X852" s="7">
        <f t="shared" si="185"/>
        <v>-1.4673836985812279E-3</v>
      </c>
      <c r="Y852">
        <f>LN(B852/B851)</f>
        <v>-3.9910361029564263E-3</v>
      </c>
      <c r="Z852">
        <f>LN(C852/C851)</f>
        <v>2.9538353050897445E-4</v>
      </c>
    </row>
    <row r="853" spans="1:26" x14ac:dyDescent="0.3">
      <c r="A853" s="9">
        <v>41436</v>
      </c>
      <c r="B853" s="1">
        <v>20144.63</v>
      </c>
      <c r="C853" s="1">
        <v>30.583960000000001</v>
      </c>
      <c r="D853" s="6">
        <f t="shared" si="174"/>
        <v>-2.5186413234674299E-2</v>
      </c>
      <c r="E853" s="5">
        <f t="shared" si="186"/>
        <v>2.9501284385191617E-4</v>
      </c>
      <c r="G853" s="25" t="str">
        <f>IF(VLOOKUP(A853,Aux!B:C,2,FALSE)=0,"",VLOOKUP(A853,Aux!B:C,2,FALSE))</f>
        <v/>
      </c>
      <c r="H853" s="25" t="str">
        <f t="shared" si="175"/>
        <v/>
      </c>
      <c r="L853" s="13">
        <f t="shared" si="178"/>
        <v>113801.22905274673</v>
      </c>
      <c r="M853" s="14">
        <f t="shared" si="179"/>
        <v>-1383.9223611237762</v>
      </c>
      <c r="N853" s="14">
        <f t="shared" si="180"/>
        <v>17.765734374224699</v>
      </c>
      <c r="O853" s="1">
        <f t="shared" si="181"/>
        <v>2.6589347546952378</v>
      </c>
      <c r="P853" s="1">
        <f t="shared" si="182"/>
        <v>1969.5936113332061</v>
      </c>
      <c r="S853" s="6">
        <f t="shared" si="176"/>
        <v>0.47067379916125363</v>
      </c>
      <c r="T853" s="6">
        <f t="shared" si="177"/>
        <v>0.52932620083874582</v>
      </c>
      <c r="V853" s="1">
        <f t="shared" si="183"/>
        <v>114894.73579038726</v>
      </c>
      <c r="W853" s="7">
        <f t="shared" si="184"/>
        <v>-1.1933276011511314E-2</v>
      </c>
      <c r="X853" s="7">
        <f t="shared" si="185"/>
        <v>-1.0222943377070281E-2</v>
      </c>
      <c r="Y853">
        <f>LN(B853/B852)</f>
        <v>-2.5509019325217618E-2</v>
      </c>
      <c r="Z853">
        <f>LN(C853/C852)</f>
        <v>2.9496933611958026E-4</v>
      </c>
    </row>
    <row r="854" spans="1:26" x14ac:dyDescent="0.3">
      <c r="A854" s="11">
        <v>41437</v>
      </c>
      <c r="B854" s="12">
        <v>19953.18</v>
      </c>
      <c r="C854" s="12">
        <v>30.59299</v>
      </c>
      <c r="D854" s="16">
        <f t="shared" si="174"/>
        <v>-9.5037734622080983E-3</v>
      </c>
      <c r="E854" s="15">
        <f t="shared" si="186"/>
        <v>2.9525280571895962E-4</v>
      </c>
      <c r="G854" s="25" t="str">
        <f>IF(VLOOKUP(A854,Aux!B:C,2,FALSE)=0,"",VLOOKUP(A854,Aux!B:C,2,FALSE))</f>
        <v/>
      </c>
      <c r="H854" s="25" t="str">
        <f t="shared" si="175"/>
        <v/>
      </c>
      <c r="L854" s="13">
        <f t="shared" si="178"/>
        <v>113309.96142427066</v>
      </c>
      <c r="M854" s="14">
        <f t="shared" si="179"/>
        <v>-509.05305878640519</v>
      </c>
      <c r="N854" s="14">
        <f t="shared" si="180"/>
        <v>17.785430310337286</v>
      </c>
      <c r="O854" s="1">
        <f t="shared" si="181"/>
        <v>2.6589347546952378</v>
      </c>
      <c r="P854" s="1">
        <f t="shared" si="182"/>
        <v>1969.5936113332061</v>
      </c>
      <c r="S854" s="6">
        <f t="shared" si="176"/>
        <v>0.46822188536484555</v>
      </c>
      <c r="T854" s="6">
        <f t="shared" si="177"/>
        <v>0.53177811463515379</v>
      </c>
      <c r="V854" s="1">
        <f t="shared" si="183"/>
        <v>114473.25524955784</v>
      </c>
      <c r="W854" s="7">
        <f t="shared" si="184"/>
        <v>-4.3262367976763154E-3</v>
      </c>
      <c r="X854" s="7">
        <f t="shared" si="185"/>
        <v>-3.6751511256694802E-3</v>
      </c>
      <c r="Y854">
        <f>LN(B854/B853)</f>
        <v>-9.5492225047085228E-3</v>
      </c>
      <c r="Z854">
        <f>LN(C854/C853)</f>
        <v>2.9520922718689538E-4</v>
      </c>
    </row>
    <row r="855" spans="1:26" x14ac:dyDescent="0.3">
      <c r="A855" s="9">
        <v>41438</v>
      </c>
      <c r="B855" s="1">
        <v>20242.75</v>
      </c>
      <c r="C855" s="1">
        <v>30.60201</v>
      </c>
      <c r="D855" s="6">
        <f t="shared" si="174"/>
        <v>1.4512473700933892E-2</v>
      </c>
      <c r="E855" s="5">
        <f t="shared" si="186"/>
        <v>2.9483878496350258E-4</v>
      </c>
      <c r="G855" s="25" t="str">
        <f>IF(VLOOKUP(A855,Aux!B:C,2,FALSE)=0,"",VLOOKUP(A855,Aux!B:C,2,FALSE))</f>
        <v/>
      </c>
      <c r="H855" s="25" t="str">
        <f t="shared" si="175"/>
        <v/>
      </c>
      <c r="L855" s="13">
        <f t="shared" si="178"/>
        <v>114097.67489556197</v>
      </c>
      <c r="M855" s="14">
        <f t="shared" si="179"/>
        <v>769.94773691709918</v>
      </c>
      <c r="N855" s="14">
        <f t="shared" si="180"/>
        <v>17.765734374224699</v>
      </c>
      <c r="O855" s="1">
        <f t="shared" si="181"/>
        <v>2.6589347546952378</v>
      </c>
      <c r="P855" s="1">
        <f t="shared" si="182"/>
        <v>1969.5936113332061</v>
      </c>
      <c r="S855" s="6">
        <f t="shared" si="176"/>
        <v>0.4717374964465697</v>
      </c>
      <c r="T855" s="6">
        <f t="shared" si="177"/>
        <v>0.52826250355342985</v>
      </c>
      <c r="V855" s="1">
        <f t="shared" si="183"/>
        <v>115161.48230357346</v>
      </c>
      <c r="W855" s="7">
        <f t="shared" si="184"/>
        <v>6.9277939344353284E-3</v>
      </c>
      <c r="X855" s="7">
        <f t="shared" si="185"/>
        <v>5.9941202449099945E-3</v>
      </c>
      <c r="Y855">
        <f>LN(B855/B854)</f>
        <v>1.4408175625526213E-2</v>
      </c>
      <c r="Z855">
        <f>LN(C855/C854)</f>
        <v>2.9479532855049073E-4</v>
      </c>
    </row>
    <row r="856" spans="1:26" x14ac:dyDescent="0.3">
      <c r="A856" s="11">
        <v>41439</v>
      </c>
      <c r="B856" s="12">
        <v>19909.740000000002</v>
      </c>
      <c r="C856" s="12">
        <v>30.611049999999999</v>
      </c>
      <c r="D856" s="16">
        <f t="shared" si="174"/>
        <v>-1.6450828074248691E-2</v>
      </c>
      <c r="E856" s="15">
        <f t="shared" si="186"/>
        <v>2.9540543251904694E-4</v>
      </c>
      <c r="G856" s="25" t="str">
        <f>IF(VLOOKUP(A856,Aux!B:C,2,FALSE)=0,"",VLOOKUP(A856,Aux!B:C,2,FALSE))</f>
        <v/>
      </c>
      <c r="H856" s="25" t="str">
        <f t="shared" si="175"/>
        <v/>
      </c>
      <c r="L856" s="13">
        <f t="shared" si="178"/>
        <v>113230.02815914736</v>
      </c>
      <c r="M856" s="14">
        <f t="shared" si="179"/>
        <v>-885.45186266105691</v>
      </c>
      <c r="N856" s="14">
        <f t="shared" si="180"/>
        <v>17.805126246449873</v>
      </c>
      <c r="O856" s="1">
        <f t="shared" si="181"/>
        <v>2.6589347546952378</v>
      </c>
      <c r="P856" s="1">
        <f t="shared" si="182"/>
        <v>1969.5936113332061</v>
      </c>
      <c r="S856" s="6">
        <f t="shared" si="176"/>
        <v>0.46753233663900029</v>
      </c>
      <c r="T856" s="6">
        <f t="shared" si="177"/>
        <v>0.53246766336099915</v>
      </c>
      <c r="V856" s="1">
        <f t="shared" si="183"/>
        <v>114413.44026227335</v>
      </c>
      <c r="W856" s="7">
        <f t="shared" si="184"/>
        <v>-7.6334818669498549E-3</v>
      </c>
      <c r="X856" s="7">
        <f t="shared" si="185"/>
        <v>-6.5167804940119492E-3</v>
      </c>
      <c r="Y856">
        <f>LN(B856/B855)</f>
        <v>-1.658764552865015E-2</v>
      </c>
      <c r="Z856">
        <f>LN(C856/C855)</f>
        <v>2.9536180892515235E-4</v>
      </c>
    </row>
    <row r="857" spans="1:26" x14ac:dyDescent="0.3">
      <c r="A857" s="9">
        <v>41442</v>
      </c>
      <c r="B857" s="1">
        <v>20019.099999999999</v>
      </c>
      <c r="C857" s="1">
        <v>30.620080000000002</v>
      </c>
      <c r="D857" s="6">
        <f t="shared" si="174"/>
        <v>5.4927889565608012E-3</v>
      </c>
      <c r="E857" s="5">
        <f t="shared" si="186"/>
        <v>2.9499151450229633E-4</v>
      </c>
      <c r="G857" s="25" t="str">
        <f>IF(VLOOKUP(A857,Aux!B:C,2,FALSE)=0,"",VLOOKUP(A857,Aux!B:C,2,FALSE))</f>
        <v/>
      </c>
      <c r="H857" s="25" t="str">
        <f t="shared" si="175"/>
        <v/>
      </c>
      <c r="L857" s="13">
        <f t="shared" si="178"/>
        <v>113538.59469423116</v>
      </c>
      <c r="M857" s="14">
        <f t="shared" si="179"/>
        <v>290.78110477346308</v>
      </c>
      <c r="N857" s="14">
        <f t="shared" si="180"/>
        <v>17.785430310344285</v>
      </c>
      <c r="O857" s="1">
        <f t="shared" si="181"/>
        <v>2.6589347546952378</v>
      </c>
      <c r="P857" s="1">
        <f t="shared" si="182"/>
        <v>1969.5936113332061</v>
      </c>
      <c r="S857" s="6">
        <f t="shared" si="176"/>
        <v>0.46882279009239841</v>
      </c>
      <c r="T857" s="6">
        <f t="shared" si="177"/>
        <v>0.5311772099076012</v>
      </c>
      <c r="V857" s="1">
        <f t="shared" si="183"/>
        <v>114685.93891383402</v>
      </c>
      <c r="W857" s="7">
        <f t="shared" si="184"/>
        <v>2.7214234636333532E-3</v>
      </c>
      <c r="X857" s="7">
        <f t="shared" si="185"/>
        <v>2.3788696507771479E-3</v>
      </c>
      <c r="Y857">
        <f>LN(B857/B856)</f>
        <v>5.4777586052124697E-3</v>
      </c>
      <c r="Z857">
        <f>LN(C857/C856)</f>
        <v>2.9494801306030935E-4</v>
      </c>
    </row>
    <row r="858" spans="1:26" x14ac:dyDescent="0.3">
      <c r="A858" s="11">
        <v>41443</v>
      </c>
      <c r="B858" s="12">
        <v>20062.82</v>
      </c>
      <c r="C858" s="12">
        <v>30.62912</v>
      </c>
      <c r="D858" s="16">
        <f t="shared" si="174"/>
        <v>2.1839143617845558E-3</v>
      </c>
      <c r="E858" s="15">
        <f t="shared" si="186"/>
        <v>2.9523110324980451E-4</v>
      </c>
      <c r="G858" s="25" t="str">
        <f>IF(VLOOKUP(A858,Aux!B:C,2,FALSE)=0,"",VLOOKUP(A858,Aux!B:C,2,FALSE))</f>
        <v/>
      </c>
      <c r="H858" s="25" t="str">
        <f t="shared" si="175"/>
        <v/>
      </c>
      <c r="L858" s="13">
        <f t="shared" si="178"/>
        <v>113672.64844795287</v>
      </c>
      <c r="M858" s="14">
        <f t="shared" si="179"/>
        <v>116.24862747527889</v>
      </c>
      <c r="N858" s="14">
        <f t="shared" si="180"/>
        <v>17.805126246449873</v>
      </c>
      <c r="O858" s="1">
        <f t="shared" si="181"/>
        <v>2.6589347546952378</v>
      </c>
      <c r="P858" s="1">
        <f t="shared" si="182"/>
        <v>1969.5936113332061</v>
      </c>
      <c r="S858" s="6">
        <f t="shared" si="176"/>
        <v>0.46929257040773564</v>
      </c>
      <c r="T858" s="6">
        <f t="shared" si="177"/>
        <v>0.53070742959226402</v>
      </c>
      <c r="V858" s="1">
        <f t="shared" si="183"/>
        <v>114807.02616061983</v>
      </c>
      <c r="W858" s="7">
        <f t="shared" si="184"/>
        <v>1.1799923931785797E-3</v>
      </c>
      <c r="X858" s="7">
        <f t="shared" si="185"/>
        <v>1.0552589965722168E-3</v>
      </c>
      <c r="Y858">
        <f>LN(B858/B857)</f>
        <v>2.1815330871843819E-3</v>
      </c>
      <c r="Z858">
        <f>LN(C858/C857)</f>
        <v>2.9518753112332846E-4</v>
      </c>
    </row>
    <row r="859" spans="1:26" x14ac:dyDescent="0.3">
      <c r="A859" s="9">
        <v>41444</v>
      </c>
      <c r="B859" s="1">
        <v>19620.23</v>
      </c>
      <c r="C859" s="1">
        <v>30.638159999999999</v>
      </c>
      <c r="D859" s="6">
        <f t="shared" ref="D859:D922" si="187">B859/B858-1</f>
        <v>-2.2060208883895704E-2</v>
      </c>
      <c r="E859" s="5">
        <f t="shared" si="186"/>
        <v>2.9514396757068795E-4</v>
      </c>
      <c r="G859" s="25" t="str">
        <f>IF(VLOOKUP(A859,Aux!B:C,2,FALSE)=0,"",VLOOKUP(A859,Aux!B:C,2,FALSE))</f>
        <v/>
      </c>
      <c r="H859" s="25" t="str">
        <f t="shared" si="175"/>
        <v/>
      </c>
      <c r="L859" s="13">
        <f t="shared" si="178"/>
        <v>112513.63564111874</v>
      </c>
      <c r="M859" s="14">
        <f t="shared" si="179"/>
        <v>-1176.8179330805656</v>
      </c>
      <c r="N859" s="14">
        <f t="shared" si="180"/>
        <v>17.805126246449873</v>
      </c>
      <c r="O859" s="1">
        <f t="shared" si="181"/>
        <v>2.6589347546952378</v>
      </c>
      <c r="P859" s="1">
        <f t="shared" si="182"/>
        <v>1969.5936113332061</v>
      </c>
      <c r="S859" s="6">
        <f t="shared" si="176"/>
        <v>0.46366745812494853</v>
      </c>
      <c r="T859" s="6">
        <f t="shared" si="177"/>
        <v>0.53633254187505131</v>
      </c>
      <c r="V859" s="1">
        <f t="shared" si="183"/>
        <v>113806.17922619083</v>
      </c>
      <c r="W859" s="7">
        <f t="shared" si="184"/>
        <v>-1.0248392874049887E-2</v>
      </c>
      <c r="X859" s="7">
        <f t="shared" si="185"/>
        <v>-8.7558662843160995E-3</v>
      </c>
      <c r="Y859">
        <f>LN(B859/B858)</f>
        <v>-2.2307174118382948E-2</v>
      </c>
      <c r="Z859">
        <f>LN(C859/C858)</f>
        <v>2.951004211579879E-4</v>
      </c>
    </row>
    <row r="860" spans="1:26" x14ac:dyDescent="0.3">
      <c r="A860" s="11">
        <v>41445</v>
      </c>
      <c r="B860" s="12">
        <v>19575.13</v>
      </c>
      <c r="C860" s="12">
        <v>30.647200000000002</v>
      </c>
      <c r="D860" s="16">
        <f t="shared" si="187"/>
        <v>-2.2986478751777506E-3</v>
      </c>
      <c r="E860" s="15">
        <f t="shared" si="186"/>
        <v>2.9505688331155078E-4</v>
      </c>
      <c r="G860" s="25" t="str">
        <f>IF(VLOOKUP(A860,Aux!B:C,2,FALSE)=0,"",VLOOKUP(A860,Aux!B:C,2,FALSE))</f>
        <v/>
      </c>
      <c r="H860" s="25" t="str">
        <f t="shared" si="175"/>
        <v/>
      </c>
      <c r="L860" s="13">
        <f t="shared" si="178"/>
        <v>112411.52280992846</v>
      </c>
      <c r="M860" s="14">
        <f t="shared" si="179"/>
        <v>-119.91795743675135</v>
      </c>
      <c r="N860" s="14">
        <f t="shared" si="180"/>
        <v>17.805126246456869</v>
      </c>
      <c r="O860" s="1">
        <f t="shared" si="181"/>
        <v>2.6589347546952378</v>
      </c>
      <c r="P860" s="1">
        <f t="shared" si="182"/>
        <v>1969.5936113332061</v>
      </c>
      <c r="S860" s="6">
        <f t="shared" si="176"/>
        <v>0.46302186985478944</v>
      </c>
      <c r="T860" s="6">
        <f t="shared" si="177"/>
        <v>0.53697813014521034</v>
      </c>
      <c r="V860" s="1">
        <f t="shared" si="183"/>
        <v>113722.35562603643</v>
      </c>
      <c r="W860" s="7">
        <f t="shared" si="184"/>
        <v>-9.079716907503504E-4</v>
      </c>
      <c r="X860" s="7">
        <f t="shared" si="185"/>
        <v>-7.3681838632827989E-4</v>
      </c>
      <c r="Y860">
        <f>LN(B860/B859)</f>
        <v>-2.3012938217153583E-3</v>
      </c>
      <c r="Z860">
        <f>LN(C860/C859)</f>
        <v>2.9501336258987122E-4</v>
      </c>
    </row>
    <row r="861" spans="1:26" x14ac:dyDescent="0.3">
      <c r="A861" s="9">
        <v>41446</v>
      </c>
      <c r="B861" s="1">
        <v>19235.89</v>
      </c>
      <c r="C861" s="1">
        <v>30.65625</v>
      </c>
      <c r="D861" s="6">
        <f t="shared" si="187"/>
        <v>-1.7330153107540158E-2</v>
      </c>
      <c r="E861" s="5">
        <f t="shared" si="186"/>
        <v>2.9529614450907182E-4</v>
      </c>
      <c r="G861" s="25" t="str">
        <f>IF(VLOOKUP(A861,Aux!B:C,2,FALSE)=0,"",VLOOKUP(A861,Aux!B:C,2,FALSE))</f>
        <v/>
      </c>
      <c r="H861" s="25" t="str">
        <f t="shared" si="175"/>
        <v/>
      </c>
      <c r="L861" s="13">
        <f t="shared" si="178"/>
        <v>111527.3306059282</v>
      </c>
      <c r="M861" s="14">
        <f t="shared" si="179"/>
        <v>-902.01702618281672</v>
      </c>
      <c r="N861" s="14">
        <f t="shared" si="180"/>
        <v>17.82482218256246</v>
      </c>
      <c r="O861" s="1">
        <f t="shared" si="181"/>
        <v>2.6589347546952378</v>
      </c>
      <c r="P861" s="1">
        <f t="shared" si="182"/>
        <v>1969.5936113332061</v>
      </c>
      <c r="S861" s="6">
        <f t="shared" si="176"/>
        <v>0.45860486555728491</v>
      </c>
      <c r="T861" s="6">
        <f t="shared" si="177"/>
        <v>0.54139513444271481</v>
      </c>
      <c r="V861" s="1">
        <f t="shared" si="183"/>
        <v>112959.96312813436</v>
      </c>
      <c r="W861" s="7">
        <f t="shared" si="184"/>
        <v>-7.8967699020065386E-3</v>
      </c>
      <c r="X861" s="7">
        <f t="shared" si="185"/>
        <v>-6.7265535020468153E-3</v>
      </c>
      <c r="Y861">
        <f>LN(B861/B860)</f>
        <v>-1.74820780242145E-2</v>
      </c>
      <c r="Z861">
        <f>LN(C861/C860)</f>
        <v>2.9525255318394654E-4</v>
      </c>
    </row>
    <row r="862" spans="1:26" x14ac:dyDescent="0.3">
      <c r="A862" s="11">
        <v>41449</v>
      </c>
      <c r="B862" s="12">
        <v>18777.189999999999</v>
      </c>
      <c r="C862" s="12">
        <v>30.665289999999999</v>
      </c>
      <c r="D862" s="16">
        <f t="shared" si="187"/>
        <v>-2.3846050273733099E-2</v>
      </c>
      <c r="E862" s="15">
        <f t="shared" si="186"/>
        <v>2.9488277268097107E-4</v>
      </c>
      <c r="G862" s="25" t="str">
        <f>IF(VLOOKUP(A862,Aux!B:C,2,FALSE)=0,"",VLOOKUP(A862,Aux!B:C,2,FALSE))</f>
        <v/>
      </c>
      <c r="H862" s="25" t="str">
        <f t="shared" si="175"/>
        <v/>
      </c>
      <c r="L862" s="13">
        <f t="shared" si="178"/>
        <v>110325.48236019594</v>
      </c>
      <c r="M862" s="14">
        <f t="shared" si="179"/>
        <v>-1219.6533719787076</v>
      </c>
      <c r="N862" s="14">
        <f t="shared" si="180"/>
        <v>17.805126246449873</v>
      </c>
      <c r="O862" s="1">
        <f t="shared" si="181"/>
        <v>2.6589347546952378</v>
      </c>
      <c r="P862" s="1">
        <f t="shared" si="182"/>
        <v>1969.5936113332061</v>
      </c>
      <c r="S862" s="6">
        <f t="shared" si="176"/>
        <v>0.45254570402430461</v>
      </c>
      <c r="T862" s="6">
        <f t="shared" si="177"/>
        <v>0.54745429597569528</v>
      </c>
      <c r="V862" s="1">
        <f t="shared" si="183"/>
        <v>111921.94986017453</v>
      </c>
      <c r="W862" s="7">
        <f t="shared" si="184"/>
        <v>-1.0834751084780124E-2</v>
      </c>
      <c r="X862" s="7">
        <f t="shared" si="185"/>
        <v>-9.231695214105988E-3</v>
      </c>
      <c r="Y862">
        <f>LN(B862/B861)</f>
        <v>-2.4134969632687388E-2</v>
      </c>
      <c r="Z862">
        <f>LN(C862/C861)</f>
        <v>2.9483930330152986E-4</v>
      </c>
    </row>
    <row r="863" spans="1:26" x14ac:dyDescent="0.3">
      <c r="A863" s="9">
        <v>41450</v>
      </c>
      <c r="B863" s="1">
        <v>18992.169999999998</v>
      </c>
      <c r="C863" s="1">
        <v>30.67435</v>
      </c>
      <c r="D863" s="6">
        <f t="shared" si="187"/>
        <v>1.1448997427197627E-2</v>
      </c>
      <c r="E863" s="5">
        <f t="shared" si="186"/>
        <v>2.9544804565695415E-4</v>
      </c>
      <c r="G863" s="25" t="str">
        <f>IF(VLOOKUP(A863,Aux!B:C,2,FALSE)=0,"",VLOOKUP(A863,Aux!B:C,2,FALSE))</f>
        <v/>
      </c>
      <c r="H863" s="25" t="str">
        <f t="shared" si="175"/>
        <v/>
      </c>
      <c r="L863" s="13">
        <f t="shared" si="178"/>
        <v>110914.944671879</v>
      </c>
      <c r="M863" s="14">
        <f t="shared" si="179"/>
        <v>571.61779356438103</v>
      </c>
      <c r="N863" s="14">
        <f t="shared" si="180"/>
        <v>17.844518118682043</v>
      </c>
      <c r="O863" s="1">
        <f t="shared" si="181"/>
        <v>2.6589347546952378</v>
      </c>
      <c r="P863" s="1">
        <f t="shared" si="182"/>
        <v>1969.5936113332061</v>
      </c>
      <c r="S863" s="6">
        <f t="shared" si="176"/>
        <v>0.45529428905610392</v>
      </c>
      <c r="T863" s="6">
        <f t="shared" si="177"/>
        <v>0.54470571094389597</v>
      </c>
      <c r="V863" s="1">
        <f t="shared" si="183"/>
        <v>112438.18466031644</v>
      </c>
      <c r="W863" s="7">
        <f t="shared" si="184"/>
        <v>5.3287160435889439E-3</v>
      </c>
      <c r="X863" s="7">
        <f t="shared" si="185"/>
        <v>4.6018488290783853E-3</v>
      </c>
      <c r="Y863">
        <f>LN(B863/B862)</f>
        <v>1.138395364277669E-2</v>
      </c>
      <c r="Z863">
        <f>LN(C863/C862)</f>
        <v>2.9540440947771723E-4</v>
      </c>
    </row>
    <row r="864" spans="1:26" x14ac:dyDescent="0.3">
      <c r="A864" s="11">
        <v>41451</v>
      </c>
      <c r="B864" s="12">
        <v>19122.59</v>
      </c>
      <c r="C864" s="12">
        <v>30.683399999999999</v>
      </c>
      <c r="D864" s="16">
        <f t="shared" si="187"/>
        <v>6.8670404698358833E-3</v>
      </c>
      <c r="E864" s="15">
        <f t="shared" si="186"/>
        <v>2.9503477661307898E-4</v>
      </c>
      <c r="G864" s="25" t="str">
        <f>IF(VLOOKUP(A864,Aux!B:C,2,FALSE)=0,"",VLOOKUP(A864,Aux!B:C,2,FALSE))</f>
        <v/>
      </c>
      <c r="H864" s="25" t="str">
        <f t="shared" si="175"/>
        <v/>
      </c>
      <c r="L864" s="13">
        <f t="shared" si="178"/>
        <v>111279.54776476893</v>
      </c>
      <c r="M864" s="14">
        <f t="shared" si="179"/>
        <v>346.77827070735793</v>
      </c>
      <c r="N864" s="14">
        <f t="shared" si="180"/>
        <v>17.82482218256246</v>
      </c>
      <c r="O864" s="1">
        <f t="shared" si="181"/>
        <v>2.6589347546952378</v>
      </c>
      <c r="P864" s="1">
        <f t="shared" si="182"/>
        <v>1969.5936113332061</v>
      </c>
      <c r="S864" s="6">
        <f t="shared" si="176"/>
        <v>0.45691881547064794</v>
      </c>
      <c r="T864" s="6">
        <f t="shared" si="177"/>
        <v>0.54308118452935183</v>
      </c>
      <c r="V864" s="1">
        <f t="shared" si="183"/>
        <v>112759.3142112091</v>
      </c>
      <c r="W864" s="7">
        <f t="shared" si="184"/>
        <v>3.2818403024958954E-3</v>
      </c>
      <c r="X864" s="7">
        <f t="shared" si="185"/>
        <v>2.8519834382622318E-3</v>
      </c>
      <c r="Y864">
        <f>LN(B864/B863)</f>
        <v>6.8435697358180487E-3</v>
      </c>
      <c r="Z864">
        <f>LN(C864/C863)</f>
        <v>2.9499126241196475E-4</v>
      </c>
    </row>
    <row r="865" spans="1:26" x14ac:dyDescent="0.3">
      <c r="A865" s="9">
        <v>41452</v>
      </c>
      <c r="B865" s="1">
        <v>19400.75</v>
      </c>
      <c r="C865" s="1">
        <v>30.692450000000001</v>
      </c>
      <c r="D865" s="6">
        <f t="shared" si="187"/>
        <v>1.4546146730123999E-2</v>
      </c>
      <c r="E865" s="5">
        <f t="shared" si="186"/>
        <v>2.9494775676752738E-4</v>
      </c>
      <c r="G865" s="25" t="str">
        <f>IF(VLOOKUP(A865,Aux!B:C,2,FALSE)=0,"",VLOOKUP(A865,Aux!B:C,2,FALSE))</f>
        <v/>
      </c>
      <c r="H865" s="25" t="str">
        <f t="shared" si="175"/>
        <v/>
      </c>
      <c r="L865" s="13">
        <f t="shared" si="178"/>
        <v>112036.98187831751</v>
      </c>
      <c r="M865" s="14">
        <f t="shared" si="179"/>
        <v>739.60929136602692</v>
      </c>
      <c r="N865" s="14">
        <f t="shared" si="180"/>
        <v>17.824822182569456</v>
      </c>
      <c r="O865" s="1">
        <f t="shared" si="181"/>
        <v>2.6589347546952378</v>
      </c>
      <c r="P865" s="1">
        <f t="shared" si="182"/>
        <v>1969.5936113332061</v>
      </c>
      <c r="S865" s="6">
        <f t="shared" si="176"/>
        <v>0.46043125740552399</v>
      </c>
      <c r="T865" s="6">
        <f t="shared" si="177"/>
        <v>0.53956874259447585</v>
      </c>
      <c r="V865" s="1">
        <f t="shared" si="183"/>
        <v>113421.28511007462</v>
      </c>
      <c r="W865" s="7">
        <f t="shared" si="184"/>
        <v>6.7835284676919967E-3</v>
      </c>
      <c r="X865" s="7">
        <f t="shared" si="185"/>
        <v>5.8534886808281564E-3</v>
      </c>
      <c r="Y865">
        <f>LN(B865/B864)</f>
        <v>1.4441366415436505E-2</v>
      </c>
      <c r="Z865">
        <f>LN(C865/C864)</f>
        <v>2.949042682289374E-4</v>
      </c>
    </row>
    <row r="866" spans="1:26" x14ac:dyDescent="0.3">
      <c r="A866" s="11">
        <v>41453</v>
      </c>
      <c r="B866" s="12">
        <v>19560.37</v>
      </c>
      <c r="C866" s="12">
        <v>30.701509999999999</v>
      </c>
      <c r="D866" s="16">
        <f t="shared" si="187"/>
        <v>8.2275169774363999E-3</v>
      </c>
      <c r="E866" s="15">
        <f t="shared" si="186"/>
        <v>2.9518660126504059E-4</v>
      </c>
      <c r="G866" s="25" t="str">
        <f>IF(VLOOKUP(A866,Aux!B:C,2,FALSE)=0,"",VLOOKUP(A866,Aux!B:C,2,FALSE))</f>
        <v/>
      </c>
      <c r="H866" s="25" t="str">
        <f t="shared" si="175"/>
        <v/>
      </c>
      <c r="L866" s="13">
        <f t="shared" si="178"/>
        <v>112479.24556198063</v>
      </c>
      <c r="M866" s="14">
        <f t="shared" si="179"/>
        <v>424.41916554445112</v>
      </c>
      <c r="N866" s="14">
        <f t="shared" si="180"/>
        <v>17.844518118675044</v>
      </c>
      <c r="O866" s="1">
        <f t="shared" si="181"/>
        <v>2.6589347546952378</v>
      </c>
      <c r="P866" s="1">
        <f t="shared" si="182"/>
        <v>1969.5936113332061</v>
      </c>
      <c r="S866" s="6">
        <f t="shared" si="176"/>
        <v>0.46239417190114956</v>
      </c>
      <c r="T866" s="6">
        <f t="shared" si="177"/>
        <v>0.53760582809885038</v>
      </c>
      <c r="V866" s="1">
        <f t="shared" si="183"/>
        <v>113809.80245371335</v>
      </c>
      <c r="W866" s="7">
        <f t="shared" si="184"/>
        <v>3.9397085969921546E-3</v>
      </c>
      <c r="X866" s="7">
        <f t="shared" si="185"/>
        <v>3.4195824735027804E-3</v>
      </c>
      <c r="Y866">
        <f>LN(B866/B865)</f>
        <v>8.1938554673559368E-3</v>
      </c>
      <c r="Z866">
        <f>LN(C866/C865)</f>
        <v>2.9514304227206729E-4</v>
      </c>
    </row>
    <row r="867" spans="1:26" x14ac:dyDescent="0.3">
      <c r="A867" s="9">
        <v>41456</v>
      </c>
      <c r="B867" s="1">
        <v>19621.150000000001</v>
      </c>
      <c r="C867" s="1">
        <v>30.710570000000001</v>
      </c>
      <c r="D867" s="6">
        <f t="shared" si="187"/>
        <v>3.1073031849602195E-3</v>
      </c>
      <c r="E867" s="5">
        <f t="shared" si="186"/>
        <v>2.9509949184913786E-4</v>
      </c>
      <c r="G867" s="25" t="str">
        <f>IF(VLOOKUP(A867,Aux!B:C,2,FALSE)=0,"",VLOOKUP(A867,Aux!B:C,2,FALSE))</f>
        <v/>
      </c>
      <c r="H867" s="25" t="str">
        <f t="shared" si="175"/>
        <v/>
      </c>
      <c r="L867" s="13">
        <f t="shared" si="178"/>
        <v>112658.7001344897</v>
      </c>
      <c r="M867" s="14">
        <f t="shared" si="179"/>
        <v>161.61005439038314</v>
      </c>
      <c r="N867" s="14">
        <f t="shared" si="180"/>
        <v>17.844518118682043</v>
      </c>
      <c r="O867" s="1">
        <f t="shared" si="181"/>
        <v>2.6589347546952378</v>
      </c>
      <c r="P867" s="1">
        <f t="shared" si="182"/>
        <v>1969.5936113332061</v>
      </c>
      <c r="S867" s="6">
        <f t="shared" si="176"/>
        <v>0.46309213225261209</v>
      </c>
      <c r="T867" s="6">
        <f t="shared" si="177"/>
        <v>0.53690786774738786</v>
      </c>
      <c r="V867" s="1">
        <f t="shared" si="183"/>
        <v>113970.29245991039</v>
      </c>
      <c r="W867" s="7">
        <f t="shared" si="184"/>
        <v>1.5941747177207865E-3</v>
      </c>
      <c r="X867" s="7">
        <f t="shared" si="185"/>
        <v>1.4091664402515627E-3</v>
      </c>
      <c r="Y867">
        <f>LN(B867/B866)</f>
        <v>3.1024854958524237E-3</v>
      </c>
      <c r="Z867">
        <f>LN(C867/C866)</f>
        <v>2.9505595855831715E-4</v>
      </c>
    </row>
    <row r="868" spans="1:26" x14ac:dyDescent="0.3">
      <c r="A868" s="11">
        <v>41457</v>
      </c>
      <c r="B868" s="12">
        <v>18922.14</v>
      </c>
      <c r="C868" s="12">
        <v>30.719639999999998</v>
      </c>
      <c r="D868" s="16">
        <f t="shared" si="187"/>
        <v>-3.5625332867849302E-2</v>
      </c>
      <c r="E868" s="15">
        <f t="shared" si="186"/>
        <v>2.9533805461756657E-4</v>
      </c>
      <c r="G868" s="25" t="str">
        <f>IF(VLOOKUP(A868,Aux!B:C,2,FALSE)=0,"",VLOOKUP(A868,Aux!B:C,2,FALSE))</f>
        <v/>
      </c>
      <c r="H868" s="25" t="str">
        <f t="shared" si="175"/>
        <v/>
      </c>
      <c r="L868" s="13">
        <f t="shared" si="178"/>
        <v>110817.94236566496</v>
      </c>
      <c r="M868" s="14">
        <f t="shared" si="179"/>
        <v>-1858.6219828795236</v>
      </c>
      <c r="N868" s="14">
        <f t="shared" si="180"/>
        <v>17.864214054787631</v>
      </c>
      <c r="O868" s="1">
        <f t="shared" si="181"/>
        <v>2.6589347546952378</v>
      </c>
      <c r="P868" s="1">
        <f t="shared" si="182"/>
        <v>1969.5936113332061</v>
      </c>
      <c r="S868" s="6">
        <f t="shared" si="176"/>
        <v>0.45401254169827898</v>
      </c>
      <c r="T868" s="6">
        <f t="shared" si="177"/>
        <v>0.54598745830172091</v>
      </c>
      <c r="V868" s="1">
        <f t="shared" si="183"/>
        <v>112377.94272983563</v>
      </c>
      <c r="W868" s="7">
        <f t="shared" si="184"/>
        <v>-1.6474199538102023E-2</v>
      </c>
      <c r="X868" s="7">
        <f t="shared" si="185"/>
        <v>-1.4070142833669396E-2</v>
      </c>
      <c r="Y868">
        <f>LN(B868/B867)</f>
        <v>-3.6275401029099839E-2</v>
      </c>
      <c r="Z868">
        <f>LN(C868/C867)</f>
        <v>2.9529445091932362E-4</v>
      </c>
    </row>
    <row r="869" spans="1:26" x14ac:dyDescent="0.3">
      <c r="A869" s="9">
        <v>41458</v>
      </c>
      <c r="B869" s="1">
        <v>18872.919999999998</v>
      </c>
      <c r="C869" s="1">
        <v>30.7287</v>
      </c>
      <c r="D869" s="6">
        <f t="shared" si="187"/>
        <v>-2.6011857009831107E-3</v>
      </c>
      <c r="E869" s="5">
        <f t="shared" si="186"/>
        <v>2.9492533115638153E-4</v>
      </c>
      <c r="G869" s="25" t="str">
        <f>IF(VLOOKUP(A869,Aux!B:C,2,FALSE)=0,"",VLOOKUP(A869,Aux!B:C,2,FALSE))</f>
        <v/>
      </c>
      <c r="H869" s="25" t="str">
        <f t="shared" si="175"/>
        <v/>
      </c>
      <c r="L869" s="13">
        <f t="shared" si="178"/>
        <v>110704.91411515755</v>
      </c>
      <c r="M869" s="14">
        <f t="shared" si="179"/>
        <v>-130.8727686261027</v>
      </c>
      <c r="N869" s="14">
        <f t="shared" si="180"/>
        <v>17.844518118682043</v>
      </c>
      <c r="O869" s="1">
        <f t="shared" si="181"/>
        <v>2.6589347546952378</v>
      </c>
      <c r="P869" s="1">
        <f t="shared" si="182"/>
        <v>1969.5936113332061</v>
      </c>
      <c r="S869" s="6">
        <f t="shared" si="176"/>
        <v>0.45329390580062806</v>
      </c>
      <c r="T869" s="6">
        <f t="shared" si="177"/>
        <v>0.54670609419937177</v>
      </c>
      <c r="V869" s="1">
        <f t="shared" si="183"/>
        <v>112284.65888821207</v>
      </c>
      <c r="W869" s="7">
        <f t="shared" si="184"/>
        <v>-1.0204658978447557E-3</v>
      </c>
      <c r="X869" s="7">
        <f t="shared" si="185"/>
        <v>-8.3043502846137966E-4</v>
      </c>
      <c r="Y869">
        <f>LN(B869/B868)</f>
        <v>-2.6045746626633943E-3</v>
      </c>
      <c r="Z869">
        <f>LN(C869/C868)</f>
        <v>2.9488184922997365E-4</v>
      </c>
    </row>
    <row r="870" spans="1:26" x14ac:dyDescent="0.3">
      <c r="A870" s="11">
        <v>41459</v>
      </c>
      <c r="B870" s="12">
        <v>19048.89</v>
      </c>
      <c r="C870" s="12">
        <v>30.737770000000001</v>
      </c>
      <c r="D870" s="16">
        <f t="shared" si="187"/>
        <v>9.3239413932768578E-3</v>
      </c>
      <c r="E870" s="15">
        <f t="shared" si="186"/>
        <v>2.9516380452143665E-4</v>
      </c>
      <c r="G870" s="25" t="str">
        <f>IF(VLOOKUP(A870,Aux!B:C,2,FALSE)=0,"",VLOOKUP(A870,Aux!B:C,2,FALSE))</f>
        <v/>
      </c>
      <c r="H870" s="25" t="str">
        <f t="shared" si="175"/>
        <v/>
      </c>
      <c r="L870" s="13">
        <f t="shared" si="178"/>
        <v>111190.67107799606</v>
      </c>
      <c r="M870" s="14">
        <f t="shared" si="179"/>
        <v>467.89274878372407</v>
      </c>
      <c r="N870" s="14">
        <f t="shared" si="180"/>
        <v>17.86421405479463</v>
      </c>
      <c r="O870" s="1">
        <f t="shared" si="181"/>
        <v>2.6589347546952378</v>
      </c>
      <c r="P870" s="1">
        <f t="shared" si="182"/>
        <v>1969.5936113332061</v>
      </c>
      <c r="S870" s="6">
        <f t="shared" si="176"/>
        <v>0.4555216293625719</v>
      </c>
      <c r="T870" s="6">
        <f t="shared" si="177"/>
        <v>0.54447837063742799</v>
      </c>
      <c r="V870" s="1">
        <f t="shared" si="183"/>
        <v>112710.91862510149</v>
      </c>
      <c r="W870" s="7">
        <f t="shared" si="184"/>
        <v>4.3782551002666181E-3</v>
      </c>
      <c r="X870" s="7">
        <f t="shared" si="185"/>
        <v>3.789054447934358E-3</v>
      </c>
      <c r="Y870">
        <f>LN(B870/B869)</f>
        <v>9.2807417712737796E-3</v>
      </c>
      <c r="Z870">
        <f>LN(C870/C869)</f>
        <v>2.9512025225551108E-4</v>
      </c>
    </row>
    <row r="871" spans="1:26" x14ac:dyDescent="0.3">
      <c r="A871" s="9">
        <v>41460</v>
      </c>
      <c r="B871" s="1">
        <v>18790.25</v>
      </c>
      <c r="C871" s="1">
        <v>30.746849999999998</v>
      </c>
      <c r="D871" s="6">
        <f t="shared" si="187"/>
        <v>-1.357769402836595E-2</v>
      </c>
      <c r="E871" s="5">
        <f t="shared" si="186"/>
        <v>2.9540204120204194E-4</v>
      </c>
      <c r="G871" s="25" t="str">
        <f>IF(VLOOKUP(A871,Aux!B:C,2,FALSE)=0,"",VLOOKUP(A871,Aux!B:C,2,FALSE))</f>
        <v/>
      </c>
      <c r="H871" s="25" t="str">
        <f t="shared" si="175"/>
        <v/>
      </c>
      <c r="L871" s="13">
        <f t="shared" si="178"/>
        <v>110520.84810303258</v>
      </c>
      <c r="M871" s="14">
        <f t="shared" si="179"/>
        <v>-687.7068849543748</v>
      </c>
      <c r="N871" s="14">
        <f t="shared" si="180"/>
        <v>17.883909990900218</v>
      </c>
      <c r="O871" s="1">
        <f t="shared" si="181"/>
        <v>2.6589347546952378</v>
      </c>
      <c r="P871" s="1">
        <f t="shared" si="182"/>
        <v>1969.5936113332061</v>
      </c>
      <c r="S871" s="6">
        <f t="shared" si="176"/>
        <v>0.4520599473488956</v>
      </c>
      <c r="T871" s="6">
        <f t="shared" si="177"/>
        <v>0.54794005265110446</v>
      </c>
      <c r="V871" s="1">
        <f t="shared" si="183"/>
        <v>112134.54026057635</v>
      </c>
      <c r="W871" s="7">
        <f t="shared" si="184"/>
        <v>-6.04231133633864E-3</v>
      </c>
      <c r="X871" s="7">
        <f t="shared" si="185"/>
        <v>-5.1268958678801829E-3</v>
      </c>
      <c r="Y871">
        <f>LN(B871/B870)</f>
        <v>-1.3670713872240106E-2</v>
      </c>
      <c r="Z871">
        <f>LN(C871/C870)</f>
        <v>2.9535841860965921E-4</v>
      </c>
    </row>
    <row r="872" spans="1:26" x14ac:dyDescent="0.3">
      <c r="A872" s="11">
        <v>41463</v>
      </c>
      <c r="B872" s="12">
        <v>18739.41</v>
      </c>
      <c r="C872" s="12">
        <v>30.75592</v>
      </c>
      <c r="D872" s="16">
        <f t="shared" si="187"/>
        <v>-2.7056585197110516E-3</v>
      </c>
      <c r="E872" s="15">
        <f t="shared" si="186"/>
        <v>2.9498956803708509E-4</v>
      </c>
      <c r="G872" s="25" t="str">
        <f>IF(VLOOKUP(A872,Aux!B:C,2,FALSE)=0,"",VLOOKUP(A872,Aux!B:C,2,FALSE))</f>
        <v/>
      </c>
      <c r="H872" s="25" t="str">
        <f t="shared" si="175"/>
        <v/>
      </c>
      <c r="L872" s="13">
        <f t="shared" si="178"/>
        <v>110403.53207415866</v>
      </c>
      <c r="M872" s="14">
        <f t="shared" si="179"/>
        <v>-135.18024292870626</v>
      </c>
      <c r="N872" s="14">
        <f t="shared" si="180"/>
        <v>17.86421405479463</v>
      </c>
      <c r="O872" s="1">
        <f t="shared" si="181"/>
        <v>2.6589347546952378</v>
      </c>
      <c r="P872" s="1">
        <f t="shared" si="182"/>
        <v>1969.5936113332061</v>
      </c>
      <c r="S872" s="6">
        <f t="shared" si="176"/>
        <v>0.45131589175982617</v>
      </c>
      <c r="T872" s="6">
        <f t="shared" si="177"/>
        <v>0.54868410824017388</v>
      </c>
      <c r="V872" s="1">
        <f t="shared" si="183"/>
        <v>112037.54139360953</v>
      </c>
      <c r="W872" s="7">
        <f t="shared" si="184"/>
        <v>-1.0620470208583053E-3</v>
      </c>
      <c r="X872" s="7">
        <f t="shared" si="185"/>
        <v>-8.6539654987090753E-4</v>
      </c>
      <c r="Y872">
        <f>LN(B872/B871)</f>
        <v>-2.7093254294876315E-3</v>
      </c>
      <c r="Z872">
        <f>LN(C872/C871)</f>
        <v>2.9494606716911763E-4</v>
      </c>
    </row>
    <row r="873" spans="1:26" x14ac:dyDescent="0.3">
      <c r="A873" s="9">
        <v>41465</v>
      </c>
      <c r="B873" s="1">
        <v>18906.47</v>
      </c>
      <c r="C873" s="1">
        <v>30.774080000000001</v>
      </c>
      <c r="D873" s="6">
        <f t="shared" si="187"/>
        <v>8.9149018032050886E-3</v>
      </c>
      <c r="E873" s="5">
        <f t="shared" si="186"/>
        <v>5.904554310194321E-4</v>
      </c>
      <c r="G873" s="25" t="str">
        <f>IF(VLOOKUP(A873,Aux!B:C,2,FALSE)=0,"",VLOOKUP(A873,Aux!B:C,2,FALSE))</f>
        <v/>
      </c>
      <c r="H873" s="25" t="str">
        <f t="shared" si="175"/>
        <v/>
      </c>
      <c r="L873" s="13">
        <f t="shared" si="178"/>
        <v>110883.50153425986</v>
      </c>
      <c r="M873" s="14">
        <f t="shared" si="179"/>
        <v>444.20164011938988</v>
      </c>
      <c r="N873" s="14">
        <f t="shared" si="180"/>
        <v>35.767819981814434</v>
      </c>
      <c r="O873" s="1">
        <f t="shared" si="181"/>
        <v>2.6589347546952378</v>
      </c>
      <c r="P873" s="1">
        <f t="shared" si="182"/>
        <v>1969.5936113332061</v>
      </c>
      <c r="S873" s="6">
        <f t="shared" si="176"/>
        <v>0.45336835034985379</v>
      </c>
      <c r="T873" s="6">
        <f t="shared" si="177"/>
        <v>0.54663164965014621</v>
      </c>
      <c r="V873" s="1">
        <f t="shared" si="183"/>
        <v>112463.58098290057</v>
      </c>
      <c r="W873" s="7">
        <f t="shared" si="184"/>
        <v>4.3379876800907066E-3</v>
      </c>
      <c r="X873" s="7">
        <f t="shared" si="185"/>
        <v>3.7954384924096429E-3</v>
      </c>
      <c r="Y873">
        <f>LN(B873/B872)</f>
        <v>8.8753986702318124E-3</v>
      </c>
      <c r="Z873">
        <f>LN(C873/C872)</f>
        <v>5.9028118079937385E-4</v>
      </c>
    </row>
    <row r="874" spans="1:26" x14ac:dyDescent="0.3">
      <c r="A874" s="11">
        <v>41466</v>
      </c>
      <c r="B874" s="12">
        <v>19398.580000000002</v>
      </c>
      <c r="C874" s="12">
        <v>30.783159999999999</v>
      </c>
      <c r="D874" s="16">
        <f t="shared" si="187"/>
        <v>2.6028655798782108E-2</v>
      </c>
      <c r="E874" s="15">
        <f t="shared" si="186"/>
        <v>2.9505349956848725E-4</v>
      </c>
      <c r="G874" s="25" t="str">
        <f>IF(VLOOKUP(A874,Aux!B:C,2,FALSE)=0,"",VLOOKUP(A874,Aux!B:C,2,FALSE))</f>
        <v/>
      </c>
      <c r="H874" s="25" t="str">
        <f t="shared" si="175"/>
        <v/>
      </c>
      <c r="L874" s="13">
        <f t="shared" si="178"/>
        <v>112209.87382638383</v>
      </c>
      <c r="M874" s="14">
        <f t="shared" si="179"/>
        <v>1308.488382133075</v>
      </c>
      <c r="N874" s="14">
        <f t="shared" si="180"/>
        <v>17.883909990900218</v>
      </c>
      <c r="O874" s="1">
        <f t="shared" si="181"/>
        <v>2.6589347546952378</v>
      </c>
      <c r="P874" s="1">
        <f t="shared" si="182"/>
        <v>1969.5936113332061</v>
      </c>
      <c r="S874" s="6">
        <f t="shared" si="176"/>
        <v>0.45967040862680381</v>
      </c>
      <c r="T874" s="6">
        <f t="shared" si="177"/>
        <v>0.54032959137319636</v>
      </c>
      <c r="V874" s="1">
        <f t="shared" si="183"/>
        <v>113619.20912975099</v>
      </c>
      <c r="W874" s="7">
        <f t="shared" si="184"/>
        <v>1.1890876797669829E-2</v>
      </c>
      <c r="X874" s="7">
        <f t="shared" si="185"/>
        <v>1.0223141806311819E-2</v>
      </c>
      <c r="Y874">
        <f>LN(B874/B873)</f>
        <v>2.569567598699558E-2</v>
      </c>
      <c r="Z874">
        <f>LN(C874/C873)</f>
        <v>2.9500997984490416E-4</v>
      </c>
    </row>
    <row r="875" spans="1:26" x14ac:dyDescent="0.3">
      <c r="A875" s="9">
        <v>41467</v>
      </c>
      <c r="B875" s="1">
        <v>19144.36</v>
      </c>
      <c r="C875" s="1">
        <v>30.792809999999999</v>
      </c>
      <c r="D875" s="6">
        <f t="shared" si="187"/>
        <v>-1.3105082949370628E-2</v>
      </c>
      <c r="E875" s="5">
        <f t="shared" si="186"/>
        <v>3.1348308620682275E-4</v>
      </c>
      <c r="G875" s="25" t="str">
        <f>IF(VLOOKUP(A875,Aux!B:C,2,FALSE)=0,"",VLOOKUP(A875,Aux!B:C,2,FALSE))</f>
        <v/>
      </c>
      <c r="H875" s="25" t="str">
        <f t="shared" si="175"/>
        <v/>
      </c>
      <c r="L875" s="13">
        <f t="shared" si="178"/>
        <v>111552.92601139456</v>
      </c>
      <c r="M875" s="14">
        <f t="shared" si="179"/>
        <v>-675.95439333862646</v>
      </c>
      <c r="N875" s="14">
        <f t="shared" si="180"/>
        <v>19.006578349366627</v>
      </c>
      <c r="O875" s="1">
        <f t="shared" si="181"/>
        <v>2.6589347546952378</v>
      </c>
      <c r="P875" s="1">
        <f t="shared" si="182"/>
        <v>1969.5936113332061</v>
      </c>
      <c r="S875" s="6">
        <f t="shared" si="176"/>
        <v>0.45631796475869918</v>
      </c>
      <c r="T875" s="6">
        <f t="shared" si="177"/>
        <v>0.54368203524130099</v>
      </c>
      <c r="V875" s="1">
        <f t="shared" si="183"/>
        <v>113054.30302534136</v>
      </c>
      <c r="W875" s="7">
        <f t="shared" si="184"/>
        <v>-5.8718402076912779E-3</v>
      </c>
      <c r="X875" s="7">
        <f t="shared" si="185"/>
        <v>-4.9843254163991326E-3</v>
      </c>
      <c r="Y875">
        <f>LN(B875/B874)</f>
        <v>-1.3191712237309952E-2</v>
      </c>
      <c r="Z875">
        <f>LN(C875/C874)</f>
        <v>3.1343396065057304E-4</v>
      </c>
    </row>
    <row r="876" spans="1:26" x14ac:dyDescent="0.3">
      <c r="A876" s="11">
        <v>41470</v>
      </c>
      <c r="B876" s="12">
        <v>19458.3</v>
      </c>
      <c r="C876" s="12">
        <v>30.80247</v>
      </c>
      <c r="D876" s="16">
        <f t="shared" si="187"/>
        <v>1.6398563336669225E-2</v>
      </c>
      <c r="E876" s="15">
        <f t="shared" si="186"/>
        <v>3.1370959649357211E-4</v>
      </c>
      <c r="G876" s="25" t="str">
        <f>IF(VLOOKUP(A876,Aux!B:C,2,FALSE)=0,"",VLOOKUP(A876,Aux!B:C,2,FALSE))</f>
        <v/>
      </c>
      <c r="H876" s="25" t="str">
        <f t="shared" si="175"/>
        <v/>
      </c>
      <c r="L876" s="13">
        <f t="shared" si="178"/>
        <v>112406.69826256907</v>
      </c>
      <c r="M876" s="14">
        <f t="shared" si="179"/>
        <v>834.74597688901952</v>
      </c>
      <c r="N876" s="14">
        <f t="shared" si="180"/>
        <v>19.026274285479211</v>
      </c>
      <c r="O876" s="1">
        <f t="shared" si="181"/>
        <v>2.6589347546952378</v>
      </c>
      <c r="P876" s="1">
        <f t="shared" si="182"/>
        <v>1969.5936113332061</v>
      </c>
      <c r="S876" s="6">
        <f t="shared" si="176"/>
        <v>0.46027817680785832</v>
      </c>
      <c r="T876" s="6">
        <f t="shared" si="177"/>
        <v>0.53972182319214179</v>
      </c>
      <c r="V876" s="1">
        <f t="shared" si="183"/>
        <v>113800.18428659948</v>
      </c>
      <c r="W876" s="7">
        <f t="shared" si="184"/>
        <v>7.6243777407128495E-3</v>
      </c>
      <c r="X876" s="7">
        <f t="shared" si="185"/>
        <v>6.5758800532430836E-3</v>
      </c>
      <c r="Y876">
        <f>LN(B876/B875)</f>
        <v>1.6265558980650671E-2</v>
      </c>
      <c r="Z876">
        <f>LN(C876/C875)</f>
        <v>3.1366039992679383E-4</v>
      </c>
    </row>
    <row r="877" spans="1:26" x14ac:dyDescent="0.3">
      <c r="A877" s="9">
        <v>41471</v>
      </c>
      <c r="B877" s="1">
        <v>19538.73</v>
      </c>
      <c r="C877" s="1">
        <v>30.81212</v>
      </c>
      <c r="D877" s="6">
        <f t="shared" si="187"/>
        <v>4.1334546183375842E-3</v>
      </c>
      <c r="E877" s="5">
        <f t="shared" si="186"/>
        <v>3.1328656435669622E-4</v>
      </c>
      <c r="G877" s="25" t="str">
        <f>IF(VLOOKUP(A877,Aux!B:C,2,FALSE)=0,"",VLOOKUP(A877,Aux!B:C,2,FALSE))</f>
        <v/>
      </c>
      <c r="H877" s="25" t="str">
        <f t="shared" si="175"/>
        <v/>
      </c>
      <c r="L877" s="13">
        <f t="shared" si="178"/>
        <v>112639.56296323857</v>
      </c>
      <c r="M877" s="14">
        <f t="shared" si="179"/>
        <v>213.85812232013876</v>
      </c>
      <c r="N877" s="14">
        <f t="shared" si="180"/>
        <v>19.006578349366627</v>
      </c>
      <c r="O877" s="1">
        <f t="shared" si="181"/>
        <v>2.6589347546952378</v>
      </c>
      <c r="P877" s="1">
        <f t="shared" si="182"/>
        <v>1969.5936113332061</v>
      </c>
      <c r="S877" s="6">
        <f t="shared" si="176"/>
        <v>0.46122522933227095</v>
      </c>
      <c r="T877" s="6">
        <f t="shared" si="177"/>
        <v>0.53877477066772927</v>
      </c>
      <c r="V877" s="1">
        <f t="shared" si="183"/>
        <v>114007.3274383095</v>
      </c>
      <c r="W877" s="7">
        <f t="shared" si="184"/>
        <v>2.0694836920175765E-3</v>
      </c>
      <c r="X877" s="7">
        <f t="shared" si="185"/>
        <v>1.818581022468021E-3</v>
      </c>
      <c r="Y877">
        <f>LN(B877/B876)</f>
        <v>4.1249353626990727E-3</v>
      </c>
      <c r="Z877">
        <f>LN(C877/C876)</f>
        <v>3.1323750036811777E-4</v>
      </c>
    </row>
    <row r="878" spans="1:26" x14ac:dyDescent="0.3">
      <c r="A878" s="11">
        <v>41472</v>
      </c>
      <c r="B878" s="12">
        <v>19707.25</v>
      </c>
      <c r="C878" s="12">
        <v>30.82178</v>
      </c>
      <c r="D878" s="16">
        <f t="shared" si="187"/>
        <v>8.6249208623079276E-3</v>
      </c>
      <c r="E878" s="15">
        <f t="shared" si="186"/>
        <v>3.1351299423731938E-4</v>
      </c>
      <c r="G878" s="25" t="str">
        <f>IF(VLOOKUP(A878,Aux!B:C,2,FALSE)=0,"",VLOOKUP(A878,Aux!B:C,2,FALSE))</f>
        <v/>
      </c>
      <c r="H878" s="25" t="str">
        <f t="shared" si="175"/>
        <v/>
      </c>
      <c r="L878" s="13">
        <f t="shared" si="178"/>
        <v>113106.67292238529</v>
      </c>
      <c r="M878" s="14">
        <f t="shared" si="179"/>
        <v>448.0836848612426</v>
      </c>
      <c r="N878" s="14">
        <f t="shared" si="180"/>
        <v>19.026274285479211</v>
      </c>
      <c r="O878" s="1">
        <f t="shared" si="181"/>
        <v>2.6589347546952378</v>
      </c>
      <c r="P878" s="1">
        <f t="shared" si="182"/>
        <v>1969.5936113332061</v>
      </c>
      <c r="S878" s="6">
        <f t="shared" si="176"/>
        <v>0.46328205569644176</v>
      </c>
      <c r="T878" s="6">
        <f t="shared" si="177"/>
        <v>0.53671794430355846</v>
      </c>
      <c r="V878" s="1">
        <f t="shared" si="183"/>
        <v>114417.71967274879</v>
      </c>
      <c r="W878" s="7">
        <f t="shared" si="184"/>
        <v>4.1383691201905418E-3</v>
      </c>
      <c r="X878" s="7">
        <f t="shared" si="185"/>
        <v>3.593237091899024E-3</v>
      </c>
      <c r="Y878">
        <f>LN(B878/B877)</f>
        <v>8.5879387255642665E-3</v>
      </c>
      <c r="Z878">
        <f>LN(C878/C877)</f>
        <v>3.1346385930789919E-4</v>
      </c>
    </row>
    <row r="879" spans="1:26" x14ac:dyDescent="0.3">
      <c r="A879" s="9">
        <v>41473</v>
      </c>
      <c r="B879" s="1">
        <v>19727.78</v>
      </c>
      <c r="C879" s="1">
        <v>30.83145</v>
      </c>
      <c r="D879" s="6">
        <f t="shared" si="187"/>
        <v>1.0417485950602323E-3</v>
      </c>
      <c r="E879" s="5">
        <f t="shared" si="186"/>
        <v>3.1373918054056205E-4</v>
      </c>
      <c r="G879" s="25" t="str">
        <f>IF(VLOOKUP(A879,Aux!B:C,2,FALSE)=0,"",VLOOKUP(A879,Aux!B:C,2,FALSE))</f>
        <v/>
      </c>
      <c r="H879" s="25" t="str">
        <f t="shared" si="175"/>
        <v/>
      </c>
      <c r="L879" s="13">
        <f t="shared" si="178"/>
        <v>113180.30682312077</v>
      </c>
      <c r="M879" s="14">
        <f t="shared" si="179"/>
        <v>54.587930513890136</v>
      </c>
      <c r="N879" s="14">
        <f t="shared" si="180"/>
        <v>19.045970221591798</v>
      </c>
      <c r="O879" s="1">
        <f t="shared" si="181"/>
        <v>2.6589347546952378</v>
      </c>
      <c r="P879" s="1">
        <f t="shared" si="182"/>
        <v>1969.5936113332061</v>
      </c>
      <c r="S879" s="6">
        <f t="shared" si="176"/>
        <v>0.463462958772135</v>
      </c>
      <c r="T879" s="6">
        <f t="shared" si="177"/>
        <v>0.53653704122786516</v>
      </c>
      <c r="V879" s="1">
        <f t="shared" si="183"/>
        <v>114486.71617179483</v>
      </c>
      <c r="W879" s="7">
        <f t="shared" si="184"/>
        <v>6.5080106170694544E-4</v>
      </c>
      <c r="X879" s="7">
        <f t="shared" si="185"/>
        <v>6.0284110162409771E-4</v>
      </c>
      <c r="Y879">
        <f>LN(B879/B878)</f>
        <v>1.0412063515475147E-3</v>
      </c>
      <c r="Z879">
        <f>LN(C879/C878)</f>
        <v>3.1368997469545756E-4</v>
      </c>
    </row>
    <row r="880" spans="1:26" x14ac:dyDescent="0.3">
      <c r="A880" s="11">
        <v>41474</v>
      </c>
      <c r="B880" s="12">
        <v>19578.75</v>
      </c>
      <c r="C880" s="12">
        <v>30.84111</v>
      </c>
      <c r="D880" s="16">
        <f t="shared" si="187"/>
        <v>-7.5543218750411256E-3</v>
      </c>
      <c r="E880" s="15">
        <f t="shared" si="186"/>
        <v>3.1331643500398521E-4</v>
      </c>
      <c r="G880" s="25" t="str">
        <f>IF(VLOOKUP(A880,Aux!B:C,2,FALSE)=0,"",VLOOKUP(A880,Aux!B:C,2,FALSE))</f>
        <v/>
      </c>
      <c r="H880" s="25" t="str">
        <f t="shared" si="175"/>
        <v/>
      </c>
      <c r="L880" s="13">
        <f t="shared" si="178"/>
        <v>112803.07205091402</v>
      </c>
      <c r="M880" s="14">
        <f t="shared" si="179"/>
        <v>-396.26104649222816</v>
      </c>
      <c r="N880" s="14">
        <f t="shared" si="180"/>
        <v>19.026274285479211</v>
      </c>
      <c r="O880" s="1">
        <f t="shared" si="181"/>
        <v>2.6589347546952378</v>
      </c>
      <c r="P880" s="1">
        <f t="shared" si="182"/>
        <v>1969.5936113332061</v>
      </c>
      <c r="S880" s="6">
        <f t="shared" si="176"/>
        <v>0.46150000954754639</v>
      </c>
      <c r="T880" s="6">
        <f t="shared" si="177"/>
        <v>0.53849999045245378</v>
      </c>
      <c r="V880" s="1">
        <f t="shared" si="183"/>
        <v>114164.5094482757</v>
      </c>
      <c r="W880" s="7">
        <f t="shared" si="184"/>
        <v>-3.3386094542380311E-3</v>
      </c>
      <c r="X880" s="7">
        <f t="shared" si="185"/>
        <v>-2.8183267849835924E-3</v>
      </c>
      <c r="Y880">
        <f>LN(B880/B879)</f>
        <v>-7.5830002864618936E-3</v>
      </c>
      <c r="Z880">
        <f>LN(C880/C879)</f>
        <v>3.1326736165981933E-4</v>
      </c>
    </row>
    <row r="881" spans="1:26" x14ac:dyDescent="0.3">
      <c r="A881" s="9">
        <v>41477</v>
      </c>
      <c r="B881" s="1">
        <v>19960.150000000001</v>
      </c>
      <c r="C881" s="1">
        <v>30.85078</v>
      </c>
      <c r="D881" s="6">
        <f t="shared" si="187"/>
        <v>1.9480303900913043E-2</v>
      </c>
      <c r="E881" s="5">
        <f t="shared" si="186"/>
        <v>3.1354254110826929E-4</v>
      </c>
      <c r="G881" s="25" t="str">
        <f>IF(VLOOKUP(A881,Aux!B:C,2,FALSE)=0,"",VLOOKUP(A881,Aux!B:C,2,FALSE))</f>
        <v/>
      </c>
      <c r="H881" s="25" t="str">
        <f t="shared" si="175"/>
        <v/>
      </c>
      <c r="L881" s="13">
        <f t="shared" si="178"/>
        <v>113836.23573657637</v>
      </c>
      <c r="M881" s="14">
        <f t="shared" si="179"/>
        <v>1014.1177154407676</v>
      </c>
      <c r="N881" s="14">
        <f t="shared" si="180"/>
        <v>19.045970221591798</v>
      </c>
      <c r="O881" s="1">
        <f t="shared" si="181"/>
        <v>2.6589347546952378</v>
      </c>
      <c r="P881" s="1">
        <f t="shared" si="182"/>
        <v>1969.5936113332061</v>
      </c>
      <c r="S881" s="6">
        <f t="shared" si="176"/>
        <v>0.466220059021835</v>
      </c>
      <c r="T881" s="6">
        <f t="shared" si="177"/>
        <v>0.53377994097816528</v>
      </c>
      <c r="V881" s="1">
        <f t="shared" si="183"/>
        <v>115066.04566062186</v>
      </c>
      <c r="W881" s="7">
        <f t="shared" si="184"/>
        <v>9.1173137844870848E-3</v>
      </c>
      <c r="X881" s="7">
        <f t="shared" si="185"/>
        <v>7.8658000906073194E-3</v>
      </c>
      <c r="Y881">
        <f>LN(B881/B880)</f>
        <v>1.9292991474405642E-2</v>
      </c>
      <c r="Z881">
        <f>LN(C881/C880)</f>
        <v>3.1349339691798814E-4</v>
      </c>
    </row>
    <row r="882" spans="1:26" x14ac:dyDescent="0.3">
      <c r="A882" s="11">
        <v>41478</v>
      </c>
      <c r="B882" s="12">
        <v>20092.27</v>
      </c>
      <c r="C882" s="12">
        <v>30.86046</v>
      </c>
      <c r="D882" s="16">
        <f t="shared" si="187"/>
        <v>6.6191887335516064E-3</v>
      </c>
      <c r="E882" s="15">
        <f t="shared" si="186"/>
        <v>3.1376840391073024E-4</v>
      </c>
      <c r="G882" s="25" t="str">
        <f>IF(VLOOKUP(A882,Aux!B:C,2,FALSE)=0,"",VLOOKUP(A882,Aux!B:C,2,FALSE))</f>
        <v/>
      </c>
      <c r="H882" s="25" t="str">
        <f t="shared" si="175"/>
        <v/>
      </c>
      <c r="L882" s="13">
        <f t="shared" si="178"/>
        <v>114206.59986252441</v>
      </c>
      <c r="M882" s="14">
        <f t="shared" si="179"/>
        <v>351.29845979033212</v>
      </c>
      <c r="N882" s="14">
        <f t="shared" si="180"/>
        <v>19.065666157704385</v>
      </c>
      <c r="O882" s="1">
        <f t="shared" si="181"/>
        <v>2.6589347546952378</v>
      </c>
      <c r="P882" s="1">
        <f t="shared" si="182"/>
        <v>1969.5936113332061</v>
      </c>
      <c r="S882" s="6">
        <f t="shared" si="176"/>
        <v>0.46778413040953309</v>
      </c>
      <c r="T882" s="6">
        <f t="shared" si="177"/>
        <v>0.53221586959046718</v>
      </c>
      <c r="V882" s="1">
        <f t="shared" si="183"/>
        <v>115392.50656443159</v>
      </c>
      <c r="W882" s="7">
        <f t="shared" si="184"/>
        <v>3.2482007216907251E-3</v>
      </c>
      <c r="X882" s="7">
        <f t="shared" si="185"/>
        <v>2.8331439126459126E-3</v>
      </c>
      <c r="Y882">
        <f>LN(B882/B881)</f>
        <v>6.5973780967183357E-3</v>
      </c>
      <c r="Z882">
        <f>LN(C882/C881)</f>
        <v>3.1371918889955844E-4</v>
      </c>
    </row>
    <row r="883" spans="1:26" x14ac:dyDescent="0.3">
      <c r="A883" s="9">
        <v>41479</v>
      </c>
      <c r="B883" s="1">
        <v>19951.59</v>
      </c>
      <c r="C883" s="1">
        <v>30.87013</v>
      </c>
      <c r="D883" s="6">
        <f t="shared" si="187"/>
        <v>-7.0016976678095588E-3</v>
      </c>
      <c r="E883" s="5">
        <f t="shared" si="186"/>
        <v>3.1334594494047963E-4</v>
      </c>
      <c r="G883" s="25" t="str">
        <f>IF(VLOOKUP(A883,Aux!B:C,2,FALSE)=0,"",VLOOKUP(A883,Aux!B:C,2,FALSE))</f>
        <v/>
      </c>
      <c r="H883" s="25" t="str">
        <f t="shared" si="175"/>
        <v/>
      </c>
      <c r="L883" s="13">
        <f t="shared" si="178"/>
        <v>113851.58689145547</v>
      </c>
      <c r="M883" s="14">
        <f t="shared" si="179"/>
        <v>-374.05894129052683</v>
      </c>
      <c r="N883" s="14">
        <f t="shared" si="180"/>
        <v>19.045970221591798</v>
      </c>
      <c r="O883" s="1">
        <f t="shared" si="181"/>
        <v>2.6589347546952378</v>
      </c>
      <c r="P883" s="1">
        <f t="shared" si="182"/>
        <v>1969.5936113332061</v>
      </c>
      <c r="S883" s="6">
        <f t="shared" si="176"/>
        <v>0.46595728272990233</v>
      </c>
      <c r="T883" s="6">
        <f t="shared" si="177"/>
        <v>0.53404271727009789</v>
      </c>
      <c r="V883" s="1">
        <f t="shared" si="183"/>
        <v>115089.58595432165</v>
      </c>
      <c r="W883" s="7">
        <f t="shared" si="184"/>
        <v>-3.1133568400534741E-3</v>
      </c>
      <c r="X883" s="7">
        <f t="shared" si="185"/>
        <v>-2.6285841231095675E-3</v>
      </c>
      <c r="Y883">
        <f>LN(B883/B882)</f>
        <v>-7.0263245736822411E-3</v>
      </c>
      <c r="Z883">
        <f>LN(C883/C882)</f>
        <v>3.1329686235282648E-4</v>
      </c>
    </row>
    <row r="884" spans="1:26" x14ac:dyDescent="0.3">
      <c r="A884" s="11">
        <v>41480</v>
      </c>
      <c r="B884" s="12">
        <v>20125.77</v>
      </c>
      <c r="C884" s="12">
        <v>30.879809999999999</v>
      </c>
      <c r="D884" s="16">
        <f t="shared" si="187"/>
        <v>8.7301312827698929E-3</v>
      </c>
      <c r="E884" s="15">
        <f t="shared" si="186"/>
        <v>3.1357172775114961E-4</v>
      </c>
      <c r="G884" s="25" t="str">
        <f>IF(VLOOKUP(A884,Aux!B:C,2,FALSE)=0,"",VLOOKUP(A884,Aux!B:C,2,FALSE))</f>
        <v/>
      </c>
      <c r="H884" s="25" t="str">
        <f t="shared" si="175"/>
        <v/>
      </c>
      <c r="L884" s="13">
        <f t="shared" si="178"/>
        <v>114333.785813186</v>
      </c>
      <c r="M884" s="14">
        <f t="shared" si="179"/>
        <v>463.13325557281729</v>
      </c>
      <c r="N884" s="14">
        <f t="shared" si="180"/>
        <v>19.065666157704385</v>
      </c>
      <c r="O884" s="1">
        <f t="shared" si="181"/>
        <v>2.6589347546952378</v>
      </c>
      <c r="P884" s="1">
        <f t="shared" si="182"/>
        <v>1969.5936113332061</v>
      </c>
      <c r="S884" s="6">
        <f t="shared" si="176"/>
        <v>0.46804283560976218</v>
      </c>
      <c r="T884" s="6">
        <f t="shared" si="177"/>
        <v>0.5319571643902381</v>
      </c>
      <c r="V884" s="1">
        <f t="shared" si="183"/>
        <v>115513.08074939804</v>
      </c>
      <c r="W884" s="7">
        <f t="shared" si="184"/>
        <v>4.2263851865813945E-3</v>
      </c>
      <c r="X884" s="7">
        <f t="shared" si="185"/>
        <v>3.6729433985013653E-3</v>
      </c>
      <c r="Y884">
        <f>LN(B884/B883)</f>
        <v>8.6922440340874065E-3</v>
      </c>
      <c r="Z884">
        <f>LN(C884/C883)</f>
        <v>3.1352257441205703E-4</v>
      </c>
    </row>
    <row r="885" spans="1:26" x14ac:dyDescent="0.3">
      <c r="A885" s="9">
        <v>41481</v>
      </c>
      <c r="B885" s="1">
        <v>20153.62</v>
      </c>
      <c r="C885" s="1">
        <v>30.889489999999999</v>
      </c>
      <c r="D885" s="6">
        <f t="shared" si="187"/>
        <v>1.3837979863626781E-3</v>
      </c>
      <c r="E885" s="5">
        <f t="shared" si="186"/>
        <v>3.134734313454679E-4</v>
      </c>
      <c r="G885" s="25" t="str">
        <f>IF(VLOOKUP(A885,Aux!B:C,2,FALSE)=0,"",VLOOKUP(A885,Aux!B:C,2,FALSE))</f>
        <v/>
      </c>
      <c r="H885" s="25" t="str">
        <f t="shared" si="175"/>
        <v/>
      </c>
      <c r="L885" s="13">
        <f t="shared" si="178"/>
        <v>114426.90281226196</v>
      </c>
      <c r="M885" s="14">
        <f t="shared" si="179"/>
        <v>74.05133291825851</v>
      </c>
      <c r="N885" s="14">
        <f t="shared" si="180"/>
        <v>19.065666157704385</v>
      </c>
      <c r="O885" s="1">
        <f t="shared" si="181"/>
        <v>2.6589347546952378</v>
      </c>
      <c r="P885" s="1">
        <f t="shared" si="182"/>
        <v>1969.5936113332061</v>
      </c>
      <c r="S885" s="6">
        <f t="shared" si="176"/>
        <v>0.46830910680891596</v>
      </c>
      <c r="T885" s="6">
        <f t="shared" si="177"/>
        <v>0.5316908931910842</v>
      </c>
      <c r="V885" s="1">
        <f t="shared" si="183"/>
        <v>115598.98711582363</v>
      </c>
      <c r="W885" s="7">
        <f t="shared" si="184"/>
        <v>8.1409970199255012E-4</v>
      </c>
      <c r="X885" s="7">
        <f t="shared" si="185"/>
        <v>7.4341743532134095E-4</v>
      </c>
      <c r="Y885">
        <f>LN(B885/B884)</f>
        <v>1.3828414202902632E-3</v>
      </c>
      <c r="Z885">
        <f>LN(C885/C884)</f>
        <v>3.1342430881485886E-4</v>
      </c>
    </row>
    <row r="886" spans="1:26" x14ac:dyDescent="0.3">
      <c r="A886" s="11">
        <v>41484</v>
      </c>
      <c r="B886" s="12">
        <v>20059.09</v>
      </c>
      <c r="C886" s="12">
        <v>30.899180000000001</v>
      </c>
      <c r="D886" s="16">
        <f t="shared" si="187"/>
        <v>-4.6904724808743969E-3</v>
      </c>
      <c r="E886" s="15">
        <f t="shared" si="186"/>
        <v>3.1369893125465786E-4</v>
      </c>
      <c r="G886" s="25" t="str">
        <f>IF(VLOOKUP(A886,Aux!B:C,2,FALSE)=0,"",VLOOKUP(A886,Aux!B:C,2,FALSE))</f>
        <v/>
      </c>
      <c r="H886" s="25" t="str">
        <f t="shared" si="175"/>
        <v/>
      </c>
      <c r="L886" s="13">
        <f t="shared" si="178"/>
        <v>114194.63907199446</v>
      </c>
      <c r="M886" s="14">
        <f t="shared" si="179"/>
        <v>-251.34910236133774</v>
      </c>
      <c r="N886" s="14">
        <f t="shared" si="180"/>
        <v>19.085362093823967</v>
      </c>
      <c r="O886" s="1">
        <f t="shared" si="181"/>
        <v>2.6589347546952378</v>
      </c>
      <c r="P886" s="1">
        <f t="shared" si="182"/>
        <v>1969.5936113332061</v>
      </c>
      <c r="S886" s="6">
        <f t="shared" si="176"/>
        <v>0.46706055539904923</v>
      </c>
      <c r="T886" s="6">
        <f t="shared" si="177"/>
        <v>0.532939444600951</v>
      </c>
      <c r="V886" s="1">
        <f t="shared" si="183"/>
        <v>115402.58091269857</v>
      </c>
      <c r="W886" s="7">
        <f t="shared" si="184"/>
        <v>-2.0318629492303178E-3</v>
      </c>
      <c r="X886" s="7">
        <f t="shared" si="185"/>
        <v>-1.7004754740749892E-3</v>
      </c>
      <c r="Y886">
        <f>LN(B886/B885)</f>
        <v>-4.7015072660131288E-3</v>
      </c>
      <c r="Z886">
        <f>LN(C886/C885)</f>
        <v>3.1364973803256127E-4</v>
      </c>
    </row>
    <row r="887" spans="1:26" x14ac:dyDescent="0.3">
      <c r="A887" s="9">
        <v>41485</v>
      </c>
      <c r="B887" s="1">
        <v>19910.68</v>
      </c>
      <c r="C887" s="1">
        <v>30.908860000000001</v>
      </c>
      <c r="D887" s="6">
        <f t="shared" si="187"/>
        <v>-7.3986407160046008E-3</v>
      </c>
      <c r="E887" s="5">
        <f t="shared" si="186"/>
        <v>3.1327692191185363E-4</v>
      </c>
      <c r="G887" s="25" t="str">
        <f>IF(VLOOKUP(A887,Aux!B:C,2,FALSE)=0,"",VLOOKUP(A887,Aux!B:C,2,FALSE))</f>
        <v/>
      </c>
      <c r="H887" s="25" t="str">
        <f t="shared" si="175"/>
        <v/>
      </c>
      <c r="L887" s="13">
        <f t="shared" si="178"/>
        <v>113819.09223120785</v>
      </c>
      <c r="M887" s="14">
        <f t="shared" si="179"/>
        <v>-394.61250694431988</v>
      </c>
      <c r="N887" s="14">
        <f t="shared" si="180"/>
        <v>19.065666157704385</v>
      </c>
      <c r="O887" s="1">
        <f t="shared" si="181"/>
        <v>2.6589347546952378</v>
      </c>
      <c r="P887" s="1">
        <f t="shared" si="182"/>
        <v>1969.5936113332061</v>
      </c>
      <c r="S887" s="6">
        <f t="shared" si="176"/>
        <v>0.46513460970214565</v>
      </c>
      <c r="T887" s="6">
        <f t="shared" si="177"/>
        <v>0.53486539029785451</v>
      </c>
      <c r="V887" s="1">
        <f t="shared" si="183"/>
        <v>115081.8492935164</v>
      </c>
      <c r="W887" s="7">
        <f t="shared" si="184"/>
        <v>-3.2940751263197802E-3</v>
      </c>
      <c r="X887" s="7">
        <f t="shared" si="185"/>
        <v>-2.78311056342975E-3</v>
      </c>
      <c r="Y887">
        <f>LN(B887/B886)</f>
        <v>-7.4261464120479962E-3</v>
      </c>
      <c r="Z887">
        <f>LN(C887/C886)</f>
        <v>3.1322786094313109E-4</v>
      </c>
    </row>
    <row r="888" spans="1:26" x14ac:dyDescent="0.3">
      <c r="A888" s="11">
        <v>41486</v>
      </c>
      <c r="B888" s="12">
        <v>19900.2</v>
      </c>
      <c r="C888" s="12">
        <v>30.918559999999999</v>
      </c>
      <c r="D888" s="16">
        <f t="shared" si="187"/>
        <v>-5.2635068214645919E-4</v>
      </c>
      <c r="E888" s="15">
        <f t="shared" si="186"/>
        <v>3.138258738755173E-4</v>
      </c>
      <c r="G888" s="25" t="str">
        <f>IF(VLOOKUP(A888,Aux!B:C,2,FALSE)=0,"",VLOOKUP(A888,Aux!B:C,2,FALSE))</f>
        <v/>
      </c>
      <c r="H888" s="25" t="str">
        <f t="shared" si="175"/>
        <v/>
      </c>
      <c r="L888" s="13">
        <f t="shared" si="178"/>
        <v>113810.33165300857</v>
      </c>
      <c r="M888" s="14">
        <f t="shared" si="179"/>
        <v>-27.865636229204931</v>
      </c>
      <c r="N888" s="14">
        <f t="shared" si="180"/>
        <v>19.105058029929559</v>
      </c>
      <c r="O888" s="1">
        <f t="shared" si="181"/>
        <v>2.6589347546952378</v>
      </c>
      <c r="P888" s="1">
        <f t="shared" si="182"/>
        <v>1969.5936113332061</v>
      </c>
      <c r="S888" s="6">
        <f t="shared" si="176"/>
        <v>0.46492557078834773</v>
      </c>
      <c r="T888" s="6">
        <f t="shared" si="177"/>
        <v>0.53507442921165238</v>
      </c>
      <c r="V888" s="1">
        <f t="shared" si="183"/>
        <v>115079.37175180066</v>
      </c>
      <c r="W888" s="7">
        <f t="shared" si="184"/>
        <v>-7.6972282880808141E-5</v>
      </c>
      <c r="X888" s="7">
        <f t="shared" si="185"/>
        <v>-2.1528750191488819E-5</v>
      </c>
      <c r="Y888">
        <f>LN(B888/B887)</f>
        <v>-5.2648925329356916E-4</v>
      </c>
      <c r="Z888">
        <f>LN(C888/C887)</f>
        <v>3.1377664083609218E-4</v>
      </c>
    </row>
    <row r="889" spans="1:26" x14ac:dyDescent="0.3">
      <c r="A889" s="9">
        <v>41487</v>
      </c>
      <c r="B889" s="1">
        <v>20280.43</v>
      </c>
      <c r="C889" s="1">
        <v>30.928249999999998</v>
      </c>
      <c r="D889" s="6">
        <f t="shared" si="187"/>
        <v>1.910684314730493E-2</v>
      </c>
      <c r="E889" s="5">
        <f t="shared" si="186"/>
        <v>3.1340398776658063E-4</v>
      </c>
      <c r="G889" s="25" t="str">
        <f>IF(VLOOKUP(A889,Aux!B:C,2,FALSE)=0,"",VLOOKUP(A889,Aux!B:C,2,FALSE))</f>
        <v/>
      </c>
      <c r="H889" s="25" t="str">
        <f t="shared" si="175"/>
        <v/>
      </c>
      <c r="L889" s="13">
        <f t="shared" si="178"/>
        <v>114840.42377688015</v>
      </c>
      <c r="M889" s="14">
        <f t="shared" si="179"/>
        <v>1011.006761777769</v>
      </c>
      <c r="N889" s="14">
        <f t="shared" si="180"/>
        <v>19.085362093816972</v>
      </c>
      <c r="O889" s="1">
        <f t="shared" si="181"/>
        <v>2.6589347546952378</v>
      </c>
      <c r="P889" s="1">
        <f t="shared" si="182"/>
        <v>1969.5936113332061</v>
      </c>
      <c r="S889" s="6">
        <f t="shared" si="176"/>
        <v>0.46955887477332764</v>
      </c>
      <c r="T889" s="6">
        <f t="shared" si="177"/>
        <v>0.53044112522667253</v>
      </c>
      <c r="V889" s="1">
        <f t="shared" si="183"/>
        <v>115978.25347586922</v>
      </c>
      <c r="W889" s="7">
        <f t="shared" si="184"/>
        <v>9.0102400132335263E-3</v>
      </c>
      <c r="X889" s="7">
        <f t="shared" si="185"/>
        <v>7.7806240577004381E-3</v>
      </c>
      <c r="Y889">
        <f>LN(B889/B888)</f>
        <v>1.8926599722817548E-2</v>
      </c>
      <c r="Z889">
        <f>LN(C889/C888)</f>
        <v>3.1335488699545707E-4</v>
      </c>
    </row>
    <row r="890" spans="1:26" x14ac:dyDescent="0.3">
      <c r="A890" s="11">
        <v>41488</v>
      </c>
      <c r="B890" s="12">
        <v>20119.759999999998</v>
      </c>
      <c r="C890" s="12">
        <v>30.93796</v>
      </c>
      <c r="D890" s="16">
        <f t="shared" si="187"/>
        <v>-7.9224158462124494E-3</v>
      </c>
      <c r="E890" s="15">
        <f t="shared" si="186"/>
        <v>3.1395245447130016E-4</v>
      </c>
      <c r="G890" s="25" t="str">
        <f>IF(VLOOKUP(A890,Aux!B:C,2,FALSE)=0,"",VLOOKUP(A890,Aux!B:C,2,FALSE))</f>
        <v/>
      </c>
      <c r="H890" s="25" t="str">
        <f t="shared" si="175"/>
        <v/>
      </c>
      <c r="L890" s="13">
        <f t="shared" si="178"/>
        <v>114432.33748380932</v>
      </c>
      <c r="M890" s="14">
        <f t="shared" si="179"/>
        <v>-427.21104703688889</v>
      </c>
      <c r="N890" s="14">
        <f t="shared" si="180"/>
        <v>19.124753966049141</v>
      </c>
      <c r="O890" s="1">
        <f t="shared" si="181"/>
        <v>2.6589347546952378</v>
      </c>
      <c r="P890" s="1">
        <f t="shared" si="182"/>
        <v>1969.5936113332061</v>
      </c>
      <c r="S890" s="6">
        <f t="shared" si="176"/>
        <v>0.46750009915419405</v>
      </c>
      <c r="T890" s="6">
        <f t="shared" si="177"/>
        <v>0.53249990084580612</v>
      </c>
      <c r="V890" s="1">
        <f t="shared" si="183"/>
        <v>115629.3047218038</v>
      </c>
      <c r="W890" s="7">
        <f t="shared" si="184"/>
        <v>-3.5598360815359813E-3</v>
      </c>
      <c r="X890" s="7">
        <f t="shared" si="185"/>
        <v>-3.0132783300705866E-3</v>
      </c>
      <c r="Y890">
        <f>LN(B890/B889)</f>
        <v>-7.9539649230466226E-3</v>
      </c>
      <c r="Z890">
        <f>LN(C890/C889)</f>
        <v>3.1390318171206524E-4</v>
      </c>
    </row>
    <row r="891" spans="1:26" x14ac:dyDescent="0.3">
      <c r="A891" s="9">
        <v>41491</v>
      </c>
      <c r="B891" s="1">
        <v>20026.13</v>
      </c>
      <c r="C891" s="1">
        <v>30.947669999999999</v>
      </c>
      <c r="D891" s="6">
        <f t="shared" si="187"/>
        <v>-4.6536340393721343E-3</v>
      </c>
      <c r="E891" s="5">
        <f t="shared" si="186"/>
        <v>3.138539192628631E-4</v>
      </c>
      <c r="G891" s="25" t="str">
        <f>IF(VLOOKUP(A891,Aux!B:C,2,FALSE)=0,"",VLOOKUP(A891,Aux!B:C,2,FALSE))</f>
        <v/>
      </c>
      <c r="H891" s="25" t="str">
        <f t="shared" si="175"/>
        <v/>
      </c>
      <c r="L891" s="13">
        <f t="shared" si="178"/>
        <v>114202.50617669325</v>
      </c>
      <c r="M891" s="14">
        <f t="shared" si="179"/>
        <v>-248.95606108210814</v>
      </c>
      <c r="N891" s="14">
        <f t="shared" si="180"/>
        <v>19.124753966042146</v>
      </c>
      <c r="O891" s="1">
        <f t="shared" si="181"/>
        <v>2.6589347546952378</v>
      </c>
      <c r="P891" s="1">
        <f t="shared" si="182"/>
        <v>1969.5936113332061</v>
      </c>
      <c r="S891" s="6">
        <f t="shared" si="176"/>
        <v>0.46626098534702709</v>
      </c>
      <c r="T891" s="6">
        <f t="shared" si="177"/>
        <v>0.53373901465297302</v>
      </c>
      <c r="V891" s="1">
        <f t="shared" si="183"/>
        <v>115435.01959281013</v>
      </c>
      <c r="W891" s="7">
        <f t="shared" si="184"/>
        <v>-2.0104668286845596E-3</v>
      </c>
      <c r="X891" s="7">
        <f t="shared" si="185"/>
        <v>-1.6816544514681297E-3</v>
      </c>
      <c r="Y891">
        <f>LN(B891/B890)</f>
        <v>-4.6644959054589217E-3</v>
      </c>
      <c r="Z891">
        <f>LN(C891/C890)</f>
        <v>3.1380467742443799E-4</v>
      </c>
    </row>
    <row r="892" spans="1:26" x14ac:dyDescent="0.3">
      <c r="A892" s="11">
        <v>41492</v>
      </c>
      <c r="B892" s="12">
        <v>19655.32</v>
      </c>
      <c r="C892" s="12">
        <v>30.957370000000001</v>
      </c>
      <c r="D892" s="16">
        <f t="shared" si="187"/>
        <v>-1.8516308443019214E-2</v>
      </c>
      <c r="E892" s="15">
        <f t="shared" si="186"/>
        <v>3.1343231978375741E-4</v>
      </c>
      <c r="G892" s="25" t="str">
        <f>IF(VLOOKUP(A892,Aux!B:C,2,FALSE)=0,"",VLOOKUP(A892,Aux!B:C,2,FALSE))</f>
        <v/>
      </c>
      <c r="H892" s="25" t="str">
        <f t="shared" si="175"/>
        <v/>
      </c>
      <c r="L892" s="13">
        <f t="shared" si="178"/>
        <v>113235.65163833463</v>
      </c>
      <c r="M892" s="14">
        <f t="shared" si="179"/>
        <v>-985.95959638854458</v>
      </c>
      <c r="N892" s="14">
        <f t="shared" si="180"/>
        <v>19.105058029936554</v>
      </c>
      <c r="O892" s="1">
        <f t="shared" si="181"/>
        <v>2.6589347546952378</v>
      </c>
      <c r="P892" s="1">
        <f t="shared" si="182"/>
        <v>1969.5936113332061</v>
      </c>
      <c r="S892" s="6">
        <f t="shared" si="176"/>
        <v>0.46153497336313848</v>
      </c>
      <c r="T892" s="6">
        <f t="shared" si="177"/>
        <v>0.5384650266368618</v>
      </c>
      <c r="V892" s="1">
        <f t="shared" si="183"/>
        <v>114601.24813668354</v>
      </c>
      <c r="W892" s="7">
        <f t="shared" si="184"/>
        <v>-8.5021825000688583E-3</v>
      </c>
      <c r="X892" s="7">
        <f t="shared" si="185"/>
        <v>-7.2490752481250385E-3</v>
      </c>
      <c r="Y892">
        <f>LN(B892/B891)</f>
        <v>-1.8689881239650763E-2</v>
      </c>
      <c r="Z892">
        <f>LN(C892/C891)</f>
        <v>3.1338321013564752E-4</v>
      </c>
    </row>
    <row r="893" spans="1:26" x14ac:dyDescent="0.3">
      <c r="A893" s="9">
        <v>41493</v>
      </c>
      <c r="B893" s="1">
        <v>19660.669999999998</v>
      </c>
      <c r="C893" s="1">
        <v>30.967079999999999</v>
      </c>
      <c r="D893" s="6">
        <f t="shared" si="187"/>
        <v>2.721909386362853E-4</v>
      </c>
      <c r="E893" s="5">
        <f t="shared" si="186"/>
        <v>3.1365713560282948E-4</v>
      </c>
      <c r="G893" s="25" t="str">
        <f>IF(VLOOKUP(A893,Aux!B:C,2,FALSE)=0,"",VLOOKUP(A893,Aux!B:C,2,FALSE))</f>
        <v/>
      </c>
      <c r="H893" s="25" t="str">
        <f t="shared" si="175"/>
        <v/>
      </c>
      <c r="L893" s="13">
        <f t="shared" si="178"/>
        <v>113269.00169323829</v>
      </c>
      <c r="M893" s="14">
        <f t="shared" si="179"/>
        <v>14.225300937615653</v>
      </c>
      <c r="N893" s="14">
        <f t="shared" si="180"/>
        <v>19.124753966042146</v>
      </c>
      <c r="O893" s="1">
        <f t="shared" si="181"/>
        <v>2.6589347546952378</v>
      </c>
      <c r="P893" s="1">
        <f t="shared" si="182"/>
        <v>1969.5936113332061</v>
      </c>
      <c r="S893" s="6">
        <f t="shared" si="176"/>
        <v>0.46152467119973489</v>
      </c>
      <c r="T893" s="6">
        <f t="shared" si="177"/>
        <v>0.53847532880026538</v>
      </c>
      <c r="V893" s="1">
        <f t="shared" si="183"/>
        <v>114635.31333002877</v>
      </c>
      <c r="W893" s="7">
        <f t="shared" si="184"/>
        <v>2.9447567327303844E-4</v>
      </c>
      <c r="X893" s="7">
        <f t="shared" si="185"/>
        <v>2.9720558865507573E-4</v>
      </c>
      <c r="Y893">
        <f>LN(B893/B892)</f>
        <v>2.7215390140339449E-4</v>
      </c>
      <c r="Z893">
        <f>LN(C893/C892)</f>
        <v>3.1360795548699961E-4</v>
      </c>
    </row>
    <row r="894" spans="1:26" x14ac:dyDescent="0.3">
      <c r="A894" s="11">
        <v>41494</v>
      </c>
      <c r="B894" s="12">
        <v>20118.55</v>
      </c>
      <c r="C894" s="12">
        <v>30.976790000000001</v>
      </c>
      <c r="D894" s="16">
        <f t="shared" si="187"/>
        <v>2.3289135110858394E-2</v>
      </c>
      <c r="E894" s="15">
        <f t="shared" si="186"/>
        <v>3.1355878565242357E-4</v>
      </c>
      <c r="G894" s="25" t="str">
        <f>IF(VLOOKUP(A894,Aux!B:C,2,FALSE)=0,"",VLOOKUP(A894,Aux!B:C,2,FALSE))</f>
        <v/>
      </c>
      <c r="H894" s="25" t="str">
        <f t="shared" si="175"/>
        <v/>
      </c>
      <c r="L894" s="13">
        <f t="shared" si="178"/>
        <v>114505.5994926842</v>
      </c>
      <c r="M894" s="14">
        <f t="shared" si="179"/>
        <v>1217.4730454798582</v>
      </c>
      <c r="N894" s="14">
        <f t="shared" si="180"/>
        <v>19.124753966049141</v>
      </c>
      <c r="O894" s="1">
        <f t="shared" si="181"/>
        <v>2.6589347546952378</v>
      </c>
      <c r="P894" s="1">
        <f t="shared" si="182"/>
        <v>1969.5936113332061</v>
      </c>
      <c r="S894" s="6">
        <f t="shared" si="176"/>
        <v>0.46717288976327848</v>
      </c>
      <c r="T894" s="6">
        <f t="shared" si="177"/>
        <v>0.53282711023672169</v>
      </c>
      <c r="V894" s="1">
        <f t="shared" si="183"/>
        <v>115713.38106295813</v>
      </c>
      <c r="W894" s="7">
        <f t="shared" si="184"/>
        <v>1.0858190005266909E-2</v>
      </c>
      <c r="X894" s="7">
        <f t="shared" si="185"/>
        <v>9.3603795511326537E-3</v>
      </c>
      <c r="Y894">
        <f>LN(B894/B893)</f>
        <v>2.3022081552846699E-2</v>
      </c>
      <c r="Z894">
        <f>LN(C894/C893)</f>
        <v>3.1350963637025137E-4</v>
      </c>
    </row>
    <row r="895" spans="1:26" x14ac:dyDescent="0.3">
      <c r="A895" s="9">
        <v>41495</v>
      </c>
      <c r="B895" s="1">
        <v>20370.88</v>
      </c>
      <c r="C895" s="1">
        <v>30.986499999999999</v>
      </c>
      <c r="D895" s="6">
        <f t="shared" si="187"/>
        <v>1.2542156368128055E-2</v>
      </c>
      <c r="E895" s="5">
        <f t="shared" si="186"/>
        <v>3.1346049735936354E-4</v>
      </c>
      <c r="G895" s="25" t="str">
        <f>IF(VLOOKUP(A895,Aux!B:C,2,FALSE)=0,"",VLOOKUP(A895,Aux!B:C,2,FALSE))</f>
        <v/>
      </c>
      <c r="H895" s="25" t="str">
        <f t="shared" si="175"/>
        <v/>
      </c>
      <c r="L895" s="13">
        <f t="shared" si="178"/>
        <v>115195.65325330249</v>
      </c>
      <c r="M895" s="14">
        <f t="shared" si="179"/>
        <v>670.92900665225397</v>
      </c>
      <c r="N895" s="14">
        <f t="shared" si="180"/>
        <v>19.124753966042146</v>
      </c>
      <c r="O895" s="1">
        <f t="shared" si="181"/>
        <v>2.6589347546952378</v>
      </c>
      <c r="P895" s="1">
        <f t="shared" si="182"/>
        <v>1969.5936113332061</v>
      </c>
      <c r="S895" s="6">
        <f t="shared" si="176"/>
        <v>0.47019865147709733</v>
      </c>
      <c r="T895" s="6">
        <f t="shared" si="177"/>
        <v>0.52980134852290295</v>
      </c>
      <c r="V895" s="1">
        <f t="shared" si="183"/>
        <v>116317.23775571</v>
      </c>
      <c r="W895" s="7">
        <f t="shared" si="184"/>
        <v>6.0082897089440215E-3</v>
      </c>
      <c r="X895" s="7">
        <f t="shared" si="185"/>
        <v>5.2049859551010248E-3</v>
      </c>
      <c r="Y895">
        <f>LN(B895/B894)</f>
        <v>1.246415505094515E-2</v>
      </c>
      <c r="Z895">
        <f>LN(C895/C894)</f>
        <v>3.1341137888186131E-4</v>
      </c>
    </row>
    <row r="896" spans="1:26" x14ac:dyDescent="0.3">
      <c r="A896" s="11">
        <v>41498</v>
      </c>
      <c r="B896" s="12">
        <v>20452.02</v>
      </c>
      <c r="C896" s="12">
        <v>30.996210000000001</v>
      </c>
      <c r="D896" s="16">
        <f t="shared" si="187"/>
        <v>3.983136712797819E-3</v>
      </c>
      <c r="E896" s="15">
        <f t="shared" si="186"/>
        <v>3.1336227066636191E-4</v>
      </c>
      <c r="G896" s="25" t="str">
        <f>IF(VLOOKUP(A896,Aux!B:C,2,FALSE)=0,"",VLOOKUP(A896,Aux!B:C,2,FALSE))</f>
        <v/>
      </c>
      <c r="H896" s="25" t="str">
        <f t="shared" si="175"/>
        <v/>
      </c>
      <c r="L896" s="13">
        <f t="shared" si="178"/>
        <v>115430.52397326451</v>
      </c>
      <c r="M896" s="14">
        <f t="shared" si="179"/>
        <v>215.74596599597004</v>
      </c>
      <c r="N896" s="14">
        <f t="shared" si="180"/>
        <v>19.124753966049141</v>
      </c>
      <c r="O896" s="1">
        <f t="shared" si="181"/>
        <v>2.6589347546952378</v>
      </c>
      <c r="P896" s="1">
        <f t="shared" si="182"/>
        <v>1969.5936113332061</v>
      </c>
      <c r="S896" s="6">
        <f t="shared" si="176"/>
        <v>0.47111097576164068</v>
      </c>
      <c r="T896" s="6">
        <f t="shared" si="177"/>
        <v>0.5288890242383596</v>
      </c>
      <c r="V896" s="1">
        <f t="shared" si="183"/>
        <v>116526.15313020363</v>
      </c>
      <c r="W896" s="7">
        <f t="shared" si="184"/>
        <v>2.0368095589589959E-3</v>
      </c>
      <c r="X896" s="7">
        <f t="shared" si="185"/>
        <v>1.7944716382969756E-3</v>
      </c>
      <c r="Y896">
        <f>LN(B896/B895)</f>
        <v>3.975225025690322E-3</v>
      </c>
      <c r="Z896">
        <f>LN(C896/C895)</f>
        <v>3.1331318296457802E-4</v>
      </c>
    </row>
    <row r="897" spans="1:26" x14ac:dyDescent="0.3">
      <c r="A897" s="9">
        <v>41499</v>
      </c>
      <c r="B897" s="1">
        <v>20580.09</v>
      </c>
      <c r="C897" s="1">
        <v>31.005929999999999</v>
      </c>
      <c r="D897" s="6">
        <f t="shared" si="187"/>
        <v>6.2619731449509164E-3</v>
      </c>
      <c r="E897" s="5">
        <f t="shared" si="186"/>
        <v>3.1358672560277689E-4</v>
      </c>
      <c r="G897" s="25" t="str">
        <f>IF(VLOOKUP(A897,Aux!B:C,2,FALSE)=0,"",VLOOKUP(A897,Aux!B:C,2,FALSE))</f>
        <v/>
      </c>
      <c r="H897" s="25" t="str">
        <f t="shared" si="175"/>
        <v/>
      </c>
      <c r="L897" s="13">
        <f t="shared" si="178"/>
        <v>115790.19819720049</v>
      </c>
      <c r="M897" s="14">
        <f t="shared" si="179"/>
        <v>340.52977403381834</v>
      </c>
      <c r="N897" s="14">
        <f t="shared" si="180"/>
        <v>19.144449902154729</v>
      </c>
      <c r="O897" s="1">
        <f t="shared" si="181"/>
        <v>2.6589347546952378</v>
      </c>
      <c r="P897" s="1">
        <f t="shared" si="182"/>
        <v>1969.5936113332061</v>
      </c>
      <c r="S897" s="6">
        <f t="shared" si="176"/>
        <v>0.47258850410257724</v>
      </c>
      <c r="T897" s="6">
        <f t="shared" si="177"/>
        <v>0.52741149589742298</v>
      </c>
      <c r="V897" s="1">
        <f t="shared" si="183"/>
        <v>116843.36002764206</v>
      </c>
      <c r="W897" s="7">
        <f t="shared" si="184"/>
        <v>3.1110923853516935E-3</v>
      </c>
      <c r="X897" s="7">
        <f t="shared" si="185"/>
        <v>2.7184964179646515E-3</v>
      </c>
      <c r="Y897">
        <f>LN(B897/B896)</f>
        <v>6.2424484574371544E-3</v>
      </c>
      <c r="Z897">
        <f>LN(C897/C896)</f>
        <v>3.1353756756214389E-4</v>
      </c>
    </row>
    <row r="898" spans="1:26" x14ac:dyDescent="0.3">
      <c r="A898" s="11">
        <v>41500</v>
      </c>
      <c r="B898" s="12">
        <v>20582.21</v>
      </c>
      <c r="C898" s="12">
        <v>31.015650000000001</v>
      </c>
      <c r="D898" s="16">
        <f t="shared" si="187"/>
        <v>1.0301218313424343E-4</v>
      </c>
      <c r="E898" s="15">
        <f t="shared" si="186"/>
        <v>3.1348841979594866E-4</v>
      </c>
      <c r="G898" s="25" t="str">
        <f>IF(VLOOKUP(A898,Aux!B:C,2,FALSE)=0,"",VLOOKUP(A898,Aux!B:C,2,FALSE))</f>
        <v/>
      </c>
      <c r="H898" s="25" t="str">
        <f t="shared" si="175"/>
        <v/>
      </c>
      <c r="L898" s="13">
        <f t="shared" si="178"/>
        <v>115814.9795887826</v>
      </c>
      <c r="M898" s="14">
        <f t="shared" si="179"/>
        <v>5.636941679951196</v>
      </c>
      <c r="N898" s="14">
        <f t="shared" si="180"/>
        <v>19.144449902161728</v>
      </c>
      <c r="O898" s="1">
        <f t="shared" si="181"/>
        <v>2.6589347546952378</v>
      </c>
      <c r="P898" s="1">
        <f t="shared" si="182"/>
        <v>1969.5936113332061</v>
      </c>
      <c r="S898" s="6">
        <f t="shared" si="176"/>
        <v>0.47253605441844321</v>
      </c>
      <c r="T898" s="6">
        <f t="shared" si="177"/>
        <v>0.52746394558155696</v>
      </c>
      <c r="V898" s="1">
        <f t="shared" si="183"/>
        <v>116869.99586932591</v>
      </c>
      <c r="W898" s="7">
        <f t="shared" si="184"/>
        <v>2.1399687099913137E-4</v>
      </c>
      <c r="X898" s="7">
        <f t="shared" si="185"/>
        <v>2.2793598334980072E-4</v>
      </c>
      <c r="Y898">
        <f>LN(B898/B897)</f>
        <v>1.0300687774364984E-4</v>
      </c>
      <c r="Z898">
        <f>LN(C898/C897)</f>
        <v>3.1343929256821872E-4</v>
      </c>
    </row>
    <row r="899" spans="1:26" x14ac:dyDescent="0.3">
      <c r="A899" s="9">
        <v>41501</v>
      </c>
      <c r="B899" s="1">
        <v>20617.580000000002</v>
      </c>
      <c r="C899" s="1">
        <v>31.025379999999998</v>
      </c>
      <c r="D899" s="6">
        <f t="shared" si="187"/>
        <v>1.7184743523654955E-3</v>
      </c>
      <c r="E899" s="5">
        <f t="shared" si="186"/>
        <v>3.1371259348089708E-4</v>
      </c>
      <c r="G899" s="25" t="str">
        <f>IF(VLOOKUP(A899,Aux!B:C,2,FALSE)=0,"",VLOOKUP(A899,Aux!B:C,2,FALSE))</f>
        <v/>
      </c>
      <c r="H899" s="25" t="str">
        <f t="shared" ref="H899:H962" si="188">IF(ISNUMBER(G899),1-G899,"")</f>
        <v/>
      </c>
      <c r="L899" s="13">
        <f t="shared" si="178"/>
        <v>115928.19025689445</v>
      </c>
      <c r="M899" s="14">
        <f t="shared" si="179"/>
        <v>94.046522273577523</v>
      </c>
      <c r="N899" s="14">
        <f t="shared" si="180"/>
        <v>19.164145838267316</v>
      </c>
      <c r="O899" s="1">
        <f t="shared" si="181"/>
        <v>2.6589347546952378</v>
      </c>
      <c r="P899" s="1">
        <f t="shared" si="182"/>
        <v>1969.5936113332061</v>
      </c>
      <c r="S899" s="6">
        <f t="shared" ref="S899:S962" si="189">O899*B899/L899</f>
        <v>0.47288584336758555</v>
      </c>
      <c r="T899" s="6">
        <f t="shared" ref="T899:T962" si="190">P899*C899/L899</f>
        <v>0.52711415663241457</v>
      </c>
      <c r="V899" s="1">
        <f t="shared" si="183"/>
        <v>116973.36299542562</v>
      </c>
      <c r="W899" s="7">
        <f t="shared" si="184"/>
        <v>9.7703571754127923E-4</v>
      </c>
      <c r="X899" s="7">
        <f t="shared" si="185"/>
        <v>8.840715711065447E-4</v>
      </c>
      <c r="Y899">
        <f>LN(B899/B898)</f>
        <v>1.7169994647781995E-3</v>
      </c>
      <c r="Z899">
        <f>LN(C899/C898)</f>
        <v>3.1366339597422552E-4</v>
      </c>
    </row>
    <row r="900" spans="1:26" x14ac:dyDescent="0.3">
      <c r="A900" s="11">
        <v>41502</v>
      </c>
      <c r="B900" s="12">
        <v>20730.7</v>
      </c>
      <c r="C900" s="12">
        <v>31.0351</v>
      </c>
      <c r="D900" s="16">
        <f t="shared" si="187"/>
        <v>5.4865798992898007E-3</v>
      </c>
      <c r="E900" s="15">
        <f t="shared" si="186"/>
        <v>3.1329189199302832E-4</v>
      </c>
      <c r="G900" s="25" t="str">
        <f>IF(VLOOKUP(A900,Aux!B:C,2,FALSE)=0,"",VLOOKUP(A900,Aux!B:C,2,FALSE))</f>
        <v/>
      </c>
      <c r="H900" s="25" t="str">
        <f t="shared" si="188"/>
        <v/>
      </c>
      <c r="L900" s="13">
        <f t="shared" ref="L900:L963" si="191">L899+M900+N900</f>
        <v>116248.11340624774</v>
      </c>
      <c r="M900" s="14">
        <f t="shared" ref="M900:M963" si="192">O899*(B900-B899)</f>
        <v>300.77869945112258</v>
      </c>
      <c r="N900" s="14">
        <f t="shared" ref="N900:N963" si="193">P899*(C900-C899)</f>
        <v>19.144449902161728</v>
      </c>
      <c r="O900" s="1">
        <f t="shared" ref="O900:O963" si="194">IF(ISNUMBER(G900),L900*G900/B900,O899)</f>
        <v>2.6589347546952378</v>
      </c>
      <c r="P900" s="1">
        <f t="shared" ref="P900:P963" si="195">IF(ISNUMBER(H900),L900*H900/C900,P899)</f>
        <v>1969.5936113332061</v>
      </c>
      <c r="S900" s="6">
        <f t="shared" si="189"/>
        <v>0.47417181323648105</v>
      </c>
      <c r="T900" s="6">
        <f t="shared" si="190"/>
        <v>0.52582818676351917</v>
      </c>
      <c r="V900" s="1">
        <f t="shared" ref="V900:V963" si="196">$O$2*B900+$P$2*C900</f>
        <v>117256.07971991025</v>
      </c>
      <c r="W900" s="7">
        <f t="shared" ref="W900:W963" si="197">LN(L900/L899)</f>
        <v>2.7558656657457998E-3</v>
      </c>
      <c r="X900" s="7">
        <f t="shared" ref="X900:X963" si="198">LN(V900/V899)</f>
        <v>2.4140164319302435E-3</v>
      </c>
      <c r="Y900">
        <f>LN(B900/B899)</f>
        <v>5.4715834476079901E-3</v>
      </c>
      <c r="Z900">
        <f>LN(C900/C899)</f>
        <v>3.1324282633588159E-4</v>
      </c>
    </row>
    <row r="901" spans="1:26" x14ac:dyDescent="0.3">
      <c r="A901" s="9">
        <v>41505</v>
      </c>
      <c r="B901" s="1">
        <v>20649.84</v>
      </c>
      <c r="C901" s="1">
        <v>31.044840000000001</v>
      </c>
      <c r="D901" s="6">
        <f t="shared" si="187"/>
        <v>-3.9004954005412706E-3</v>
      </c>
      <c r="E901" s="5">
        <f t="shared" ref="E901:E964" si="199">C901/C900-1</f>
        <v>3.1383820255137529E-4</v>
      </c>
      <c r="G901" s="25" t="str">
        <f>IF(VLOOKUP(A901,Aux!B:C,2,FALSE)=0,"",VLOOKUP(A901,Aux!B:C,2,FALSE))</f>
        <v/>
      </c>
      <c r="H901" s="25" t="str">
        <f t="shared" si="188"/>
        <v/>
      </c>
      <c r="L901" s="13">
        <f t="shared" si="191"/>
        <v>116052.29578375746</v>
      </c>
      <c r="M901" s="14">
        <f t="shared" si="192"/>
        <v>-215.00146426465847</v>
      </c>
      <c r="N901" s="14">
        <f t="shared" si="193"/>
        <v>19.183841774386902</v>
      </c>
      <c r="O901" s="1">
        <f t="shared" si="194"/>
        <v>2.6589347546952378</v>
      </c>
      <c r="P901" s="1">
        <f t="shared" si="195"/>
        <v>1969.5936113332061</v>
      </c>
      <c r="S901" s="6">
        <f t="shared" si="189"/>
        <v>0.47311926820650252</v>
      </c>
      <c r="T901" s="6">
        <f t="shared" si="190"/>
        <v>0.52688073179349759</v>
      </c>
      <c r="V901" s="1">
        <f t="shared" si="196"/>
        <v>117091.32254158739</v>
      </c>
      <c r="W901" s="7">
        <f t="shared" si="197"/>
        <v>-1.6859003352894663E-3</v>
      </c>
      <c r="X901" s="7">
        <f t="shared" si="198"/>
        <v>-1.4060937213558381E-3</v>
      </c>
      <c r="Y901">
        <f>LN(B901/B900)</f>
        <v>-3.9081221713086608E-3</v>
      </c>
      <c r="Z901">
        <f>LN(C901/C900)</f>
        <v>3.1378896564403057E-4</v>
      </c>
    </row>
    <row r="902" spans="1:26" x14ac:dyDescent="0.3">
      <c r="A902" s="11">
        <v>41506</v>
      </c>
      <c r="B902" s="12">
        <v>20252.28</v>
      </c>
      <c r="C902" s="12">
        <v>31.054569999999998</v>
      </c>
      <c r="D902" s="16">
        <f t="shared" si="187"/>
        <v>-1.9252449413651673E-2</v>
      </c>
      <c r="E902" s="15">
        <f t="shared" si="199"/>
        <v>3.1341762431358333E-4</v>
      </c>
      <c r="G902" s="25" t="str">
        <f>IF(VLOOKUP(A902,Aux!B:C,2,FALSE)=0,"",VLOOKUP(A902,Aux!B:C,2,FALSE))</f>
        <v/>
      </c>
      <c r="H902" s="25" t="str">
        <f t="shared" si="188"/>
        <v/>
      </c>
      <c r="L902" s="13">
        <f t="shared" si="191"/>
        <v>115014.37382851909</v>
      </c>
      <c r="M902" s="14">
        <f t="shared" si="192"/>
        <v>-1057.0861010766423</v>
      </c>
      <c r="N902" s="14">
        <f t="shared" si="193"/>
        <v>19.164145838267316</v>
      </c>
      <c r="O902" s="1">
        <f t="shared" si="194"/>
        <v>2.6589347546952378</v>
      </c>
      <c r="P902" s="1">
        <f t="shared" si="195"/>
        <v>1969.5936113332061</v>
      </c>
      <c r="S902" s="6">
        <f t="shared" si="189"/>
        <v>0.46819792484464834</v>
      </c>
      <c r="T902" s="6">
        <f t="shared" si="190"/>
        <v>0.53180207515535183</v>
      </c>
      <c r="V902" s="1">
        <f t="shared" si="196"/>
        <v>116195.90501371463</v>
      </c>
      <c r="W902" s="7">
        <f t="shared" si="197"/>
        <v>-8.9838048711444636E-3</v>
      </c>
      <c r="X902" s="7">
        <f t="shared" si="198"/>
        <v>-7.6765619315597037E-3</v>
      </c>
      <c r="Y902">
        <f>LN(B902/B901)</f>
        <v>-1.9440191385934575E-2</v>
      </c>
      <c r="Z902">
        <f>LN(C902/C901)</f>
        <v>3.1336851926995761E-4</v>
      </c>
    </row>
    <row r="903" spans="1:26" x14ac:dyDescent="0.3">
      <c r="A903" s="9">
        <v>41507</v>
      </c>
      <c r="B903" s="1">
        <v>20190.47</v>
      </c>
      <c r="C903" s="1">
        <v>31.064309999999999</v>
      </c>
      <c r="D903" s="6">
        <f t="shared" si="187"/>
        <v>-3.0520020461892727E-3</v>
      </c>
      <c r="E903" s="5">
        <f t="shared" si="199"/>
        <v>3.1364143828116475E-4</v>
      </c>
      <c r="G903" s="25" t="str">
        <f>IF(VLOOKUP(A903,Aux!B:C,2,FALSE)=0,"",VLOOKUP(A903,Aux!B:C,2,FALSE))</f>
        <v/>
      </c>
      <c r="H903" s="25" t="str">
        <f t="shared" si="188"/>
        <v/>
      </c>
      <c r="L903" s="13">
        <f t="shared" si="191"/>
        <v>114869.20891310577</v>
      </c>
      <c r="M903" s="14">
        <f t="shared" si="192"/>
        <v>-164.34875718770647</v>
      </c>
      <c r="N903" s="14">
        <f t="shared" si="193"/>
        <v>19.183841774386902</v>
      </c>
      <c r="O903" s="1">
        <f t="shared" si="194"/>
        <v>2.6589347546952378</v>
      </c>
      <c r="P903" s="1">
        <f t="shared" si="195"/>
        <v>1969.5936113332061</v>
      </c>
      <c r="S903" s="6">
        <f t="shared" si="189"/>
        <v>0.46735885886741285</v>
      </c>
      <c r="T903" s="6">
        <f t="shared" si="190"/>
        <v>0.53264114113258731</v>
      </c>
      <c r="V903" s="1">
        <f t="shared" si="196"/>
        <v>116075.09685176436</v>
      </c>
      <c r="W903" s="7">
        <f t="shared" si="197"/>
        <v>-1.2629430338365593E-3</v>
      </c>
      <c r="X903" s="7">
        <f t="shared" si="198"/>
        <v>-1.0402346558437896E-3</v>
      </c>
      <c r="Y903">
        <f>LN(B903/B902)</f>
        <v>-3.0566689023562551E-3</v>
      </c>
      <c r="Z903">
        <f>LN(C903/C902)</f>
        <v>3.1359226308724488E-4</v>
      </c>
    </row>
    <row r="904" spans="1:26" x14ac:dyDescent="0.3">
      <c r="A904" s="11">
        <v>41508</v>
      </c>
      <c r="B904" s="12">
        <v>20488.669999999998</v>
      </c>
      <c r="C904" s="12">
        <v>31.07405</v>
      </c>
      <c r="D904" s="16">
        <f t="shared" si="187"/>
        <v>1.476934415097797E-2</v>
      </c>
      <c r="E904" s="15">
        <f t="shared" si="199"/>
        <v>3.1354309817288595E-4</v>
      </c>
      <c r="G904" s="25" t="str">
        <f>IF(VLOOKUP(A904,Aux!B:C,2,FALSE)=0,"",VLOOKUP(A904,Aux!B:C,2,FALSE))</f>
        <v/>
      </c>
      <c r="H904" s="25" t="str">
        <f t="shared" si="188"/>
        <v/>
      </c>
      <c r="L904" s="13">
        <f t="shared" si="191"/>
        <v>115681.28709873027</v>
      </c>
      <c r="M904" s="14">
        <f t="shared" si="192"/>
        <v>792.89434385011214</v>
      </c>
      <c r="N904" s="14">
        <f t="shared" si="193"/>
        <v>19.183841774386902</v>
      </c>
      <c r="O904" s="1">
        <f t="shared" si="194"/>
        <v>2.6589347546952378</v>
      </c>
      <c r="P904" s="1">
        <f t="shared" si="195"/>
        <v>1969.5936113332061</v>
      </c>
      <c r="S904" s="6">
        <f t="shared" si="189"/>
        <v>0.47093214561129848</v>
      </c>
      <c r="T904" s="6">
        <f t="shared" si="190"/>
        <v>0.52906785438870152</v>
      </c>
      <c r="V904" s="1">
        <f t="shared" si="196"/>
        <v>116784.84435303125</v>
      </c>
      <c r="W904" s="7">
        <f t="shared" si="197"/>
        <v>7.0447173886594005E-3</v>
      </c>
      <c r="X904" s="7">
        <f t="shared" si="198"/>
        <v>6.0959364283169875E-3</v>
      </c>
      <c r="Y904">
        <f>LN(B904/B903)</f>
        <v>1.4661339527312836E-2</v>
      </c>
      <c r="Z904">
        <f>LN(C904/C903)</f>
        <v>3.1349395380799594E-4</v>
      </c>
    </row>
    <row r="905" spans="1:26" x14ac:dyDescent="0.3">
      <c r="A905" s="9">
        <v>41509</v>
      </c>
      <c r="B905" s="1">
        <v>20724.23</v>
      </c>
      <c r="C905" s="1">
        <v>31.08379</v>
      </c>
      <c r="D905" s="6">
        <f t="shared" si="187"/>
        <v>1.1497085950430197E-2</v>
      </c>
      <c r="E905" s="5">
        <f t="shared" si="199"/>
        <v>3.1344481971284921E-4</v>
      </c>
      <c r="G905" s="25" t="str">
        <f>IF(VLOOKUP(A905,Aux!B:C,2,FALSE)=0,"",VLOOKUP(A905,Aux!B:C,2,FALSE))</f>
        <v/>
      </c>
      <c r="H905" s="25" t="str">
        <f t="shared" si="188"/>
        <v/>
      </c>
      <c r="L905" s="13">
        <f t="shared" si="191"/>
        <v>116326.80961132067</v>
      </c>
      <c r="M905" s="14">
        <f t="shared" si="192"/>
        <v>626.33867081601375</v>
      </c>
      <c r="N905" s="14">
        <f t="shared" si="193"/>
        <v>19.183841774386902</v>
      </c>
      <c r="O905" s="1">
        <f t="shared" si="194"/>
        <v>2.6589347546952378</v>
      </c>
      <c r="P905" s="1">
        <f t="shared" si="195"/>
        <v>1969.5936113332061</v>
      </c>
      <c r="S905" s="6">
        <f t="shared" si="189"/>
        <v>0.47370314371567751</v>
      </c>
      <c r="T905" s="6">
        <f t="shared" si="190"/>
        <v>0.52629685628432266</v>
      </c>
      <c r="V905" s="1">
        <f t="shared" si="196"/>
        <v>117350.07918313926</v>
      </c>
      <c r="W905" s="7">
        <f t="shared" si="197"/>
        <v>5.5646694015396491E-3</v>
      </c>
      <c r="X905" s="7">
        <f t="shared" si="198"/>
        <v>4.8282923337771991E-3</v>
      </c>
      <c r="Y905">
        <f>LN(B905/B904)</f>
        <v>1.1431496702511961E-2</v>
      </c>
      <c r="Z905">
        <f>LN(C905/C904)</f>
        <v>3.133957061480071E-4</v>
      </c>
    </row>
    <row r="906" spans="1:26" x14ac:dyDescent="0.3">
      <c r="A906" s="11">
        <v>41512</v>
      </c>
      <c r="B906" s="12">
        <v>20474.490000000002</v>
      </c>
      <c r="C906" s="12">
        <v>31.093530000000001</v>
      </c>
      <c r="D906" s="16">
        <f t="shared" si="187"/>
        <v>-1.2050628660268625E-2</v>
      </c>
      <c r="E906" s="15">
        <f t="shared" si="199"/>
        <v>3.1334660284354499E-4</v>
      </c>
      <c r="G906" s="25" t="str">
        <f>IF(VLOOKUP(A906,Aux!B:C,2,FALSE)=0,"",VLOOKUP(A906,Aux!B:C,2,FALSE))</f>
        <v/>
      </c>
      <c r="H906" s="25" t="str">
        <f t="shared" si="188"/>
        <v/>
      </c>
      <c r="L906" s="13">
        <f t="shared" si="191"/>
        <v>115681.95108745748</v>
      </c>
      <c r="M906" s="14">
        <f t="shared" si="192"/>
        <v>-664.04236563758332</v>
      </c>
      <c r="N906" s="14">
        <f t="shared" si="193"/>
        <v>19.183841774386902</v>
      </c>
      <c r="O906" s="1">
        <f t="shared" si="194"/>
        <v>2.6589347546952378</v>
      </c>
      <c r="P906" s="1">
        <f t="shared" si="195"/>
        <v>1969.5936113332061</v>
      </c>
      <c r="S906" s="6">
        <f t="shared" si="189"/>
        <v>0.47060351709059872</v>
      </c>
      <c r="T906" s="6">
        <f t="shared" si="190"/>
        <v>0.52939648290940133</v>
      </c>
      <c r="V906" s="1">
        <f t="shared" si="196"/>
        <v>116795.70993736241</v>
      </c>
      <c r="W906" s="7">
        <f t="shared" si="197"/>
        <v>-5.5589296069861252E-3</v>
      </c>
      <c r="X906" s="7">
        <f t="shared" si="198"/>
        <v>-4.735257326030075E-3</v>
      </c>
      <c r="Y906">
        <f>LN(B906/B905)</f>
        <v>-1.2123826130534344E-2</v>
      </c>
      <c r="Z906">
        <f>LN(C906/C905)</f>
        <v>3.1329752004980496E-4</v>
      </c>
    </row>
    <row r="907" spans="1:26" x14ac:dyDescent="0.3">
      <c r="A907" s="9">
        <v>41513</v>
      </c>
      <c r="B907" s="1">
        <v>20059.93</v>
      </c>
      <c r="C907" s="1">
        <v>31.103280000000002</v>
      </c>
      <c r="D907" s="6">
        <f t="shared" si="187"/>
        <v>-2.0247634983826313E-2</v>
      </c>
      <c r="E907" s="5">
        <f t="shared" si="199"/>
        <v>3.1357005782228775E-4</v>
      </c>
      <c r="G907" s="25" t="str">
        <f>IF(VLOOKUP(A907,Aux!B:C,2,FALSE)=0,"",VLOOKUP(A907,Aux!B:C,2,FALSE))</f>
        <v/>
      </c>
      <c r="H907" s="25" t="str">
        <f t="shared" si="188"/>
        <v/>
      </c>
      <c r="L907" s="13">
        <f t="shared" si="191"/>
        <v>114598.86663326152</v>
      </c>
      <c r="M907" s="14">
        <f t="shared" si="192"/>
        <v>-1102.2879919064612</v>
      </c>
      <c r="N907" s="14">
        <f t="shared" si="193"/>
        <v>19.203537710499486</v>
      </c>
      <c r="O907" s="1">
        <f t="shared" si="194"/>
        <v>2.6589347546952378</v>
      </c>
      <c r="P907" s="1">
        <f t="shared" si="195"/>
        <v>1969.5936113332061</v>
      </c>
      <c r="S907" s="6">
        <f t="shared" si="189"/>
        <v>0.46543257032764274</v>
      </c>
      <c r="T907" s="6">
        <f t="shared" si="190"/>
        <v>0.53456742967235737</v>
      </c>
      <c r="V907" s="1">
        <f t="shared" si="196"/>
        <v>115861.11755747569</v>
      </c>
      <c r="W907" s="7">
        <f t="shared" si="197"/>
        <v>-9.4067100456407E-3</v>
      </c>
      <c r="X907" s="7">
        <f t="shared" si="198"/>
        <v>-8.0341283516691935E-3</v>
      </c>
      <c r="Y907">
        <f>LN(B907/B906)</f>
        <v>-2.0455428007709567E-2</v>
      </c>
      <c r="Z907">
        <f>LN(C907/C906)</f>
        <v>3.1352090500667211E-4</v>
      </c>
    </row>
    <row r="908" spans="1:26" x14ac:dyDescent="0.3">
      <c r="A908" s="11">
        <v>41514</v>
      </c>
      <c r="B908" s="12">
        <v>19977.77</v>
      </c>
      <c r="C908" s="12">
        <v>31.113040000000002</v>
      </c>
      <c r="D908" s="16">
        <f t="shared" si="187"/>
        <v>-4.0957271535843054E-3</v>
      </c>
      <c r="E908" s="15">
        <f t="shared" si="199"/>
        <v>3.1379327196368045E-4</v>
      </c>
      <c r="G908" s="25" t="str">
        <f>IF(VLOOKUP(A908,Aux!B:C,2,FALSE)=0,"",VLOOKUP(A908,Aux!B:C,2,FALSE))</f>
        <v/>
      </c>
      <c r="H908" s="25" t="str">
        <f t="shared" si="188"/>
        <v/>
      </c>
      <c r="L908" s="13">
        <f t="shared" si="191"/>
        <v>114399.63178746238</v>
      </c>
      <c r="M908" s="14">
        <f t="shared" si="192"/>
        <v>-218.45807944576035</v>
      </c>
      <c r="N908" s="14">
        <f t="shared" si="193"/>
        <v>19.223233646612073</v>
      </c>
      <c r="O908" s="1">
        <f t="shared" si="194"/>
        <v>2.6589347546952378</v>
      </c>
      <c r="P908" s="1">
        <f t="shared" si="195"/>
        <v>1969.5936113332061</v>
      </c>
      <c r="S908" s="6">
        <f t="shared" si="189"/>
        <v>0.4643335484942489</v>
      </c>
      <c r="T908" s="6">
        <f t="shared" si="190"/>
        <v>0.5356664515057511</v>
      </c>
      <c r="V908" s="1">
        <f t="shared" si="196"/>
        <v>115693.40597632783</v>
      </c>
      <c r="W908" s="7">
        <f t="shared" si="197"/>
        <v>-1.7400541701647787E-3</v>
      </c>
      <c r="X908" s="7">
        <f t="shared" si="198"/>
        <v>-1.4485712299198968E-3</v>
      </c>
      <c r="Y908">
        <f>LN(B908/B907)</f>
        <v>-4.1041376165388494E-3</v>
      </c>
      <c r="Z908">
        <f>LN(C908/C907)</f>
        <v>3.1374404915183784E-4</v>
      </c>
    </row>
    <row r="909" spans="1:26" x14ac:dyDescent="0.3">
      <c r="A909" s="9">
        <v>41515</v>
      </c>
      <c r="B909" s="1">
        <v>20093.37</v>
      </c>
      <c r="C909" s="1">
        <v>31.122789999999998</v>
      </c>
      <c r="D909" s="6">
        <f t="shared" si="187"/>
        <v>5.7864316187441478E-3</v>
      </c>
      <c r="E909" s="5">
        <f t="shared" si="199"/>
        <v>3.1337342799031553E-4</v>
      </c>
      <c r="G909" s="25" t="str">
        <f>IF(VLOOKUP(A909,Aux!B:C,2,FALSE)=0,"",VLOOKUP(A909,Aux!B:C,2,FALSE))</f>
        <v/>
      </c>
      <c r="H909" s="25" t="str">
        <f t="shared" si="188"/>
        <v/>
      </c>
      <c r="L909" s="13">
        <f t="shared" si="191"/>
        <v>114726.20818281564</v>
      </c>
      <c r="M909" s="14">
        <f t="shared" si="192"/>
        <v>307.37285764276561</v>
      </c>
      <c r="N909" s="14">
        <f t="shared" si="193"/>
        <v>19.20353771049249</v>
      </c>
      <c r="O909" s="1">
        <f t="shared" si="194"/>
        <v>2.6589347546952378</v>
      </c>
      <c r="P909" s="1">
        <f t="shared" si="195"/>
        <v>1969.5936113332061</v>
      </c>
      <c r="S909" s="6">
        <f t="shared" si="189"/>
        <v>0.46569097574300594</v>
      </c>
      <c r="T909" s="6">
        <f t="shared" si="190"/>
        <v>0.534309024256994</v>
      </c>
      <c r="V909" s="1">
        <f t="shared" si="196"/>
        <v>115981.91126153717</v>
      </c>
      <c r="W909" s="7">
        <f t="shared" si="197"/>
        <v>2.8506310466325487E-3</v>
      </c>
      <c r="X909" s="7">
        <f t="shared" si="198"/>
        <v>2.4906013966830855E-3</v>
      </c>
      <c r="Y909">
        <f>LN(B909/B908)</f>
        <v>5.7697545262817718E-3</v>
      </c>
      <c r="Z909">
        <f>LN(C909/C908)</f>
        <v>3.1332433679328035E-4</v>
      </c>
    </row>
    <row r="910" spans="1:26" x14ac:dyDescent="0.3">
      <c r="A910" s="11">
        <v>41516</v>
      </c>
      <c r="B910" s="12">
        <v>20271.53</v>
      </c>
      <c r="C910" s="12">
        <v>31.133120000000002</v>
      </c>
      <c r="D910" s="16">
        <f t="shared" si="187"/>
        <v>8.8666062487277042E-3</v>
      </c>
      <c r="E910" s="15">
        <f t="shared" si="199"/>
        <v>3.3191111722330469E-4</v>
      </c>
      <c r="G910" s="25" t="str">
        <f>IF(VLOOKUP(A910,Aux!B:C,2,FALSE)=0,"",VLOOKUP(A910,Aux!B:C,2,FALSE))</f>
        <v/>
      </c>
      <c r="H910" s="25" t="str">
        <f t="shared" si="188"/>
        <v/>
      </c>
      <c r="L910" s="13">
        <f t="shared" si="191"/>
        <v>115220.26990071722</v>
      </c>
      <c r="M910" s="14">
        <f t="shared" si="192"/>
        <v>473.71581589650316</v>
      </c>
      <c r="N910" s="14">
        <f t="shared" si="193"/>
        <v>20.345902005078482</v>
      </c>
      <c r="O910" s="1">
        <f t="shared" si="194"/>
        <v>2.6589347546952378</v>
      </c>
      <c r="P910" s="1">
        <f t="shared" si="195"/>
        <v>1969.5936113332061</v>
      </c>
      <c r="S910" s="6">
        <f t="shared" si="189"/>
        <v>0.46780549719500031</v>
      </c>
      <c r="T910" s="6">
        <f t="shared" si="190"/>
        <v>0.53219450280499969</v>
      </c>
      <c r="V910" s="1">
        <f t="shared" si="196"/>
        <v>116416.04219193468</v>
      </c>
      <c r="W910" s="7">
        <f t="shared" si="197"/>
        <v>4.2971954368956873E-3</v>
      </c>
      <c r="X910" s="7">
        <f t="shared" si="198"/>
        <v>3.7361037731167765E-3</v>
      </c>
      <c r="Y910">
        <f>LN(B910/B909)</f>
        <v>8.8275287157358641E-3</v>
      </c>
      <c r="Z910">
        <f>LN(C910/C909)</f>
        <v>3.3185604691373147E-4</v>
      </c>
    </row>
    <row r="911" spans="1:26" x14ac:dyDescent="0.3">
      <c r="A911" s="9">
        <v>41519</v>
      </c>
      <c r="B911" s="1">
        <v>20586.7</v>
      </c>
      <c r="C911" s="1">
        <v>31.143450000000001</v>
      </c>
      <c r="D911" s="6">
        <f t="shared" si="187"/>
        <v>1.5547420446310856E-2</v>
      </c>
      <c r="E911" s="5">
        <f t="shared" si="199"/>
        <v>3.3180098878626829E-4</v>
      </c>
      <c r="G911" s="25" t="str">
        <f>IF(VLOOKUP(A911,Aux!B:C,2,FALSE)=0,"",VLOOKUP(A911,Aux!B:C,2,FALSE))</f>
        <v/>
      </c>
      <c r="H911" s="25" t="str">
        <f t="shared" si="188"/>
        <v/>
      </c>
      <c r="L911" s="13">
        <f t="shared" si="191"/>
        <v>116078.63226935959</v>
      </c>
      <c r="M911" s="14">
        <f t="shared" si="192"/>
        <v>838.0164666373031</v>
      </c>
      <c r="N911" s="14">
        <f t="shared" si="193"/>
        <v>20.345902005071483</v>
      </c>
      <c r="O911" s="1">
        <f t="shared" si="194"/>
        <v>2.6589347546952378</v>
      </c>
      <c r="P911" s="1">
        <f t="shared" si="195"/>
        <v>1969.5936113332061</v>
      </c>
      <c r="S911" s="6">
        <f t="shared" si="189"/>
        <v>0.47156561930764079</v>
      </c>
      <c r="T911" s="6">
        <f t="shared" si="190"/>
        <v>0.52843438069235926</v>
      </c>
      <c r="V911" s="1">
        <f t="shared" si="196"/>
        <v>117166.25998496768</v>
      </c>
      <c r="W911" s="7">
        <f t="shared" si="197"/>
        <v>7.422139068119781E-3</v>
      </c>
      <c r="X911" s="7">
        <f t="shared" si="198"/>
        <v>6.423606289587689E-3</v>
      </c>
      <c r="Y911">
        <f>LN(B911/B910)</f>
        <v>1.5427797596310567E-2</v>
      </c>
      <c r="Z911">
        <f>LN(C911/C910)</f>
        <v>3.3174595501135926E-4</v>
      </c>
    </row>
    <row r="912" spans="1:26" x14ac:dyDescent="0.3">
      <c r="A912" s="11">
        <v>41520</v>
      </c>
      <c r="B912" s="12">
        <v>20340.27</v>
      </c>
      <c r="C912" s="12">
        <v>31.153780000000001</v>
      </c>
      <c r="D912" s="16">
        <f t="shared" si="187"/>
        <v>-1.1970349788941403E-2</v>
      </c>
      <c r="E912" s="15">
        <f t="shared" si="199"/>
        <v>3.3169093340656985E-4</v>
      </c>
      <c r="G912" s="25" t="str">
        <f>IF(VLOOKUP(A912,Aux!B:C,2,FALSE)=0,"",VLOOKUP(A912,Aux!B:C,2,FALSE))</f>
        <v/>
      </c>
      <c r="H912" s="25" t="str">
        <f t="shared" si="188"/>
        <v/>
      </c>
      <c r="L912" s="13">
        <f t="shared" si="191"/>
        <v>115443.7368797651</v>
      </c>
      <c r="M912" s="14">
        <f t="shared" si="192"/>
        <v>-655.24129159954816</v>
      </c>
      <c r="N912" s="14">
        <f t="shared" si="193"/>
        <v>20.345902005071483</v>
      </c>
      <c r="O912" s="1">
        <f t="shared" si="194"/>
        <v>2.6589347546952378</v>
      </c>
      <c r="P912" s="1">
        <f t="shared" si="195"/>
        <v>1969.5936113332061</v>
      </c>
      <c r="S912" s="6">
        <f t="shared" si="189"/>
        <v>0.46848319609761885</v>
      </c>
      <c r="T912" s="6">
        <f t="shared" si="190"/>
        <v>0.53151680390238132</v>
      </c>
      <c r="V912" s="1">
        <f t="shared" si="196"/>
        <v>116620.84693312753</v>
      </c>
      <c r="W912" s="7">
        <f t="shared" si="197"/>
        <v>-5.4845411560729453E-3</v>
      </c>
      <c r="X912" s="7">
        <f t="shared" si="198"/>
        <v>-4.6659035096476981E-3</v>
      </c>
      <c r="Y912">
        <f>LN(B912/B911)</f>
        <v>-1.2042571349490782E-2</v>
      </c>
      <c r="Z912">
        <f>LN(C912/C911)</f>
        <v>3.3163593612998038E-4</v>
      </c>
    </row>
    <row r="913" spans="1:26" x14ac:dyDescent="0.3">
      <c r="A913" s="9">
        <v>41521</v>
      </c>
      <c r="B913" s="1">
        <v>20454.96</v>
      </c>
      <c r="C913" s="1">
        <v>31.16412</v>
      </c>
      <c r="D913" s="6">
        <f t="shared" si="187"/>
        <v>5.638568219595852E-3</v>
      </c>
      <c r="E913" s="5">
        <f t="shared" si="199"/>
        <v>3.3190193934728995E-4</v>
      </c>
      <c r="G913" s="25" t="str">
        <f>IF(VLOOKUP(A913,Aux!B:C,2,FALSE)=0,"",VLOOKUP(A913,Aux!B:C,2,FALSE))</f>
        <v/>
      </c>
      <c r="H913" s="25" t="str">
        <f t="shared" si="188"/>
        <v/>
      </c>
      <c r="L913" s="13">
        <f t="shared" si="191"/>
        <v>115769.05570472228</v>
      </c>
      <c r="M913" s="14">
        <f t="shared" si="192"/>
        <v>304.95322701599332</v>
      </c>
      <c r="N913" s="14">
        <f t="shared" si="193"/>
        <v>20.36559794118407</v>
      </c>
      <c r="O913" s="1">
        <f t="shared" si="194"/>
        <v>2.6589347546952378</v>
      </c>
      <c r="P913" s="1">
        <f t="shared" si="195"/>
        <v>1969.5936113332061</v>
      </c>
      <c r="S913" s="6">
        <f t="shared" si="189"/>
        <v>0.46980087829879713</v>
      </c>
      <c r="T913" s="6">
        <f t="shared" si="190"/>
        <v>0.53019912170120298</v>
      </c>
      <c r="V913" s="1">
        <f t="shared" si="196"/>
        <v>116908.57272465716</v>
      </c>
      <c r="W913" s="7">
        <f t="shared" si="197"/>
        <v>2.8140228401430595E-3</v>
      </c>
      <c r="X913" s="7">
        <f t="shared" si="198"/>
        <v>2.4641515192520154E-3</v>
      </c>
      <c r="Y913">
        <f>LN(B913/B912)</f>
        <v>5.6227309987562316E-3</v>
      </c>
      <c r="Z913">
        <f>LN(C913/C912)</f>
        <v>3.3184687208290297E-4</v>
      </c>
    </row>
    <row r="914" spans="1:26" x14ac:dyDescent="0.3">
      <c r="A914" s="11">
        <v>41522</v>
      </c>
      <c r="B914" s="12">
        <v>20707.02</v>
      </c>
      <c r="C914" s="12">
        <v>31.17446</v>
      </c>
      <c r="D914" s="16">
        <f t="shared" si="187"/>
        <v>1.2322683593612549E-2</v>
      </c>
      <c r="E914" s="15">
        <f t="shared" si="199"/>
        <v>3.3179181699982685E-4</v>
      </c>
      <c r="G914" s="25" t="str">
        <f>IF(VLOOKUP(A914,Aux!B:C,2,FALSE)=0,"",VLOOKUP(A914,Aux!B:C,2,FALSE))</f>
        <v/>
      </c>
      <c r="H914" s="25" t="str">
        <f t="shared" si="188"/>
        <v/>
      </c>
      <c r="L914" s="13">
        <f t="shared" si="191"/>
        <v>116459.63239693195</v>
      </c>
      <c r="M914" s="14">
        <f t="shared" si="192"/>
        <v>670.21109426848511</v>
      </c>
      <c r="N914" s="14">
        <f t="shared" si="193"/>
        <v>20.36559794118407</v>
      </c>
      <c r="O914" s="1">
        <f t="shared" si="194"/>
        <v>2.6589347546952378</v>
      </c>
      <c r="P914" s="1">
        <f t="shared" si="195"/>
        <v>1969.5936113332061</v>
      </c>
      <c r="S914" s="6">
        <f t="shared" si="189"/>
        <v>0.47276995479868839</v>
      </c>
      <c r="T914" s="6">
        <f t="shared" si="190"/>
        <v>0.52723004520131178</v>
      </c>
      <c r="V914" s="1">
        <f t="shared" si="196"/>
        <v>117513.21591141514</v>
      </c>
      <c r="W914" s="7">
        <f t="shared" si="197"/>
        <v>5.9474023939090296E-3</v>
      </c>
      <c r="X914" s="7">
        <f t="shared" si="198"/>
        <v>5.1586034824798429E-3</v>
      </c>
      <c r="Y914">
        <f>LN(B914/B913)</f>
        <v>1.2247377347027768E-2</v>
      </c>
      <c r="Z914">
        <f>LN(C914/C913)</f>
        <v>3.3173678626707419E-4</v>
      </c>
    </row>
    <row r="915" spans="1:26" x14ac:dyDescent="0.3">
      <c r="A915" s="9">
        <v>41523</v>
      </c>
      <c r="B915" s="1">
        <v>20916.43</v>
      </c>
      <c r="C915" s="1">
        <v>31.184799999999999</v>
      </c>
      <c r="D915" s="6">
        <f t="shared" si="187"/>
        <v>1.0112995496213362E-2</v>
      </c>
      <c r="E915" s="5">
        <f t="shared" si="199"/>
        <v>3.3168176770348445E-4</v>
      </c>
      <c r="G915" s="25" t="str">
        <f>IF(VLOOKUP(A915,Aux!B:C,2,FALSE)=0,"",VLOOKUP(A915,Aux!B:C,2,FALSE))</f>
        <v/>
      </c>
      <c r="H915" s="25" t="str">
        <f t="shared" si="188"/>
        <v/>
      </c>
      <c r="L915" s="13">
        <f t="shared" si="191"/>
        <v>117036.80552185386</v>
      </c>
      <c r="M915" s="14">
        <f t="shared" si="192"/>
        <v>556.80752698072934</v>
      </c>
      <c r="N915" s="14">
        <f t="shared" si="193"/>
        <v>20.36559794118407</v>
      </c>
      <c r="O915" s="1">
        <f t="shared" si="194"/>
        <v>2.6589347546952378</v>
      </c>
      <c r="P915" s="1">
        <f t="shared" si="195"/>
        <v>1969.5936113332061</v>
      </c>
      <c r="S915" s="6">
        <f t="shared" si="189"/>
        <v>0.47519600712927218</v>
      </c>
      <c r="T915" s="6">
        <f t="shared" si="190"/>
        <v>0.52480399287072788</v>
      </c>
      <c r="V915" s="1">
        <f t="shared" si="196"/>
        <v>118019.46405626813</v>
      </c>
      <c r="W915" s="7">
        <f t="shared" si="197"/>
        <v>4.9437525095315481E-3</v>
      </c>
      <c r="X915" s="7">
        <f t="shared" si="198"/>
        <v>4.2987573912500474E-3</v>
      </c>
      <c r="Y915">
        <f>LN(B915/B914)</f>
        <v>1.0062201324357692E-2</v>
      </c>
      <c r="Z915">
        <f>LN(C915/C914)</f>
        <v>3.3162677346602556E-4</v>
      </c>
    </row>
    <row r="916" spans="1:26" x14ac:dyDescent="0.3">
      <c r="A916" s="11">
        <v>41526</v>
      </c>
      <c r="B916" s="12">
        <v>21384.75</v>
      </c>
      <c r="C916" s="12">
        <v>31.195150000000002</v>
      </c>
      <c r="D916" s="16">
        <f t="shared" si="187"/>
        <v>2.2390054134477033E-2</v>
      </c>
      <c r="E916" s="15">
        <f t="shared" si="199"/>
        <v>3.3189246042941711E-4</v>
      </c>
      <c r="G916" s="25" t="str">
        <f>IF(VLOOKUP(A916,Aux!B:C,2,FALSE)=0,"",VLOOKUP(A916,Aux!B:C,2,FALSE))</f>
        <v/>
      </c>
      <c r="H916" s="25" t="str">
        <f t="shared" si="188"/>
        <v/>
      </c>
      <c r="L916" s="13">
        <f t="shared" si="191"/>
        <v>118302.42314005004</v>
      </c>
      <c r="M916" s="14">
        <f t="shared" si="192"/>
        <v>1245.232324318873</v>
      </c>
      <c r="N916" s="14">
        <f t="shared" si="193"/>
        <v>20.385293877303653</v>
      </c>
      <c r="O916" s="1">
        <f t="shared" si="194"/>
        <v>2.6589347546952378</v>
      </c>
      <c r="P916" s="1">
        <f t="shared" si="195"/>
        <v>1969.5936113332061</v>
      </c>
      <c r="S916" s="6">
        <f t="shared" si="189"/>
        <v>0.48063812630579505</v>
      </c>
      <c r="T916" s="6">
        <f t="shared" si="190"/>
        <v>0.51936187369420506</v>
      </c>
      <c r="V916" s="1">
        <f t="shared" si="196"/>
        <v>119123.048999166</v>
      </c>
      <c r="W916" s="7">
        <f t="shared" si="197"/>
        <v>1.0755791345675031E-2</v>
      </c>
      <c r="X916" s="7">
        <f t="shared" si="198"/>
        <v>9.3074235864271295E-3</v>
      </c>
      <c r="Y916">
        <f>LN(B916/B915)</f>
        <v>2.2143076634580323E-2</v>
      </c>
      <c r="Z916">
        <f>LN(C916/C915)</f>
        <v>3.3183739631001261E-4</v>
      </c>
    </row>
    <row r="917" spans="1:26" x14ac:dyDescent="0.3">
      <c r="A917" s="9">
        <v>41527</v>
      </c>
      <c r="B917" s="1">
        <v>21520.48</v>
      </c>
      <c r="C917" s="1">
        <v>31.205500000000001</v>
      </c>
      <c r="D917" s="6">
        <f t="shared" si="187"/>
        <v>6.3470463765065155E-3</v>
      </c>
      <c r="E917" s="5">
        <f t="shared" si="199"/>
        <v>3.3178234437070131E-4</v>
      </c>
      <c r="G917" s="25" t="str">
        <f>IF(VLOOKUP(A917,Aux!B:C,2,FALSE)=0,"",VLOOKUP(A917,Aux!B:C,2,FALSE))</f>
        <v/>
      </c>
      <c r="H917" s="25" t="str">
        <f t="shared" si="188"/>
        <v/>
      </c>
      <c r="L917" s="13">
        <f t="shared" si="191"/>
        <v>118683.70564818212</v>
      </c>
      <c r="M917" s="14">
        <f t="shared" si="192"/>
        <v>360.89721425478348</v>
      </c>
      <c r="N917" s="14">
        <f t="shared" si="193"/>
        <v>20.385293877296657</v>
      </c>
      <c r="O917" s="1">
        <f t="shared" si="194"/>
        <v>2.6589347546952378</v>
      </c>
      <c r="P917" s="1">
        <f t="shared" si="195"/>
        <v>1969.5936113332061</v>
      </c>
      <c r="S917" s="6">
        <f t="shared" si="189"/>
        <v>0.48213486339352629</v>
      </c>
      <c r="T917" s="6">
        <f t="shared" si="190"/>
        <v>0.51786513660647382</v>
      </c>
      <c r="V917" s="1">
        <f t="shared" si="196"/>
        <v>119459.33717800342</v>
      </c>
      <c r="W917" s="7">
        <f t="shared" si="197"/>
        <v>3.2177650148997976E-3</v>
      </c>
      <c r="X917" s="7">
        <f t="shared" si="198"/>
        <v>2.8190547251586086E-3</v>
      </c>
      <c r="Y917">
        <f>LN(B917/B916)</f>
        <v>6.3269887042323274E-3</v>
      </c>
      <c r="Z917">
        <f>LN(C917/C916)</f>
        <v>3.3172731677980218E-4</v>
      </c>
    </row>
    <row r="918" spans="1:26" x14ac:dyDescent="0.3">
      <c r="A918" s="11">
        <v>41528</v>
      </c>
      <c r="B918" s="12">
        <v>21443.58</v>
      </c>
      <c r="C918" s="12">
        <v>31.215859999999999</v>
      </c>
      <c r="D918" s="16">
        <f t="shared" si="187"/>
        <v>-3.5733403715900725E-3</v>
      </c>
      <c r="E918" s="15">
        <f t="shared" si="199"/>
        <v>3.3199275768680536E-4</v>
      </c>
      <c r="G918" s="25" t="str">
        <f>IF(VLOOKUP(A918,Aux!B:C,2,FALSE)=0,"",VLOOKUP(A918,Aux!B:C,2,FALSE))</f>
        <v/>
      </c>
      <c r="H918" s="25" t="str">
        <f t="shared" si="188"/>
        <v/>
      </c>
      <c r="L918" s="13">
        <f t="shared" si="191"/>
        <v>118499.63855535947</v>
      </c>
      <c r="M918" s="14">
        <f t="shared" si="192"/>
        <v>-204.47208263605799</v>
      </c>
      <c r="N918" s="14">
        <f t="shared" si="193"/>
        <v>20.404989813409244</v>
      </c>
      <c r="O918" s="1">
        <f t="shared" si="194"/>
        <v>2.6589347546952378</v>
      </c>
      <c r="P918" s="1">
        <f t="shared" si="195"/>
        <v>1969.5936113332061</v>
      </c>
      <c r="S918" s="6">
        <f t="shared" si="189"/>
        <v>0.48115826193386274</v>
      </c>
      <c r="T918" s="6">
        <f t="shared" si="190"/>
        <v>0.51884173806613743</v>
      </c>
      <c r="V918" s="1">
        <f t="shared" si="196"/>
        <v>119305.10288032825</v>
      </c>
      <c r="W918" s="7">
        <f t="shared" si="197"/>
        <v>-1.5521083943969935E-3</v>
      </c>
      <c r="X918" s="7">
        <f t="shared" si="198"/>
        <v>-1.2919370999316807E-3</v>
      </c>
      <c r="Y918">
        <f>LN(B918/B917)</f>
        <v>-3.5797400022164242E-3</v>
      </c>
      <c r="Z918">
        <f>LN(C918/C917)</f>
        <v>3.3193766028551526E-4</v>
      </c>
    </row>
    <row r="919" spans="1:26" x14ac:dyDescent="0.3">
      <c r="A919" s="9">
        <v>41529</v>
      </c>
      <c r="B919" s="1">
        <v>21219.82</v>
      </c>
      <c r="C919" s="1">
        <v>31.226220000000001</v>
      </c>
      <c r="D919" s="6">
        <f t="shared" si="187"/>
        <v>-1.043482478205604E-2</v>
      </c>
      <c r="E919" s="5">
        <f t="shared" si="199"/>
        <v>3.3188257507577035E-4</v>
      </c>
      <c r="G919" s="25" t="str">
        <f>IF(VLOOKUP(A919,Aux!B:C,2,FALSE)=0,"",VLOOKUP(A919,Aux!B:C,2,FALSE))</f>
        <v/>
      </c>
      <c r="H919" s="25" t="str">
        <f t="shared" si="188"/>
        <v/>
      </c>
      <c r="L919" s="13">
        <f t="shared" si="191"/>
        <v>117925.08030446227</v>
      </c>
      <c r="M919" s="14">
        <f t="shared" si="192"/>
        <v>-594.96324071061179</v>
      </c>
      <c r="N919" s="14">
        <f t="shared" si="193"/>
        <v>20.40498981341624</v>
      </c>
      <c r="O919" s="1">
        <f t="shared" si="194"/>
        <v>2.6589347546952378</v>
      </c>
      <c r="P919" s="1">
        <f t="shared" si="195"/>
        <v>1969.5936113332061</v>
      </c>
      <c r="S919" s="6">
        <f t="shared" si="189"/>
        <v>0.47845731154649124</v>
      </c>
      <c r="T919" s="6">
        <f t="shared" si="190"/>
        <v>0.52154268845350893</v>
      </c>
      <c r="V919" s="1">
        <f t="shared" si="196"/>
        <v>118812.05742546279</v>
      </c>
      <c r="W919" s="7">
        <f t="shared" si="197"/>
        <v>-4.8604002555815767E-3</v>
      </c>
      <c r="X919" s="7">
        <f t="shared" si="198"/>
        <v>-4.1412064452592788E-3</v>
      </c>
      <c r="Y919">
        <f>LN(B919/B918)</f>
        <v>-1.0489649289091118E-2</v>
      </c>
      <c r="Z919">
        <f>LN(C919/C918)</f>
        <v>3.3182751423610284E-4</v>
      </c>
    </row>
    <row r="920" spans="1:26" x14ac:dyDescent="0.3">
      <c r="A920" s="11">
        <v>41530</v>
      </c>
      <c r="B920" s="12">
        <v>21374.15</v>
      </c>
      <c r="C920" s="12">
        <v>31.23658</v>
      </c>
      <c r="D920" s="16">
        <f t="shared" si="187"/>
        <v>7.2729174894039517E-3</v>
      </c>
      <c r="E920" s="15">
        <f t="shared" si="199"/>
        <v>3.31772465575364E-4</v>
      </c>
      <c r="G920" s="25" t="str">
        <f>IF(VLOOKUP(A920,Aux!B:C,2,FALSE)=0,"",VLOOKUP(A920,Aux!B:C,2,FALSE))</f>
        <v/>
      </c>
      <c r="H920" s="25" t="str">
        <f t="shared" si="188"/>
        <v/>
      </c>
      <c r="L920" s="13">
        <f t="shared" si="191"/>
        <v>118355.83869496781</v>
      </c>
      <c r="M920" s="14">
        <f t="shared" si="192"/>
        <v>410.35340069212072</v>
      </c>
      <c r="N920" s="14">
        <f t="shared" si="193"/>
        <v>20.404989813409244</v>
      </c>
      <c r="O920" s="1">
        <f t="shared" si="194"/>
        <v>2.6589347546952378</v>
      </c>
      <c r="P920" s="1">
        <f t="shared" si="195"/>
        <v>1969.5936113332061</v>
      </c>
      <c r="S920" s="6">
        <f t="shared" si="189"/>
        <v>0.48018307262002102</v>
      </c>
      <c r="T920" s="6">
        <f t="shared" si="190"/>
        <v>0.51981692737997909</v>
      </c>
      <c r="V920" s="1">
        <f t="shared" si="196"/>
        <v>119191.27882625628</v>
      </c>
      <c r="W920" s="7">
        <f t="shared" si="197"/>
        <v>3.6461587296600737E-3</v>
      </c>
      <c r="X920" s="7">
        <f t="shared" si="198"/>
        <v>3.1866924866024494E-3</v>
      </c>
      <c r="Y920">
        <f>LN(B920/B919)</f>
        <v>7.2465973640204471E-3</v>
      </c>
      <c r="Z920">
        <f>LN(C920/C919)</f>
        <v>3.317174412609389E-4</v>
      </c>
    </row>
    <row r="921" spans="1:26" x14ac:dyDescent="0.3">
      <c r="A921" s="9">
        <v>41533</v>
      </c>
      <c r="B921" s="1">
        <v>21444.47</v>
      </c>
      <c r="C921" s="1">
        <v>31.246939999999999</v>
      </c>
      <c r="D921" s="6">
        <f t="shared" si="187"/>
        <v>3.2899553900389567E-3</v>
      </c>
      <c r="E921" s="5">
        <f t="shared" si="199"/>
        <v>3.3166242911342181E-4</v>
      </c>
      <c r="G921" s="25" t="str">
        <f>IF(VLOOKUP(A921,Aux!B:C,2,FALSE)=0,"",VLOOKUP(A921,Aux!B:C,2,FALSE))</f>
        <v/>
      </c>
      <c r="H921" s="25" t="str">
        <f t="shared" si="188"/>
        <v/>
      </c>
      <c r="L921" s="13">
        <f t="shared" si="191"/>
        <v>118563.21997673139</v>
      </c>
      <c r="M921" s="14">
        <f t="shared" si="192"/>
        <v>186.97629195016836</v>
      </c>
      <c r="N921" s="14">
        <f t="shared" si="193"/>
        <v>20.404989813409244</v>
      </c>
      <c r="O921" s="1">
        <f t="shared" si="194"/>
        <v>2.6589347546952378</v>
      </c>
      <c r="P921" s="1">
        <f t="shared" si="195"/>
        <v>1969.5936113332061</v>
      </c>
      <c r="S921" s="6">
        <f t="shared" si="189"/>
        <v>0.48092019253702567</v>
      </c>
      <c r="T921" s="6">
        <f t="shared" si="190"/>
        <v>0.51907980746297444</v>
      </c>
      <c r="V921" s="1">
        <f t="shared" si="196"/>
        <v>119376.68621836428</v>
      </c>
      <c r="W921" s="7">
        <f t="shared" si="197"/>
        <v>1.7506513481110584E-3</v>
      </c>
      <c r="X921" s="7">
        <f t="shared" si="198"/>
        <v>1.5543363452123584E-3</v>
      </c>
      <c r="Y921">
        <f>LN(B921/B920)</f>
        <v>3.2845553275397234E-3</v>
      </c>
      <c r="Z921">
        <f>LN(C921/C920)</f>
        <v>3.3160744128790697E-4</v>
      </c>
    </row>
    <row r="922" spans="1:26" x14ac:dyDescent="0.3">
      <c r="A922" s="11">
        <v>41534</v>
      </c>
      <c r="B922" s="12">
        <v>21525.27</v>
      </c>
      <c r="C922" s="12">
        <v>31.25731</v>
      </c>
      <c r="D922" s="16">
        <f t="shared" si="187"/>
        <v>3.767871157459135E-3</v>
      </c>
      <c r="E922" s="15">
        <f t="shared" si="199"/>
        <v>3.3187249695498799E-4</v>
      </c>
      <c r="G922" s="25" t="str">
        <f>IF(VLOOKUP(A922,Aux!B:C,2,FALSE)=0,"",VLOOKUP(A922,Aux!B:C,2,FALSE))</f>
        <v/>
      </c>
      <c r="H922" s="25" t="str">
        <f t="shared" si="188"/>
        <v/>
      </c>
      <c r="L922" s="13">
        <f t="shared" si="191"/>
        <v>118798.48659066029</v>
      </c>
      <c r="M922" s="14">
        <f t="shared" si="192"/>
        <v>214.84192817937327</v>
      </c>
      <c r="N922" s="14">
        <f t="shared" si="193"/>
        <v>20.424685749528827</v>
      </c>
      <c r="O922" s="1">
        <f t="shared" si="194"/>
        <v>2.6589347546952378</v>
      </c>
      <c r="P922" s="1">
        <f t="shared" si="195"/>
        <v>1969.5936113332061</v>
      </c>
      <c r="S922" s="6">
        <f t="shared" si="189"/>
        <v>0.48177624269245878</v>
      </c>
      <c r="T922" s="6">
        <f t="shared" si="190"/>
        <v>0.51822375730754133</v>
      </c>
      <c r="V922" s="1">
        <f t="shared" si="196"/>
        <v>119586.29370838925</v>
      </c>
      <c r="W922" s="7">
        <f t="shared" si="197"/>
        <v>1.9823474845641399E-3</v>
      </c>
      <c r="X922" s="7">
        <f t="shared" si="198"/>
        <v>1.7543097583282792E-3</v>
      </c>
      <c r="Y922">
        <f>LN(B922/B921)</f>
        <v>3.7607905113310005E-3</v>
      </c>
      <c r="Z922">
        <f>LN(C922/C921)</f>
        <v>3.3181743945891271E-4</v>
      </c>
    </row>
    <row r="923" spans="1:26" x14ac:dyDescent="0.3">
      <c r="A923" s="9">
        <v>41535</v>
      </c>
      <c r="B923" s="1">
        <v>21919.05</v>
      </c>
      <c r="C923" s="1">
        <v>31.267679999999999</v>
      </c>
      <c r="D923" s="6">
        <f t="shared" ref="D923:D986" si="200">B923/B922-1</f>
        <v>1.8293847185192114E-2</v>
      </c>
      <c r="E923" s="5">
        <f t="shared" si="199"/>
        <v>3.3176239414078879E-4</v>
      </c>
      <c r="G923" s="25" t="str">
        <f>IF(VLOOKUP(A923,Aux!B:C,2,FALSE)=0,"",VLOOKUP(A923,Aux!B:C,2,FALSE))</f>
        <v/>
      </c>
      <c r="H923" s="25" t="str">
        <f t="shared" si="188"/>
        <v/>
      </c>
      <c r="L923" s="13">
        <f t="shared" si="191"/>
        <v>119865.94660411369</v>
      </c>
      <c r="M923" s="14">
        <f t="shared" si="192"/>
        <v>1047.0353277038876</v>
      </c>
      <c r="N923" s="14">
        <f t="shared" si="193"/>
        <v>20.424685749521831</v>
      </c>
      <c r="O923" s="1">
        <f t="shared" si="194"/>
        <v>2.6589347546952378</v>
      </c>
      <c r="P923" s="1">
        <f t="shared" si="195"/>
        <v>1969.5936113332061</v>
      </c>
      <c r="S923" s="6">
        <f t="shared" si="189"/>
        <v>0.48622086160459593</v>
      </c>
      <c r="T923" s="6">
        <f t="shared" si="190"/>
        <v>0.51377913839540423</v>
      </c>
      <c r="V923" s="1">
        <f t="shared" si="196"/>
        <v>120517.95700651318</v>
      </c>
      <c r="W923" s="7">
        <f t="shared" si="197"/>
        <v>8.9453390038303285E-3</v>
      </c>
      <c r="X923" s="7">
        <f t="shared" si="198"/>
        <v>7.7605287802532006E-3</v>
      </c>
      <c r="Y923">
        <f>LN(B923/B922)</f>
        <v>1.8128527935445025E-2</v>
      </c>
      <c r="Z923">
        <f>LN(C923/C922)</f>
        <v>3.3170737316662947E-4</v>
      </c>
    </row>
    <row r="924" spans="1:26" x14ac:dyDescent="0.3">
      <c r="A924" s="11">
        <v>41536</v>
      </c>
      <c r="B924" s="12">
        <v>21891.74</v>
      </c>
      <c r="C924" s="12">
        <v>31.27806</v>
      </c>
      <c r="D924" s="16">
        <f t="shared" si="200"/>
        <v>-1.2459481592494992E-3</v>
      </c>
      <c r="E924" s="15">
        <f t="shared" si="199"/>
        <v>3.3197218341762813E-4</v>
      </c>
      <c r="G924" s="25" t="str">
        <f>IF(VLOOKUP(A924,Aux!B:C,2,FALSE)=0,"",VLOOKUP(A924,Aux!B:C,2,FALSE))</f>
        <v/>
      </c>
      <c r="H924" s="25" t="str">
        <f t="shared" si="188"/>
        <v/>
      </c>
      <c r="L924" s="13">
        <f t="shared" si="191"/>
        <v>119813.77547764861</v>
      </c>
      <c r="M924" s="14">
        <f t="shared" si="192"/>
        <v>-72.615508150720757</v>
      </c>
      <c r="N924" s="14">
        <f t="shared" si="193"/>
        <v>20.444381685641414</v>
      </c>
      <c r="O924" s="1">
        <f t="shared" si="194"/>
        <v>2.6589347546952378</v>
      </c>
      <c r="P924" s="1">
        <f t="shared" si="195"/>
        <v>1969.5936113332061</v>
      </c>
      <c r="S924" s="6">
        <f t="shared" si="189"/>
        <v>0.48582650947019712</v>
      </c>
      <c r="T924" s="6">
        <f t="shared" si="190"/>
        <v>0.51417349052980299</v>
      </c>
      <c r="V924" s="1">
        <f t="shared" si="196"/>
        <v>120478.17331615473</v>
      </c>
      <c r="W924" s="7">
        <f t="shared" si="197"/>
        <v>-4.3534035199890966E-4</v>
      </c>
      <c r="X924" s="7">
        <f t="shared" si="198"/>
        <v>-3.3016041101221891E-4</v>
      </c>
      <c r="Y924">
        <f>LN(B924/B923)</f>
        <v>-1.2467249979915102E-3</v>
      </c>
      <c r="Z924">
        <f>LN(C924/C923)</f>
        <v>3.3191709284436798E-4</v>
      </c>
    </row>
    <row r="925" spans="1:26" x14ac:dyDescent="0.3">
      <c r="A925" s="9">
        <v>41537</v>
      </c>
      <c r="B925" s="1">
        <v>21533.69</v>
      </c>
      <c r="C925" s="1">
        <v>31.288419999999999</v>
      </c>
      <c r="D925" s="6">
        <f t="shared" si="200"/>
        <v>-1.6355483849159635E-2</v>
      </c>
      <c r="E925" s="5">
        <f t="shared" si="199"/>
        <v>3.312225886131781E-4</v>
      </c>
      <c r="G925" s="25" t="str">
        <f>IF(VLOOKUP(A925,Aux!B:C,2,FALSE)=0,"",VLOOKUP(A925,Aux!B:C,2,FALSE))</f>
        <v/>
      </c>
      <c r="H925" s="25" t="str">
        <f t="shared" si="188"/>
        <v/>
      </c>
      <c r="L925" s="13">
        <f t="shared" si="191"/>
        <v>118882.14887854339</v>
      </c>
      <c r="M925" s="14">
        <f t="shared" si="192"/>
        <v>-952.03158891863757</v>
      </c>
      <c r="N925" s="14">
        <f t="shared" si="193"/>
        <v>20.404989813409244</v>
      </c>
      <c r="O925" s="1">
        <f t="shared" si="194"/>
        <v>2.6589347546952378</v>
      </c>
      <c r="P925" s="1">
        <f t="shared" si="195"/>
        <v>1969.5936113332061</v>
      </c>
      <c r="S925" s="6">
        <f t="shared" si="189"/>
        <v>0.48162551970969075</v>
      </c>
      <c r="T925" s="6">
        <f t="shared" si="190"/>
        <v>0.5183744802903093</v>
      </c>
      <c r="V925" s="1">
        <f t="shared" si="196"/>
        <v>119675.31613379992</v>
      </c>
      <c r="W925" s="7">
        <f t="shared" si="197"/>
        <v>-7.8060095264808988E-3</v>
      </c>
      <c r="X925" s="7">
        <f t="shared" si="198"/>
        <v>-6.686225340383249E-3</v>
      </c>
      <c r="Y925">
        <f>LN(B925/B924)</f>
        <v>-1.649071127581922E-2</v>
      </c>
      <c r="Z925">
        <f>LN(C925/C924)</f>
        <v>3.3116774652119989E-4</v>
      </c>
    </row>
    <row r="926" spans="1:26" x14ac:dyDescent="0.3">
      <c r="A926" s="11">
        <v>41540</v>
      </c>
      <c r="B926" s="12">
        <v>21694.92</v>
      </c>
      <c r="C926" s="12">
        <v>31.298780000000001</v>
      </c>
      <c r="D926" s="16">
        <f t="shared" si="200"/>
        <v>7.4873372840418284E-3</v>
      </c>
      <c r="E926" s="15">
        <f t="shared" si="199"/>
        <v>3.3111291653598052E-4</v>
      </c>
      <c r="G926" s="25" t="str">
        <f>IF(VLOOKUP(A926,Aux!B:C,2,FALSE)=0,"",VLOOKUP(A926,Aux!B:C,2,FALSE))</f>
        <v/>
      </c>
      <c r="H926" s="25" t="str">
        <f t="shared" si="188"/>
        <v/>
      </c>
      <c r="L926" s="13">
        <f t="shared" si="191"/>
        <v>119331.25391885631</v>
      </c>
      <c r="M926" s="14">
        <f t="shared" si="192"/>
        <v>428.70005049951203</v>
      </c>
      <c r="N926" s="14">
        <f t="shared" si="193"/>
        <v>20.40498981341624</v>
      </c>
      <c r="O926" s="1">
        <f t="shared" si="194"/>
        <v>2.6589347546952378</v>
      </c>
      <c r="P926" s="1">
        <f t="shared" si="195"/>
        <v>1969.5936113332061</v>
      </c>
      <c r="S926" s="6">
        <f t="shared" si="189"/>
        <v>0.48340543565860883</v>
      </c>
      <c r="T926" s="6">
        <f t="shared" si="190"/>
        <v>0.51659456434139139</v>
      </c>
      <c r="V926" s="1">
        <f t="shared" si="196"/>
        <v>120070.45607595672</v>
      </c>
      <c r="W926" s="7">
        <f t="shared" si="197"/>
        <v>3.7706154828929007E-3</v>
      </c>
      <c r="X926" s="7">
        <f t="shared" si="198"/>
        <v>3.2963275748850406E-3</v>
      </c>
      <c r="Y926">
        <f>LN(B926/B925)</f>
        <v>7.459446307153391E-3</v>
      </c>
      <c r="Z926">
        <f>LN(C926/C925)</f>
        <v>3.3105811075183361E-4</v>
      </c>
    </row>
    <row r="927" spans="1:26" x14ac:dyDescent="0.3">
      <c r="A927" s="9">
        <v>41541</v>
      </c>
      <c r="B927" s="1">
        <v>21641.01</v>
      </c>
      <c r="C927" s="1">
        <v>31.309149999999999</v>
      </c>
      <c r="D927" s="6">
        <f t="shared" si="200"/>
        <v>-2.4849135189252136E-3</v>
      </c>
      <c r="E927" s="5">
        <f t="shared" si="199"/>
        <v>3.3132281833347932E-4</v>
      </c>
      <c r="G927" s="25" t="str">
        <f>IF(VLOOKUP(A927,Aux!B:C,2,FALSE)=0,"",VLOOKUP(A927,Aux!B:C,2,FALSE))</f>
        <v/>
      </c>
      <c r="H927" s="25" t="str">
        <f t="shared" si="188"/>
        <v/>
      </c>
      <c r="L927" s="13">
        <f t="shared" si="191"/>
        <v>119208.3354319802</v>
      </c>
      <c r="M927" s="14">
        <f t="shared" si="192"/>
        <v>-143.34317262561987</v>
      </c>
      <c r="N927" s="14">
        <f t="shared" si="193"/>
        <v>20.424685749521831</v>
      </c>
      <c r="O927" s="1">
        <f t="shared" si="194"/>
        <v>2.6589347546952378</v>
      </c>
      <c r="P927" s="1">
        <f t="shared" si="195"/>
        <v>1969.5936113332061</v>
      </c>
      <c r="S927" s="6">
        <f t="shared" si="189"/>
        <v>0.48270142693620977</v>
      </c>
      <c r="T927" s="6">
        <f t="shared" si="190"/>
        <v>0.51729857306379046</v>
      </c>
      <c r="V927" s="1">
        <f t="shared" si="196"/>
        <v>119969.28288380067</v>
      </c>
      <c r="W927" s="7">
        <f t="shared" si="197"/>
        <v>-1.0305920127567623E-3</v>
      </c>
      <c r="X927" s="7">
        <f t="shared" si="198"/>
        <v>-8.4297040636379912E-4</v>
      </c>
      <c r="Y927">
        <f>LN(B927/B926)</f>
        <v>-2.4880060406851814E-3</v>
      </c>
      <c r="Z927">
        <f>LN(C927/C926)</f>
        <v>3.3126794304912642E-4</v>
      </c>
    </row>
    <row r="928" spans="1:26" x14ac:dyDescent="0.3">
      <c r="A928" s="11">
        <v>41542</v>
      </c>
      <c r="B928" s="12">
        <v>21618.55</v>
      </c>
      <c r="C928" s="12">
        <v>31.319510000000001</v>
      </c>
      <c r="D928" s="16">
        <f t="shared" si="200"/>
        <v>-1.0378443519964975E-3</v>
      </c>
      <c r="E928" s="15">
        <f t="shared" si="199"/>
        <v>3.3089368443417477E-4</v>
      </c>
      <c r="G928" s="25" t="str">
        <f>IF(VLOOKUP(A928,Aux!B:C,2,FALSE)=0,"",VLOOKUP(A928,Aux!B:C,2,FALSE))</f>
        <v/>
      </c>
      <c r="H928" s="25" t="str">
        <f t="shared" si="188"/>
        <v/>
      </c>
      <c r="L928" s="13">
        <f t="shared" si="191"/>
        <v>119169.02074720316</v>
      </c>
      <c r="M928" s="14">
        <f t="shared" si="192"/>
        <v>-59.719674590452719</v>
      </c>
      <c r="N928" s="14">
        <f t="shared" si="193"/>
        <v>20.40498981341624</v>
      </c>
      <c r="O928" s="1">
        <f t="shared" si="194"/>
        <v>2.6589347546952378</v>
      </c>
      <c r="P928" s="1">
        <f t="shared" si="195"/>
        <v>1969.5936113332061</v>
      </c>
      <c r="S928" s="6">
        <f t="shared" si="189"/>
        <v>0.48235953925522052</v>
      </c>
      <c r="T928" s="6">
        <f t="shared" si="190"/>
        <v>0.51764046074477976</v>
      </c>
      <c r="V928" s="1">
        <f t="shared" si="196"/>
        <v>119940.6435704469</v>
      </c>
      <c r="W928" s="7">
        <f t="shared" si="197"/>
        <v>-3.298525142123951E-4</v>
      </c>
      <c r="X928" s="7">
        <f t="shared" si="198"/>
        <v>-2.3875055036762222E-4</v>
      </c>
      <c r="Y928">
        <f>LN(B928/B927)</f>
        <v>-1.0383832853642185E-3</v>
      </c>
      <c r="Z928">
        <f>LN(C928/C927)</f>
        <v>3.3083895119256532E-4</v>
      </c>
    </row>
    <row r="929" spans="1:26" x14ac:dyDescent="0.3">
      <c r="A929" s="9">
        <v>41543</v>
      </c>
      <c r="B929" s="1">
        <v>21615.81</v>
      </c>
      <c r="C929" s="1">
        <v>31.330010000000001</v>
      </c>
      <c r="D929" s="6">
        <f t="shared" si="200"/>
        <v>-1.2674300542814265E-4</v>
      </c>
      <c r="E929" s="5">
        <f t="shared" si="199"/>
        <v>3.3525428718395034E-4</v>
      </c>
      <c r="G929" s="25" t="str">
        <f>IF(VLOOKUP(A929,Aux!B:C,2,FALSE)=0,"",VLOOKUP(A929,Aux!B:C,2,FALSE))</f>
        <v/>
      </c>
      <c r="H929" s="25" t="str">
        <f t="shared" si="188"/>
        <v/>
      </c>
      <c r="L929" s="13">
        <f t="shared" si="191"/>
        <v>119182.41599889431</v>
      </c>
      <c r="M929" s="14">
        <f t="shared" si="192"/>
        <v>-7.2854812278595347</v>
      </c>
      <c r="N929" s="14">
        <f t="shared" si="193"/>
        <v>20.68073291899945</v>
      </c>
      <c r="O929" s="1">
        <f t="shared" si="194"/>
        <v>2.6589347546952378</v>
      </c>
      <c r="P929" s="1">
        <f t="shared" si="195"/>
        <v>1969.5936113332061</v>
      </c>
      <c r="S929" s="6">
        <f t="shared" si="189"/>
        <v>0.48224419666423007</v>
      </c>
      <c r="T929" s="6">
        <f t="shared" si="190"/>
        <v>0.51775580333577009</v>
      </c>
      <c r="V929" s="1">
        <f t="shared" si="196"/>
        <v>119957.81218544702</v>
      </c>
      <c r="W929" s="7">
        <f t="shared" si="197"/>
        <v>1.1239916895919339E-4</v>
      </c>
      <c r="X929" s="7">
        <f t="shared" si="198"/>
        <v>1.4313235135540224E-4</v>
      </c>
      <c r="Y929">
        <f>LN(B929/B928)</f>
        <v>-1.2675103800157729E-4</v>
      </c>
      <c r="Z929">
        <f>LN(C929/C928)</f>
        <v>3.3519810202260611E-4</v>
      </c>
    </row>
    <row r="930" spans="1:26" x14ac:dyDescent="0.3">
      <c r="A930" s="11">
        <v>41544</v>
      </c>
      <c r="B930" s="12">
        <v>21696.55</v>
      </c>
      <c r="C930" s="12">
        <v>31.340399999999999</v>
      </c>
      <c r="D930" s="16">
        <f t="shared" si="200"/>
        <v>3.7352289828600505E-3</v>
      </c>
      <c r="E930" s="15">
        <f t="shared" si="199"/>
        <v>3.3163091872601136E-4</v>
      </c>
      <c r="G930" s="25" t="str">
        <f>IF(VLOOKUP(A930,Aux!B:C,2,FALSE)=0,"",VLOOKUP(A930,Aux!B:C,2,FALSE))</f>
        <v/>
      </c>
      <c r="H930" s="25" t="str">
        <f t="shared" si="188"/>
        <v/>
      </c>
      <c r="L930" s="13">
        <f t="shared" si="191"/>
        <v>119417.56246861015</v>
      </c>
      <c r="M930" s="14">
        <f t="shared" si="192"/>
        <v>214.68239209408807</v>
      </c>
      <c r="N930" s="14">
        <f t="shared" si="193"/>
        <v>20.464077621747002</v>
      </c>
      <c r="O930" s="1">
        <f t="shared" si="194"/>
        <v>2.6589347546952378</v>
      </c>
      <c r="P930" s="1">
        <f t="shared" si="195"/>
        <v>1969.5936113332061</v>
      </c>
      <c r="S930" s="6">
        <f t="shared" si="189"/>
        <v>0.48309234972994153</v>
      </c>
      <c r="T930" s="6">
        <f t="shared" si="190"/>
        <v>0.51690765027005858</v>
      </c>
      <c r="V930" s="1">
        <f t="shared" si="196"/>
        <v>120167.32599602238</v>
      </c>
      <c r="W930" s="7">
        <f t="shared" si="197"/>
        <v>1.9710525319890752E-3</v>
      </c>
      <c r="X930" s="7">
        <f t="shared" si="198"/>
        <v>1.7450389853307232E-3</v>
      </c>
      <c r="Y930">
        <f>LN(B930/B929)</f>
        <v>3.7282703377883746E-3</v>
      </c>
      <c r="Z930">
        <f>LN(C930/C929)</f>
        <v>3.3157594134734705E-4</v>
      </c>
    </row>
    <row r="931" spans="1:26" x14ac:dyDescent="0.3">
      <c r="A931" s="9">
        <v>41547</v>
      </c>
      <c r="B931" s="1">
        <v>21281.05</v>
      </c>
      <c r="C931" s="1">
        <v>31.35079</v>
      </c>
      <c r="D931" s="6">
        <f t="shared" si="200"/>
        <v>-1.9150510104140928E-2</v>
      </c>
      <c r="E931" s="5">
        <f t="shared" si="199"/>
        <v>3.3152097612032527E-4</v>
      </c>
      <c r="G931" s="25" t="str">
        <f>IF(VLOOKUP(A931,Aux!B:C,2,FALSE)=0,"",VLOOKUP(A931,Aux!B:C,2,FALSE))</f>
        <v/>
      </c>
      <c r="H931" s="25" t="str">
        <f t="shared" si="188"/>
        <v/>
      </c>
      <c r="L931" s="13">
        <f t="shared" si="191"/>
        <v>118333.23915565603</v>
      </c>
      <c r="M931" s="14">
        <f t="shared" si="192"/>
        <v>-1104.7873905758713</v>
      </c>
      <c r="N931" s="14">
        <f t="shared" si="193"/>
        <v>20.464077621754001</v>
      </c>
      <c r="O931" s="1">
        <f t="shared" si="194"/>
        <v>2.6589347546952378</v>
      </c>
      <c r="P931" s="1">
        <f t="shared" si="195"/>
        <v>1969.5936113332061</v>
      </c>
      <c r="S931" s="6">
        <f t="shared" si="189"/>
        <v>0.47818283235680759</v>
      </c>
      <c r="T931" s="6">
        <f t="shared" si="190"/>
        <v>0.52181716764319264</v>
      </c>
      <c r="V931" s="1">
        <f t="shared" si="196"/>
        <v>119231.99676802968</v>
      </c>
      <c r="W931" s="7">
        <f t="shared" si="197"/>
        <v>-9.1215745544735577E-3</v>
      </c>
      <c r="X931" s="7">
        <f t="shared" si="198"/>
        <v>-7.8140069600417528E-3</v>
      </c>
      <c r="Y931">
        <f>LN(B931/B930)</f>
        <v>-1.9336256370231803E-2</v>
      </c>
      <c r="Z931">
        <f>LN(C931/C930)</f>
        <v>3.3146603518390124E-4</v>
      </c>
    </row>
    <row r="932" spans="1:26" x14ac:dyDescent="0.3">
      <c r="A932" s="11">
        <v>41548</v>
      </c>
      <c r="B932" s="12">
        <v>21546.04</v>
      </c>
      <c r="C932" s="12">
        <v>31.361180000000001</v>
      </c>
      <c r="D932" s="16">
        <f t="shared" si="200"/>
        <v>1.245192318988031E-2</v>
      </c>
      <c r="E932" s="15">
        <f t="shared" si="199"/>
        <v>3.3141110638679194E-4</v>
      </c>
      <c r="G932" s="25" t="str">
        <f>IF(VLOOKUP(A932,Aux!B:C,2,FALSE)=0,"",VLOOKUP(A932,Aux!B:C,2,FALSE))</f>
        <v/>
      </c>
      <c r="H932" s="25" t="str">
        <f t="shared" si="188"/>
        <v/>
      </c>
      <c r="L932" s="13">
        <f t="shared" si="191"/>
        <v>119058.29435392449</v>
      </c>
      <c r="M932" s="14">
        <f t="shared" si="192"/>
        <v>704.59112064669534</v>
      </c>
      <c r="N932" s="14">
        <f t="shared" si="193"/>
        <v>20.464077621754001</v>
      </c>
      <c r="O932" s="1">
        <f t="shared" si="194"/>
        <v>2.6589347546952378</v>
      </c>
      <c r="P932" s="1">
        <f t="shared" si="195"/>
        <v>1969.5936113332061</v>
      </c>
      <c r="S932" s="6">
        <f t="shared" si="189"/>
        <v>0.4811887730538898</v>
      </c>
      <c r="T932" s="6">
        <f t="shared" si="190"/>
        <v>0.51881122694611037</v>
      </c>
      <c r="V932" s="1">
        <f t="shared" si="196"/>
        <v>119866.58177370456</v>
      </c>
      <c r="W932" s="7">
        <f t="shared" si="197"/>
        <v>6.1085367461959968E-3</v>
      </c>
      <c r="X932" s="7">
        <f t="shared" si="198"/>
        <v>5.3081578282785759E-3</v>
      </c>
      <c r="Y932">
        <f>LN(B932/B931)</f>
        <v>1.2375035601937021E-2</v>
      </c>
      <c r="Z932">
        <f>LN(C932/C931)</f>
        <v>3.3135620185638614E-4</v>
      </c>
    </row>
    <row r="933" spans="1:26" x14ac:dyDescent="0.3">
      <c r="A933" s="9">
        <v>41549</v>
      </c>
      <c r="B933" s="1">
        <v>21527.94</v>
      </c>
      <c r="C933" s="1">
        <v>31.371580000000002</v>
      </c>
      <c r="D933" s="6">
        <f t="shared" si="200"/>
        <v>-8.4006156119653674E-4</v>
      </c>
      <c r="E933" s="5">
        <f t="shared" si="199"/>
        <v>3.3162017500609764E-4</v>
      </c>
      <c r="G933" s="25" t="str">
        <f>IF(VLOOKUP(A933,Aux!B:C,2,FALSE)=0,"",VLOOKUP(A933,Aux!B:C,2,FALSE))</f>
        <v/>
      </c>
      <c r="H933" s="25" t="str">
        <f t="shared" si="188"/>
        <v/>
      </c>
      <c r="L933" s="13">
        <f t="shared" si="191"/>
        <v>119030.65140842236</v>
      </c>
      <c r="M933" s="14">
        <f t="shared" si="192"/>
        <v>-48.126719059989604</v>
      </c>
      <c r="N933" s="14">
        <f t="shared" si="193"/>
        <v>20.483773557866588</v>
      </c>
      <c r="O933" s="1">
        <f t="shared" si="194"/>
        <v>2.6589347546952378</v>
      </c>
      <c r="P933" s="1">
        <f t="shared" si="195"/>
        <v>1969.5936113332061</v>
      </c>
      <c r="S933" s="6">
        <f t="shared" si="189"/>
        <v>0.48089619930403499</v>
      </c>
      <c r="T933" s="6">
        <f t="shared" si="190"/>
        <v>0.51910380069596518</v>
      </c>
      <c r="V933" s="1">
        <f t="shared" si="196"/>
        <v>119848.09061816285</v>
      </c>
      <c r="W933" s="7">
        <f t="shared" si="197"/>
        <v>-2.3220687997773526E-4</v>
      </c>
      <c r="X933" s="7">
        <f t="shared" si="198"/>
        <v>-1.5427637694326172E-4</v>
      </c>
      <c r="Y933">
        <f>LN(B933/B932)</f>
        <v>-8.4041461064586552E-4</v>
      </c>
      <c r="Z933">
        <f>LN(C933/C932)</f>
        <v>3.3156520118914415E-4</v>
      </c>
    </row>
    <row r="934" spans="1:26" x14ac:dyDescent="0.3">
      <c r="A934" s="11">
        <v>41550</v>
      </c>
      <c r="B934" s="12">
        <v>21354.03</v>
      </c>
      <c r="C934" s="12">
        <v>31.381969999999999</v>
      </c>
      <c r="D934" s="16">
        <f t="shared" si="200"/>
        <v>-8.0783391258058002E-3</v>
      </c>
      <c r="E934" s="15">
        <f t="shared" si="199"/>
        <v>3.311914796766402E-4</v>
      </c>
      <c r="G934" s="25" t="str">
        <f>IF(VLOOKUP(A934,Aux!B:C,2,FALSE)=0,"",VLOOKUP(A934,Aux!B:C,2,FALSE))</f>
        <v/>
      </c>
      <c r="H934" s="25" t="str">
        <f t="shared" si="188"/>
        <v/>
      </c>
      <c r="L934" s="13">
        <f t="shared" si="191"/>
        <v>118588.70014285506</v>
      </c>
      <c r="M934" s="14">
        <f t="shared" si="192"/>
        <v>-462.41534318904843</v>
      </c>
      <c r="N934" s="14">
        <f t="shared" si="193"/>
        <v>20.464077621747002</v>
      </c>
      <c r="O934" s="1">
        <f t="shared" si="194"/>
        <v>2.6589347546952378</v>
      </c>
      <c r="P934" s="1">
        <f t="shared" si="195"/>
        <v>1969.5936113332061</v>
      </c>
      <c r="S934" s="6">
        <f t="shared" si="189"/>
        <v>0.47878906212318129</v>
      </c>
      <c r="T934" s="6">
        <f t="shared" si="190"/>
        <v>0.52121093787681894</v>
      </c>
      <c r="V934" s="1">
        <f t="shared" si="196"/>
        <v>119470.11797103356</v>
      </c>
      <c r="W934" s="7">
        <f t="shared" si="197"/>
        <v>-3.7198298227270298E-3</v>
      </c>
      <c r="X934" s="7">
        <f t="shared" si="198"/>
        <v>-3.1587480420474734E-3</v>
      </c>
      <c r="Y934">
        <f>LN(B934/B933)</f>
        <v>-8.1111457085787948E-3</v>
      </c>
      <c r="Z934">
        <f>LN(C934/C933)</f>
        <v>3.311366478847491E-4</v>
      </c>
    </row>
    <row r="935" spans="1:26" x14ac:dyDescent="0.3">
      <c r="A935" s="9">
        <v>41551</v>
      </c>
      <c r="B935" s="1">
        <v>21498.15</v>
      </c>
      <c r="C935" s="1">
        <v>31.39235</v>
      </c>
      <c r="D935" s="6">
        <f t="shared" si="200"/>
        <v>6.7490773404366156E-3</v>
      </c>
      <c r="E935" s="5">
        <f t="shared" si="199"/>
        <v>3.3076317388625043E-4</v>
      </c>
      <c r="G935" s="25" t="str">
        <f>IF(VLOOKUP(A935,Aux!B:C,2,FALSE)=0,"",VLOOKUP(A935,Aux!B:C,2,FALSE))</f>
        <v/>
      </c>
      <c r="H935" s="25" t="str">
        <f t="shared" si="188"/>
        <v/>
      </c>
      <c r="L935" s="13">
        <f t="shared" si="191"/>
        <v>118992.35020138738</v>
      </c>
      <c r="M935" s="14">
        <f t="shared" si="192"/>
        <v>383.20567684668464</v>
      </c>
      <c r="N935" s="14">
        <f t="shared" si="193"/>
        <v>20.444381685641414</v>
      </c>
      <c r="O935" s="1">
        <f t="shared" si="194"/>
        <v>2.6589347546952378</v>
      </c>
      <c r="P935" s="1">
        <f t="shared" si="195"/>
        <v>1969.5936113332061</v>
      </c>
      <c r="S935" s="6">
        <f t="shared" si="189"/>
        <v>0.4803853197277631</v>
      </c>
      <c r="T935" s="6">
        <f t="shared" si="190"/>
        <v>0.51961468027223712</v>
      </c>
      <c r="V935" s="1">
        <f t="shared" si="196"/>
        <v>119825.82928732858</v>
      </c>
      <c r="W935" s="7">
        <f t="shared" si="197"/>
        <v>3.398002040483258E-3</v>
      </c>
      <c r="X935" s="7">
        <f t="shared" si="198"/>
        <v>2.9729845605050436E-3</v>
      </c>
      <c r="Y935">
        <f>LN(B935/B934)</f>
        <v>6.7264042756383846E-3</v>
      </c>
      <c r="Z935">
        <f>LN(C935/C934)</f>
        <v>3.3070848380696121E-4</v>
      </c>
    </row>
    <row r="936" spans="1:26" x14ac:dyDescent="0.3">
      <c r="A936" s="11">
        <v>41554</v>
      </c>
      <c r="B936" s="12">
        <v>21456.400000000001</v>
      </c>
      <c r="C936" s="12">
        <v>31.402899999999999</v>
      </c>
      <c r="D936" s="16">
        <f t="shared" si="200"/>
        <v>-1.9420275698140976E-3</v>
      </c>
      <c r="E936" s="15">
        <f t="shared" si="199"/>
        <v>3.3606913786310422E-4</v>
      </c>
      <c r="G936" s="25" t="str">
        <f>IF(VLOOKUP(A936,Aux!B:C,2,FALSE)=0,"",VLOOKUP(A936,Aux!B:C,2,FALSE))</f>
        <v/>
      </c>
      <c r="H936" s="25" t="str">
        <f t="shared" si="188"/>
        <v/>
      </c>
      <c r="L936" s="13">
        <f t="shared" si="191"/>
        <v>118902.11888797842</v>
      </c>
      <c r="M936" s="14">
        <f t="shared" si="192"/>
        <v>-111.01052600852617</v>
      </c>
      <c r="N936" s="14">
        <f t="shared" si="193"/>
        <v>20.779212599562381</v>
      </c>
      <c r="O936" s="1">
        <f t="shared" si="194"/>
        <v>2.6589347546952378</v>
      </c>
      <c r="P936" s="1">
        <f t="shared" si="195"/>
        <v>1969.5936113332061</v>
      </c>
      <c r="S936" s="6">
        <f t="shared" si="189"/>
        <v>0.47981624048594695</v>
      </c>
      <c r="T936" s="6">
        <f t="shared" si="190"/>
        <v>0.52018375951405327</v>
      </c>
      <c r="V936" s="1">
        <f t="shared" si="196"/>
        <v>119753.11232437468</v>
      </c>
      <c r="W936" s="7">
        <f t="shared" si="197"/>
        <v>-7.5858272856290819E-4</v>
      </c>
      <c r="X936" s="7">
        <f t="shared" si="198"/>
        <v>-6.0703970639249178E-4</v>
      </c>
      <c r="Y936">
        <f>LN(B936/B935)</f>
        <v>-1.9439157503501954E-3</v>
      </c>
      <c r="Z936">
        <f>LN(C936/C935)</f>
        <v>3.3601267927936302E-4</v>
      </c>
    </row>
    <row r="937" spans="1:26" x14ac:dyDescent="0.3">
      <c r="A937" s="9">
        <v>41555</v>
      </c>
      <c r="B937" s="1">
        <v>21323.29</v>
      </c>
      <c r="C937" s="1">
        <v>31.413419999999999</v>
      </c>
      <c r="D937" s="6">
        <f t="shared" si="200"/>
        <v>-6.2037434052311102E-3</v>
      </c>
      <c r="E937" s="5">
        <f t="shared" si="199"/>
        <v>3.3500090755955725E-4</v>
      </c>
      <c r="G937" s="25" t="str">
        <f>IF(VLOOKUP(A937,Aux!B:C,2,FALSE)=0,"",VLOOKUP(A937,Aux!B:C,2,FALSE))</f>
        <v/>
      </c>
      <c r="H937" s="25" t="str">
        <f t="shared" si="188"/>
        <v/>
      </c>
      <c r="L937" s="13">
        <f t="shared" si="191"/>
        <v>118568.90820757217</v>
      </c>
      <c r="M937" s="14">
        <f t="shared" si="192"/>
        <v>-353.93080519748463</v>
      </c>
      <c r="N937" s="14">
        <f t="shared" si="193"/>
        <v>20.72012479122462</v>
      </c>
      <c r="O937" s="1">
        <f t="shared" si="194"/>
        <v>2.6589347546952378</v>
      </c>
      <c r="P937" s="1">
        <f t="shared" si="195"/>
        <v>1969.5936113332061</v>
      </c>
      <c r="S937" s="6">
        <f t="shared" si="189"/>
        <v>0.47817963176475098</v>
      </c>
      <c r="T937" s="6">
        <f t="shared" si="190"/>
        <v>0.52182036823524913</v>
      </c>
      <c r="V937" s="1">
        <f t="shared" si="196"/>
        <v>119469.55753165703</v>
      </c>
      <c r="W937" s="7">
        <f t="shared" si="197"/>
        <v>-2.8063288660054469E-3</v>
      </c>
      <c r="X937" s="7">
        <f t="shared" si="198"/>
        <v>-2.3706359074115069E-3</v>
      </c>
      <c r="Y937">
        <f>LN(B937/B936)</f>
        <v>-6.2230665801488692E-3</v>
      </c>
      <c r="Z937">
        <f>LN(C937/C936)</f>
        <v>3.3494480728427008E-4</v>
      </c>
    </row>
    <row r="938" spans="1:26" x14ac:dyDescent="0.3">
      <c r="A938" s="11">
        <v>41556</v>
      </c>
      <c r="B938" s="12">
        <v>21401.14</v>
      </c>
      <c r="C938" s="12">
        <v>31.423950000000001</v>
      </c>
      <c r="D938" s="16">
        <f t="shared" si="200"/>
        <v>3.6509375429401025E-3</v>
      </c>
      <c r="E938" s="15">
        <f t="shared" si="199"/>
        <v>3.3520705481926427E-4</v>
      </c>
      <c r="G938" s="25" t="str">
        <f>IF(VLOOKUP(A938,Aux!B:C,2,FALSE)=0,"",VLOOKUP(A938,Aux!B:C,2,FALSE))</f>
        <v/>
      </c>
      <c r="H938" s="25" t="str">
        <f t="shared" si="188"/>
        <v/>
      </c>
      <c r="L938" s="13">
        <f t="shared" si="191"/>
        <v>118796.64609895254</v>
      </c>
      <c r="M938" s="14">
        <f t="shared" si="192"/>
        <v>206.99807065302039</v>
      </c>
      <c r="N938" s="14">
        <f t="shared" si="193"/>
        <v>20.739820727344206</v>
      </c>
      <c r="O938" s="1">
        <f t="shared" si="194"/>
        <v>2.6589347546952378</v>
      </c>
      <c r="P938" s="1">
        <f t="shared" si="195"/>
        <v>1969.5936113332061</v>
      </c>
      <c r="S938" s="6">
        <f t="shared" si="189"/>
        <v>0.47900539960277699</v>
      </c>
      <c r="T938" s="6">
        <f t="shared" si="190"/>
        <v>0.52099460039722312</v>
      </c>
      <c r="V938" s="1">
        <f t="shared" si="196"/>
        <v>119672.71720968428</v>
      </c>
      <c r="W938" s="7">
        <f t="shared" si="197"/>
        <v>1.9188796110300552E-3</v>
      </c>
      <c r="X938" s="7">
        <f t="shared" si="198"/>
        <v>1.6990699542445752E-3</v>
      </c>
      <c r="Y938">
        <f>LN(B938/B937)</f>
        <v>3.6442890477156498E-3</v>
      </c>
      <c r="Z938">
        <f>LN(C938/C937)</f>
        <v>3.3515088548635117E-4</v>
      </c>
    </row>
    <row r="939" spans="1:26" x14ac:dyDescent="0.3">
      <c r="A939" s="9">
        <v>41557</v>
      </c>
      <c r="B939" s="1">
        <v>21577.02</v>
      </c>
      <c r="C939" s="1">
        <v>31.434519999999999</v>
      </c>
      <c r="D939" s="6">
        <f t="shared" si="200"/>
        <v>8.2182537939567979E-3</v>
      </c>
      <c r="E939" s="5">
        <f t="shared" si="199"/>
        <v>3.3636764315114753E-4</v>
      </c>
      <c r="G939" s="25" t="str">
        <f>IF(VLOOKUP(A939,Aux!B:C,2,FALSE)=0,"",VLOOKUP(A939,Aux!B:C,2,FALSE))</f>
        <v/>
      </c>
      <c r="H939" s="25" t="str">
        <f t="shared" si="188"/>
        <v/>
      </c>
      <c r="L939" s="13">
        <f t="shared" si="191"/>
        <v>119285.11814808013</v>
      </c>
      <c r="M939" s="14">
        <f t="shared" si="192"/>
        <v>467.65344465580114</v>
      </c>
      <c r="N939" s="14">
        <f t="shared" si="193"/>
        <v>20.818604471787552</v>
      </c>
      <c r="O939" s="1">
        <f t="shared" si="194"/>
        <v>2.6589347546952378</v>
      </c>
      <c r="P939" s="1">
        <f t="shared" si="195"/>
        <v>1969.5936113332061</v>
      </c>
      <c r="S939" s="6">
        <f t="shared" si="189"/>
        <v>0.48096434216993417</v>
      </c>
      <c r="T939" s="6">
        <f t="shared" si="190"/>
        <v>0.51903565783006578</v>
      </c>
      <c r="V939" s="1">
        <f t="shared" si="196"/>
        <v>120102.12501211773</v>
      </c>
      <c r="W939" s="7">
        <f t="shared" si="197"/>
        <v>4.1034031823193569E-3</v>
      </c>
      <c r="X939" s="7">
        <f t="shared" si="198"/>
        <v>3.581762436191229E-3</v>
      </c>
      <c r="Y939">
        <f>LN(B939/B938)</f>
        <v>8.1846678327426609E-3</v>
      </c>
      <c r="Z939">
        <f>LN(C939/C938)</f>
        <v>3.363110842381714E-4</v>
      </c>
    </row>
    <row r="940" spans="1:26" x14ac:dyDescent="0.3">
      <c r="A940" s="11">
        <v>41558</v>
      </c>
      <c r="B940" s="12">
        <v>21671.72</v>
      </c>
      <c r="C940" s="12">
        <v>31.445689999999999</v>
      </c>
      <c r="D940" s="16">
        <f t="shared" si="200"/>
        <v>4.3889285916220988E-3</v>
      </c>
      <c r="E940" s="15">
        <f t="shared" si="199"/>
        <v>3.5534183439089873E-4</v>
      </c>
      <c r="G940" s="25" t="str">
        <f>IF(VLOOKUP(A940,Aux!B:C,2,FALSE)=0,"",VLOOKUP(A940,Aux!B:C,2,FALSE))</f>
        <v/>
      </c>
      <c r="H940" s="25" t="str">
        <f t="shared" si="188"/>
        <v/>
      </c>
      <c r="L940" s="13">
        <f t="shared" si="191"/>
        <v>119558.91962998836</v>
      </c>
      <c r="M940" s="14">
        <f t="shared" si="192"/>
        <v>251.80112126964096</v>
      </c>
      <c r="N940" s="14">
        <f t="shared" si="193"/>
        <v>22.000360638591719</v>
      </c>
      <c r="O940" s="1">
        <f t="shared" si="194"/>
        <v>2.6589347546952378</v>
      </c>
      <c r="P940" s="1">
        <f t="shared" si="195"/>
        <v>1969.5936113332061</v>
      </c>
      <c r="S940" s="6">
        <f t="shared" si="189"/>
        <v>0.48196897128510369</v>
      </c>
      <c r="T940" s="6">
        <f t="shared" si="190"/>
        <v>0.51803102871489626</v>
      </c>
      <c r="V940" s="1">
        <f t="shared" si="196"/>
        <v>120345.58999433651</v>
      </c>
      <c r="W940" s="7">
        <f t="shared" si="197"/>
        <v>2.2927229366377119E-3</v>
      </c>
      <c r="X940" s="7">
        <f t="shared" si="198"/>
        <v>2.0250977674445233E-3</v>
      </c>
      <c r="Y940">
        <f>LN(B940/B939)</f>
        <v>4.3793253329556725E-3</v>
      </c>
      <c r="Z940">
        <f>LN(C940/C939)</f>
        <v>3.5527871543335931E-4</v>
      </c>
    </row>
    <row r="941" spans="1:26" x14ac:dyDescent="0.3">
      <c r="A941" s="9">
        <v>41561</v>
      </c>
      <c r="B941" s="1">
        <v>21943.96</v>
      </c>
      <c r="C941" s="1">
        <v>31.456810000000001</v>
      </c>
      <c r="D941" s="6">
        <f t="shared" si="200"/>
        <v>1.2561993233578095E-2</v>
      </c>
      <c r="E941" s="5">
        <f t="shared" si="199"/>
        <v>3.5362556840068393E-4</v>
      </c>
      <c r="G941" s="25" t="str">
        <f>IF(VLOOKUP(A941,Aux!B:C,2,FALSE)=0,"",VLOOKUP(A941,Aux!B:C,2,FALSE))</f>
        <v/>
      </c>
      <c r="H941" s="25" t="str">
        <f t="shared" si="188"/>
        <v/>
      </c>
      <c r="L941" s="13">
        <f t="shared" si="191"/>
        <v>120304.68990856461</v>
      </c>
      <c r="M941" s="14">
        <f t="shared" si="192"/>
        <v>723.86839761822614</v>
      </c>
      <c r="N941" s="14">
        <f t="shared" si="193"/>
        <v>21.901880958028787</v>
      </c>
      <c r="O941" s="1">
        <f t="shared" si="194"/>
        <v>2.6589347546952378</v>
      </c>
      <c r="P941" s="1">
        <f t="shared" si="195"/>
        <v>1969.5936113332061</v>
      </c>
      <c r="S941" s="6">
        <f t="shared" si="189"/>
        <v>0.48499819869024313</v>
      </c>
      <c r="T941" s="6">
        <f t="shared" si="190"/>
        <v>0.51500180130975692</v>
      </c>
      <c r="V941" s="1">
        <f t="shared" si="196"/>
        <v>120998.53411031463</v>
      </c>
      <c r="W941" s="7">
        <f t="shared" si="197"/>
        <v>6.2183061706468116E-3</v>
      </c>
      <c r="X941" s="7">
        <f t="shared" si="198"/>
        <v>5.410910346144172E-3</v>
      </c>
      <c r="Y941">
        <f>LN(B941/B940)</f>
        <v>1.2483746009222111E-2</v>
      </c>
      <c r="Z941">
        <f>LN(C941/C940)</f>
        <v>3.5356305761587761E-4</v>
      </c>
    </row>
    <row r="942" spans="1:26" x14ac:dyDescent="0.3">
      <c r="A942" s="11">
        <v>41562</v>
      </c>
      <c r="B942" s="12">
        <v>21941.5</v>
      </c>
      <c r="C942" s="12">
        <v>31.467970000000001</v>
      </c>
      <c r="D942" s="16">
        <f t="shared" si="200"/>
        <v>-1.1210374061920714E-4</v>
      </c>
      <c r="E942" s="15">
        <f t="shared" si="199"/>
        <v>3.5477214631751686E-4</v>
      </c>
      <c r="G942" s="25" t="str">
        <f>IF(VLOOKUP(A942,Aux!B:C,2,FALSE)=0,"",VLOOKUP(A942,Aux!B:C,2,FALSE))</f>
        <v/>
      </c>
      <c r="H942" s="25" t="str">
        <f t="shared" si="188"/>
        <v/>
      </c>
      <c r="L942" s="13">
        <f t="shared" si="191"/>
        <v>120320.12959377054</v>
      </c>
      <c r="M942" s="14">
        <f t="shared" si="192"/>
        <v>-6.5409794965479637</v>
      </c>
      <c r="N942" s="14">
        <f t="shared" si="193"/>
        <v>21.980664702479132</v>
      </c>
      <c r="O942" s="1">
        <f t="shared" si="194"/>
        <v>2.6589347546952378</v>
      </c>
      <c r="P942" s="1">
        <f t="shared" si="195"/>
        <v>1969.5936113332061</v>
      </c>
      <c r="S942" s="6">
        <f t="shared" si="189"/>
        <v>0.48488159975491008</v>
      </c>
      <c r="T942" s="6">
        <f t="shared" si="190"/>
        <v>0.51511840024509004</v>
      </c>
      <c r="V942" s="1">
        <f t="shared" si="196"/>
        <v>121017.8252025338</v>
      </c>
      <c r="W942" s="7">
        <f t="shared" si="197"/>
        <v>1.2832994750134827E-4</v>
      </c>
      <c r="X942" s="7">
        <f t="shared" si="198"/>
        <v>1.5941973769692723E-4</v>
      </c>
      <c r="Y942">
        <f>LN(B942/B941)</f>
        <v>-1.121100247131889E-4</v>
      </c>
      <c r="Z942">
        <f>LN(C942/C941)</f>
        <v>3.5470922955991771E-4</v>
      </c>
    </row>
    <row r="943" spans="1:26" x14ac:dyDescent="0.3">
      <c r="A943" s="9">
        <v>41563</v>
      </c>
      <c r="B943" s="1">
        <v>21960.720000000001</v>
      </c>
      <c r="C943" s="1">
        <v>31.479130000000001</v>
      </c>
      <c r="D943" s="6">
        <f t="shared" si="200"/>
        <v>8.7596563589542598E-4</v>
      </c>
      <c r="E943" s="5">
        <f t="shared" si="199"/>
        <v>3.5464632767867599E-4</v>
      </c>
      <c r="G943" s="25" t="str">
        <f>IF(VLOOKUP(A943,Aux!B:C,2,FALSE)=0,"",VLOOKUP(A943,Aux!B:C,2,FALSE))</f>
        <v/>
      </c>
      <c r="H943" s="25" t="str">
        <f t="shared" si="188"/>
        <v/>
      </c>
      <c r="L943" s="13">
        <f t="shared" si="191"/>
        <v>120393.21498445827</v>
      </c>
      <c r="M943" s="14">
        <f t="shared" si="192"/>
        <v>51.104725985245565</v>
      </c>
      <c r="N943" s="14">
        <f t="shared" si="193"/>
        <v>21.980664702479132</v>
      </c>
      <c r="O943" s="1">
        <f t="shared" si="194"/>
        <v>2.6589347546952378</v>
      </c>
      <c r="P943" s="1">
        <f t="shared" si="195"/>
        <v>1969.5936113332061</v>
      </c>
      <c r="S943" s="6">
        <f t="shared" si="189"/>
        <v>0.48501173138094805</v>
      </c>
      <c r="T943" s="6">
        <f t="shared" si="190"/>
        <v>0.514988268619052</v>
      </c>
      <c r="V943" s="1">
        <f t="shared" si="196"/>
        <v>121087.13281312343</v>
      </c>
      <c r="W943" s="7">
        <f t="shared" si="197"/>
        <v>6.0724006025996205E-4</v>
      </c>
      <c r="X943" s="7">
        <f t="shared" si="198"/>
        <v>5.7254186821256671E-4</v>
      </c>
      <c r="Y943">
        <f>LN(B943/B942)</f>
        <v>8.7558220189812362E-4</v>
      </c>
      <c r="Z943">
        <f>LN(C943/C942)</f>
        <v>3.5458345553428553E-4</v>
      </c>
    </row>
    <row r="944" spans="1:26" x14ac:dyDescent="0.3">
      <c r="A944" s="11">
        <v>41564</v>
      </c>
      <c r="B944" s="12">
        <v>21989.43</v>
      </c>
      <c r="C944" s="12">
        <v>31.490300000000001</v>
      </c>
      <c r="D944" s="16">
        <f t="shared" si="200"/>
        <v>1.3073341857643417E-3</v>
      </c>
      <c r="E944" s="15">
        <f t="shared" si="199"/>
        <v>3.548382690372609E-4</v>
      </c>
      <c r="G944" s="25" t="str">
        <f>IF(VLOOKUP(A944,Aux!B:C,2,FALSE)=0,"",VLOOKUP(A944,Aux!B:C,2,FALSE))</f>
        <v/>
      </c>
      <c r="H944" s="25" t="str">
        <f t="shared" si="188"/>
        <v/>
      </c>
      <c r="L944" s="13">
        <f t="shared" si="191"/>
        <v>120491.55336190415</v>
      </c>
      <c r="M944" s="14">
        <f t="shared" si="192"/>
        <v>76.338016807297961</v>
      </c>
      <c r="N944" s="14">
        <f t="shared" si="193"/>
        <v>22.000360638591719</v>
      </c>
      <c r="O944" s="1">
        <f t="shared" si="194"/>
        <v>2.6589347546952378</v>
      </c>
      <c r="P944" s="1">
        <f t="shared" si="195"/>
        <v>1969.5936113332061</v>
      </c>
      <c r="S944" s="6">
        <f t="shared" si="189"/>
        <v>0.48524944721497876</v>
      </c>
      <c r="T944" s="6">
        <f t="shared" si="190"/>
        <v>0.51475055278502135</v>
      </c>
      <c r="V944" s="1">
        <f t="shared" si="196"/>
        <v>121178.35655699966</v>
      </c>
      <c r="W944" s="7">
        <f t="shared" si="197"/>
        <v>8.1647655502621911E-4</v>
      </c>
      <c r="X944" s="7">
        <f t="shared" si="198"/>
        <v>7.5308908771781909E-4</v>
      </c>
      <c r="Y944">
        <f>LN(B944/B943)</f>
        <v>1.3064803684963617E-3</v>
      </c>
      <c r="Z944">
        <f>LN(C944/C943)</f>
        <v>3.5477532882729747E-4</v>
      </c>
    </row>
    <row r="945" spans="1:26" x14ac:dyDescent="0.3">
      <c r="A945" s="9">
        <v>41565</v>
      </c>
      <c r="B945" s="1">
        <v>22054.799999999999</v>
      </c>
      <c r="C945" s="1">
        <v>31.501470000000001</v>
      </c>
      <c r="D945" s="6">
        <f t="shared" si="200"/>
        <v>2.9727919277580117E-3</v>
      </c>
      <c r="E945" s="5">
        <f t="shared" si="199"/>
        <v>3.5471240350193334E-4</v>
      </c>
      <c r="G945" s="25" t="str">
        <f>IF(VLOOKUP(A945,Aux!B:C,2,FALSE)=0,"",VLOOKUP(A945,Aux!B:C,2,FALSE))</f>
        <v/>
      </c>
      <c r="H945" s="25" t="str">
        <f t="shared" si="188"/>
        <v/>
      </c>
      <c r="L945" s="13">
        <f t="shared" si="191"/>
        <v>120687.36828745717</v>
      </c>
      <c r="M945" s="14">
        <f t="shared" si="192"/>
        <v>173.81456491442498</v>
      </c>
      <c r="N945" s="14">
        <f t="shared" si="193"/>
        <v>22.000360638591719</v>
      </c>
      <c r="O945" s="1">
        <f t="shared" si="194"/>
        <v>2.6589347546952378</v>
      </c>
      <c r="P945" s="1">
        <f t="shared" si="195"/>
        <v>1969.5936113332061</v>
      </c>
      <c r="S945" s="6">
        <f t="shared" si="189"/>
        <v>0.48590233642493896</v>
      </c>
      <c r="T945" s="6">
        <f t="shared" si="190"/>
        <v>0.51409766357506115</v>
      </c>
      <c r="V945" s="1">
        <f t="shared" si="196"/>
        <v>121354.15620324953</v>
      </c>
      <c r="W945" s="7">
        <f t="shared" si="197"/>
        <v>1.6238149440303106E-3</v>
      </c>
      <c r="X945" s="7">
        <f t="shared" si="198"/>
        <v>1.4496998776610699E-3</v>
      </c>
      <c r="Y945">
        <f>LN(B945/B944)</f>
        <v>2.9683819196976192E-3</v>
      </c>
      <c r="Z945">
        <f>LN(C945/C944)</f>
        <v>3.5464950793012099E-4</v>
      </c>
    </row>
    <row r="946" spans="1:26" x14ac:dyDescent="0.3">
      <c r="A946" s="11">
        <v>41568</v>
      </c>
      <c r="B946" s="12">
        <v>22232.45</v>
      </c>
      <c r="C946" s="12">
        <v>31.512609999999999</v>
      </c>
      <c r="D946" s="16">
        <f t="shared" si="200"/>
        <v>8.0549358869725918E-3</v>
      </c>
      <c r="E946" s="15">
        <f t="shared" si="199"/>
        <v>3.5363429071710861E-4</v>
      </c>
      <c r="G946" s="25" t="str">
        <f>IF(VLOOKUP(A946,Aux!B:C,2,FALSE)=0,"",VLOOKUP(A946,Aux!B:C,2,FALSE))</f>
        <v/>
      </c>
      <c r="H946" s="25" t="str">
        <f t="shared" si="188"/>
        <v/>
      </c>
      <c r="L946" s="13">
        <f t="shared" si="191"/>
        <v>121181.66931945902</v>
      </c>
      <c r="M946" s="14">
        <f t="shared" si="192"/>
        <v>472.35975917161284</v>
      </c>
      <c r="N946" s="14">
        <f t="shared" si="193"/>
        <v>21.941272830246962</v>
      </c>
      <c r="O946" s="1">
        <f t="shared" si="194"/>
        <v>2.6589347546952378</v>
      </c>
      <c r="P946" s="1">
        <f t="shared" si="195"/>
        <v>1969.5936113332061</v>
      </c>
      <c r="S946" s="6">
        <f t="shared" si="189"/>
        <v>0.48781828406065436</v>
      </c>
      <c r="T946" s="6">
        <f t="shared" si="190"/>
        <v>0.51218171593934592</v>
      </c>
      <c r="V946" s="1">
        <f t="shared" si="196"/>
        <v>121788.92262310098</v>
      </c>
      <c r="W946" s="7">
        <f t="shared" si="197"/>
        <v>4.0873501218635566E-3</v>
      </c>
      <c r="X946" s="7">
        <f t="shared" si="198"/>
        <v>3.5762225708058171E-3</v>
      </c>
      <c r="Y946">
        <f>LN(B946/B945)</f>
        <v>8.0226680519815755E-3</v>
      </c>
      <c r="Z946">
        <f>LN(C946/C945)</f>
        <v>3.5357177684892049E-4</v>
      </c>
    </row>
    <row r="947" spans="1:26" x14ac:dyDescent="0.3">
      <c r="A947" s="9">
        <v>41569</v>
      </c>
      <c r="B947" s="1">
        <v>22364.93</v>
      </c>
      <c r="C947" s="1">
        <v>31.523789999999998</v>
      </c>
      <c r="D947" s="6">
        <f t="shared" si="200"/>
        <v>5.9588574358651059E-3</v>
      </c>
      <c r="E947" s="5">
        <f t="shared" si="199"/>
        <v>3.5477861084820539E-4</v>
      </c>
      <c r="G947" s="25" t="str">
        <f>IF(VLOOKUP(A947,Aux!B:C,2,FALSE)=0,"",VLOOKUP(A947,Aux!B:C,2,FALSE))</f>
        <v/>
      </c>
      <c r="H947" s="25" t="str">
        <f t="shared" si="188"/>
        <v/>
      </c>
      <c r="L947" s="13">
        <f t="shared" si="191"/>
        <v>121555.94505233575</v>
      </c>
      <c r="M947" s="14">
        <f t="shared" si="192"/>
        <v>352.25567630202391</v>
      </c>
      <c r="N947" s="14">
        <f t="shared" si="193"/>
        <v>22.020056574704306</v>
      </c>
      <c r="O947" s="1">
        <f t="shared" si="194"/>
        <v>2.6589347546952378</v>
      </c>
      <c r="P947" s="1">
        <f t="shared" si="195"/>
        <v>1969.5936113332061</v>
      </c>
      <c r="S947" s="6">
        <f t="shared" si="189"/>
        <v>0.48921416091761516</v>
      </c>
      <c r="T947" s="6">
        <f t="shared" si="190"/>
        <v>0.51078583908238506</v>
      </c>
      <c r="V947" s="1">
        <f t="shared" si="196"/>
        <v>122119.56975819584</v>
      </c>
      <c r="W947" s="7">
        <f t="shared" si="197"/>
        <v>3.083790952230916E-3</v>
      </c>
      <c r="X947" s="7">
        <f t="shared" si="198"/>
        <v>2.7112408789939824E-3</v>
      </c>
      <c r="Y947">
        <f>LN(B947/B946)</f>
        <v>5.9411736601863501E-3</v>
      </c>
      <c r="Z947">
        <f>LN(C947/C946)</f>
        <v>3.5471569179796328E-4</v>
      </c>
    </row>
    <row r="948" spans="1:26" x14ac:dyDescent="0.3">
      <c r="A948" s="11">
        <v>41570</v>
      </c>
      <c r="B948" s="12">
        <v>22065.98</v>
      </c>
      <c r="C948" s="12">
        <v>31.534980000000001</v>
      </c>
      <c r="D948" s="16">
        <f t="shared" si="200"/>
        <v>-1.3366909710873287E-2</v>
      </c>
      <c r="E948" s="15">
        <f t="shared" si="199"/>
        <v>3.5497000836515191E-4</v>
      </c>
      <c r="G948" s="25" t="str">
        <f>IF(VLOOKUP(A948,Aux!B:C,2,FALSE)=0,"",VLOOKUP(A948,Aux!B:C,2,FALSE))</f>
        <v/>
      </c>
      <c r="H948" s="25" t="str">
        <f t="shared" si="188"/>
        <v/>
      </c>
      <c r="L948" s="13">
        <f t="shared" si="191"/>
        <v>120783.09625993043</v>
      </c>
      <c r="M948" s="14">
        <f t="shared" si="192"/>
        <v>-794.88854491614325</v>
      </c>
      <c r="N948" s="14">
        <f t="shared" si="193"/>
        <v>22.039752510823892</v>
      </c>
      <c r="O948" s="1">
        <f t="shared" si="194"/>
        <v>2.6589347546952378</v>
      </c>
      <c r="P948" s="1">
        <f t="shared" si="195"/>
        <v>1969.5936113332061</v>
      </c>
      <c r="S948" s="6">
        <f t="shared" si="189"/>
        <v>0.48576334715037728</v>
      </c>
      <c r="T948" s="6">
        <f t="shared" si="190"/>
        <v>0.51423665284962294</v>
      </c>
      <c r="V948" s="1">
        <f t="shared" si="196"/>
        <v>121454.91516311315</v>
      </c>
      <c r="W948" s="7">
        <f t="shared" si="197"/>
        <v>-6.3782658239668463E-3</v>
      </c>
      <c r="X948" s="7">
        <f t="shared" si="198"/>
        <v>-5.4575194524008981E-3</v>
      </c>
      <c r="Y948">
        <f>LN(B948/B947)</f>
        <v>-1.3457051023549672E-2</v>
      </c>
      <c r="Z948">
        <f>LN(C948/C947)</f>
        <v>3.5490702141694337E-4</v>
      </c>
    </row>
    <row r="949" spans="1:26" x14ac:dyDescent="0.3">
      <c r="A949" s="9">
        <v>41571</v>
      </c>
      <c r="B949" s="1">
        <v>21991.18</v>
      </c>
      <c r="C949" s="1">
        <v>31.546130000000002</v>
      </c>
      <c r="D949" s="6">
        <f t="shared" si="200"/>
        <v>-3.3898335809240399E-3</v>
      </c>
      <c r="E949" s="5">
        <f t="shared" si="199"/>
        <v>3.5357561666438109E-4</v>
      </c>
      <c r="G949" s="25" t="str">
        <f>IF(VLOOKUP(A949,Aux!B:C,2,FALSE)=0,"",VLOOKUP(A949,Aux!B:C,2,FALSE))</f>
        <v/>
      </c>
      <c r="H949" s="25" t="str">
        <f t="shared" si="188"/>
        <v/>
      </c>
      <c r="L949" s="13">
        <f t="shared" si="191"/>
        <v>120606.16890904559</v>
      </c>
      <c r="M949" s="14">
        <f t="shared" si="192"/>
        <v>-198.88831965120184</v>
      </c>
      <c r="N949" s="14">
        <f t="shared" si="193"/>
        <v>21.960968766366548</v>
      </c>
      <c r="O949" s="1">
        <f t="shared" si="194"/>
        <v>2.6589347546952378</v>
      </c>
      <c r="P949" s="1">
        <f t="shared" si="195"/>
        <v>1969.5936113332061</v>
      </c>
      <c r="S949" s="6">
        <f t="shared" si="189"/>
        <v>0.48482688180615341</v>
      </c>
      <c r="T949" s="6">
        <f t="shared" si="190"/>
        <v>0.51517311819384681</v>
      </c>
      <c r="V949" s="1">
        <f t="shared" si="196"/>
        <v>121307.29297354096</v>
      </c>
      <c r="W949" s="7">
        <f t="shared" si="197"/>
        <v>-1.4659092851051637E-3</v>
      </c>
      <c r="X949" s="7">
        <f t="shared" si="198"/>
        <v>-1.2161877163756932E-3</v>
      </c>
      <c r="Y949">
        <f>LN(B949/B948)</f>
        <v>-3.3955920840381907E-3</v>
      </c>
      <c r="Z949">
        <f>LN(C949/C948)</f>
        <v>3.5351312353629487E-4</v>
      </c>
    </row>
    <row r="950" spans="1:26" x14ac:dyDescent="0.3">
      <c r="A950" s="11">
        <v>41572</v>
      </c>
      <c r="B950" s="12">
        <v>21954.17</v>
      </c>
      <c r="C950" s="12">
        <v>31.557289999999998</v>
      </c>
      <c r="D950" s="16">
        <f t="shared" si="200"/>
        <v>-1.6829474361995667E-3</v>
      </c>
      <c r="E950" s="15">
        <f t="shared" si="199"/>
        <v>3.5376764122885263E-4</v>
      </c>
      <c r="G950" s="25" t="str">
        <f>IF(VLOOKUP(A950,Aux!B:C,2,FALSE)=0,"",VLOOKUP(A950,Aux!B:C,2,FALSE))</f>
        <v/>
      </c>
      <c r="H950" s="25" t="str">
        <f t="shared" si="188"/>
        <v/>
      </c>
      <c r="L950" s="13">
        <f t="shared" si="191"/>
        <v>120529.74239847678</v>
      </c>
      <c r="M950" s="14">
        <f t="shared" si="192"/>
        <v>-98.407175271276174</v>
      </c>
      <c r="N950" s="14">
        <f t="shared" si="193"/>
        <v>21.980664702472136</v>
      </c>
      <c r="O950" s="1">
        <f t="shared" si="194"/>
        <v>2.6589347546952378</v>
      </c>
      <c r="P950" s="1">
        <f t="shared" si="195"/>
        <v>1969.5936113332061</v>
      </c>
      <c r="S950" s="6">
        <f t="shared" si="189"/>
        <v>0.48431784936947864</v>
      </c>
      <c r="T950" s="6">
        <f t="shared" si="190"/>
        <v>0.51568215063052159</v>
      </c>
      <c r="V950" s="1">
        <f t="shared" si="196"/>
        <v>121246.87600719466</v>
      </c>
      <c r="W950" s="7">
        <f t="shared" si="197"/>
        <v>-6.3388744308965044E-4</v>
      </c>
      <c r="X950" s="7">
        <f t="shared" si="198"/>
        <v>-4.9817298832413939E-4</v>
      </c>
      <c r="Y950">
        <f>LN(B950/B949)</f>
        <v>-1.6843651831217211E-3</v>
      </c>
      <c r="Z950">
        <f>LN(C950/C949)</f>
        <v>3.5370508021113651E-4</v>
      </c>
    </row>
    <row r="951" spans="1:26" x14ac:dyDescent="0.3">
      <c r="A951" s="9">
        <v>41575</v>
      </c>
      <c r="B951" s="1">
        <v>22254.55</v>
      </c>
      <c r="C951" s="1">
        <v>31.568449999999999</v>
      </c>
      <c r="D951" s="6">
        <f t="shared" si="200"/>
        <v>1.3682138746306638E-2</v>
      </c>
      <c r="E951" s="5">
        <f t="shared" si="199"/>
        <v>3.5364253394387646E-4</v>
      </c>
      <c r="G951" s="25" t="str">
        <f>IF(VLOOKUP(A951,Aux!B:C,2,FALSE)=0,"",VLOOKUP(A951,Aux!B:C,2,FALSE))</f>
        <v/>
      </c>
      <c r="H951" s="25" t="str">
        <f t="shared" si="188"/>
        <v/>
      </c>
      <c r="L951" s="13">
        <f t="shared" si="191"/>
        <v>121350.41388479462</v>
      </c>
      <c r="M951" s="14">
        <f t="shared" si="192"/>
        <v>798.69082161535823</v>
      </c>
      <c r="N951" s="14">
        <f t="shared" si="193"/>
        <v>21.980664702479132</v>
      </c>
      <c r="O951" s="1">
        <f t="shared" si="194"/>
        <v>2.6589347546952378</v>
      </c>
      <c r="P951" s="1">
        <f t="shared" si="195"/>
        <v>1969.5936113332061</v>
      </c>
      <c r="S951" s="6">
        <f t="shared" si="189"/>
        <v>0.48762418314683159</v>
      </c>
      <c r="T951" s="6">
        <f t="shared" si="190"/>
        <v>0.51237581685316869</v>
      </c>
      <c r="V951" s="1">
        <f t="shared" si="196"/>
        <v>121964.8295728137</v>
      </c>
      <c r="W951" s="7">
        <f t="shared" si="197"/>
        <v>6.7857954786283703E-3</v>
      </c>
      <c r="X951" s="7">
        <f t="shared" si="198"/>
        <v>5.903956385350787E-3</v>
      </c>
      <c r="Y951">
        <f>LN(B951/B950)</f>
        <v>1.3589383389395733E-2</v>
      </c>
      <c r="Z951">
        <f>LN(C951/C950)</f>
        <v>3.5358001716159727E-4</v>
      </c>
    </row>
    <row r="952" spans="1:26" x14ac:dyDescent="0.3">
      <c r="A952" s="11">
        <v>41576</v>
      </c>
      <c r="B952" s="12">
        <v>22223.119999999999</v>
      </c>
      <c r="C952" s="12">
        <v>31.579609999999999</v>
      </c>
      <c r="D952" s="16">
        <f t="shared" si="200"/>
        <v>-1.4122954631750062E-3</v>
      </c>
      <c r="E952" s="15">
        <f t="shared" si="199"/>
        <v>3.5351751511392138E-4</v>
      </c>
      <c r="G952" s="25" t="str">
        <f>IF(VLOOKUP(A952,Aux!B:C,2,FALSE)=0,"",VLOOKUP(A952,Aux!B:C,2,FALSE))</f>
        <v/>
      </c>
      <c r="H952" s="25" t="str">
        <f t="shared" si="188"/>
        <v/>
      </c>
      <c r="L952" s="13">
        <f t="shared" si="191"/>
        <v>121288.82423015703</v>
      </c>
      <c r="M952" s="14">
        <f t="shared" si="192"/>
        <v>-83.570319340072103</v>
      </c>
      <c r="N952" s="14">
        <f t="shared" si="193"/>
        <v>21.980664702479132</v>
      </c>
      <c r="O952" s="1">
        <f t="shared" si="194"/>
        <v>2.6589347546952378</v>
      </c>
      <c r="P952" s="1">
        <f t="shared" si="195"/>
        <v>1969.5936113332061</v>
      </c>
      <c r="S952" s="6">
        <f t="shared" si="189"/>
        <v>0.48718277632598939</v>
      </c>
      <c r="T952" s="6">
        <f t="shared" si="190"/>
        <v>0.51281722367401084</v>
      </c>
      <c r="V952" s="1">
        <f t="shared" si="196"/>
        <v>121917.28586165686</v>
      </c>
      <c r="W952" s="7">
        <f t="shared" si="197"/>
        <v>-5.0766443580054822E-4</v>
      </c>
      <c r="X952" s="7">
        <f t="shared" si="198"/>
        <v>-3.8989092475619089E-4</v>
      </c>
      <c r="Y952">
        <f>LN(B952/B951)</f>
        <v>-1.4132936923864133E-3</v>
      </c>
      <c r="Z952">
        <f>LN(C952/C951)</f>
        <v>3.5345504252017897E-4</v>
      </c>
    </row>
    <row r="953" spans="1:26" x14ac:dyDescent="0.3">
      <c r="A953" s="9">
        <v>41577</v>
      </c>
      <c r="B953" s="1">
        <v>22270.31</v>
      </c>
      <c r="C953" s="1">
        <v>31.590779999999999</v>
      </c>
      <c r="D953" s="6">
        <f t="shared" si="200"/>
        <v>2.1234642120460112E-3</v>
      </c>
      <c r="E953" s="5">
        <f t="shared" si="199"/>
        <v>3.5370924466771037E-4</v>
      </c>
      <c r="G953" s="25" t="str">
        <f>IF(VLOOKUP(A953,Aux!B:C,2,FALSE)=0,"",VLOOKUP(A953,Aux!B:C,2,FALSE))</f>
        <v/>
      </c>
      <c r="H953" s="25" t="str">
        <f t="shared" si="188"/>
        <v/>
      </c>
      <c r="L953" s="13">
        <f t="shared" si="191"/>
        <v>121436.29972186968</v>
      </c>
      <c r="M953" s="14">
        <f t="shared" si="192"/>
        <v>125.47513107407445</v>
      </c>
      <c r="N953" s="14">
        <f t="shared" si="193"/>
        <v>22.000360638591719</v>
      </c>
      <c r="O953" s="1">
        <f t="shared" si="194"/>
        <v>2.6589347546952378</v>
      </c>
      <c r="P953" s="1">
        <f t="shared" si="195"/>
        <v>1969.5936113332061</v>
      </c>
      <c r="S953" s="6">
        <f t="shared" si="189"/>
        <v>0.48762438737395675</v>
      </c>
      <c r="T953" s="6">
        <f t="shared" si="190"/>
        <v>0.51237561262604348</v>
      </c>
      <c r="V953" s="1">
        <f t="shared" si="196"/>
        <v>122051.14361196695</v>
      </c>
      <c r="W953" s="7">
        <f t="shared" si="197"/>
        <v>1.2151647712329377E-3</v>
      </c>
      <c r="X953" s="7">
        <f t="shared" si="198"/>
        <v>1.0973367663263019E-3</v>
      </c>
      <c r="Y953">
        <f>LN(B953/B952)</f>
        <v>2.1212128484793913E-3</v>
      </c>
      <c r="Z953">
        <f>LN(C953/C952)</f>
        <v>3.5364670429979827E-4</v>
      </c>
    </row>
    <row r="954" spans="1:26" x14ac:dyDescent="0.3">
      <c r="A954" s="11">
        <v>41578</v>
      </c>
      <c r="B954" s="12">
        <v>22422.2</v>
      </c>
      <c r="C954" s="12">
        <v>31.601949999999999</v>
      </c>
      <c r="D954" s="16">
        <f t="shared" si="200"/>
        <v>6.8202912307910868E-3</v>
      </c>
      <c r="E954" s="15">
        <f t="shared" si="199"/>
        <v>3.5358417867481506E-4</v>
      </c>
      <c r="G954" s="25" t="str">
        <f>IF(VLOOKUP(A954,Aux!B:C,2,FALSE)=0,"",VLOOKUP(A954,Aux!B:C,2,FALSE))</f>
        <v/>
      </c>
      <c r="H954" s="25" t="str">
        <f t="shared" si="188"/>
        <v/>
      </c>
      <c r="L954" s="13">
        <f t="shared" si="191"/>
        <v>121862.16568239893</v>
      </c>
      <c r="M954" s="14">
        <f t="shared" si="192"/>
        <v>403.86559989065813</v>
      </c>
      <c r="N954" s="14">
        <f t="shared" si="193"/>
        <v>22.000360638591719</v>
      </c>
      <c r="O954" s="1">
        <f t="shared" si="194"/>
        <v>2.6589347546952378</v>
      </c>
      <c r="P954" s="1">
        <f t="shared" si="195"/>
        <v>1969.5936113332061</v>
      </c>
      <c r="S954" s="6">
        <f t="shared" si="189"/>
        <v>0.48923442746052076</v>
      </c>
      <c r="T954" s="6">
        <f t="shared" si="190"/>
        <v>0.51076557253947963</v>
      </c>
      <c r="V954" s="1">
        <f t="shared" si="196"/>
        <v>122426.54792470261</v>
      </c>
      <c r="W954" s="7">
        <f t="shared" si="197"/>
        <v>3.5007733793293635E-3</v>
      </c>
      <c r="X954" s="7">
        <f t="shared" si="198"/>
        <v>3.071074546132199E-3</v>
      </c>
      <c r="Y954">
        <f>LN(B954/B953)</f>
        <v>6.7971382582820462E-3</v>
      </c>
      <c r="Z954">
        <f>LN(C954/C953)</f>
        <v>3.5352168252044411E-4</v>
      </c>
    </row>
    <row r="955" spans="1:26" x14ac:dyDescent="0.3">
      <c r="A955" s="9">
        <v>41579</v>
      </c>
      <c r="B955" s="1">
        <v>22354.91</v>
      </c>
      <c r="C955" s="1">
        <v>31.613129999999998</v>
      </c>
      <c r="D955" s="6">
        <f t="shared" si="200"/>
        <v>-3.001043608566567E-3</v>
      </c>
      <c r="E955" s="5">
        <f t="shared" si="199"/>
        <v>3.5377563726290973E-4</v>
      </c>
      <c r="G955" s="25" t="str">
        <f>IF(VLOOKUP(A955,Aux!B:C,2,FALSE)=0,"",VLOOKUP(A955,Aux!B:C,2,FALSE))</f>
        <v/>
      </c>
      <c r="H955" s="25" t="str">
        <f t="shared" si="188"/>
        <v/>
      </c>
      <c r="L955" s="13">
        <f t="shared" si="191"/>
        <v>121705.2660193302</v>
      </c>
      <c r="M955" s="14">
        <f t="shared" si="192"/>
        <v>-178.91971964344486</v>
      </c>
      <c r="N955" s="14">
        <f t="shared" si="193"/>
        <v>22.020056574704306</v>
      </c>
      <c r="O955" s="1">
        <f t="shared" si="194"/>
        <v>2.6589347546952378</v>
      </c>
      <c r="P955" s="1">
        <f t="shared" si="195"/>
        <v>1969.5936113332061</v>
      </c>
      <c r="S955" s="6">
        <f t="shared" si="189"/>
        <v>0.48839503072647111</v>
      </c>
      <c r="T955" s="6">
        <f t="shared" si="190"/>
        <v>0.51160496927352905</v>
      </c>
      <c r="V955" s="1">
        <f t="shared" si="196"/>
        <v>122296.31868180548</v>
      </c>
      <c r="W955" s="7">
        <f t="shared" si="197"/>
        <v>-1.2883469984050213E-3</v>
      </c>
      <c r="X955" s="7">
        <f t="shared" si="198"/>
        <v>-1.0642998506506017E-3</v>
      </c>
      <c r="Y955">
        <f>LN(B955/B954)</f>
        <v>-3.0055557696595696E-3</v>
      </c>
      <c r="Z955">
        <f>LN(C955/C954)</f>
        <v>3.5371307341742396E-4</v>
      </c>
    </row>
    <row r="956" spans="1:26" x14ac:dyDescent="0.3">
      <c r="A956" s="11">
        <v>41582</v>
      </c>
      <c r="B956" s="12">
        <v>22541.86</v>
      </c>
      <c r="C956" s="12">
        <v>31.624310000000001</v>
      </c>
      <c r="D956" s="16">
        <f t="shared" si="200"/>
        <v>8.3628160435447185E-3</v>
      </c>
      <c r="E956" s="15">
        <f t="shared" si="199"/>
        <v>3.5365052432334565E-4</v>
      </c>
      <c r="G956" s="25" t="str">
        <f>IF(VLOOKUP(A956,Aux!B:C,2,FALSE)=0,"",VLOOKUP(A956,Aux!B:C,2,FALSE))</f>
        <v/>
      </c>
      <c r="H956" s="25" t="str">
        <f t="shared" si="188"/>
        <v/>
      </c>
      <c r="L956" s="13">
        <f t="shared" si="191"/>
        <v>122224.37392829519</v>
      </c>
      <c r="M956" s="14">
        <f t="shared" si="192"/>
        <v>497.08785239027662</v>
      </c>
      <c r="N956" s="14">
        <f t="shared" si="193"/>
        <v>22.020056574711305</v>
      </c>
      <c r="O956" s="1">
        <f t="shared" si="194"/>
        <v>2.6589347546952378</v>
      </c>
      <c r="P956" s="1">
        <f t="shared" si="195"/>
        <v>1969.5936113332061</v>
      </c>
      <c r="S956" s="6">
        <f t="shared" si="189"/>
        <v>0.4903877439751711</v>
      </c>
      <c r="T956" s="6">
        <f t="shared" si="190"/>
        <v>0.50961225602482918</v>
      </c>
      <c r="V956" s="1">
        <f t="shared" si="196"/>
        <v>122752.63001227113</v>
      </c>
      <c r="W956" s="7">
        <f t="shared" si="197"/>
        <v>4.2562166100788609E-3</v>
      </c>
      <c r="X956" s="7">
        <f t="shared" si="198"/>
        <v>3.7242506880261644E-3</v>
      </c>
      <c r="Y956">
        <f>LN(B956/B955)</f>
        <v>8.3280414386916694E-3</v>
      </c>
      <c r="Z956">
        <f>LN(C956/C955)</f>
        <v>3.5358800471629545E-4</v>
      </c>
    </row>
    <row r="957" spans="1:26" x14ac:dyDescent="0.3">
      <c r="A957" s="9">
        <v>41583</v>
      </c>
      <c r="B957" s="1">
        <v>22362.68</v>
      </c>
      <c r="C957" s="1">
        <v>31.635449999999999</v>
      </c>
      <c r="D957" s="6">
        <f t="shared" si="200"/>
        <v>-7.9487673155631544E-3</v>
      </c>
      <c r="E957" s="5">
        <f t="shared" si="199"/>
        <v>3.5226065011362273E-4</v>
      </c>
      <c r="G957" s="25" t="str">
        <f>IF(VLOOKUP(A957,Aux!B:C,2,FALSE)=0,"",VLOOKUP(A957,Aux!B:C,2,FALSE))</f>
        <v/>
      </c>
      <c r="H957" s="25" t="str">
        <f t="shared" si="188"/>
        <v/>
      </c>
      <c r="L957" s="13">
        <f t="shared" si="191"/>
        <v>121769.88727177914</v>
      </c>
      <c r="M957" s="14">
        <f t="shared" si="192"/>
        <v>-476.42792934629347</v>
      </c>
      <c r="N957" s="14">
        <f t="shared" si="193"/>
        <v>21.941272830246962</v>
      </c>
      <c r="O957" s="1">
        <f t="shared" si="194"/>
        <v>2.6589347546952378</v>
      </c>
      <c r="P957" s="1">
        <f t="shared" si="195"/>
        <v>1969.5936113332061</v>
      </c>
      <c r="S957" s="6">
        <f t="shared" si="189"/>
        <v>0.48830551125843491</v>
      </c>
      <c r="T957" s="6">
        <f t="shared" si="190"/>
        <v>0.51169448874156542</v>
      </c>
      <c r="V957" s="1">
        <f t="shared" si="196"/>
        <v>122364.17714014239</v>
      </c>
      <c r="W957" s="7">
        <f t="shared" si="197"/>
        <v>-3.7253923917320094E-3</v>
      </c>
      <c r="X957" s="7">
        <f t="shared" si="198"/>
        <v>-3.1695353887787269E-3</v>
      </c>
      <c r="Y957">
        <f>LN(B957/B956)</f>
        <v>-7.9805271796184983E-3</v>
      </c>
      <c r="Z957">
        <f>LN(C957/C956)</f>
        <v>3.52198620897354E-4</v>
      </c>
    </row>
    <row r="958" spans="1:26" x14ac:dyDescent="0.3">
      <c r="A958" s="11">
        <v>41584</v>
      </c>
      <c r="B958" s="12">
        <v>22300.5</v>
      </c>
      <c r="C958" s="12">
        <v>31.64659</v>
      </c>
      <c r="D958" s="16">
        <f t="shared" si="200"/>
        <v>-2.7805254110867539E-3</v>
      </c>
      <c r="E958" s="15">
        <f t="shared" si="199"/>
        <v>3.5213660624400234E-4</v>
      </c>
      <c r="G958" s="25" t="str">
        <f>IF(VLOOKUP(A958,Aux!B:C,2,FALSE)=0,"",VLOOKUP(A958,Aux!B:C,2,FALSE))</f>
        <v/>
      </c>
      <c r="H958" s="25" t="str">
        <f t="shared" si="188"/>
        <v/>
      </c>
      <c r="L958" s="13">
        <f t="shared" si="191"/>
        <v>121626.49598156245</v>
      </c>
      <c r="M958" s="14">
        <f t="shared" si="192"/>
        <v>-165.33256304695067</v>
      </c>
      <c r="N958" s="14">
        <f t="shared" si="193"/>
        <v>21.941272830253961</v>
      </c>
      <c r="O958" s="1">
        <f t="shared" si="194"/>
        <v>2.6589347546952378</v>
      </c>
      <c r="P958" s="1">
        <f t="shared" si="195"/>
        <v>1969.5936113332061</v>
      </c>
      <c r="S958" s="6">
        <f t="shared" si="189"/>
        <v>0.4875218513741435</v>
      </c>
      <c r="T958" s="6">
        <f t="shared" si="190"/>
        <v>0.51247814862585672</v>
      </c>
      <c r="V958" s="1">
        <f t="shared" si="196"/>
        <v>122245.64736069554</v>
      </c>
      <c r="W958" s="7">
        <f t="shared" si="197"/>
        <v>-1.1782533897094802E-3</v>
      </c>
      <c r="X958" s="7">
        <f t="shared" si="198"/>
        <v>-9.6913350856491008E-4</v>
      </c>
      <c r="Y958">
        <f>LN(B958/B957)</f>
        <v>-2.7843982525562754E-3</v>
      </c>
      <c r="Z958">
        <f>LN(C958/C957)</f>
        <v>3.5207462070043286E-4</v>
      </c>
    </row>
    <row r="959" spans="1:26" x14ac:dyDescent="0.3">
      <c r="A959" s="9">
        <v>41585</v>
      </c>
      <c r="B959" s="1">
        <v>22061.35</v>
      </c>
      <c r="C959" s="1">
        <v>31.65774</v>
      </c>
      <c r="D959" s="6">
        <f t="shared" si="200"/>
        <v>-1.0723974798771407E-2</v>
      </c>
      <c r="E959" s="5">
        <f t="shared" si="199"/>
        <v>3.5232863951528692E-4</v>
      </c>
      <c r="G959" s="25" t="str">
        <f>IF(VLOOKUP(A959,Aux!B:C,2,FALSE)=0,"",VLOOKUP(A959,Aux!B:C,2,FALSE))</f>
        <v/>
      </c>
      <c r="H959" s="25" t="str">
        <f t="shared" si="188"/>
        <v/>
      </c>
      <c r="L959" s="13">
        <f t="shared" si="191"/>
        <v>121012.57270374344</v>
      </c>
      <c r="M959" s="14">
        <f t="shared" si="192"/>
        <v>-635.88424658536997</v>
      </c>
      <c r="N959" s="14">
        <f t="shared" si="193"/>
        <v>21.960968766366548</v>
      </c>
      <c r="O959" s="1">
        <f t="shared" si="194"/>
        <v>2.6589347546952378</v>
      </c>
      <c r="P959" s="1">
        <f t="shared" si="195"/>
        <v>1969.5936113332061</v>
      </c>
      <c r="S959" s="6">
        <f t="shared" si="189"/>
        <v>0.48474046076272853</v>
      </c>
      <c r="T959" s="6">
        <f t="shared" si="190"/>
        <v>0.51525953923727175</v>
      </c>
      <c r="V959" s="1">
        <f t="shared" si="196"/>
        <v>121718.86397212959</v>
      </c>
      <c r="W959" s="7">
        <f t="shared" si="197"/>
        <v>-5.0603935403792533E-3</v>
      </c>
      <c r="X959" s="7">
        <f t="shared" si="198"/>
        <v>-4.3185314485651638E-3</v>
      </c>
      <c r="Y959">
        <f>LN(B959/B958)</f>
        <v>-1.078189105029159E-2</v>
      </c>
      <c r="Z959">
        <f>LN(C959/C958)</f>
        <v>3.522665863551514E-4</v>
      </c>
    </row>
    <row r="960" spans="1:26" x14ac:dyDescent="0.3">
      <c r="A960" s="11">
        <v>41586</v>
      </c>
      <c r="B960" s="12">
        <v>21830.63</v>
      </c>
      <c r="C960" s="12">
        <v>31.668890000000001</v>
      </c>
      <c r="D960" s="16">
        <f t="shared" si="200"/>
        <v>-1.045810886459797E-2</v>
      </c>
      <c r="E960" s="15">
        <f t="shared" si="199"/>
        <v>3.5220454776618837E-4</v>
      </c>
      <c r="G960" s="25" t="str">
        <f>IF(VLOOKUP(A960,Aux!B:C,2,FALSE)=0,"",VLOOKUP(A960,Aux!B:C,2,FALSE))</f>
        <v/>
      </c>
      <c r="H960" s="25" t="str">
        <f t="shared" si="188"/>
        <v/>
      </c>
      <c r="L960" s="13">
        <f t="shared" si="191"/>
        <v>120421.06424590653</v>
      </c>
      <c r="M960" s="14">
        <f t="shared" si="192"/>
        <v>-613.46942660327863</v>
      </c>
      <c r="N960" s="14">
        <f t="shared" si="193"/>
        <v>21.960968766366548</v>
      </c>
      <c r="O960" s="1">
        <f t="shared" si="194"/>
        <v>2.6589347546952378</v>
      </c>
      <c r="P960" s="1">
        <f t="shared" si="195"/>
        <v>1969.5936113332061</v>
      </c>
      <c r="S960" s="6">
        <f t="shared" si="189"/>
        <v>0.48202713692480648</v>
      </c>
      <c r="T960" s="6">
        <f t="shared" si="190"/>
        <v>0.51797286307519386</v>
      </c>
      <c r="V960" s="1">
        <f t="shared" si="196"/>
        <v>121211.52888844663</v>
      </c>
      <c r="W960" s="7">
        <f t="shared" si="197"/>
        <v>-4.8999770604338574E-3</v>
      </c>
      <c r="X960" s="7">
        <f t="shared" si="198"/>
        <v>-4.1767999077834137E-3</v>
      </c>
      <c r="Y960">
        <f>LN(B960/B959)</f>
        <v>-1.0513179175815141E-2</v>
      </c>
      <c r="Z960">
        <f>LN(C960/C959)</f>
        <v>3.5214253830403725E-4</v>
      </c>
    </row>
    <row r="961" spans="1:26" x14ac:dyDescent="0.3">
      <c r="A961" s="9">
        <v>41589</v>
      </c>
      <c r="B961" s="1">
        <v>21983.14</v>
      </c>
      <c r="C961" s="1">
        <v>31.680039999999998</v>
      </c>
      <c r="D961" s="6">
        <f t="shared" si="200"/>
        <v>6.9860558307295317E-3</v>
      </c>
      <c r="E961" s="5">
        <f t="shared" si="199"/>
        <v>3.5208054339763706E-4</v>
      </c>
      <c r="G961" s="25" t="str">
        <f>IF(VLOOKUP(A961,Aux!B:C,2,FALSE)=0,"",VLOOKUP(A961,Aux!B:C,2,FALSE))</f>
        <v/>
      </c>
      <c r="H961" s="25" t="str">
        <f t="shared" si="188"/>
        <v/>
      </c>
      <c r="L961" s="13">
        <f t="shared" si="191"/>
        <v>120848.53935411146</v>
      </c>
      <c r="M961" s="14">
        <f t="shared" si="192"/>
        <v>405.51413943856647</v>
      </c>
      <c r="N961" s="14">
        <f t="shared" si="193"/>
        <v>21.960968766359549</v>
      </c>
      <c r="O961" s="1">
        <f t="shared" si="194"/>
        <v>2.6589347546952378</v>
      </c>
      <c r="P961" s="1">
        <f t="shared" si="195"/>
        <v>1969.5936113332061</v>
      </c>
      <c r="S961" s="6">
        <f t="shared" si="189"/>
        <v>0.48367762883798932</v>
      </c>
      <c r="T961" s="6">
        <f t="shared" si="190"/>
        <v>0.51632237116201085</v>
      </c>
      <c r="V961" s="1">
        <f t="shared" si="196"/>
        <v>121588.31882022077</v>
      </c>
      <c r="W961" s="7">
        <f t="shared" si="197"/>
        <v>3.5435508587462468E-3</v>
      </c>
      <c r="X961" s="7">
        <f t="shared" si="198"/>
        <v>3.1037106307821149E-3</v>
      </c>
      <c r="Y961">
        <f>LN(B961/B960)</f>
        <v>6.9617664019510821E-3</v>
      </c>
      <c r="Z961">
        <f>LN(C961/C960)</f>
        <v>3.5201857758732823E-4</v>
      </c>
    </row>
    <row r="962" spans="1:26" x14ac:dyDescent="0.3">
      <c r="A962" s="11">
        <v>41590</v>
      </c>
      <c r="B962" s="12">
        <v>21680.84</v>
      </c>
      <c r="C962" s="12">
        <v>31.691199999999998</v>
      </c>
      <c r="D962" s="16">
        <f t="shared" si="200"/>
        <v>-1.3751447700373953E-2</v>
      </c>
      <c r="E962" s="15">
        <f t="shared" si="199"/>
        <v>3.5227228248446707E-4</v>
      </c>
      <c r="G962" s="25" t="str">
        <f>IF(VLOOKUP(A962,Aux!B:C,2,FALSE)=0,"",VLOOKUP(A962,Aux!B:C,2,FALSE))</f>
        <v/>
      </c>
      <c r="H962" s="25" t="str">
        <f t="shared" si="188"/>
        <v/>
      </c>
      <c r="L962" s="13">
        <f t="shared" si="191"/>
        <v>120066.72404246958</v>
      </c>
      <c r="M962" s="14">
        <f t="shared" si="192"/>
        <v>-803.79597634436846</v>
      </c>
      <c r="N962" s="14">
        <f t="shared" si="193"/>
        <v>21.980664702479132</v>
      </c>
      <c r="O962" s="1">
        <f t="shared" si="194"/>
        <v>2.6589347546952378</v>
      </c>
      <c r="P962" s="1">
        <f t="shared" si="195"/>
        <v>1969.5936113332061</v>
      </c>
      <c r="S962" s="6">
        <f t="shared" si="189"/>
        <v>0.4801325217018137</v>
      </c>
      <c r="T962" s="6">
        <f t="shared" si="190"/>
        <v>0.51986747829818647</v>
      </c>
      <c r="V962" s="1">
        <f t="shared" si="196"/>
        <v>120915.86854398061</v>
      </c>
      <c r="W962" s="7">
        <f t="shared" si="197"/>
        <v>-6.4903986997984523E-3</v>
      </c>
      <c r="X962" s="7">
        <f t="shared" si="198"/>
        <v>-5.5459001107960827E-3</v>
      </c>
      <c r="Y962">
        <f>LN(B962/B961)</f>
        <v>-1.3846874706906268E-2</v>
      </c>
      <c r="Z962">
        <f>LN(C962/C961)</f>
        <v>3.5221024917194712E-4</v>
      </c>
    </row>
    <row r="963" spans="1:26" x14ac:dyDescent="0.3">
      <c r="A963" s="9">
        <v>41591</v>
      </c>
      <c r="B963" s="1">
        <v>21827.63</v>
      </c>
      <c r="C963" s="1">
        <v>31.702359999999999</v>
      </c>
      <c r="D963" s="6">
        <f t="shared" si="200"/>
        <v>6.7704941321462542E-3</v>
      </c>
      <c r="E963" s="5">
        <f t="shared" si="199"/>
        <v>3.521482304236212E-4</v>
      </c>
      <c r="G963" s="25" t="str">
        <f>IF(VLOOKUP(A963,Aux!B:C,2,FALSE)=0,"",VLOOKUP(A963,Aux!B:C,2,FALSE))</f>
        <v/>
      </c>
      <c r="H963" s="25" t="str">
        <f t="shared" ref="H963:H1026" si="201">IF(ISNUMBER(G963),1-G963,"")</f>
        <v/>
      </c>
      <c r="L963" s="13">
        <f t="shared" si="191"/>
        <v>120479.00973981377</v>
      </c>
      <c r="M963" s="14">
        <f t="shared" si="192"/>
        <v>390.30503264171625</v>
      </c>
      <c r="N963" s="14">
        <f t="shared" si="193"/>
        <v>21.980664702479132</v>
      </c>
      <c r="O963" s="1">
        <f t="shared" si="194"/>
        <v>2.6589347546952378</v>
      </c>
      <c r="P963" s="1">
        <f t="shared" si="195"/>
        <v>1969.5936113332061</v>
      </c>
      <c r="S963" s="6">
        <f t="shared" ref="S963:S1026" si="202">O963*B963/L963</f>
        <v>0.48172909243666334</v>
      </c>
      <c r="T963" s="6">
        <f t="shared" ref="T963:T1026" si="203">P963*C963/L963</f>
        <v>0.51827090756333682</v>
      </c>
      <c r="V963" s="1">
        <f t="shared" si="196"/>
        <v>121279.48460699273</v>
      </c>
      <c r="W963" s="7">
        <f t="shared" si="197"/>
        <v>3.4279227869090296E-3</v>
      </c>
      <c r="X963" s="7">
        <f t="shared" si="198"/>
        <v>3.0026697992266587E-3</v>
      </c>
      <c r="Y963">
        <f>LN(B963/B962)</f>
        <v>6.7476772664887127E-3</v>
      </c>
      <c r="Z963">
        <f>LN(C963/C962)</f>
        <v>3.5208624078812592E-4</v>
      </c>
    </row>
    <row r="964" spans="1:26" x14ac:dyDescent="0.3">
      <c r="A964" s="11">
        <v>41592</v>
      </c>
      <c r="B964" s="12">
        <v>22260.080000000002</v>
      </c>
      <c r="C964" s="12">
        <v>31.713529999999999</v>
      </c>
      <c r="D964" s="16">
        <f t="shared" si="200"/>
        <v>1.9812045558771141E-2</v>
      </c>
      <c r="E964" s="15">
        <f t="shared" si="199"/>
        <v>3.5233969963122114E-4</v>
      </c>
      <c r="G964" s="25" t="str">
        <f>IF(VLOOKUP(A964,Aux!B:C,2,FALSE)=0,"",VLOOKUP(A964,Aux!B:C,2,FALSE))</f>
        <v/>
      </c>
      <c r="H964" s="25" t="str">
        <f t="shared" si="201"/>
        <v/>
      </c>
      <c r="L964" s="13">
        <f t="shared" ref="L964:L1027" si="204">L963+M964+N964</f>
        <v>121650.86643512032</v>
      </c>
      <c r="M964" s="14">
        <f t="shared" ref="M964:M1027" si="205">O963*(B964-B963)</f>
        <v>1149.8563346679575</v>
      </c>
      <c r="N964" s="14">
        <f t="shared" ref="N964:N1027" si="206">P963*(C964-C963)</f>
        <v>22.000360638591719</v>
      </c>
      <c r="O964" s="1">
        <f t="shared" ref="O964:O1027" si="207">IF(ISNUMBER(G964),L964*G964/B964,O963)</f>
        <v>2.6589347546952378</v>
      </c>
      <c r="P964" s="1">
        <f t="shared" ref="P964:P1027" si="208">IF(ISNUMBER(H964),L964*H964/C964,P963)</f>
        <v>1969.5936113332061</v>
      </c>
      <c r="S964" s="6">
        <f t="shared" si="202"/>
        <v>0.48654072172895685</v>
      </c>
      <c r="T964" s="6">
        <f t="shared" si="203"/>
        <v>0.51345927827104332</v>
      </c>
      <c r="V964" s="1">
        <f t="shared" ref="V964:V1027" si="209">$O$2*B964+$P$2*C964</f>
        <v>122302.15065376973</v>
      </c>
      <c r="W964" s="7">
        <f t="shared" ref="W964:W1027" si="210">LN(L964/L963)</f>
        <v>9.6796468376336084E-3</v>
      </c>
      <c r="X964" s="7">
        <f t="shared" ref="X964:X1027" si="211">LN(V964/V963)</f>
        <v>8.3969553336246568E-3</v>
      </c>
      <c r="Y964">
        <f>LN(B964/B963)</f>
        <v>1.9618341256522266E-2</v>
      </c>
      <c r="Z964">
        <f>LN(C964/C963)</f>
        <v>3.5227764257560136E-4</v>
      </c>
    </row>
    <row r="965" spans="1:26" x14ac:dyDescent="0.3">
      <c r="A965" s="9">
        <v>41596</v>
      </c>
      <c r="B965" s="1">
        <v>22562.02</v>
      </c>
      <c r="C965" s="1">
        <v>31.724699999999999</v>
      </c>
      <c r="D965" s="6">
        <f t="shared" si="200"/>
        <v>1.3564192042436529E-2</v>
      </c>
      <c r="E965" s="5">
        <f t="shared" ref="E965:E1028" si="212">C965/C964-1</f>
        <v>3.5221560009235375E-4</v>
      </c>
      <c r="G965" s="25" t="str">
        <f>IF(VLOOKUP(A965,Aux!B:C,2,FALSE)=0,"",VLOOKUP(A965,Aux!B:C,2,FALSE))</f>
        <v/>
      </c>
      <c r="H965" s="25" t="str">
        <f t="shared" si="201"/>
        <v/>
      </c>
      <c r="L965" s="13">
        <f t="shared" si="204"/>
        <v>122475.70555559159</v>
      </c>
      <c r="M965" s="14">
        <f t="shared" si="205"/>
        <v>802.8387598326766</v>
      </c>
      <c r="N965" s="14">
        <f t="shared" si="206"/>
        <v>22.000360638591719</v>
      </c>
      <c r="O965" s="1">
        <f t="shared" si="207"/>
        <v>2.6589347546952378</v>
      </c>
      <c r="P965" s="1">
        <f t="shared" si="208"/>
        <v>1969.5936113332061</v>
      </c>
      <c r="S965" s="6">
        <f t="shared" si="202"/>
        <v>0.48981909385203931</v>
      </c>
      <c r="T965" s="6">
        <f t="shared" si="203"/>
        <v>0.51018090614796086</v>
      </c>
      <c r="V965" s="1">
        <f t="shared" si="209"/>
        <v>123023.72556528247</v>
      </c>
      <c r="W965" s="7">
        <f t="shared" si="210"/>
        <v>6.7574967568194595E-3</v>
      </c>
      <c r="X965" s="7">
        <f t="shared" si="211"/>
        <v>5.8825999399086558E-3</v>
      </c>
      <c r="Y965">
        <f>LN(B965/B964)</f>
        <v>1.3473021897245637E-2</v>
      </c>
      <c r="Z965">
        <f>LN(C965/C964)</f>
        <v>3.5215358673883256E-4</v>
      </c>
    </row>
    <row r="966" spans="1:26" x14ac:dyDescent="0.3">
      <c r="A966" s="11">
        <v>41597</v>
      </c>
      <c r="B966" s="12">
        <v>22136.71</v>
      </c>
      <c r="C966" s="12">
        <v>31.735869999999998</v>
      </c>
      <c r="D966" s="16">
        <f t="shared" si="200"/>
        <v>-1.8850705743546081E-2</v>
      </c>
      <c r="E966" s="15">
        <f t="shared" si="212"/>
        <v>3.5209158794247131E-4</v>
      </c>
      <c r="G966" s="25" t="str">
        <f>IF(VLOOKUP(A966,Aux!B:C,2,FALSE)=0,"",VLOOKUP(A966,Aux!B:C,2,FALSE))</f>
        <v/>
      </c>
      <c r="H966" s="25" t="str">
        <f t="shared" si="201"/>
        <v/>
      </c>
      <c r="L966" s="13">
        <f t="shared" si="204"/>
        <v>121366.83437571074</v>
      </c>
      <c r="M966" s="14">
        <f t="shared" si="205"/>
        <v>-1130.871540519435</v>
      </c>
      <c r="N966" s="14">
        <f t="shared" si="206"/>
        <v>22.000360638591719</v>
      </c>
      <c r="O966" s="1">
        <f t="shared" si="207"/>
        <v>2.6589347546952378</v>
      </c>
      <c r="P966" s="1">
        <f t="shared" si="208"/>
        <v>1969.5936113332061</v>
      </c>
      <c r="S966" s="6">
        <f t="shared" si="202"/>
        <v>0.4849765413786663</v>
      </c>
      <c r="T966" s="6">
        <f t="shared" si="203"/>
        <v>0.51502345862133403</v>
      </c>
      <c r="V966" s="1">
        <f t="shared" si="209"/>
        <v>122067.5092874541</v>
      </c>
      <c r="W966" s="7">
        <f t="shared" si="210"/>
        <v>-9.0950399711098601E-3</v>
      </c>
      <c r="X966" s="7">
        <f t="shared" si="211"/>
        <v>-7.8029810419038923E-3</v>
      </c>
      <c r="Y966">
        <f>LN(B966/B965)</f>
        <v>-1.9030645209460562E-2</v>
      </c>
      <c r="Z966">
        <f>LN(C966/C965)</f>
        <v>3.5202961824490082E-4</v>
      </c>
    </row>
    <row r="967" spans="1:26" x14ac:dyDescent="0.3">
      <c r="A967" s="9">
        <v>41599</v>
      </c>
      <c r="B967" s="1">
        <v>22017.82</v>
      </c>
      <c r="C967" s="1">
        <v>31.758230000000001</v>
      </c>
      <c r="D967" s="6">
        <f t="shared" si="200"/>
        <v>-5.3707167867311778E-3</v>
      </c>
      <c r="E967" s="5">
        <f t="shared" si="212"/>
        <v>7.0456552790276739E-4</v>
      </c>
      <c r="G967" s="25" t="str">
        <f>IF(VLOOKUP(A967,Aux!B:C,2,FALSE)=0,"",VLOOKUP(A967,Aux!B:C,2,FALSE))</f>
        <v/>
      </c>
      <c r="H967" s="25" t="str">
        <f t="shared" si="201"/>
        <v/>
      </c>
      <c r="L967" s="13">
        <f t="shared" si="204"/>
        <v>121094.75373587443</v>
      </c>
      <c r="M967" s="14">
        <f t="shared" si="205"/>
        <v>-316.12075298571528</v>
      </c>
      <c r="N967" s="14">
        <f t="shared" si="206"/>
        <v>44.04011314941561</v>
      </c>
      <c r="O967" s="1">
        <f t="shared" si="207"/>
        <v>2.6589347546952378</v>
      </c>
      <c r="P967" s="1">
        <f t="shared" si="208"/>
        <v>1969.5936113332061</v>
      </c>
      <c r="S967" s="6">
        <f t="shared" si="202"/>
        <v>0.48345568255018628</v>
      </c>
      <c r="T967" s="6">
        <f t="shared" si="203"/>
        <v>0.51654431744981399</v>
      </c>
      <c r="V967" s="1">
        <f t="shared" si="209"/>
        <v>121843.24818049898</v>
      </c>
      <c r="W967" s="7">
        <f t="shared" si="210"/>
        <v>-2.2443204811175509E-3</v>
      </c>
      <c r="X967" s="7">
        <f t="shared" si="211"/>
        <v>-1.8388788791247224E-3</v>
      </c>
      <c r="Y967">
        <f>LN(B967/B966)</f>
        <v>-5.3851909337569196E-3</v>
      </c>
      <c r="Z967">
        <f>LN(C967/C966)</f>
        <v>7.043174381347058E-4</v>
      </c>
    </row>
    <row r="968" spans="1:26" x14ac:dyDescent="0.3">
      <c r="A968" s="11">
        <v>41600</v>
      </c>
      <c r="B968" s="12">
        <v>22011.52</v>
      </c>
      <c r="C968" s="12">
        <v>31.76942</v>
      </c>
      <c r="D968" s="16">
        <f t="shared" si="200"/>
        <v>-2.8613186954928871E-4</v>
      </c>
      <c r="E968" s="15">
        <f t="shared" si="212"/>
        <v>3.5234961142349697E-4</v>
      </c>
      <c r="G968" s="25" t="str">
        <f>IF(VLOOKUP(A968,Aux!B:C,2,FALSE)=0,"",VLOOKUP(A968,Aux!B:C,2,FALSE))</f>
        <v/>
      </c>
      <c r="H968" s="25" t="str">
        <f t="shared" si="201"/>
        <v/>
      </c>
      <c r="L968" s="13">
        <f t="shared" si="204"/>
        <v>121100.04219943067</v>
      </c>
      <c r="M968" s="14">
        <f t="shared" si="205"/>
        <v>-16.751288954578062</v>
      </c>
      <c r="N968" s="14">
        <f t="shared" si="206"/>
        <v>22.039752510816893</v>
      </c>
      <c r="O968" s="1">
        <f t="shared" si="207"/>
        <v>2.6589347546952378</v>
      </c>
      <c r="P968" s="1">
        <f t="shared" si="208"/>
        <v>1969.5936113332061</v>
      </c>
      <c r="S968" s="6">
        <f t="shared" si="202"/>
        <v>0.48329624390456632</v>
      </c>
      <c r="T968" s="6">
        <f t="shared" si="203"/>
        <v>0.51670375609543395</v>
      </c>
      <c r="V968" s="1">
        <f t="shared" si="209"/>
        <v>121853.74737236807</v>
      </c>
      <c r="W968" s="7">
        <f t="shared" si="210"/>
        <v>4.3671157645344067E-5</v>
      </c>
      <c r="X968" s="7">
        <f t="shared" si="211"/>
        <v>8.6165952532714311E-5</v>
      </c>
      <c r="Y968">
        <f>LN(B968/B967)</f>
        <v>-2.861728130830274E-4</v>
      </c>
      <c r="Z968">
        <f>LN(C968/C967)</f>
        <v>3.5228755087674023E-4</v>
      </c>
    </row>
    <row r="969" spans="1:26" x14ac:dyDescent="0.3">
      <c r="A969" s="9">
        <v>41603</v>
      </c>
      <c r="B969" s="1">
        <v>21789.19</v>
      </c>
      <c r="C969" s="1">
        <v>31.780609999999999</v>
      </c>
      <c r="D969" s="6">
        <f t="shared" si="200"/>
        <v>-1.0100620038961505E-2</v>
      </c>
      <c r="E969" s="5">
        <f t="shared" si="212"/>
        <v>3.5222550490376925E-4</v>
      </c>
      <c r="G969" s="25" t="str">
        <f>IF(VLOOKUP(A969,Aux!B:C,2,FALSE)=0,"",VLOOKUP(A969,Aux!B:C,2,FALSE))</f>
        <v/>
      </c>
      <c r="H969" s="25" t="str">
        <f t="shared" si="201"/>
        <v/>
      </c>
      <c r="L969" s="13">
        <f t="shared" si="204"/>
        <v>120530.92098793008</v>
      </c>
      <c r="M969" s="14">
        <f t="shared" si="205"/>
        <v>-591.1609640113968</v>
      </c>
      <c r="N969" s="14">
        <f t="shared" si="206"/>
        <v>22.039752510816893</v>
      </c>
      <c r="O969" s="1">
        <f t="shared" si="207"/>
        <v>2.6589347546952378</v>
      </c>
      <c r="P969" s="1">
        <f t="shared" si="208"/>
        <v>1969.5936113332061</v>
      </c>
      <c r="S969" s="6">
        <f t="shared" si="202"/>
        <v>0.48067362377044826</v>
      </c>
      <c r="T969" s="6">
        <f t="shared" si="203"/>
        <v>0.51932637622955224</v>
      </c>
      <c r="V969" s="1">
        <f t="shared" si="209"/>
        <v>121365.85779746732</v>
      </c>
      <c r="W969" s="7">
        <f t="shared" si="210"/>
        <v>-4.7106733045622741E-3</v>
      </c>
      <c r="X969" s="7">
        <f t="shared" si="211"/>
        <v>-4.0119317599091528E-3</v>
      </c>
      <c r="Y969">
        <f>LN(B969/B968)</f>
        <v>-1.0151977421822061E-2</v>
      </c>
      <c r="Z969">
        <f>LN(C969/C968)</f>
        <v>3.521634880627983E-4</v>
      </c>
    </row>
    <row r="970" spans="1:26" x14ac:dyDescent="0.3">
      <c r="A970" s="11">
        <v>41604</v>
      </c>
      <c r="B970" s="12">
        <v>21562.82</v>
      </c>
      <c r="C970" s="12">
        <v>31.791799999999999</v>
      </c>
      <c r="D970" s="16">
        <f t="shared" si="200"/>
        <v>-1.0389096611668425E-2</v>
      </c>
      <c r="E970" s="15">
        <f t="shared" si="212"/>
        <v>3.521014857801319E-4</v>
      </c>
      <c r="G970" s="25" t="str">
        <f>IF(VLOOKUP(A970,Aux!B:C,2,FALSE)=0,"",VLOOKUP(A970,Aux!B:C,2,FALSE))</f>
        <v/>
      </c>
      <c r="H970" s="25" t="str">
        <f t="shared" si="201"/>
        <v/>
      </c>
      <c r="L970" s="13">
        <f t="shared" si="204"/>
        <v>119951.05768002053</v>
      </c>
      <c r="M970" s="14">
        <f t="shared" si="205"/>
        <v>-601.90306042035832</v>
      </c>
      <c r="N970" s="14">
        <f t="shared" si="206"/>
        <v>22.039752510816893</v>
      </c>
      <c r="O970" s="1">
        <f t="shared" si="207"/>
        <v>2.6589347546952378</v>
      </c>
      <c r="P970" s="1">
        <f t="shared" si="208"/>
        <v>1969.5936113332061</v>
      </c>
      <c r="S970" s="6">
        <f t="shared" si="202"/>
        <v>0.47797937438935428</v>
      </c>
      <c r="T970" s="6">
        <f t="shared" si="203"/>
        <v>0.52202062561064611</v>
      </c>
      <c r="V970" s="1">
        <f t="shared" si="209"/>
        <v>120868.64780124663</v>
      </c>
      <c r="W970" s="7">
        <f t="shared" si="210"/>
        <v>-4.8225188010290049E-3</v>
      </c>
      <c r="X970" s="7">
        <f t="shared" si="211"/>
        <v>-4.10520122447633E-3</v>
      </c>
      <c r="Y970">
        <f>LN(B970/B969)</f>
        <v>-1.0443439989281923E-2</v>
      </c>
      <c r="Z970">
        <f>LN(C970/C969)</f>
        <v>3.5203951259879366E-4</v>
      </c>
    </row>
    <row r="971" spans="1:26" x14ac:dyDescent="0.3">
      <c r="A971" s="9">
        <v>41605</v>
      </c>
      <c r="B971" s="1">
        <v>21732.62</v>
      </c>
      <c r="C971" s="1">
        <v>31.803000000000001</v>
      </c>
      <c r="D971" s="6">
        <f t="shared" si="200"/>
        <v>7.8746657440909029E-3</v>
      </c>
      <c r="E971" s="5">
        <f t="shared" si="212"/>
        <v>3.5229210047882376E-4</v>
      </c>
      <c r="G971" s="25" t="str">
        <f>IF(VLOOKUP(A971,Aux!B:C,2,FALSE)=0,"",VLOOKUP(A971,Aux!B:C,2,FALSE))</f>
        <v/>
      </c>
      <c r="H971" s="25" t="str">
        <f t="shared" si="201"/>
        <v/>
      </c>
      <c r="L971" s="13">
        <f t="shared" si="204"/>
        <v>120424.60424981471</v>
      </c>
      <c r="M971" s="14">
        <f t="shared" si="205"/>
        <v>451.48712134724946</v>
      </c>
      <c r="N971" s="14">
        <f t="shared" si="206"/>
        <v>22.059448446936475</v>
      </c>
      <c r="O971" s="1">
        <f t="shared" si="207"/>
        <v>2.6589347546952378</v>
      </c>
      <c r="P971" s="1">
        <f t="shared" si="208"/>
        <v>1969.5936113332061</v>
      </c>
      <c r="S971" s="6">
        <f t="shared" si="202"/>
        <v>0.4798489394136724</v>
      </c>
      <c r="T971" s="6">
        <f t="shared" si="203"/>
        <v>0.5201510605863281</v>
      </c>
      <c r="V971" s="1">
        <f t="shared" si="209"/>
        <v>121285.4382244513</v>
      </c>
      <c r="W971" s="7">
        <f t="shared" si="210"/>
        <v>3.9400593105496746E-3</v>
      </c>
      <c r="X971" s="7">
        <f t="shared" si="211"/>
        <v>3.4423605367992502E-3</v>
      </c>
      <c r="Y971">
        <f>LN(B971/B970)</f>
        <v>7.8438223787831267E-3</v>
      </c>
      <c r="Z971">
        <f>LN(C971/C970)</f>
        <v>3.5223006018723593E-4</v>
      </c>
    </row>
    <row r="972" spans="1:26" x14ac:dyDescent="0.3">
      <c r="A972" s="11">
        <v>41606</v>
      </c>
      <c r="B972" s="12">
        <v>21713.96</v>
      </c>
      <c r="C972" s="12">
        <v>31.8142</v>
      </c>
      <c r="D972" s="16">
        <f t="shared" si="200"/>
        <v>-8.5861713866064449E-4</v>
      </c>
      <c r="E972" s="15">
        <f t="shared" si="212"/>
        <v>3.5216803446203038E-4</v>
      </c>
      <c r="G972" s="25" t="str">
        <f>IF(VLOOKUP(A972,Aux!B:C,2,FALSE)=0,"",VLOOKUP(A972,Aux!B:C,2,FALSE))</f>
        <v/>
      </c>
      <c r="H972" s="25" t="str">
        <f t="shared" si="201"/>
        <v/>
      </c>
      <c r="L972" s="13">
        <f t="shared" si="204"/>
        <v>120397.04797573903</v>
      </c>
      <c r="M972" s="14">
        <f t="shared" si="205"/>
        <v>-49.615722522612749</v>
      </c>
      <c r="N972" s="14">
        <f t="shared" si="206"/>
        <v>22.05944844692948</v>
      </c>
      <c r="O972" s="1">
        <f t="shared" si="207"/>
        <v>2.6589347546952378</v>
      </c>
      <c r="P972" s="1">
        <f t="shared" si="208"/>
        <v>1969.5936113332061</v>
      </c>
      <c r="S972" s="6">
        <f t="shared" si="202"/>
        <v>0.47954666561007769</v>
      </c>
      <c r="T972" s="6">
        <f t="shared" si="203"/>
        <v>0.52045333438992281</v>
      </c>
      <c r="V972" s="1">
        <f t="shared" si="209"/>
        <v>121267.44483528988</v>
      </c>
      <c r="W972" s="7">
        <f t="shared" si="210"/>
        <v>-2.2885213137019864E-4</v>
      </c>
      <c r="X972" s="7">
        <f t="shared" si="211"/>
        <v>-1.483667311429241E-4</v>
      </c>
      <c r="Y972">
        <f>LN(B972/B971)</f>
        <v>-8.5898596148955945E-4</v>
      </c>
      <c r="Z972">
        <f>LN(C972/C971)</f>
        <v>3.5210603785483708E-4</v>
      </c>
    </row>
    <row r="973" spans="1:26" x14ac:dyDescent="0.3">
      <c r="A973" s="9">
        <v>41607</v>
      </c>
      <c r="B973" s="1">
        <v>21970.959999999999</v>
      </c>
      <c r="C973" s="1">
        <v>31.825970000000002</v>
      </c>
      <c r="D973" s="6">
        <f t="shared" si="200"/>
        <v>1.1835703851347246E-2</v>
      </c>
      <c r="E973" s="5">
        <f t="shared" si="212"/>
        <v>3.6996058363891748E-4</v>
      </c>
      <c r="G973" s="25" t="str">
        <f>IF(VLOOKUP(A973,Aux!B:C,2,FALSE)=0,"",VLOOKUP(A973,Aux!B:C,2,FALSE))</f>
        <v/>
      </c>
      <c r="H973" s="25" t="str">
        <f t="shared" si="201"/>
        <v/>
      </c>
      <c r="L973" s="13">
        <f t="shared" si="204"/>
        <v>121103.5763245011</v>
      </c>
      <c r="M973" s="14">
        <f t="shared" si="205"/>
        <v>683.34623195667609</v>
      </c>
      <c r="N973" s="14">
        <f t="shared" si="206"/>
        <v>23.182116805395886</v>
      </c>
      <c r="O973" s="1">
        <f t="shared" si="207"/>
        <v>2.6589347546952378</v>
      </c>
      <c r="P973" s="1">
        <f t="shared" si="208"/>
        <v>1969.5936113332061</v>
      </c>
      <c r="S973" s="6">
        <f t="shared" si="202"/>
        <v>0.48239160981903845</v>
      </c>
      <c r="T973" s="6">
        <f t="shared" si="203"/>
        <v>0.51760839018096205</v>
      </c>
      <c r="V973" s="1">
        <f t="shared" si="209"/>
        <v>121886.68387426995</v>
      </c>
      <c r="W973" s="7">
        <f t="shared" si="210"/>
        <v>5.8511680170048675E-3</v>
      </c>
      <c r="X973" s="7">
        <f t="shared" si="211"/>
        <v>5.0933980105025839E-3</v>
      </c>
      <c r="Y973">
        <f>LN(B973/B972)</f>
        <v>1.1766209712438105E-2</v>
      </c>
      <c r="Z973">
        <f>LN(C973/C972)</f>
        <v>3.6989216509645005E-4</v>
      </c>
    </row>
    <row r="974" spans="1:26" x14ac:dyDescent="0.3">
      <c r="A974" s="11">
        <v>41610</v>
      </c>
      <c r="B974" s="12">
        <v>21458.74</v>
      </c>
      <c r="C974" s="12">
        <v>31.83775</v>
      </c>
      <c r="D974" s="16">
        <f t="shared" si="200"/>
        <v>-2.3313501094171518E-2</v>
      </c>
      <c r="E974" s="15">
        <f t="shared" si="212"/>
        <v>3.7013797222829048E-4</v>
      </c>
      <c r="G974" s="25" t="str">
        <f>IF(VLOOKUP(A974,Aux!B:C,2,FALSE)=0,"",VLOOKUP(A974,Aux!B:C,2,FALSE))</f>
        <v/>
      </c>
      <c r="H974" s="25" t="str">
        <f t="shared" si="201"/>
        <v/>
      </c>
      <c r="L974" s="13">
        <f t="shared" si="204"/>
        <v>119764.81857719262</v>
      </c>
      <c r="M974" s="14">
        <f t="shared" si="205"/>
        <v>-1361.9595600499881</v>
      </c>
      <c r="N974" s="14">
        <f t="shared" si="206"/>
        <v>23.201812741501477</v>
      </c>
      <c r="O974" s="1">
        <f t="shared" si="207"/>
        <v>2.6589347546952378</v>
      </c>
      <c r="P974" s="1">
        <f t="shared" si="208"/>
        <v>1969.5936113332061</v>
      </c>
      <c r="S974" s="6">
        <f t="shared" si="202"/>
        <v>0.47641194013243049</v>
      </c>
      <c r="T974" s="6">
        <f t="shared" si="203"/>
        <v>0.52358805986756995</v>
      </c>
      <c r="V974" s="1">
        <f t="shared" si="209"/>
        <v>120731.32783711504</v>
      </c>
      <c r="W974" s="7">
        <f t="shared" si="210"/>
        <v>-1.1116207534759314E-2</v>
      </c>
      <c r="X974" s="7">
        <f t="shared" si="211"/>
        <v>-9.5241467231573264E-3</v>
      </c>
      <c r="Y974">
        <f>LN(B974/B973)</f>
        <v>-2.3589559798375372E-2</v>
      </c>
      <c r="Z974">
        <f>LN(C974/C973)</f>
        <v>3.7006948806758564E-4</v>
      </c>
    </row>
    <row r="975" spans="1:26" x14ac:dyDescent="0.3">
      <c r="A975" s="9">
        <v>41611</v>
      </c>
      <c r="B975" s="1">
        <v>21128.17</v>
      </c>
      <c r="C975" s="1">
        <v>31.849530000000001</v>
      </c>
      <c r="D975" s="6">
        <f t="shared" si="200"/>
        <v>-1.5404911937979771E-2</v>
      </c>
      <c r="E975" s="5">
        <f t="shared" si="212"/>
        <v>3.700010208007587E-4</v>
      </c>
      <c r="G975" s="25" t="str">
        <f>IF(VLOOKUP(A975,Aux!B:C,2,FALSE)=0,"",VLOOKUP(A975,Aux!B:C,2,FALSE))</f>
        <v/>
      </c>
      <c r="H975" s="25" t="str">
        <f t="shared" si="201"/>
        <v/>
      </c>
      <c r="L975" s="13">
        <f t="shared" si="204"/>
        <v>118909.05632807451</v>
      </c>
      <c r="M975" s="14">
        <f t="shared" si="205"/>
        <v>-878.96406185961359</v>
      </c>
      <c r="N975" s="14">
        <f t="shared" si="206"/>
        <v>23.201812741508473</v>
      </c>
      <c r="O975" s="1">
        <f t="shared" si="207"/>
        <v>2.6589347546952378</v>
      </c>
      <c r="P975" s="1">
        <f t="shared" si="208"/>
        <v>1969.5936113332061</v>
      </c>
      <c r="S975" s="6">
        <f t="shared" si="202"/>
        <v>0.47244867002485424</v>
      </c>
      <c r="T975" s="6">
        <f t="shared" si="203"/>
        <v>0.5275513299751462</v>
      </c>
      <c r="V975" s="1">
        <f t="shared" si="209"/>
        <v>119995.04470411112</v>
      </c>
      <c r="W975" s="7">
        <f t="shared" si="210"/>
        <v>-7.1710061826693542E-3</v>
      </c>
      <c r="X975" s="7">
        <f t="shared" si="211"/>
        <v>-6.1171978891459483E-3</v>
      </c>
      <c r="Y975">
        <f>LN(B975/B974)</f>
        <v>-1.5524800435440925E-2</v>
      </c>
      <c r="Z975">
        <f>LN(C975/C974)</f>
        <v>3.6993258730285089E-4</v>
      </c>
    </row>
    <row r="976" spans="1:26" x14ac:dyDescent="0.3">
      <c r="A976" s="11">
        <v>41612</v>
      </c>
      <c r="B976" s="12">
        <v>20940.669999999998</v>
      </c>
      <c r="C976" s="12">
        <v>31.86131</v>
      </c>
      <c r="D976" s="16">
        <f t="shared" si="200"/>
        <v>-8.874407958663677E-3</v>
      </c>
      <c r="E976" s="15">
        <f t="shared" si="212"/>
        <v>3.6986417067996769E-4</v>
      </c>
      <c r="G976" s="25" t="str">
        <f>IF(VLOOKUP(A976,Aux!B:C,2,FALSE)=0,"",VLOOKUP(A976,Aux!B:C,2,FALSE))</f>
        <v/>
      </c>
      <c r="H976" s="25" t="str">
        <f t="shared" si="201"/>
        <v/>
      </c>
      <c r="L976" s="13">
        <f t="shared" si="204"/>
        <v>118433.70787431067</v>
      </c>
      <c r="M976" s="14">
        <f t="shared" si="205"/>
        <v>-498.55026650535706</v>
      </c>
      <c r="N976" s="14">
        <f t="shared" si="206"/>
        <v>23.201812741501477</v>
      </c>
      <c r="O976" s="1">
        <f t="shared" si="207"/>
        <v>2.6589347546952378</v>
      </c>
      <c r="P976" s="1">
        <f t="shared" si="208"/>
        <v>1969.5936113332061</v>
      </c>
      <c r="S976" s="6">
        <f t="shared" si="202"/>
        <v>0.47013537149993584</v>
      </c>
      <c r="T976" s="6">
        <f t="shared" si="203"/>
        <v>0.52986462850006455</v>
      </c>
      <c r="V976" s="1">
        <f t="shared" si="209"/>
        <v>119588.82906572259</v>
      </c>
      <c r="W976" s="7">
        <f t="shared" si="210"/>
        <v>-4.0055915833986464E-3</v>
      </c>
      <c r="X976" s="7">
        <f t="shared" si="211"/>
        <v>-3.3910131032760557E-3</v>
      </c>
      <c r="Y976">
        <f>LN(B976/B975)</f>
        <v>-8.9140200469992395E-3</v>
      </c>
      <c r="Z976">
        <f>LN(C976/C975)</f>
        <v>3.697957877886593E-4</v>
      </c>
    </row>
    <row r="977" spans="1:26" x14ac:dyDescent="0.3">
      <c r="A977" s="9">
        <v>41613</v>
      </c>
      <c r="B977" s="1">
        <v>21105.09</v>
      </c>
      <c r="C977" s="1">
        <v>31.873100000000001</v>
      </c>
      <c r="D977" s="6">
        <f t="shared" si="200"/>
        <v>7.8517067505481375E-3</v>
      </c>
      <c r="E977" s="5">
        <f t="shared" si="212"/>
        <v>3.700412820439869E-4</v>
      </c>
      <c r="G977" s="25" t="str">
        <f>IF(VLOOKUP(A977,Aux!B:C,2,FALSE)=0,"",VLOOKUP(A977,Aux!B:C,2,FALSE))</f>
        <v/>
      </c>
      <c r="H977" s="25" t="str">
        <f t="shared" si="201"/>
        <v/>
      </c>
      <c r="L977" s="13">
        <f t="shared" si="204"/>
        <v>118894.1114353553</v>
      </c>
      <c r="M977" s="14">
        <f t="shared" si="205"/>
        <v>437.182052366996</v>
      </c>
      <c r="N977" s="14">
        <f t="shared" si="206"/>
        <v>23.22150867762106</v>
      </c>
      <c r="O977" s="1">
        <f t="shared" si="207"/>
        <v>2.6589347546952378</v>
      </c>
      <c r="P977" s="1">
        <f t="shared" si="208"/>
        <v>1969.5936113332061</v>
      </c>
      <c r="S977" s="6">
        <f t="shared" si="202"/>
        <v>0.47199189787025486</v>
      </c>
      <c r="T977" s="6">
        <f t="shared" si="203"/>
        <v>0.52800810212974547</v>
      </c>
      <c r="V977" s="1">
        <f t="shared" si="209"/>
        <v>119994.52754888614</v>
      </c>
      <c r="W977" s="7">
        <f t="shared" si="210"/>
        <v>3.8799002994729711E-3</v>
      </c>
      <c r="X977" s="7">
        <f t="shared" si="211"/>
        <v>3.3867032891443864E-3</v>
      </c>
      <c r="Y977">
        <f>LN(B977/B976)</f>
        <v>7.8210425076090991E-3</v>
      </c>
      <c r="Z977">
        <f>LN(C977/C976)</f>
        <v>3.6997283365407789E-4</v>
      </c>
    </row>
    <row r="978" spans="1:26" x14ac:dyDescent="0.3">
      <c r="A978" s="11">
        <v>41614</v>
      </c>
      <c r="B978" s="12">
        <v>21091.49</v>
      </c>
      <c r="C978" s="12">
        <v>31.884889999999999</v>
      </c>
      <c r="D978" s="16">
        <f t="shared" si="200"/>
        <v>-6.4439431435725503E-4</v>
      </c>
      <c r="E978" s="15">
        <f t="shared" si="212"/>
        <v>3.6990440214479392E-4</v>
      </c>
      <c r="G978" s="25" t="str">
        <f>IF(VLOOKUP(A978,Aux!B:C,2,FALSE)=0,"",VLOOKUP(A978,Aux!B:C,2,FALSE))</f>
        <v/>
      </c>
      <c r="H978" s="25" t="str">
        <f t="shared" si="201"/>
        <v/>
      </c>
      <c r="L978" s="13">
        <f t="shared" si="204"/>
        <v>118881.17143136906</v>
      </c>
      <c r="M978" s="14">
        <f t="shared" si="205"/>
        <v>-36.161512663851362</v>
      </c>
      <c r="N978" s="14">
        <f t="shared" si="206"/>
        <v>23.221508677614061</v>
      </c>
      <c r="O978" s="1">
        <f t="shared" si="207"/>
        <v>2.6589347546952378</v>
      </c>
      <c r="P978" s="1">
        <f t="shared" si="208"/>
        <v>1969.5936113332061</v>
      </c>
      <c r="S978" s="6">
        <f t="shared" si="202"/>
        <v>0.47173909134705116</v>
      </c>
      <c r="T978" s="6">
        <f t="shared" si="203"/>
        <v>0.52826090865294906</v>
      </c>
      <c r="V978" s="1">
        <f t="shared" si="209"/>
        <v>119989.52766487678</v>
      </c>
      <c r="W978" s="7">
        <f t="shared" si="210"/>
        <v>-1.0884229717237717E-4</v>
      </c>
      <c r="X978" s="7">
        <f t="shared" si="211"/>
        <v>-4.1668468395811275E-5</v>
      </c>
      <c r="Y978">
        <f>LN(B978/B977)</f>
        <v>-6.4460202561020328E-4</v>
      </c>
      <c r="Z978">
        <f>LN(C978/C977)</f>
        <v>3.6983600437800107E-4</v>
      </c>
    </row>
    <row r="979" spans="1:26" x14ac:dyDescent="0.3">
      <c r="A979" s="9">
        <v>41617</v>
      </c>
      <c r="B979" s="1">
        <v>21191.73</v>
      </c>
      <c r="C979" s="1">
        <v>31.89668</v>
      </c>
      <c r="D979" s="6">
        <f t="shared" si="200"/>
        <v>4.7526277185725441E-3</v>
      </c>
      <c r="E979" s="5">
        <f t="shared" si="212"/>
        <v>3.6976762347307179E-4</v>
      </c>
      <c r="G979" s="25" t="str">
        <f>IF(VLOOKUP(A979,Aux!B:C,2,FALSE)=0,"",VLOOKUP(A979,Aux!B:C,2,FALSE))</f>
        <v/>
      </c>
      <c r="H979" s="25" t="str">
        <f t="shared" si="201"/>
        <v/>
      </c>
      <c r="L979" s="13">
        <f t="shared" si="204"/>
        <v>119170.92455985733</v>
      </c>
      <c r="M979" s="14">
        <f t="shared" si="205"/>
        <v>266.53161981064522</v>
      </c>
      <c r="N979" s="14">
        <f t="shared" si="206"/>
        <v>23.22150867762106</v>
      </c>
      <c r="O979" s="1">
        <f t="shared" si="207"/>
        <v>2.6589347546952378</v>
      </c>
      <c r="P979" s="1">
        <f t="shared" si="208"/>
        <v>1969.5936113332061</v>
      </c>
      <c r="S979" s="6">
        <f t="shared" si="202"/>
        <v>0.47282865025365683</v>
      </c>
      <c r="T979" s="6">
        <f t="shared" si="203"/>
        <v>0.52717134974634339</v>
      </c>
      <c r="V979" s="1">
        <f t="shared" si="209"/>
        <v>120247.16064301191</v>
      </c>
      <c r="W979" s="7">
        <f t="shared" si="210"/>
        <v>2.4343685811723287E-3</v>
      </c>
      <c r="X979" s="7">
        <f t="shared" si="211"/>
        <v>2.1448270762902447E-3</v>
      </c>
      <c r="Y979">
        <f>LN(B979/B978)</f>
        <v>4.7413696396704967E-3</v>
      </c>
      <c r="Z979">
        <f>LN(C979/C978)</f>
        <v>3.6969927627325603E-4</v>
      </c>
    </row>
    <row r="980" spans="1:26" x14ac:dyDescent="0.3">
      <c r="A980" s="11">
        <v>41618</v>
      </c>
      <c r="B980" s="12">
        <v>21078.89</v>
      </c>
      <c r="C980" s="12">
        <v>31.908570000000001</v>
      </c>
      <c r="D980" s="16">
        <f t="shared" si="200"/>
        <v>-5.3247186520402057E-3</v>
      </c>
      <c r="E980" s="15">
        <f t="shared" si="212"/>
        <v>3.7276606844360849E-4</v>
      </c>
      <c r="G980" s="25" t="str">
        <f>IF(VLOOKUP(A980,Aux!B:C,2,FALSE)=0,"",VLOOKUP(A980,Aux!B:C,2,FALSE))</f>
        <v/>
      </c>
      <c r="H980" s="25" t="str">
        <f t="shared" si="201"/>
        <v/>
      </c>
      <c r="L980" s="13">
        <f t="shared" si="204"/>
        <v>118894.30883017628</v>
      </c>
      <c r="M980" s="14">
        <f t="shared" si="205"/>
        <v>-300.034197719811</v>
      </c>
      <c r="N980" s="14">
        <f t="shared" si="206"/>
        <v>23.418468038753922</v>
      </c>
      <c r="O980" s="1">
        <f t="shared" si="207"/>
        <v>2.6589347546952378</v>
      </c>
      <c r="P980" s="1">
        <f t="shared" si="208"/>
        <v>1969.5936113332061</v>
      </c>
      <c r="S980" s="6">
        <f t="shared" si="202"/>
        <v>0.47140518131489101</v>
      </c>
      <c r="T980" s="6">
        <f t="shared" si="203"/>
        <v>0.52859481868510916</v>
      </c>
      <c r="V980" s="1">
        <f t="shared" si="209"/>
        <v>120013.43432081491</v>
      </c>
      <c r="W980" s="7">
        <f t="shared" si="210"/>
        <v>-2.3238660280400737E-3</v>
      </c>
      <c r="X980" s="7">
        <f t="shared" si="211"/>
        <v>-1.9456074015044287E-3</v>
      </c>
      <c r="Y980">
        <f>LN(B980/B979)</f>
        <v>-5.3389454914866807E-3</v>
      </c>
      <c r="Z980">
        <f>LN(C980/C979)</f>
        <v>3.7269660843373747E-4</v>
      </c>
    </row>
    <row r="981" spans="1:26" x14ac:dyDescent="0.3">
      <c r="A981" s="9">
        <v>41619</v>
      </c>
      <c r="B981" s="1">
        <v>20736.990000000002</v>
      </c>
      <c r="C981" s="1">
        <v>31.920380000000002</v>
      </c>
      <c r="D981" s="6">
        <f t="shared" si="200"/>
        <v>-1.6220019175582689E-2</v>
      </c>
      <c r="E981" s="5">
        <f t="shared" si="212"/>
        <v>3.7012000224390107E-4</v>
      </c>
      <c r="G981" s="25" t="str">
        <f>IF(VLOOKUP(A981,Aux!B:C,2,FALSE)=0,"",VLOOKUP(A981,Aux!B:C,2,FALSE))</f>
        <v/>
      </c>
      <c r="H981" s="25" t="str">
        <f t="shared" si="201"/>
        <v/>
      </c>
      <c r="L981" s="13">
        <f t="shared" si="204"/>
        <v>118008.47993809583</v>
      </c>
      <c r="M981" s="14">
        <f t="shared" si="205"/>
        <v>-909.08979263029596</v>
      </c>
      <c r="N981" s="14">
        <f t="shared" si="206"/>
        <v>23.260900549846234</v>
      </c>
      <c r="O981" s="1">
        <f t="shared" si="207"/>
        <v>2.6589347546952378</v>
      </c>
      <c r="P981" s="1">
        <f t="shared" si="208"/>
        <v>1969.5936113332061</v>
      </c>
      <c r="S981" s="6">
        <f t="shared" si="202"/>
        <v>0.46724018009291973</v>
      </c>
      <c r="T981" s="6">
        <f t="shared" si="203"/>
        <v>0.53275981990708043</v>
      </c>
      <c r="V981" s="1">
        <f t="shared" si="209"/>
        <v>119251.07959545933</v>
      </c>
      <c r="W981" s="7">
        <f t="shared" si="210"/>
        <v>-7.4784516060724636E-3</v>
      </c>
      <c r="X981" s="7">
        <f t="shared" si="211"/>
        <v>-6.3725062504011347E-3</v>
      </c>
      <c r="Y981">
        <f>LN(B981/B980)</f>
        <v>-1.6353003654510971E-2</v>
      </c>
      <c r="Z981">
        <f>LN(C981/C980)</f>
        <v>3.7005152473194744E-4</v>
      </c>
    </row>
    <row r="982" spans="1:26" x14ac:dyDescent="0.3">
      <c r="A982" s="11">
        <v>41620</v>
      </c>
      <c r="B982" s="12">
        <v>20724.98</v>
      </c>
      <c r="C982" s="12">
        <v>31.932189999999999</v>
      </c>
      <c r="D982" s="16">
        <f t="shared" si="200"/>
        <v>-5.7915830600308027E-4</v>
      </c>
      <c r="E982" s="15">
        <f t="shared" si="212"/>
        <v>3.6998306411129001E-4</v>
      </c>
      <c r="G982" s="25" t="str">
        <f>IF(VLOOKUP(A982,Aux!B:C,2,FALSE)=0,"",VLOOKUP(A982,Aux!B:C,2,FALSE))</f>
        <v/>
      </c>
      <c r="H982" s="25" t="str">
        <f t="shared" si="201"/>
        <v/>
      </c>
      <c r="L982" s="13">
        <f t="shared" si="204"/>
        <v>117999.80703224178</v>
      </c>
      <c r="M982" s="14">
        <f t="shared" si="205"/>
        <v>-31.933806403895222</v>
      </c>
      <c r="N982" s="14">
        <f t="shared" si="206"/>
        <v>23.260900549839235</v>
      </c>
      <c r="O982" s="1">
        <f t="shared" si="207"/>
        <v>2.6589347546952378</v>
      </c>
      <c r="P982" s="1">
        <f t="shared" si="208"/>
        <v>1969.5936113332061</v>
      </c>
      <c r="S982" s="6">
        <f t="shared" si="202"/>
        <v>0.46700389600897119</v>
      </c>
      <c r="T982" s="6">
        <f t="shared" si="203"/>
        <v>0.53299610399102892</v>
      </c>
      <c r="V982" s="1">
        <f t="shared" si="209"/>
        <v>119249.79263971769</v>
      </c>
      <c r="W982" s="7">
        <f t="shared" si="210"/>
        <v>-7.3496621405036845E-5</v>
      </c>
      <c r="X982" s="7">
        <f t="shared" si="211"/>
        <v>-1.0792042222667514E-5</v>
      </c>
      <c r="Y982">
        <f>LN(B982/B981)</f>
        <v>-5.7932608295752498E-4</v>
      </c>
      <c r="Z982">
        <f>LN(C982/C981)</f>
        <v>3.6991463725475715E-4</v>
      </c>
    </row>
    <row r="983" spans="1:26" x14ac:dyDescent="0.3">
      <c r="A983" s="9">
        <v>41621</v>
      </c>
      <c r="B983" s="1">
        <v>20704.87</v>
      </c>
      <c r="C983" s="1">
        <v>31.943999999999999</v>
      </c>
      <c r="D983" s="6">
        <f t="shared" si="200"/>
        <v>-9.7032662998952635E-4</v>
      </c>
      <c r="E983" s="5">
        <f t="shared" si="212"/>
        <v>3.6984622727098682E-4</v>
      </c>
      <c r="G983" s="25" t="str">
        <f>IF(VLOOKUP(A983,Aux!B:C,2,FALSE)=0,"",VLOOKUP(A983,Aux!B:C,2,FALSE))</f>
        <v/>
      </c>
      <c r="H983" s="25" t="str">
        <f t="shared" si="201"/>
        <v/>
      </c>
      <c r="L983" s="13">
        <f t="shared" si="204"/>
        <v>117969.59675487471</v>
      </c>
      <c r="M983" s="14">
        <f t="shared" si="205"/>
        <v>-53.471177916922777</v>
      </c>
      <c r="N983" s="14">
        <f t="shared" si="206"/>
        <v>23.260900549846234</v>
      </c>
      <c r="O983" s="1">
        <f t="shared" si="207"/>
        <v>2.6589347546952378</v>
      </c>
      <c r="P983" s="1">
        <f t="shared" si="208"/>
        <v>1969.5936113332061</v>
      </c>
      <c r="S983" s="6">
        <f t="shared" si="202"/>
        <v>0.46667022647232959</v>
      </c>
      <c r="T983" s="6">
        <f t="shared" si="203"/>
        <v>0.53332977352767041</v>
      </c>
      <c r="V983" s="1">
        <f t="shared" si="209"/>
        <v>119229.81870063653</v>
      </c>
      <c r="W983" s="7">
        <f t="shared" si="210"/>
        <v>-2.5605249703793739E-4</v>
      </c>
      <c r="X983" s="7">
        <f t="shared" si="211"/>
        <v>-1.6751066487906692E-4</v>
      </c>
      <c r="Y983">
        <f>LN(B983/B982)</f>
        <v>-9.7079770162751642E-4</v>
      </c>
      <c r="Z983">
        <f>LN(C983/C982)</f>
        <v>3.6977785101368786E-4</v>
      </c>
    </row>
    <row r="984" spans="1:26" x14ac:dyDescent="0.3">
      <c r="A984" s="11">
        <v>41624</v>
      </c>
      <c r="B984" s="12">
        <v>20802.88</v>
      </c>
      <c r="C984" s="12">
        <v>31.955819999999999</v>
      </c>
      <c r="D984" s="16">
        <f t="shared" si="200"/>
        <v>4.7336689387569297E-3</v>
      </c>
      <c r="E984" s="15">
        <f t="shared" si="212"/>
        <v>3.7002253944407038E-4</v>
      </c>
      <c r="G984" s="25" t="str">
        <f>IF(VLOOKUP(A984,Aux!B:C,2,FALSE)=0,"",VLOOKUP(A984,Aux!B:C,2,FALSE))</f>
        <v/>
      </c>
      <c r="H984" s="25" t="str">
        <f t="shared" si="201"/>
        <v/>
      </c>
      <c r="L984" s="13">
        <f t="shared" si="204"/>
        <v>118253.47954666836</v>
      </c>
      <c r="M984" s="14">
        <f t="shared" si="205"/>
        <v>260.60219530768569</v>
      </c>
      <c r="N984" s="14">
        <f t="shared" si="206"/>
        <v>23.280596485958817</v>
      </c>
      <c r="O984" s="1">
        <f t="shared" si="207"/>
        <v>2.6589347546952378</v>
      </c>
      <c r="P984" s="1">
        <f t="shared" si="208"/>
        <v>1969.5936113332061</v>
      </c>
      <c r="S984" s="6">
        <f t="shared" si="202"/>
        <v>0.46775368337407081</v>
      </c>
      <c r="T984" s="6">
        <f t="shared" si="203"/>
        <v>0.53224631662592925</v>
      </c>
      <c r="V984" s="1">
        <f t="shared" si="209"/>
        <v>119482.37410473972</v>
      </c>
      <c r="W984" s="7">
        <f t="shared" si="210"/>
        <v>2.4035156336250181E-3</v>
      </c>
      <c r="X984" s="7">
        <f t="shared" si="211"/>
        <v>2.1159832295739658E-3</v>
      </c>
      <c r="Y984">
        <f>LN(B984/B983)</f>
        <v>4.7225003596483199E-3</v>
      </c>
      <c r="Z984">
        <f>LN(C984/C983)</f>
        <v>3.6995409798695609E-4</v>
      </c>
    </row>
    <row r="985" spans="1:26" x14ac:dyDescent="0.3">
      <c r="A985" s="9">
        <v>41625</v>
      </c>
      <c r="B985" s="1">
        <v>20737.62</v>
      </c>
      <c r="C985" s="1">
        <v>31.96773</v>
      </c>
      <c r="D985" s="6">
        <f t="shared" si="200"/>
        <v>-3.1370656370657279E-3</v>
      </c>
      <c r="E985" s="5">
        <f t="shared" si="212"/>
        <v>3.7270206178408039E-4</v>
      </c>
      <c r="G985" s="25" t="str">
        <f>IF(VLOOKUP(A985,Aux!B:C,2,FALSE)=0,"",VLOOKUP(A985,Aux!B:C,2,FALSE))</f>
        <v/>
      </c>
      <c r="H985" s="25" t="str">
        <f t="shared" si="201"/>
        <v/>
      </c>
      <c r="L985" s="13">
        <f t="shared" si="204"/>
        <v>118103.41532448793</v>
      </c>
      <c r="M985" s="14">
        <f t="shared" si="205"/>
        <v>-173.52208209141662</v>
      </c>
      <c r="N985" s="14">
        <f t="shared" si="206"/>
        <v>23.457859910979096</v>
      </c>
      <c r="O985" s="1">
        <f t="shared" si="207"/>
        <v>2.6589347546952378</v>
      </c>
      <c r="P985" s="1">
        <f t="shared" si="208"/>
        <v>1969.5936113332061</v>
      </c>
      <c r="S985" s="6">
        <f t="shared" si="202"/>
        <v>0.46687878073776723</v>
      </c>
      <c r="T985" s="6">
        <f t="shared" si="203"/>
        <v>0.53312121926223277</v>
      </c>
      <c r="V985" s="1">
        <f t="shared" si="209"/>
        <v>119358.46124954925</v>
      </c>
      <c r="W985" s="7">
        <f t="shared" si="210"/>
        <v>-1.2698105754528372E-3</v>
      </c>
      <c r="X985" s="7">
        <f t="shared" si="211"/>
        <v>-1.0376187650177663E-3</v>
      </c>
      <c r="Y985">
        <f>LN(B985/B984)</f>
        <v>-3.141996542554541E-3</v>
      </c>
      <c r="Z985">
        <f>LN(C985/C984)</f>
        <v>3.726326256227826E-4</v>
      </c>
    </row>
    <row r="986" spans="1:26" x14ac:dyDescent="0.3">
      <c r="A986" s="11">
        <v>41626</v>
      </c>
      <c r="B986" s="12">
        <v>20824.38</v>
      </c>
      <c r="C986" s="12">
        <v>31.979559999999999</v>
      </c>
      <c r="D986" s="16">
        <f t="shared" si="200"/>
        <v>4.1837009261429525E-3</v>
      </c>
      <c r="E986" s="15">
        <f t="shared" si="212"/>
        <v>3.7006068307010587E-4</v>
      </c>
      <c r="G986" s="25" t="str">
        <f>IF(VLOOKUP(A986,Aux!B:C,2,FALSE)=0,"",VLOOKUP(A986,Aux!B:C,2,FALSE))</f>
        <v/>
      </c>
      <c r="H986" s="25" t="str">
        <f t="shared" si="201"/>
        <v/>
      </c>
      <c r="L986" s="13">
        <f t="shared" si="204"/>
        <v>118357.40479622738</v>
      </c>
      <c r="M986" s="14">
        <f t="shared" si="205"/>
        <v>230.68917931736425</v>
      </c>
      <c r="N986" s="14">
        <f t="shared" si="206"/>
        <v>23.300292422071404</v>
      </c>
      <c r="O986" s="1">
        <f t="shared" si="207"/>
        <v>2.6589347546952378</v>
      </c>
      <c r="P986" s="1">
        <f t="shared" si="208"/>
        <v>1969.5936113332061</v>
      </c>
      <c r="S986" s="6">
        <f t="shared" si="202"/>
        <v>0.46782597018167599</v>
      </c>
      <c r="T986" s="6">
        <f t="shared" si="203"/>
        <v>0.53217402981832396</v>
      </c>
      <c r="V986" s="1">
        <f t="shared" si="209"/>
        <v>119585.08488144993</v>
      </c>
      <c r="W986" s="7">
        <f t="shared" si="210"/>
        <v>2.1482592278100733E-3</v>
      </c>
      <c r="X986" s="7">
        <f t="shared" si="211"/>
        <v>1.8968806943939934E-3</v>
      </c>
      <c r="Y986">
        <f>LN(B986/B985)</f>
        <v>4.1749735826855268E-3</v>
      </c>
      <c r="Z986">
        <f>LN(C986/C985)</f>
        <v>3.699922275034838E-4</v>
      </c>
    </row>
    <row r="987" spans="1:26" x14ac:dyDescent="0.3">
      <c r="A987" s="9">
        <v>41627</v>
      </c>
      <c r="B987" s="1">
        <v>21185.759999999998</v>
      </c>
      <c r="C987" s="1">
        <v>31.991389999999999</v>
      </c>
      <c r="D987" s="6">
        <f t="shared" ref="D987:D1050" si="213">B987/B986-1</f>
        <v>1.7353697925220235E-2</v>
      </c>
      <c r="E987" s="5">
        <f t="shared" si="212"/>
        <v>3.6992378882017007E-4</v>
      </c>
      <c r="G987" s="25" t="str">
        <f>IF(VLOOKUP(A987,Aux!B:C,2,FALSE)=0,"",VLOOKUP(A987,Aux!B:C,2,FALSE))</f>
        <v/>
      </c>
      <c r="H987" s="25" t="str">
        <f t="shared" si="201"/>
        <v/>
      </c>
      <c r="L987" s="13">
        <f t="shared" si="204"/>
        <v>119341.59093030122</v>
      </c>
      <c r="M987" s="14">
        <f t="shared" si="205"/>
        <v>960.88584165175803</v>
      </c>
      <c r="N987" s="14">
        <f t="shared" si="206"/>
        <v>23.300292422071404</v>
      </c>
      <c r="O987" s="1">
        <f t="shared" si="207"/>
        <v>2.6589347546952378</v>
      </c>
      <c r="P987" s="1">
        <f t="shared" si="208"/>
        <v>1969.5936113332061</v>
      </c>
      <c r="S987" s="6">
        <f t="shared" si="202"/>
        <v>0.47201946219680746</v>
      </c>
      <c r="T987" s="6">
        <f t="shared" si="203"/>
        <v>0.52798053780319232</v>
      </c>
      <c r="V987" s="1">
        <f t="shared" si="209"/>
        <v>120445.26645960961</v>
      </c>
      <c r="W987" s="7">
        <f t="shared" si="210"/>
        <v>8.2809921452048144E-3</v>
      </c>
      <c r="X987" s="7">
        <f t="shared" si="211"/>
        <v>7.1673040985223936E-3</v>
      </c>
      <c r="Y987">
        <f>LN(B987/B986)</f>
        <v>1.7204842173561195E-2</v>
      </c>
      <c r="Z987">
        <f>LN(C987/C986)</f>
        <v>3.6985538388462454E-4</v>
      </c>
    </row>
    <row r="988" spans="1:26" x14ac:dyDescent="0.3">
      <c r="A988" s="11">
        <v>41628</v>
      </c>
      <c r="B988" s="12">
        <v>21056.2</v>
      </c>
      <c r="C988" s="12">
        <v>32.003230000000002</v>
      </c>
      <c r="D988" s="16">
        <f t="shared" si="213"/>
        <v>-6.1154284764859401E-3</v>
      </c>
      <c r="E988" s="15">
        <f t="shared" si="212"/>
        <v>3.7009957991829268E-4</v>
      </c>
      <c r="G988" s="25" t="str">
        <f>IF(VLOOKUP(A988,Aux!B:C,2,FALSE)=0,"",VLOOKUP(A988,Aux!B:C,2,FALSE))</f>
        <v/>
      </c>
      <c r="H988" s="25" t="str">
        <f t="shared" si="201"/>
        <v/>
      </c>
      <c r="L988" s="13">
        <f t="shared" si="204"/>
        <v>119020.4193318411</v>
      </c>
      <c r="M988" s="14">
        <f t="shared" si="205"/>
        <v>-344.4915868183088</v>
      </c>
      <c r="N988" s="14">
        <f t="shared" si="206"/>
        <v>23.31998835819099</v>
      </c>
      <c r="O988" s="1">
        <f t="shared" si="207"/>
        <v>2.6589347546952378</v>
      </c>
      <c r="P988" s="1">
        <f t="shared" si="208"/>
        <v>1969.5936113332061</v>
      </c>
      <c r="S988" s="6">
        <f t="shared" si="202"/>
        <v>0.47039879624114089</v>
      </c>
      <c r="T988" s="6">
        <f t="shared" si="203"/>
        <v>0.52960120375885888</v>
      </c>
      <c r="V988" s="1">
        <f t="shared" si="209"/>
        <v>120172.85465592082</v>
      </c>
      <c r="W988" s="7">
        <f t="shared" si="210"/>
        <v>-2.6948236631434961E-3</v>
      </c>
      <c r="X988" s="7">
        <f t="shared" si="211"/>
        <v>-2.264267701964552E-3</v>
      </c>
      <c r="Y988">
        <f>LN(B988/B987)</f>
        <v>-6.1342042964723778E-3</v>
      </c>
      <c r="Z988">
        <f>LN(C988/C987)</f>
        <v>3.7003110996204527E-4</v>
      </c>
    </row>
    <row r="989" spans="1:26" x14ac:dyDescent="0.3">
      <c r="A989" s="9">
        <v>41631</v>
      </c>
      <c r="B989" s="1">
        <v>21120.3</v>
      </c>
      <c r="C989" s="1">
        <v>32.015070000000001</v>
      </c>
      <c r="D989" s="6">
        <f t="shared" si="213"/>
        <v>3.0442340023364434E-3</v>
      </c>
      <c r="E989" s="5">
        <f t="shared" si="212"/>
        <v>3.6996265689426266E-4</v>
      </c>
      <c r="G989" s="25" t="str">
        <f>IF(VLOOKUP(A989,Aux!B:C,2,FALSE)=0,"",VLOOKUP(A989,Aux!B:C,2,FALSE))</f>
        <v/>
      </c>
      <c r="H989" s="25" t="str">
        <f t="shared" si="201"/>
        <v/>
      </c>
      <c r="L989" s="13">
        <f t="shared" si="204"/>
        <v>119214.17703797524</v>
      </c>
      <c r="M989" s="14">
        <f t="shared" si="205"/>
        <v>170.43771777596086</v>
      </c>
      <c r="N989" s="14">
        <f t="shared" si="206"/>
        <v>23.319988358183991</v>
      </c>
      <c r="O989" s="1">
        <f t="shared" si="207"/>
        <v>2.6589347546952378</v>
      </c>
      <c r="P989" s="1">
        <f t="shared" si="208"/>
        <v>1969.5936113332061</v>
      </c>
      <c r="S989" s="6">
        <f t="shared" si="202"/>
        <v>0.47106393798869289</v>
      </c>
      <c r="T989" s="6">
        <f t="shared" si="203"/>
        <v>0.52893606201130683</v>
      </c>
      <c r="V989" s="1">
        <f t="shared" si="209"/>
        <v>120347.22324649506</v>
      </c>
      <c r="W989" s="7">
        <f t="shared" si="210"/>
        <v>1.6266130260513643E-3</v>
      </c>
      <c r="X989" s="7">
        <f t="shared" si="211"/>
        <v>1.449929857355648E-3</v>
      </c>
      <c r="Y989">
        <f>LN(B989/B988)</f>
        <v>3.039609704591929E-3</v>
      </c>
      <c r="Z989">
        <f>LN(C989/C988)</f>
        <v>3.6989423758505401E-4</v>
      </c>
    </row>
    <row r="990" spans="1:26" x14ac:dyDescent="0.3">
      <c r="A990" s="11">
        <v>41634</v>
      </c>
      <c r="B990" s="12">
        <v>21078.25</v>
      </c>
      <c r="C990" s="12">
        <v>32.038760000000003</v>
      </c>
      <c r="D990" s="16">
        <f t="shared" si="213"/>
        <v>-1.9909755069766888E-3</v>
      </c>
      <c r="E990" s="15">
        <f t="shared" si="212"/>
        <v>7.3996402319287391E-4</v>
      </c>
      <c r="G990" s="25" t="str">
        <f>IF(VLOOKUP(A990,Aux!B:C,2,FALSE)=0,"",VLOOKUP(A990,Aux!B:C,2,FALSE))</f>
        <v/>
      </c>
      <c r="H990" s="25" t="str">
        <f t="shared" si="201"/>
        <v/>
      </c>
      <c r="L990" s="13">
        <f t="shared" si="204"/>
        <v>119149.0285041928</v>
      </c>
      <c r="M990" s="14">
        <f t="shared" si="205"/>
        <v>-111.80820643493281</v>
      </c>
      <c r="N990" s="14">
        <f t="shared" si="206"/>
        <v>46.659672652487565</v>
      </c>
      <c r="O990" s="1">
        <f t="shared" si="207"/>
        <v>2.6589347546952378</v>
      </c>
      <c r="P990" s="1">
        <f t="shared" si="208"/>
        <v>1969.5936113332061</v>
      </c>
      <c r="S990" s="6">
        <f t="shared" si="202"/>
        <v>0.4703831176532226</v>
      </c>
      <c r="T990" s="6">
        <f t="shared" si="203"/>
        <v>0.52961688234677717</v>
      </c>
      <c r="V990" s="1">
        <f t="shared" si="209"/>
        <v>120303.21009359133</v>
      </c>
      <c r="W990" s="7">
        <f t="shared" si="210"/>
        <v>-5.4663248261409281E-4</v>
      </c>
      <c r="X990" s="7">
        <f t="shared" si="211"/>
        <v>-3.6578495025831617E-4</v>
      </c>
      <c r="Y990">
        <f>LN(B990/B989)</f>
        <v>-1.9929601333772704E-3</v>
      </c>
      <c r="Z990">
        <f>LN(C990/C989)</f>
        <v>7.3969038479512327E-4</v>
      </c>
    </row>
    <row r="991" spans="1:26" x14ac:dyDescent="0.3">
      <c r="A991" s="9">
        <v>41635</v>
      </c>
      <c r="B991" s="1">
        <v>21162.639999999999</v>
      </c>
      <c r="C991" s="1">
        <v>32.050620000000002</v>
      </c>
      <c r="D991" s="6">
        <f t="shared" si="213"/>
        <v>4.0036530546889715E-3</v>
      </c>
      <c r="E991" s="5">
        <f t="shared" si="212"/>
        <v>3.701766235646442E-4</v>
      </c>
      <c r="G991" s="25" t="str">
        <f>IF(VLOOKUP(A991,Aux!B:C,2,FALSE)=0,"",VLOOKUP(A991,Aux!B:C,2,FALSE))</f>
        <v/>
      </c>
      <c r="H991" s="25" t="str">
        <f t="shared" si="201"/>
        <v/>
      </c>
      <c r="L991" s="13">
        <f t="shared" si="204"/>
        <v>119396.77538837194</v>
      </c>
      <c r="M991" s="14">
        <f t="shared" si="205"/>
        <v>224.38750394872957</v>
      </c>
      <c r="N991" s="14">
        <f t="shared" si="206"/>
        <v>23.359380230409165</v>
      </c>
      <c r="O991" s="1">
        <f t="shared" si="207"/>
        <v>2.6589347546952378</v>
      </c>
      <c r="P991" s="1">
        <f t="shared" si="208"/>
        <v>1969.5936113332061</v>
      </c>
      <c r="S991" s="6">
        <f t="shared" si="202"/>
        <v>0.47128642138005156</v>
      </c>
      <c r="T991" s="6">
        <f t="shared" si="203"/>
        <v>0.52871357861994817</v>
      </c>
      <c r="V991" s="1">
        <f t="shared" si="209"/>
        <v>120524.4331665628</v>
      </c>
      <c r="W991" s="7">
        <f t="shared" si="210"/>
        <v>2.0771438374710084E-3</v>
      </c>
      <c r="X991" s="7">
        <f t="shared" si="211"/>
        <v>1.8371905500601503E-3</v>
      </c>
      <c r="Y991">
        <f>LN(B991/B990)</f>
        <v>3.995659763604352E-3</v>
      </c>
      <c r="Z991">
        <f>LN(C991/C990)</f>
        <v>3.7010812510215901E-4</v>
      </c>
    </row>
    <row r="992" spans="1:26" x14ac:dyDescent="0.3">
      <c r="A992" s="11">
        <v>41638</v>
      </c>
      <c r="B992" s="12">
        <v>21294.400000000001</v>
      </c>
      <c r="C992" s="12">
        <v>32.062480000000001</v>
      </c>
      <c r="D992" s="16">
        <f t="shared" si="213"/>
        <v>6.2260663130877525E-3</v>
      </c>
      <c r="E992" s="15">
        <f t="shared" si="212"/>
        <v>3.7003964353887753E-4</v>
      </c>
      <c r="G992" s="25">
        <f>IF(VLOOKUP(A992,Aux!B:C,2,FALSE)=0,"",VLOOKUP(A992,Aux!B:C,2,FALSE))</f>
        <v>0.5</v>
      </c>
      <c r="H992" s="25">
        <f t="shared" si="201"/>
        <v>0.5</v>
      </c>
      <c r="L992" s="13">
        <f t="shared" si="204"/>
        <v>119770.47601188101</v>
      </c>
      <c r="M992" s="14">
        <f t="shared" si="205"/>
        <v>350.34124327864993</v>
      </c>
      <c r="N992" s="14">
        <f t="shared" si="206"/>
        <v>23.359380230409165</v>
      </c>
      <c r="O992" s="1">
        <f t="shared" si="207"/>
        <v>2.8122528930582922</v>
      </c>
      <c r="P992" s="1">
        <f t="shared" si="208"/>
        <v>1867.7668728663691</v>
      </c>
      <c r="S992" s="6">
        <f t="shared" si="202"/>
        <v>0.5</v>
      </c>
      <c r="T992" s="6">
        <f t="shared" si="203"/>
        <v>0.5</v>
      </c>
      <c r="V992" s="1">
        <f t="shared" si="209"/>
        <v>120854.94048654575</v>
      </c>
      <c r="W992" s="7">
        <f t="shared" si="210"/>
        <v>3.1250175385038217E-3</v>
      </c>
      <c r="X992" s="7">
        <f t="shared" si="211"/>
        <v>2.7384902158747982E-3</v>
      </c>
      <c r="Y992">
        <f>LN(B992/B991)</f>
        <v>6.206764437295953E-3</v>
      </c>
      <c r="Z992">
        <f>LN(C992/C991)</f>
        <v>3.6997119575505743E-4</v>
      </c>
    </row>
    <row r="993" spans="1:26" x14ac:dyDescent="0.3">
      <c r="A993" s="9">
        <v>41641</v>
      </c>
      <c r="B993" s="1">
        <v>21006.71</v>
      </c>
      <c r="C993" s="1">
        <v>32.086199999999998</v>
      </c>
      <c r="D993" s="6">
        <f t="shared" si="213"/>
        <v>-1.3510124727628026E-2</v>
      </c>
      <c r="E993" s="5">
        <f t="shared" si="212"/>
        <v>7.3980552970320801E-4</v>
      </c>
      <c r="G993" s="25" t="str">
        <f>IF(VLOOKUP(A993,Aux!B:C,2,FALSE)=0,"",VLOOKUP(A993,Aux!B:C,2,FALSE))</f>
        <v/>
      </c>
      <c r="H993" s="25" t="str">
        <f t="shared" si="201"/>
        <v/>
      </c>
      <c r="L993" s="13">
        <f t="shared" si="204"/>
        <v>119005.72240730145</v>
      </c>
      <c r="M993" s="14">
        <f t="shared" si="205"/>
        <v>-809.05703480394664</v>
      </c>
      <c r="N993" s="14">
        <f t="shared" si="206"/>
        <v>44.303430224385231</v>
      </c>
      <c r="O993" s="1">
        <f t="shared" si="207"/>
        <v>2.8122528930582922</v>
      </c>
      <c r="P993" s="1">
        <f t="shared" si="208"/>
        <v>1867.7668728663691</v>
      </c>
      <c r="S993" s="6">
        <f t="shared" si="202"/>
        <v>0.49641462423921229</v>
      </c>
      <c r="T993" s="6">
        <f t="shared" si="203"/>
        <v>0.50358537576078766</v>
      </c>
      <c r="V993" s="1">
        <f t="shared" si="209"/>
        <v>120244.29437508265</v>
      </c>
      <c r="W993" s="7">
        <f t="shared" si="210"/>
        <v>-6.4056319230810475E-3</v>
      </c>
      <c r="X993" s="7">
        <f t="shared" si="211"/>
        <v>-5.0655276243912906E-3</v>
      </c>
      <c r="Y993">
        <f>LN(B993/B992)</f>
        <v>-1.3602216854068989E-2</v>
      </c>
      <c r="Z993">
        <f>LN(C993/C992)</f>
        <v>7.3953200848567765E-4</v>
      </c>
    </row>
    <row r="994" spans="1:26" x14ac:dyDescent="0.3">
      <c r="A994" s="11">
        <v>41642</v>
      </c>
      <c r="B994" s="12">
        <v>20874.099999999999</v>
      </c>
      <c r="C994" s="12">
        <v>32.098080000000003</v>
      </c>
      <c r="D994" s="16">
        <f t="shared" si="213"/>
        <v>-6.3127448324844515E-3</v>
      </c>
      <c r="E994" s="15">
        <f t="shared" si="212"/>
        <v>3.7025263197287828E-4</v>
      </c>
      <c r="G994" s="25" t="str">
        <f>IF(VLOOKUP(A994,Aux!B:C,2,FALSE)=0,"",VLOOKUP(A994,Aux!B:C,2,FALSE))</f>
        <v/>
      </c>
      <c r="H994" s="25" t="str">
        <f t="shared" si="201"/>
        <v/>
      </c>
      <c r="L994" s="13">
        <f t="shared" si="204"/>
        <v>118654.97862160266</v>
      </c>
      <c r="M994" s="14">
        <f t="shared" si="205"/>
        <v>-372.93285614846178</v>
      </c>
      <c r="N994" s="14">
        <f t="shared" si="206"/>
        <v>22.189070449661799</v>
      </c>
      <c r="O994" s="1">
        <f t="shared" si="207"/>
        <v>2.8122528930582922</v>
      </c>
      <c r="P994" s="1">
        <f t="shared" si="208"/>
        <v>1867.7668728663691</v>
      </c>
      <c r="S994" s="6">
        <f t="shared" si="202"/>
        <v>0.49473902230597522</v>
      </c>
      <c r="T994" s="6">
        <f t="shared" si="203"/>
        <v>0.50526097769402467</v>
      </c>
      <c r="V994" s="1">
        <f t="shared" si="209"/>
        <v>119964.93560000275</v>
      </c>
      <c r="W994" s="7">
        <f t="shared" si="210"/>
        <v>-2.9516368404616188E-3</v>
      </c>
      <c r="X994" s="7">
        <f t="shared" si="211"/>
        <v>-2.3259630868933761E-3</v>
      </c>
      <c r="Y994">
        <f>LN(B994/B993)</f>
        <v>-6.3327544610470386E-3</v>
      </c>
      <c r="Z994">
        <f>LN(C994/C993)</f>
        <v>3.701841053813823E-4</v>
      </c>
    </row>
    <row r="995" spans="1:26" x14ac:dyDescent="0.3">
      <c r="A995" s="9">
        <v>41645</v>
      </c>
      <c r="B995" s="1">
        <v>20879.43</v>
      </c>
      <c r="C995" s="1">
        <v>32.109949999999998</v>
      </c>
      <c r="D995" s="6">
        <f t="shared" si="213"/>
        <v>2.5534035000318589E-4</v>
      </c>
      <c r="E995" s="5">
        <f t="shared" si="212"/>
        <v>3.6980405058484322E-4</v>
      </c>
      <c r="G995" s="25" t="str">
        <f>IF(VLOOKUP(A995,Aux!B:C,2,FALSE)=0,"",VLOOKUP(A995,Aux!B:C,2,FALSE))</f>
        <v/>
      </c>
      <c r="H995" s="25" t="str">
        <f t="shared" si="201"/>
        <v/>
      </c>
      <c r="L995" s="13">
        <f t="shared" si="204"/>
        <v>118692.13832230358</v>
      </c>
      <c r="M995" s="14">
        <f t="shared" si="205"/>
        <v>14.989307920005608</v>
      </c>
      <c r="N995" s="14">
        <f t="shared" si="206"/>
        <v>22.170392780913936</v>
      </c>
      <c r="O995" s="1">
        <f t="shared" si="207"/>
        <v>2.8122528930582922</v>
      </c>
      <c r="P995" s="1">
        <f t="shared" si="208"/>
        <v>1867.7668728663691</v>
      </c>
      <c r="S995" s="6">
        <f t="shared" si="202"/>
        <v>0.49471041850692044</v>
      </c>
      <c r="T995" s="6">
        <f t="shared" si="203"/>
        <v>0.50528958149307934</v>
      </c>
      <c r="V995" s="1">
        <f t="shared" si="209"/>
        <v>120003.78685876523</v>
      </c>
      <c r="W995" s="7">
        <f t="shared" si="210"/>
        <v>3.1312536240610397E-4</v>
      </c>
      <c r="X995" s="7">
        <f t="shared" si="211"/>
        <v>3.2380269148291182E-4</v>
      </c>
      <c r="Y995">
        <f>LN(B995/B994)</f>
        <v>2.5530775620423934E-4</v>
      </c>
      <c r="Z995">
        <f>LN(C995/C994)</f>
        <v>3.6973568991977669E-4</v>
      </c>
    </row>
    <row r="996" spans="1:26" x14ac:dyDescent="0.3">
      <c r="A996" s="11">
        <v>41646</v>
      </c>
      <c r="B996" s="12">
        <v>20716.45</v>
      </c>
      <c r="C996" s="12">
        <v>32.121830000000003</v>
      </c>
      <c r="D996" s="16">
        <f t="shared" si="213"/>
        <v>-7.8057686440673457E-3</v>
      </c>
      <c r="E996" s="15">
        <f t="shared" si="212"/>
        <v>3.6997877604938445E-4</v>
      </c>
      <c r="G996" s="25" t="str">
        <f>IF(VLOOKUP(A996,Aux!B:C,2,FALSE)=0,"",VLOOKUP(A996,Aux!B:C,2,FALSE))</f>
        <v/>
      </c>
      <c r="H996" s="25" t="str">
        <f t="shared" si="201"/>
        <v/>
      </c>
      <c r="L996" s="13">
        <f t="shared" si="204"/>
        <v>118255.98641624261</v>
      </c>
      <c r="M996" s="14">
        <f t="shared" si="205"/>
        <v>-458.34097651063922</v>
      </c>
      <c r="N996" s="14">
        <f t="shared" si="206"/>
        <v>22.189070449661799</v>
      </c>
      <c r="O996" s="1">
        <f t="shared" si="207"/>
        <v>2.8122528930582922</v>
      </c>
      <c r="P996" s="1">
        <f t="shared" si="208"/>
        <v>1867.7668728663691</v>
      </c>
      <c r="S996" s="6">
        <f t="shared" si="202"/>
        <v>0.49265917279935179</v>
      </c>
      <c r="T996" s="6">
        <f t="shared" si="203"/>
        <v>0.5073408272006481</v>
      </c>
      <c r="V996" s="1">
        <f t="shared" si="209"/>
        <v>119654.36343133706</v>
      </c>
      <c r="W996" s="7">
        <f t="shared" si="210"/>
        <v>-3.6814167584837874E-3</v>
      </c>
      <c r="X996" s="7">
        <f t="shared" si="211"/>
        <v>-2.9160174574107385E-3</v>
      </c>
      <c r="Y996">
        <f>LN(B996/B995)</f>
        <v>-7.8363931253042762E-3</v>
      </c>
      <c r="Z996">
        <f>LN(C996/C995)</f>
        <v>3.6991035077876594E-4</v>
      </c>
    </row>
    <row r="997" spans="1:26" x14ac:dyDescent="0.3">
      <c r="A997" s="9">
        <v>41647</v>
      </c>
      <c r="B997" s="1">
        <v>20766.259999999998</v>
      </c>
      <c r="C997" s="1">
        <v>32.133719999999997</v>
      </c>
      <c r="D997" s="6">
        <f t="shared" si="213"/>
        <v>2.4043694744995125E-3</v>
      </c>
      <c r="E997" s="5">
        <f t="shared" si="212"/>
        <v>3.7015325714606639E-4</v>
      </c>
      <c r="G997" s="25" t="str">
        <f>IF(VLOOKUP(A997,Aux!B:C,2,FALSE)=0,"",VLOOKUP(A997,Aux!B:C,2,FALSE))</f>
        <v/>
      </c>
      <c r="H997" s="25" t="str">
        <f t="shared" si="201"/>
        <v/>
      </c>
      <c r="L997" s="13">
        <f t="shared" si="204"/>
        <v>118418.27248096421</v>
      </c>
      <c r="M997" s="14">
        <f t="shared" si="205"/>
        <v>140.07831660322699</v>
      </c>
      <c r="N997" s="14">
        <f t="shared" si="206"/>
        <v>22.20774811836985</v>
      </c>
      <c r="O997" s="1">
        <f t="shared" si="207"/>
        <v>2.8122528930582922</v>
      </c>
      <c r="P997" s="1">
        <f t="shared" si="208"/>
        <v>1867.7668728663691</v>
      </c>
      <c r="S997" s="6">
        <f t="shared" si="202"/>
        <v>0.49316692043779403</v>
      </c>
      <c r="T997" s="6">
        <f t="shared" si="203"/>
        <v>0.5068330795622058</v>
      </c>
      <c r="V997" s="1">
        <f t="shared" si="209"/>
        <v>119795.87634866749</v>
      </c>
      <c r="W997" s="7">
        <f t="shared" si="210"/>
        <v>1.3713877538868264E-3</v>
      </c>
      <c r="X997" s="7">
        <f t="shared" si="211"/>
        <v>1.1819819761789041E-3</v>
      </c>
      <c r="Y997">
        <f>LN(B997/B996)</f>
        <v>2.4014836030896523E-3</v>
      </c>
      <c r="Z997">
        <f>LN(C997/C996)</f>
        <v>3.7008476732980963E-4</v>
      </c>
    </row>
    <row r="998" spans="1:26" x14ac:dyDescent="0.3">
      <c r="A998" s="11">
        <v>41648</v>
      </c>
      <c r="B998" s="12">
        <v>20257.89</v>
      </c>
      <c r="C998" s="12">
        <v>32.145609999999998</v>
      </c>
      <c r="D998" s="16">
        <f t="shared" si="213"/>
        <v>-2.4480575703087593E-2</v>
      </c>
      <c r="E998" s="15">
        <f t="shared" si="212"/>
        <v>3.7001629440980288E-4</v>
      </c>
      <c r="G998" s="25" t="str">
        <f>IF(VLOOKUP(A998,Aux!B:C,2,FALSE)=0,"",VLOOKUP(A998,Aux!B:C,2,FALSE))</f>
        <v/>
      </c>
      <c r="H998" s="25" t="str">
        <f t="shared" si="201"/>
        <v/>
      </c>
      <c r="L998" s="13">
        <f t="shared" si="204"/>
        <v>117010.81522583855</v>
      </c>
      <c r="M998" s="14">
        <f t="shared" si="205"/>
        <v>-1429.6650032440411</v>
      </c>
      <c r="N998" s="14">
        <f t="shared" si="206"/>
        <v>22.207748118383119</v>
      </c>
      <c r="O998" s="1">
        <f t="shared" si="207"/>
        <v>2.8122528930582922</v>
      </c>
      <c r="P998" s="1">
        <f t="shared" si="208"/>
        <v>1867.7668728663691</v>
      </c>
      <c r="S998" s="6">
        <f t="shared" si="202"/>
        <v>0.48688071824643053</v>
      </c>
      <c r="T998" s="6">
        <f t="shared" si="203"/>
        <v>0.51311928175356925</v>
      </c>
      <c r="V998" s="1">
        <f t="shared" si="209"/>
        <v>118649.64848075707</v>
      </c>
      <c r="W998" s="7">
        <f t="shared" si="210"/>
        <v>-1.1956670575703649E-2</v>
      </c>
      <c r="X998" s="7">
        <f t="shared" si="211"/>
        <v>-9.6142437388053899E-3</v>
      </c>
      <c r="Y998">
        <f>LN(B998/B997)</f>
        <v>-2.4785206972763797E-2</v>
      </c>
      <c r="Z998">
        <f>LN(C998/C997)</f>
        <v>3.6994785526261781E-4</v>
      </c>
    </row>
    <row r="999" spans="1:26" x14ac:dyDescent="0.3">
      <c r="A999" s="9">
        <v>41649</v>
      </c>
      <c r="B999" s="1">
        <v>20386.009999999998</v>
      </c>
      <c r="C999" s="1">
        <v>32.157499999999999</v>
      </c>
      <c r="D999" s="6">
        <f t="shared" si="213"/>
        <v>6.3244493873744201E-3</v>
      </c>
      <c r="E999" s="5">
        <f t="shared" si="212"/>
        <v>3.698794329924926E-4</v>
      </c>
      <c r="G999" s="25" t="str">
        <f>IF(VLOOKUP(A999,Aux!B:C,2,FALSE)=0,"",VLOOKUP(A999,Aux!B:C,2,FALSE))</f>
        <v/>
      </c>
      <c r="H999" s="25" t="str">
        <f t="shared" si="201"/>
        <v/>
      </c>
      <c r="L999" s="13">
        <f t="shared" si="204"/>
        <v>117393.32881461555</v>
      </c>
      <c r="M999" s="14">
        <f t="shared" si="205"/>
        <v>360.30584065862553</v>
      </c>
      <c r="N999" s="14">
        <f t="shared" si="206"/>
        <v>22.207748118383119</v>
      </c>
      <c r="O999" s="1">
        <f t="shared" si="207"/>
        <v>2.8122528930582922</v>
      </c>
      <c r="P999" s="1">
        <f t="shared" si="208"/>
        <v>1867.7668728663691</v>
      </c>
      <c r="S999" s="6">
        <f t="shared" si="202"/>
        <v>0.48836348861825246</v>
      </c>
      <c r="T999" s="6">
        <f t="shared" si="203"/>
        <v>0.51163651138174737</v>
      </c>
      <c r="V999" s="1">
        <f t="shared" si="209"/>
        <v>118971.82530738598</v>
      </c>
      <c r="W999" s="7">
        <f t="shared" si="210"/>
        <v>3.2637130190823469E-3</v>
      </c>
      <c r="X999" s="7">
        <f t="shared" si="211"/>
        <v>2.7116827356771893E-3</v>
      </c>
      <c r="Y999">
        <f>LN(B999/B998)</f>
        <v>6.3045339825545917E-3</v>
      </c>
      <c r="Z999">
        <f>LN(C999/C998)</f>
        <v>3.6981104445817233E-4</v>
      </c>
    </row>
    <row r="1000" spans="1:26" x14ac:dyDescent="0.3">
      <c r="A1000" s="11">
        <v>41652</v>
      </c>
      <c r="B1000" s="12">
        <v>20262.2</v>
      </c>
      <c r="C1000" s="12">
        <v>32.169400000000003</v>
      </c>
      <c r="D1000" s="16">
        <f t="shared" si="213"/>
        <v>-6.0732826090047487E-3</v>
      </c>
      <c r="E1000" s="15">
        <f t="shared" si="212"/>
        <v>3.7005364222975068E-4</v>
      </c>
      <c r="G1000" s="25" t="str">
        <f>IF(VLOOKUP(A1000,Aux!B:C,2,FALSE)=0,"",VLOOKUP(A1000,Aux!B:C,2,FALSE))</f>
        <v/>
      </c>
      <c r="H1000" s="25" t="str">
        <f t="shared" si="201"/>
        <v/>
      </c>
      <c r="L1000" s="13">
        <f t="shared" si="204"/>
        <v>117067.37020971313</v>
      </c>
      <c r="M1000" s="14">
        <f t="shared" si="205"/>
        <v>-348.18503068954061</v>
      </c>
      <c r="N1000" s="14">
        <f t="shared" si="206"/>
        <v>22.226425787117712</v>
      </c>
      <c r="O1000" s="1">
        <f t="shared" si="207"/>
        <v>2.8122528930582922</v>
      </c>
      <c r="P1000" s="1">
        <f t="shared" si="208"/>
        <v>1867.7668728663691</v>
      </c>
      <c r="S1000" s="6">
        <f t="shared" si="202"/>
        <v>0.48674904431224569</v>
      </c>
      <c r="T1000" s="6">
        <f t="shared" si="203"/>
        <v>0.51325095568775414</v>
      </c>
      <c r="V1000" s="1">
        <f t="shared" si="209"/>
        <v>118712.81318278096</v>
      </c>
      <c r="W1000" s="7">
        <f t="shared" si="210"/>
        <v>-2.7804985335481039E-3</v>
      </c>
      <c r="X1000" s="7">
        <f t="shared" si="211"/>
        <v>-2.1794612287698643E-3</v>
      </c>
      <c r="Y1000">
        <f>LN(B1000/B999)</f>
        <v>-6.0918000021386622E-3</v>
      </c>
      <c r="Z1000">
        <f>LN(C1000/C999)</f>
        <v>3.6998518926767822E-4</v>
      </c>
    </row>
    <row r="1001" spans="1:26" x14ac:dyDescent="0.3">
      <c r="A1001" s="9">
        <v>41653</v>
      </c>
      <c r="B1001" s="1">
        <v>20387.46</v>
      </c>
      <c r="C1001" s="1">
        <v>32.1813</v>
      </c>
      <c r="D1001" s="6">
        <f t="shared" si="213"/>
        <v>6.1819545755148475E-3</v>
      </c>
      <c r="E1001" s="5">
        <f t="shared" si="212"/>
        <v>3.6991675318764905E-4</v>
      </c>
      <c r="G1001" s="25" t="str">
        <f>IF(VLOOKUP(A1001,Aux!B:C,2,FALSE)=0,"",VLOOKUP(A1001,Aux!B:C,2,FALSE))</f>
        <v/>
      </c>
      <c r="H1001" s="25" t="str">
        <f t="shared" si="201"/>
        <v/>
      </c>
      <c r="L1001" s="13">
        <f t="shared" si="204"/>
        <v>117441.85943288471</v>
      </c>
      <c r="M1001" s="14">
        <f t="shared" si="205"/>
        <v>352.26279738447715</v>
      </c>
      <c r="N1001" s="14">
        <f t="shared" si="206"/>
        <v>22.226425787104443</v>
      </c>
      <c r="O1001" s="1">
        <f t="shared" si="207"/>
        <v>2.8122528930582922</v>
      </c>
      <c r="P1001" s="1">
        <f t="shared" si="208"/>
        <v>1867.7668728663691</v>
      </c>
      <c r="S1001" s="6">
        <f t="shared" si="202"/>
        <v>0.48819640325837699</v>
      </c>
      <c r="T1001" s="6">
        <f t="shared" si="203"/>
        <v>0.5118035967416229</v>
      </c>
      <c r="V1001" s="1">
        <f t="shared" si="209"/>
        <v>119028.41426069115</v>
      </c>
      <c r="W1001" s="7">
        <f t="shared" si="210"/>
        <v>3.1938149476869611E-3</v>
      </c>
      <c r="X1001" s="7">
        <f t="shared" si="211"/>
        <v>2.6549981817937328E-3</v>
      </c>
      <c r="Y1001">
        <f>LN(B1001/B1000)</f>
        <v>6.1629246820156178E-3</v>
      </c>
      <c r="Z1001">
        <f>LN(C1001/C1000)</f>
        <v>3.6984835085376421E-4</v>
      </c>
    </row>
    <row r="1002" spans="1:26" x14ac:dyDescent="0.3">
      <c r="A1002" s="11">
        <v>41654</v>
      </c>
      <c r="B1002" s="12">
        <v>20529.580000000002</v>
      </c>
      <c r="C1002" s="12">
        <v>32.193210000000001</v>
      </c>
      <c r="D1002" s="16">
        <f t="shared" si="213"/>
        <v>6.9709517517142494E-3</v>
      </c>
      <c r="E1002" s="15">
        <f t="shared" si="212"/>
        <v>3.7009070485027884E-4</v>
      </c>
      <c r="G1002" s="25" t="str">
        <f>IF(VLOOKUP(A1002,Aux!B:C,2,FALSE)=0,"",VLOOKUP(A1002,Aux!B:C,2,FALSE))</f>
        <v/>
      </c>
      <c r="H1002" s="25" t="str">
        <f t="shared" si="201"/>
        <v/>
      </c>
      <c r="L1002" s="13">
        <f t="shared" si="204"/>
        <v>117863.781917502</v>
      </c>
      <c r="M1002" s="14">
        <f t="shared" si="205"/>
        <v>399.67738116145188</v>
      </c>
      <c r="N1002" s="14">
        <f t="shared" si="206"/>
        <v>22.245103455839033</v>
      </c>
      <c r="O1002" s="1">
        <f t="shared" si="207"/>
        <v>2.8122528930582922</v>
      </c>
      <c r="P1002" s="1">
        <f t="shared" si="208"/>
        <v>1867.7668728663691</v>
      </c>
      <c r="S1002" s="6">
        <f t="shared" si="202"/>
        <v>0.48983979479533807</v>
      </c>
      <c r="T1002" s="6">
        <f t="shared" si="203"/>
        <v>0.51016020520466177</v>
      </c>
      <c r="V1002" s="1">
        <f t="shared" si="209"/>
        <v>119382.93431969191</v>
      </c>
      <c r="W1002" s="7">
        <f t="shared" si="210"/>
        <v>3.5861693274972062E-3</v>
      </c>
      <c r="X1002" s="7">
        <f t="shared" si="211"/>
        <v>2.9740221882629658E-3</v>
      </c>
      <c r="Y1002">
        <f>LN(B1002/B1001)</f>
        <v>6.9467669963444089E-3</v>
      </c>
      <c r="Z1002">
        <f>LN(C1002/C1001)</f>
        <v>3.700222381774358E-4</v>
      </c>
    </row>
    <row r="1003" spans="1:26" x14ac:dyDescent="0.3">
      <c r="A1003" s="9">
        <v>41655</v>
      </c>
      <c r="B1003" s="1">
        <v>20350.669999999998</v>
      </c>
      <c r="C1003" s="1">
        <v>32.205120000000001</v>
      </c>
      <c r="D1003" s="6">
        <f t="shared" si="213"/>
        <v>-8.714742337641801E-3</v>
      </c>
      <c r="E1003" s="5">
        <f t="shared" si="212"/>
        <v>3.699537883921078E-4</v>
      </c>
      <c r="G1003" s="25" t="str">
        <f>IF(VLOOKUP(A1003,Aux!B:C,2,FALSE)=0,"",VLOOKUP(A1003,Aux!B:C,2,FALSE))</f>
        <v/>
      </c>
      <c r="H1003" s="25" t="str">
        <f t="shared" si="201"/>
        <v/>
      </c>
      <c r="L1003" s="13">
        <f t="shared" si="204"/>
        <v>117382.88685586076</v>
      </c>
      <c r="M1003" s="14">
        <f t="shared" si="205"/>
        <v>-503.14016509706886</v>
      </c>
      <c r="N1003" s="14">
        <f t="shared" si="206"/>
        <v>22.245103455839033</v>
      </c>
      <c r="O1003" s="1">
        <f t="shared" si="207"/>
        <v>2.8122528930582922</v>
      </c>
      <c r="P1003" s="1">
        <f t="shared" si="208"/>
        <v>1867.7668728663691</v>
      </c>
      <c r="S1003" s="6">
        <f t="shared" si="202"/>
        <v>0.4875602578547174</v>
      </c>
      <c r="T1003" s="6">
        <f t="shared" si="203"/>
        <v>0.51243974214528254</v>
      </c>
      <c r="V1003" s="1">
        <f t="shared" si="209"/>
        <v>118996.82693900318</v>
      </c>
      <c r="W1003" s="7">
        <f t="shared" si="210"/>
        <v>-4.0884381828520796E-3</v>
      </c>
      <c r="X1003" s="7">
        <f t="shared" si="211"/>
        <v>-3.2394337195289793E-3</v>
      </c>
      <c r="Y1003">
        <f>LN(B1003/B1002)</f>
        <v>-8.7529377754902993E-3</v>
      </c>
      <c r="Z1003">
        <f>LN(C1003/C1002)</f>
        <v>3.6988537236266102E-4</v>
      </c>
    </row>
    <row r="1004" spans="1:26" x14ac:dyDescent="0.3">
      <c r="A1004" s="11">
        <v>41656</v>
      </c>
      <c r="B1004" s="12">
        <v>20138.77</v>
      </c>
      <c r="C1004" s="12">
        <v>32.217610000000001</v>
      </c>
      <c r="D1004" s="16">
        <f t="shared" si="213"/>
        <v>-1.0412433595552328E-2</v>
      </c>
      <c r="E1004" s="15">
        <f t="shared" si="212"/>
        <v>3.8782653193036865E-4</v>
      </c>
      <c r="G1004" s="25" t="str">
        <f>IF(VLOOKUP(A1004,Aux!B:C,2,FALSE)=0,"",VLOOKUP(A1004,Aux!B:C,2,FALSE))</f>
        <v/>
      </c>
      <c r="H1004" s="25" t="str">
        <f t="shared" si="201"/>
        <v/>
      </c>
      <c r="L1004" s="13">
        <f t="shared" si="204"/>
        <v>116810.29887606383</v>
      </c>
      <c r="M1004" s="14">
        <f t="shared" si="205"/>
        <v>-595.91638803904596</v>
      </c>
      <c r="N1004" s="14">
        <f t="shared" si="206"/>
        <v>23.32840824210033</v>
      </c>
      <c r="O1004" s="1">
        <f t="shared" si="207"/>
        <v>2.8122528930582922</v>
      </c>
      <c r="P1004" s="1">
        <f t="shared" si="208"/>
        <v>1867.7668728663691</v>
      </c>
      <c r="S1004" s="6">
        <f t="shared" si="202"/>
        <v>0.48484863697871222</v>
      </c>
      <c r="T1004" s="6">
        <f t="shared" si="203"/>
        <v>0.51515136302128761</v>
      </c>
      <c r="V1004" s="1">
        <f t="shared" si="209"/>
        <v>118535.90801114574</v>
      </c>
      <c r="W1004" s="7">
        <f t="shared" si="210"/>
        <v>-4.8898871155114735E-3</v>
      </c>
      <c r="X1004" s="7">
        <f t="shared" si="211"/>
        <v>-3.8808925132633437E-3</v>
      </c>
      <c r="Y1004">
        <f>LN(B1004/B1003)</f>
        <v>-1.0467022246686788E-2</v>
      </c>
      <c r="Z1004">
        <f>LN(C1004/C1003)</f>
        <v>3.877513466595345E-4</v>
      </c>
    </row>
    <row r="1005" spans="1:26" x14ac:dyDescent="0.3">
      <c r="A1005" s="9">
        <v>41659</v>
      </c>
      <c r="B1005" s="1">
        <v>19966.77</v>
      </c>
      <c r="C1005" s="1">
        <v>32.23019</v>
      </c>
      <c r="D1005" s="6">
        <f t="shared" si="213"/>
        <v>-8.5407400749897278E-3</v>
      </c>
      <c r="E1005" s="5">
        <f t="shared" si="212"/>
        <v>3.9046968412614902E-4</v>
      </c>
      <c r="G1005" s="25" t="str">
        <f>IF(VLOOKUP(A1005,Aux!B:C,2,FALSE)=0,"",VLOOKUP(A1005,Aux!B:C,2,FALSE))</f>
        <v/>
      </c>
      <c r="H1005" s="25" t="str">
        <f t="shared" si="201"/>
        <v/>
      </c>
      <c r="L1005" s="13">
        <f t="shared" si="204"/>
        <v>116350.08788571846</v>
      </c>
      <c r="M1005" s="14">
        <f t="shared" si="205"/>
        <v>-483.70749760602627</v>
      </c>
      <c r="N1005" s="14">
        <f t="shared" si="206"/>
        <v>23.496507260658575</v>
      </c>
      <c r="O1005" s="1">
        <f t="shared" si="207"/>
        <v>2.8122528930582922</v>
      </c>
      <c r="P1005" s="1">
        <f t="shared" si="208"/>
        <v>1867.7668728663691</v>
      </c>
      <c r="S1005" s="6">
        <f t="shared" si="202"/>
        <v>0.48260906130713738</v>
      </c>
      <c r="T1005" s="6">
        <f t="shared" si="203"/>
        <v>0.51739093869286246</v>
      </c>
      <c r="V1005" s="1">
        <f t="shared" si="209"/>
        <v>118167.24112091932</v>
      </c>
      <c r="W1005" s="7">
        <f t="shared" si="210"/>
        <v>-3.9475967112514599E-3</v>
      </c>
      <c r="X1005" s="7">
        <f t="shared" si="211"/>
        <v>-3.1150171823762255E-3</v>
      </c>
      <c r="Y1005">
        <f>LN(B1005/B1004)</f>
        <v>-8.5774212008077524E-3</v>
      </c>
      <c r="Z1005">
        <f>LN(C1005/C1004)</f>
        <v>3.9039347067775355E-4</v>
      </c>
    </row>
    <row r="1006" spans="1:26" x14ac:dyDescent="0.3">
      <c r="A1006" s="11">
        <v>41660</v>
      </c>
      <c r="B1006" s="12">
        <v>19934.68</v>
      </c>
      <c r="C1006" s="12">
        <v>32.242789999999999</v>
      </c>
      <c r="D1006" s="16">
        <f t="shared" si="213"/>
        <v>-1.607170313475792E-3</v>
      </c>
      <c r="E1006" s="15">
        <f t="shared" si="212"/>
        <v>3.9093781327381727E-4</v>
      </c>
      <c r="G1006" s="25" t="str">
        <f>IF(VLOOKUP(A1006,Aux!B:C,2,FALSE)=0,"",VLOOKUP(A1006,Aux!B:C,2,FALSE))</f>
        <v/>
      </c>
      <c r="H1006" s="25" t="str">
        <f t="shared" si="201"/>
        <v/>
      </c>
      <c r="L1006" s="13">
        <f t="shared" si="204"/>
        <v>116283.37655297833</v>
      </c>
      <c r="M1006" s="14">
        <f t="shared" si="205"/>
        <v>-90.245195338241004</v>
      </c>
      <c r="N1006" s="14">
        <f t="shared" si="206"/>
        <v>23.533862598114489</v>
      </c>
      <c r="O1006" s="1">
        <f t="shared" si="207"/>
        <v>2.8122528930582922</v>
      </c>
      <c r="P1006" s="1">
        <f t="shared" si="208"/>
        <v>1867.7668728663691</v>
      </c>
      <c r="S1006" s="6">
        <f t="shared" si="202"/>
        <v>0.48210985236268833</v>
      </c>
      <c r="T1006" s="6">
        <f t="shared" si="203"/>
        <v>0.51789014763731156</v>
      </c>
      <c r="V1006" s="1">
        <f t="shared" si="209"/>
        <v>118121.39623742012</v>
      </c>
      <c r="W1006" s="7">
        <f t="shared" si="210"/>
        <v>-5.7353171204109119E-4</v>
      </c>
      <c r="X1006" s="7">
        <f t="shared" si="211"/>
        <v>-3.8804137674163593E-4</v>
      </c>
      <c r="Y1006">
        <f>LN(B1006/B1005)</f>
        <v>-1.6084631971258862E-3</v>
      </c>
      <c r="Z1006">
        <f>LN(C1006/C1005)</f>
        <v>3.9086141699704068E-4</v>
      </c>
    </row>
    <row r="1007" spans="1:26" x14ac:dyDescent="0.3">
      <c r="A1007" s="9">
        <v>41661</v>
      </c>
      <c r="B1007" s="1">
        <v>20214.990000000002</v>
      </c>
      <c r="C1007" s="1">
        <v>32.255400000000002</v>
      </c>
      <c r="D1007" s="6">
        <f t="shared" si="213"/>
        <v>1.4061424612785478E-2</v>
      </c>
      <c r="E1007" s="5">
        <f t="shared" si="212"/>
        <v>3.9109518748237093E-4</v>
      </c>
      <c r="G1007" s="25" t="str">
        <f>IF(VLOOKUP(A1007,Aux!B:C,2,FALSE)=0,"",VLOOKUP(A1007,Aux!B:C,2,FALSE))</f>
        <v/>
      </c>
      <c r="H1007" s="25" t="str">
        <f t="shared" si="201"/>
        <v/>
      </c>
      <c r="L1007" s="13">
        <f t="shared" si="204"/>
        <v>117095.23170169834</v>
      </c>
      <c r="M1007" s="14">
        <f t="shared" si="205"/>
        <v>788.30260845317355</v>
      </c>
      <c r="N1007" s="14">
        <f t="shared" si="206"/>
        <v>23.552540266849082</v>
      </c>
      <c r="O1007" s="1">
        <f t="shared" si="207"/>
        <v>2.8122528930582922</v>
      </c>
      <c r="P1007" s="1">
        <f t="shared" si="208"/>
        <v>1867.7668728663691</v>
      </c>
      <c r="S1007" s="6">
        <f t="shared" si="202"/>
        <v>0.48549939467620445</v>
      </c>
      <c r="T1007" s="6">
        <f t="shared" si="203"/>
        <v>0.51450060532379549</v>
      </c>
      <c r="V1007" s="1">
        <f t="shared" si="209"/>
        <v>118796.29145305601</v>
      </c>
      <c r="W1007" s="7">
        <f t="shared" si="210"/>
        <v>6.9574364991890026E-3</v>
      </c>
      <c r="X1007" s="7">
        <f t="shared" si="211"/>
        <v>5.6973124106518263E-3</v>
      </c>
      <c r="Y1007">
        <f>LN(B1007/B1006)</f>
        <v>1.3963479875515399E-2</v>
      </c>
      <c r="Z1007">
        <f>LN(C1007/C1006)</f>
        <v>3.9101872969373423E-4</v>
      </c>
    </row>
    <row r="1008" spans="1:26" x14ac:dyDescent="0.3">
      <c r="A1008" s="11">
        <v>41662</v>
      </c>
      <c r="B1008" s="12">
        <v>19805.63</v>
      </c>
      <c r="C1008" s="12">
        <v>32.267910000000001</v>
      </c>
      <c r="D1008" s="16">
        <f t="shared" si="213"/>
        <v>-2.0250319193826027E-2</v>
      </c>
      <c r="E1008" s="15">
        <f t="shared" si="212"/>
        <v>3.8784203575215059E-4</v>
      </c>
      <c r="G1008" s="25" t="str">
        <f>IF(VLOOKUP(A1008,Aux!B:C,2,FALSE)=0,"",VLOOKUP(A1008,Aux!B:C,2,FALSE))</f>
        <v/>
      </c>
      <c r="H1008" s="25" t="str">
        <f t="shared" si="201"/>
        <v/>
      </c>
      <c r="L1008" s="13">
        <f t="shared" si="204"/>
        <v>115967.37362097556</v>
      </c>
      <c r="M1008" s="14">
        <f t="shared" si="205"/>
        <v>-1151.2238443023441</v>
      </c>
      <c r="N1008" s="14">
        <f t="shared" si="206"/>
        <v>23.365763579556244</v>
      </c>
      <c r="O1008" s="1">
        <f t="shared" si="207"/>
        <v>2.8122528930582922</v>
      </c>
      <c r="P1008" s="1">
        <f t="shared" si="208"/>
        <v>1867.7668728663691</v>
      </c>
      <c r="S1008" s="6">
        <f t="shared" si="202"/>
        <v>0.48029405622641153</v>
      </c>
      <c r="T1008" s="6">
        <f t="shared" si="203"/>
        <v>0.51970594377358836</v>
      </c>
      <c r="V1008" s="1">
        <f t="shared" si="209"/>
        <v>117879.87014066004</v>
      </c>
      <c r="W1008" s="7">
        <f t="shared" si="210"/>
        <v>-9.6786602348948453E-3</v>
      </c>
      <c r="X1008" s="7">
        <f t="shared" si="211"/>
        <v>-7.7441334704631852E-3</v>
      </c>
      <c r="Y1008">
        <f>LN(B1008/B1007)</f>
        <v>-2.0458167693544995E-2</v>
      </c>
      <c r="Z1008">
        <f>LN(C1008/C1007)</f>
        <v>3.8776684447073396E-4</v>
      </c>
    </row>
    <row r="1009" spans="1:26" x14ac:dyDescent="0.3">
      <c r="A1009" s="9">
        <v>41663</v>
      </c>
      <c r="B1009" s="1">
        <v>19604.63</v>
      </c>
      <c r="C1009" s="1">
        <v>32.280430000000003</v>
      </c>
      <c r="D1009" s="6">
        <f t="shared" si="213"/>
        <v>-1.0148629455361879E-2</v>
      </c>
      <c r="E1009" s="5">
        <f t="shared" si="212"/>
        <v>3.8800157803842161E-4</v>
      </c>
      <c r="G1009" s="25" t="str">
        <f>IF(VLOOKUP(A1009,Aux!B:C,2,FALSE)=0,"",VLOOKUP(A1009,Aux!B:C,2,FALSE))</f>
        <v/>
      </c>
      <c r="H1009" s="25" t="str">
        <f t="shared" si="201"/>
        <v/>
      </c>
      <c r="L1009" s="13">
        <f t="shared" si="204"/>
        <v>115425.49523071913</v>
      </c>
      <c r="M1009" s="14">
        <f t="shared" si="205"/>
        <v>-565.2628315047167</v>
      </c>
      <c r="N1009" s="14">
        <f t="shared" si="206"/>
        <v>23.384441248290834</v>
      </c>
      <c r="O1009" s="1">
        <f t="shared" si="207"/>
        <v>2.8122528930582922</v>
      </c>
      <c r="P1009" s="1">
        <f t="shared" si="208"/>
        <v>1867.7668728663691</v>
      </c>
      <c r="S1009" s="6">
        <f t="shared" si="202"/>
        <v>0.47765164294624873</v>
      </c>
      <c r="T1009" s="6">
        <f t="shared" si="203"/>
        <v>0.52234835705375127</v>
      </c>
      <c r="V1009" s="1">
        <f t="shared" si="209"/>
        <v>117444.16500806049</v>
      </c>
      <c r="W1009" s="7">
        <f t="shared" si="210"/>
        <v>-4.6836307749397975E-3</v>
      </c>
      <c r="X1009" s="7">
        <f t="shared" si="211"/>
        <v>-3.703027021482736E-3</v>
      </c>
      <c r="Y1009">
        <f>LN(B1009/B1008)</f>
        <v>-1.0200477887244309E-2</v>
      </c>
      <c r="Z1009">
        <f>LN(C1009/C1008)</f>
        <v>3.8792632489107213E-4</v>
      </c>
    </row>
    <row r="1010" spans="1:26" x14ac:dyDescent="0.3">
      <c r="A1010" s="11">
        <v>41666</v>
      </c>
      <c r="B1010" s="12">
        <v>19560.77</v>
      </c>
      <c r="C1010" s="12">
        <v>32.292960000000001</v>
      </c>
      <c r="D1010" s="16">
        <f t="shared" si="213"/>
        <v>-2.2372266143253494E-3</v>
      </c>
      <c r="E1010" s="15">
        <f t="shared" si="212"/>
        <v>3.8816087641957431E-4</v>
      </c>
      <c r="G1010" s="25" t="str">
        <f>IF(VLOOKUP(A1010,Aux!B:C,2,FALSE)=0,"",VLOOKUP(A1010,Aux!B:C,2,FALSE))</f>
        <v/>
      </c>
      <c r="H1010" s="25" t="str">
        <f t="shared" si="201"/>
        <v/>
      </c>
      <c r="L1010" s="13">
        <f t="shared" si="204"/>
        <v>115325.5529377466</v>
      </c>
      <c r="M1010" s="14">
        <f t="shared" si="205"/>
        <v>-123.34541188953833</v>
      </c>
      <c r="N1010" s="14">
        <f t="shared" si="206"/>
        <v>23.403118917012158</v>
      </c>
      <c r="O1010" s="1">
        <f t="shared" si="207"/>
        <v>2.8122528930582922</v>
      </c>
      <c r="P1010" s="1">
        <f t="shared" si="208"/>
        <v>1867.7668728663691</v>
      </c>
      <c r="S1010" s="6">
        <f t="shared" si="202"/>
        <v>0.47699603966037324</v>
      </c>
      <c r="T1010" s="6">
        <f t="shared" si="203"/>
        <v>0.52300396033962671</v>
      </c>
      <c r="V1010" s="1">
        <f t="shared" si="209"/>
        <v>117371.00972357218</v>
      </c>
      <c r="W1010" s="7">
        <f t="shared" si="210"/>
        <v>-8.6623484500040939E-4</v>
      </c>
      <c r="X1010" s="7">
        <f t="shared" si="211"/>
        <v>-6.2308823898395962E-4</v>
      </c>
      <c r="Y1010">
        <f>LN(B1010/B1009)</f>
        <v>-2.2397329446376154E-3</v>
      </c>
      <c r="Z1010">
        <f>LN(C1010/C1009)</f>
        <v>3.8808556147549574E-4</v>
      </c>
    </row>
    <row r="1011" spans="1:26" x14ac:dyDescent="0.3">
      <c r="A1011" s="9">
        <v>41667</v>
      </c>
      <c r="B1011" s="1">
        <v>19625.34</v>
      </c>
      <c r="C1011" s="1">
        <v>32.305489999999999</v>
      </c>
      <c r="D1011" s="6">
        <f t="shared" si="213"/>
        <v>3.3009947972395537E-3</v>
      </c>
      <c r="E1011" s="5">
        <f t="shared" si="212"/>
        <v>3.8801026601453792E-4</v>
      </c>
      <c r="G1011" s="25" t="str">
        <f>IF(VLOOKUP(A1011,Aux!B:C,2,FALSE)=0,"",VLOOKUP(A1011,Aux!B:C,2,FALSE))</f>
        <v/>
      </c>
      <c r="H1011" s="25" t="str">
        <f t="shared" si="201"/>
        <v/>
      </c>
      <c r="L1011" s="13">
        <f t="shared" si="204"/>
        <v>115530.54322596837</v>
      </c>
      <c r="M1011" s="14">
        <f t="shared" si="205"/>
        <v>181.58716930477311</v>
      </c>
      <c r="N1011" s="14">
        <f t="shared" si="206"/>
        <v>23.403118917012158</v>
      </c>
      <c r="O1011" s="1">
        <f t="shared" si="207"/>
        <v>2.8122528930582922</v>
      </c>
      <c r="P1011" s="1">
        <f t="shared" si="208"/>
        <v>1867.7668728663691</v>
      </c>
      <c r="S1011" s="6">
        <f t="shared" si="202"/>
        <v>0.47772145487364914</v>
      </c>
      <c r="T1011" s="6">
        <f t="shared" si="203"/>
        <v>0.52227854512635097</v>
      </c>
      <c r="V1011" s="1">
        <f t="shared" si="209"/>
        <v>117548.00624198555</v>
      </c>
      <c r="W1011" s="7">
        <f t="shared" si="210"/>
        <v>1.7759144809630951E-3</v>
      </c>
      <c r="X1011" s="7">
        <f t="shared" si="211"/>
        <v>1.5068729211005431E-3</v>
      </c>
      <c r="Y1011">
        <f>LN(B1011/B1010)</f>
        <v>3.2955584741448428E-3</v>
      </c>
      <c r="Z1011">
        <f>LN(C1011/C1010)</f>
        <v>3.8793500949750972E-4</v>
      </c>
    </row>
    <row r="1012" spans="1:26" x14ac:dyDescent="0.3">
      <c r="A1012" s="11">
        <v>41668</v>
      </c>
      <c r="B1012" s="12">
        <v>19519.71</v>
      </c>
      <c r="C1012" s="12">
        <v>32.318019999999997</v>
      </c>
      <c r="D1012" s="16">
        <f t="shared" si="213"/>
        <v>-5.3823271342051671E-3</v>
      </c>
      <c r="E1012" s="15">
        <f t="shared" si="212"/>
        <v>3.8785977244115699E-4</v>
      </c>
      <c r="G1012" s="25" t="str">
        <f>IF(VLOOKUP(A1012,Aux!B:C,2,FALSE)=0,"",VLOOKUP(A1012,Aux!B:C,2,FALSE))</f>
        <v/>
      </c>
      <c r="H1012" s="25" t="str">
        <f t="shared" si="201"/>
        <v/>
      </c>
      <c r="L1012" s="13">
        <f t="shared" si="204"/>
        <v>115256.88807179163</v>
      </c>
      <c r="M1012" s="14">
        <f t="shared" si="205"/>
        <v>-297.05827309375024</v>
      </c>
      <c r="N1012" s="14">
        <f t="shared" si="206"/>
        <v>23.403118917012158</v>
      </c>
      <c r="O1012" s="1">
        <f t="shared" si="207"/>
        <v>2.8122528930582922</v>
      </c>
      <c r="P1012" s="1">
        <f t="shared" si="208"/>
        <v>1867.7668728663691</v>
      </c>
      <c r="S1012" s="6">
        <f t="shared" si="202"/>
        <v>0.47627835383657136</v>
      </c>
      <c r="T1012" s="6">
        <f t="shared" si="203"/>
        <v>0.52372164616342876</v>
      </c>
      <c r="V1012" s="1">
        <f t="shared" si="209"/>
        <v>117332.34540677106</v>
      </c>
      <c r="W1012" s="7">
        <f t="shared" si="210"/>
        <v>-2.3714920772797765E-3</v>
      </c>
      <c r="X1012" s="7">
        <f t="shared" si="211"/>
        <v>-1.8363468404605995E-3</v>
      </c>
      <c r="Y1012">
        <f>LN(B1012/B1011)</f>
        <v>-5.3968640419536067E-3</v>
      </c>
      <c r="Z1012">
        <f>LN(C1012/C1011)</f>
        <v>3.8778457428321653E-4</v>
      </c>
    </row>
    <row r="1013" spans="1:26" x14ac:dyDescent="0.3">
      <c r="A1013" s="9">
        <v>41669</v>
      </c>
      <c r="B1013" s="1">
        <v>19389.36</v>
      </c>
      <c r="C1013" s="1">
        <v>32.330559999999998</v>
      </c>
      <c r="D1013" s="6">
        <f t="shared" si="213"/>
        <v>-6.677865603536004E-3</v>
      </c>
      <c r="E1013" s="5">
        <f t="shared" si="212"/>
        <v>3.8801882045991221E-4</v>
      </c>
      <c r="G1013" s="25" t="str">
        <f>IF(VLOOKUP(A1013,Aux!B:C,2,FALSE)=0,"",VLOOKUP(A1013,Aux!B:C,2,FALSE))</f>
        <v/>
      </c>
      <c r="H1013" s="25" t="str">
        <f t="shared" si="201"/>
        <v/>
      </c>
      <c r="L1013" s="13">
        <f t="shared" si="204"/>
        <v>114913.73270376724</v>
      </c>
      <c r="M1013" s="14">
        <f t="shared" si="205"/>
        <v>-366.57716461014428</v>
      </c>
      <c r="N1013" s="14">
        <f t="shared" si="206"/>
        <v>23.421796585746748</v>
      </c>
      <c r="O1013" s="1">
        <f t="shared" si="207"/>
        <v>2.8122528930582922</v>
      </c>
      <c r="P1013" s="1">
        <f t="shared" si="208"/>
        <v>1867.7668728663691</v>
      </c>
      <c r="S1013" s="6">
        <f t="shared" si="202"/>
        <v>0.47451059565799947</v>
      </c>
      <c r="T1013" s="6">
        <f t="shared" si="203"/>
        <v>0.52548940434200053</v>
      </c>
      <c r="V1013" s="1">
        <f t="shared" si="209"/>
        <v>117059.67703817098</v>
      </c>
      <c r="W1013" s="7">
        <f t="shared" si="210"/>
        <v>-2.9817499827984751E-3</v>
      </c>
      <c r="X1013" s="7">
        <f t="shared" si="211"/>
        <v>-2.3266021492863139E-3</v>
      </c>
      <c r="Y1013">
        <f>LN(B1013/B1012)</f>
        <v>-6.7002623118691913E-3</v>
      </c>
      <c r="Z1013">
        <f>LN(C1013/C1012)</f>
        <v>3.8794356062492221E-4</v>
      </c>
    </row>
    <row r="1014" spans="1:26" x14ac:dyDescent="0.3">
      <c r="A1014" s="11">
        <v>41670</v>
      </c>
      <c r="B1014" s="12">
        <v>19559.61</v>
      </c>
      <c r="C1014" s="12">
        <v>32.343110000000003</v>
      </c>
      <c r="D1014" s="16">
        <f t="shared" si="213"/>
        <v>8.7805889415637495E-3</v>
      </c>
      <c r="E1014" s="15">
        <f t="shared" si="212"/>
        <v>3.8817762513243537E-4</v>
      </c>
      <c r="G1014" s="25" t="str">
        <f>IF(VLOOKUP(A1014,Aux!B:C,2,FALSE)=0,"",VLOOKUP(A1014,Aux!B:C,2,FALSE))</f>
        <v/>
      </c>
      <c r="H1014" s="25" t="str">
        <f t="shared" si="201"/>
        <v/>
      </c>
      <c r="L1014" s="13">
        <f t="shared" si="204"/>
        <v>115415.9592330649</v>
      </c>
      <c r="M1014" s="14">
        <f t="shared" si="205"/>
        <v>478.78605504317426</v>
      </c>
      <c r="N1014" s="14">
        <f t="shared" si="206"/>
        <v>23.440474254481341</v>
      </c>
      <c r="O1014" s="1">
        <f t="shared" si="207"/>
        <v>2.8122528930582922</v>
      </c>
      <c r="P1014" s="1">
        <f t="shared" si="208"/>
        <v>1867.7668728663691</v>
      </c>
      <c r="S1014" s="6">
        <f t="shared" si="202"/>
        <v>0.47659413979755211</v>
      </c>
      <c r="T1014" s="6">
        <f t="shared" si="203"/>
        <v>0.52340586020244795</v>
      </c>
      <c r="V1014" s="1">
        <f t="shared" si="209"/>
        <v>117480.5257559398</v>
      </c>
      <c r="W1014" s="7">
        <f t="shared" si="210"/>
        <v>4.3609429684220409E-3</v>
      </c>
      <c r="X1014" s="7">
        <f t="shared" si="211"/>
        <v>3.5887166841933392E-3</v>
      </c>
      <c r="Y1014">
        <f>LN(B1014/B1013)</f>
        <v>8.7422637522465898E-3</v>
      </c>
      <c r="Z1014">
        <f>LN(C1014/C1013)</f>
        <v>3.8810230368954414E-4</v>
      </c>
    </row>
    <row r="1015" spans="1:26" x14ac:dyDescent="0.3">
      <c r="A1015" s="9">
        <v>41673</v>
      </c>
      <c r="B1015" s="1">
        <v>18961.09</v>
      </c>
      <c r="C1015" s="1">
        <v>32.35566</v>
      </c>
      <c r="D1015" s="6">
        <f t="shared" si="213"/>
        <v>-3.0599792122644631E-2</v>
      </c>
      <c r="E1015" s="5">
        <f t="shared" si="212"/>
        <v>3.8802700173223847E-4</v>
      </c>
      <c r="G1015" s="25" t="str">
        <f>IF(VLOOKUP(A1015,Aux!B:C,2,FALSE)=0,"",VLOOKUP(A1015,Aux!B:C,2,FALSE))</f>
        <v/>
      </c>
      <c r="H1015" s="25" t="str">
        <f t="shared" si="201"/>
        <v/>
      </c>
      <c r="L1015" s="13">
        <f t="shared" si="204"/>
        <v>113756.21010576612</v>
      </c>
      <c r="M1015" s="14">
        <f t="shared" si="205"/>
        <v>-1683.1896015532502</v>
      </c>
      <c r="N1015" s="14">
        <f t="shared" si="206"/>
        <v>23.440474254468072</v>
      </c>
      <c r="O1015" s="1">
        <f t="shared" si="207"/>
        <v>2.8122528930582922</v>
      </c>
      <c r="P1015" s="1">
        <f t="shared" si="208"/>
        <v>1867.7668728663691</v>
      </c>
      <c r="S1015" s="6">
        <f t="shared" si="202"/>
        <v>0.46875137769147407</v>
      </c>
      <c r="T1015" s="6">
        <f t="shared" si="203"/>
        <v>0.53124862230852599</v>
      </c>
      <c r="V1015" s="1">
        <f t="shared" si="209"/>
        <v>116127.79519199007</v>
      </c>
      <c r="W1015" s="7">
        <f t="shared" si="210"/>
        <v>-1.4484988748797743E-2</v>
      </c>
      <c r="X1015" s="7">
        <f t="shared" si="211"/>
        <v>-1.1581314211893946E-2</v>
      </c>
      <c r="Y1015">
        <f>LN(B1015/B1014)</f>
        <v>-3.1077741131689703E-2</v>
      </c>
      <c r="Z1015">
        <f>LN(C1015/C1014)</f>
        <v>3.8795173872395867E-4</v>
      </c>
    </row>
    <row r="1016" spans="1:26" x14ac:dyDescent="0.3">
      <c r="A1016" s="11">
        <v>41674</v>
      </c>
      <c r="B1016" s="12">
        <v>19287.66</v>
      </c>
      <c r="C1016" s="12">
        <v>32.368209999999998</v>
      </c>
      <c r="D1016" s="16">
        <f t="shared" si="213"/>
        <v>1.7223165967779286E-2</v>
      </c>
      <c r="E1016" s="15">
        <f t="shared" si="212"/>
        <v>3.8787649517879608E-4</v>
      </c>
      <c r="G1016" s="25" t="str">
        <f>IF(VLOOKUP(A1016,Aux!B:C,2,FALSE)=0,"",VLOOKUP(A1016,Aux!B:C,2,FALSE))</f>
        <v/>
      </c>
      <c r="H1016" s="25" t="str">
        <f t="shared" si="201"/>
        <v/>
      </c>
      <c r="L1016" s="13">
        <f t="shared" si="204"/>
        <v>114698.04800730664</v>
      </c>
      <c r="M1016" s="14">
        <f t="shared" si="205"/>
        <v>918.39742728604563</v>
      </c>
      <c r="N1016" s="14">
        <f t="shared" si="206"/>
        <v>23.440474254468072</v>
      </c>
      <c r="O1016" s="1">
        <f t="shared" si="207"/>
        <v>2.8122528930582922</v>
      </c>
      <c r="P1016" s="1">
        <f t="shared" si="208"/>
        <v>1867.7668728663691</v>
      </c>
      <c r="S1016" s="6">
        <f t="shared" si="202"/>
        <v>0.47290933523009321</v>
      </c>
      <c r="T1016" s="6">
        <f t="shared" si="203"/>
        <v>0.52709066476990674</v>
      </c>
      <c r="V1016" s="1">
        <f t="shared" si="209"/>
        <v>116909.27961786173</v>
      </c>
      <c r="W1016" s="7">
        <f t="shared" si="210"/>
        <v>8.2453550683352587E-3</v>
      </c>
      <c r="X1016" s="7">
        <f t="shared" si="211"/>
        <v>6.7069787586663031E-3</v>
      </c>
      <c r="Y1016">
        <f>LN(B1016/B1015)</f>
        <v>1.7076528557166008E-2</v>
      </c>
      <c r="Z1016">
        <f>LN(C1016/C1015)</f>
        <v>3.8780129053715343E-4</v>
      </c>
    </row>
    <row r="1017" spans="1:26" x14ac:dyDescent="0.3">
      <c r="A1017" s="9">
        <v>41675</v>
      </c>
      <c r="B1017" s="1">
        <v>19136.07</v>
      </c>
      <c r="C1017" s="1">
        <v>32.380789999999998</v>
      </c>
      <c r="D1017" s="6">
        <f t="shared" si="213"/>
        <v>-7.8594292931335463E-3</v>
      </c>
      <c r="E1017" s="5">
        <f t="shared" si="212"/>
        <v>3.8865294064760469E-4</v>
      </c>
      <c r="G1017" s="25" t="str">
        <f>IF(VLOOKUP(A1017,Aux!B:C,2,FALSE)=0,"",VLOOKUP(A1017,Aux!B:C,2,FALSE))</f>
        <v/>
      </c>
      <c r="H1017" s="25" t="str">
        <f t="shared" si="201"/>
        <v/>
      </c>
      <c r="L1017" s="13">
        <f t="shared" si="204"/>
        <v>114295.23509850859</v>
      </c>
      <c r="M1017" s="14">
        <f t="shared" si="205"/>
        <v>-426.30941605870692</v>
      </c>
      <c r="N1017" s="14">
        <f t="shared" si="206"/>
        <v>23.496507260658575</v>
      </c>
      <c r="O1017" s="1">
        <f t="shared" si="207"/>
        <v>2.8122528930582922</v>
      </c>
      <c r="P1017" s="1">
        <f t="shared" si="208"/>
        <v>1867.7668728663691</v>
      </c>
      <c r="S1017" s="6">
        <f t="shared" si="202"/>
        <v>0.47084612208797333</v>
      </c>
      <c r="T1017" s="6">
        <f t="shared" si="203"/>
        <v>0.52915387791202662</v>
      </c>
      <c r="V1017" s="1">
        <f t="shared" si="209"/>
        <v>116587.6993115809</v>
      </c>
      <c r="W1017" s="7">
        <f t="shared" si="210"/>
        <v>-3.5181234908646343E-3</v>
      </c>
      <c r="X1017" s="7">
        <f t="shared" si="211"/>
        <v>-2.754472551015841E-3</v>
      </c>
      <c r="Y1017">
        <f>LN(B1017/B1016)</f>
        <v>-7.8904773947768465E-3</v>
      </c>
      <c r="Z1017">
        <f>LN(C1017/C1016)</f>
        <v>3.8857743465658446E-4</v>
      </c>
    </row>
    <row r="1018" spans="1:26" x14ac:dyDescent="0.3">
      <c r="A1018" s="11">
        <v>41676</v>
      </c>
      <c r="B1018" s="12">
        <v>19586.73</v>
      </c>
      <c r="C1018" s="12">
        <v>32.393380000000001</v>
      </c>
      <c r="D1018" s="16">
        <f t="shared" si="213"/>
        <v>2.3550290106589378E-2</v>
      </c>
      <c r="E1018" s="15">
        <f t="shared" si="212"/>
        <v>3.8881077330121805E-4</v>
      </c>
      <c r="G1018" s="25" t="str">
        <f>IF(VLOOKUP(A1018,Aux!B:C,2,FALSE)=0,"",VLOOKUP(A1018,Aux!B:C,2,FALSE))</f>
        <v/>
      </c>
      <c r="H1018" s="25" t="str">
        <f t="shared" si="201"/>
        <v/>
      </c>
      <c r="L1018" s="13">
        <f t="shared" si="204"/>
        <v>115586.12017222363</v>
      </c>
      <c r="M1018" s="14">
        <f t="shared" si="205"/>
        <v>1267.3698887856494</v>
      </c>
      <c r="N1018" s="14">
        <f t="shared" si="206"/>
        <v>23.515184929393168</v>
      </c>
      <c r="O1018" s="1">
        <f t="shared" si="207"/>
        <v>2.8122528930582922</v>
      </c>
      <c r="P1018" s="1">
        <f t="shared" si="208"/>
        <v>1867.7668728663691</v>
      </c>
      <c r="S1018" s="6">
        <f t="shared" si="202"/>
        <v>0.47655235789537759</v>
      </c>
      <c r="T1018" s="6">
        <f t="shared" si="203"/>
        <v>0.52344764210462236</v>
      </c>
      <c r="V1018" s="1">
        <f t="shared" si="209"/>
        <v>117655.55319344245</v>
      </c>
      <c r="W1018" s="7">
        <f t="shared" si="210"/>
        <v>1.1230999060524167E-2</v>
      </c>
      <c r="X1018" s="7">
        <f t="shared" si="211"/>
        <v>9.1175414271295087E-3</v>
      </c>
      <c r="Y1018">
        <f>LN(B1018/B1017)</f>
        <v>2.3277260336224254E-2</v>
      </c>
      <c r="Z1018">
        <f>LN(C1018/C1017)</f>
        <v>3.887352059794585E-4</v>
      </c>
    </row>
    <row r="1019" spans="1:26" x14ac:dyDescent="0.3">
      <c r="A1019" s="9">
        <v>41677</v>
      </c>
      <c r="B1019" s="1">
        <v>19721.75</v>
      </c>
      <c r="C1019" s="1">
        <v>32.40598</v>
      </c>
      <c r="D1019" s="6">
        <f t="shared" si="213"/>
        <v>6.8934426522446746E-3</v>
      </c>
      <c r="E1019" s="5">
        <f t="shared" si="212"/>
        <v>3.8896836328894402E-4</v>
      </c>
      <c r="G1019" s="25" t="str">
        <f>IF(VLOOKUP(A1019,Aux!B:C,2,FALSE)=0,"",VLOOKUP(A1019,Aux!B:C,2,FALSE))</f>
        <v/>
      </c>
      <c r="H1019" s="25" t="str">
        <f t="shared" si="201"/>
        <v/>
      </c>
      <c r="L1019" s="13">
        <f t="shared" si="204"/>
        <v>115989.36442044246</v>
      </c>
      <c r="M1019" s="14">
        <f t="shared" si="205"/>
        <v>379.71038562073181</v>
      </c>
      <c r="N1019" s="14">
        <f t="shared" si="206"/>
        <v>23.533862598114489</v>
      </c>
      <c r="O1019" s="1">
        <f t="shared" si="207"/>
        <v>2.8122528930582922</v>
      </c>
      <c r="P1019" s="1">
        <f t="shared" si="208"/>
        <v>1867.7668728663691</v>
      </c>
      <c r="S1019" s="6">
        <f t="shared" si="202"/>
        <v>0.4781692594902901</v>
      </c>
      <c r="T1019" s="6">
        <f t="shared" si="203"/>
        <v>0.52183074050971001</v>
      </c>
      <c r="V1019" s="1">
        <f t="shared" si="209"/>
        <v>117995.23692548234</v>
      </c>
      <c r="W1019" s="7">
        <f t="shared" si="210"/>
        <v>3.482619557031661E-3</v>
      </c>
      <c r="X1019" s="7">
        <f t="shared" si="211"/>
        <v>2.8829435890117905E-3</v>
      </c>
      <c r="Y1019">
        <f>LN(B1019/B1018)</f>
        <v>6.8697915061145549E-3</v>
      </c>
      <c r="Z1019">
        <f>LN(C1019/C1018)</f>
        <v>3.8889273470590609E-4</v>
      </c>
    </row>
    <row r="1020" spans="1:26" x14ac:dyDescent="0.3">
      <c r="A1020" s="11">
        <v>41680</v>
      </c>
      <c r="B1020" s="12">
        <v>19568.03</v>
      </c>
      <c r="C1020" s="12">
        <v>32.418579999999999</v>
      </c>
      <c r="D1020" s="16">
        <f t="shared" si="213"/>
        <v>-7.7944401485670056E-3</v>
      </c>
      <c r="E1020" s="15">
        <f t="shared" si="212"/>
        <v>3.8881712572802485E-4</v>
      </c>
      <c r="G1020" s="25" t="str">
        <f>IF(VLOOKUP(A1020,Aux!B:C,2,FALSE)=0,"",VLOOKUP(A1020,Aux!B:C,2,FALSE))</f>
        <v/>
      </c>
      <c r="H1020" s="25" t="str">
        <f t="shared" si="201"/>
        <v/>
      </c>
      <c r="L1020" s="13">
        <f t="shared" si="204"/>
        <v>115580.59876831964</v>
      </c>
      <c r="M1020" s="14">
        <f t="shared" si="205"/>
        <v>-432.29951472092392</v>
      </c>
      <c r="N1020" s="14">
        <f t="shared" si="206"/>
        <v>23.533862598114489</v>
      </c>
      <c r="O1020" s="1">
        <f t="shared" si="207"/>
        <v>2.8122528930582922</v>
      </c>
      <c r="P1020" s="1">
        <f t="shared" si="208"/>
        <v>1867.7668728663691</v>
      </c>
      <c r="S1020" s="6">
        <f t="shared" si="202"/>
        <v>0.47612012366590289</v>
      </c>
      <c r="T1020" s="6">
        <f t="shared" si="203"/>
        <v>0.52387987633409727</v>
      </c>
      <c r="V1020" s="1">
        <f t="shared" si="209"/>
        <v>117668.78737734295</v>
      </c>
      <c r="W1020" s="7">
        <f t="shared" si="210"/>
        <v>-3.5303894430285033E-3</v>
      </c>
      <c r="X1020" s="7">
        <f t="shared" si="211"/>
        <v>-2.7704674730064773E-3</v>
      </c>
      <c r="Y1020">
        <f>LN(B1020/B1019)</f>
        <v>-7.8249755716937007E-3</v>
      </c>
      <c r="Z1020">
        <f>LN(C1020/C1019)</f>
        <v>3.8874155593731312E-4</v>
      </c>
    </row>
    <row r="1021" spans="1:26" x14ac:dyDescent="0.3">
      <c r="A1021" s="9">
        <v>41681</v>
      </c>
      <c r="B1021" s="1">
        <v>19867.64</v>
      </c>
      <c r="C1021" s="1">
        <v>32.431179999999998</v>
      </c>
      <c r="D1021" s="6">
        <f t="shared" si="213"/>
        <v>1.5311198930091585E-2</v>
      </c>
      <c r="E1021" s="5">
        <f t="shared" si="212"/>
        <v>3.886660057288438E-4</v>
      </c>
      <c r="G1021" s="25" t="str">
        <f>IF(VLOOKUP(A1021,Aux!B:C,2,FALSE)=0,"",VLOOKUP(A1021,Aux!B:C,2,FALSE))</f>
        <v/>
      </c>
      <c r="H1021" s="25" t="str">
        <f t="shared" si="201"/>
        <v/>
      </c>
      <c r="L1021" s="13">
        <f t="shared" si="204"/>
        <v>116446.71172020695</v>
      </c>
      <c r="M1021" s="14">
        <f t="shared" si="205"/>
        <v>842.57908928919653</v>
      </c>
      <c r="N1021" s="14">
        <f t="shared" si="206"/>
        <v>23.533862598114489</v>
      </c>
      <c r="O1021" s="1">
        <f t="shared" si="207"/>
        <v>2.8122528930582922</v>
      </c>
      <c r="P1021" s="1">
        <f t="shared" si="208"/>
        <v>1867.7668728663691</v>
      </c>
      <c r="S1021" s="6">
        <f t="shared" si="202"/>
        <v>0.47981456275458795</v>
      </c>
      <c r="T1021" s="6">
        <f t="shared" si="203"/>
        <v>0.52018543724541233</v>
      </c>
      <c r="V1021" s="1">
        <f t="shared" si="209"/>
        <v>118388.18599677183</v>
      </c>
      <c r="W1021" s="7">
        <f t="shared" si="210"/>
        <v>7.4656468056061619E-3</v>
      </c>
      <c r="X1021" s="7">
        <f t="shared" si="211"/>
        <v>6.0951458991535474E-3</v>
      </c>
      <c r="Y1021">
        <f>LN(B1021/B1020)</f>
        <v>1.5195165432721435E-2</v>
      </c>
      <c r="Z1021">
        <f>LN(C1021/C1020)</f>
        <v>3.8859049466192879E-4</v>
      </c>
    </row>
    <row r="1022" spans="1:26" x14ac:dyDescent="0.3">
      <c r="A1022" s="11">
        <v>41682</v>
      </c>
      <c r="B1022" s="12">
        <v>19756.78</v>
      </c>
      <c r="C1022" s="12">
        <v>32.443779999999997</v>
      </c>
      <c r="D1022" s="16">
        <f t="shared" si="213"/>
        <v>-5.5799279632609E-3</v>
      </c>
      <c r="E1022" s="15">
        <f t="shared" si="212"/>
        <v>3.8851500315439935E-4</v>
      </c>
      <c r="G1022" s="25" t="str">
        <f>IF(VLOOKUP(A1022,Aux!B:C,2,FALSE)=0,"",VLOOKUP(A1022,Aux!B:C,2,FALSE))</f>
        <v/>
      </c>
      <c r="H1022" s="25" t="str">
        <f t="shared" si="201"/>
        <v/>
      </c>
      <c r="L1022" s="13">
        <f t="shared" si="204"/>
        <v>116158.47922708062</v>
      </c>
      <c r="M1022" s="14">
        <f t="shared" si="205"/>
        <v>-311.76635572444388</v>
      </c>
      <c r="N1022" s="14">
        <f t="shared" si="206"/>
        <v>23.533862598114489</v>
      </c>
      <c r="O1022" s="1">
        <f t="shared" si="207"/>
        <v>2.8122528930582922</v>
      </c>
      <c r="P1022" s="1">
        <f t="shared" si="208"/>
        <v>1867.7668728663691</v>
      </c>
      <c r="S1022" s="6">
        <f t="shared" si="202"/>
        <v>0.47832118741756879</v>
      </c>
      <c r="T1022" s="6">
        <f t="shared" si="203"/>
        <v>0.52167881258243143</v>
      </c>
      <c r="V1022" s="1">
        <f t="shared" si="209"/>
        <v>118160.61596788326</v>
      </c>
      <c r="W1022" s="7">
        <f t="shared" si="210"/>
        <v>-2.4782992974378059E-3</v>
      </c>
      <c r="X1022" s="7">
        <f t="shared" si="211"/>
        <v>-1.9240858309646708E-3</v>
      </c>
      <c r="Y1022">
        <f>LN(B1022/B1021)</f>
        <v>-5.5955539162028103E-3</v>
      </c>
      <c r="Z1022">
        <f>LN(C1022/C1021)</f>
        <v>3.8843955074285797E-4</v>
      </c>
    </row>
    <row r="1023" spans="1:26" x14ac:dyDescent="0.3">
      <c r="A1023" s="9">
        <v>41683</v>
      </c>
      <c r="B1023" s="1">
        <v>19616.73</v>
      </c>
      <c r="C1023" s="1">
        <v>32.456389999999999</v>
      </c>
      <c r="D1023" s="6">
        <f t="shared" si="213"/>
        <v>-7.0887057506333617E-3</v>
      </c>
      <c r="E1023" s="5">
        <f t="shared" si="212"/>
        <v>3.8867234335837608E-4</v>
      </c>
      <c r="G1023" s="25" t="str">
        <f>IF(VLOOKUP(A1023,Aux!B:C,2,FALSE)=0,"",VLOOKUP(A1023,Aux!B:C,2,FALSE))</f>
        <v/>
      </c>
      <c r="H1023" s="25" t="str">
        <f t="shared" si="201"/>
        <v/>
      </c>
      <c r="L1023" s="13">
        <f t="shared" si="204"/>
        <v>115788.17574967466</v>
      </c>
      <c r="M1023" s="14">
        <f t="shared" si="205"/>
        <v>-393.85601767281179</v>
      </c>
      <c r="N1023" s="14">
        <f t="shared" si="206"/>
        <v>23.552540266849082</v>
      </c>
      <c r="O1023" s="1">
        <f t="shared" si="207"/>
        <v>2.8122528930582922</v>
      </c>
      <c r="P1023" s="1">
        <f t="shared" si="208"/>
        <v>1867.7668728663691</v>
      </c>
      <c r="S1023" s="6">
        <f t="shared" si="202"/>
        <v>0.47644938991102809</v>
      </c>
      <c r="T1023" s="6">
        <f t="shared" si="203"/>
        <v>0.52355061008897208</v>
      </c>
      <c r="V1023" s="1">
        <f t="shared" si="209"/>
        <v>117865.72595924768</v>
      </c>
      <c r="W1023" s="7">
        <f t="shared" si="210"/>
        <v>-3.1930082549023972E-3</v>
      </c>
      <c r="X1023" s="7">
        <f t="shared" si="211"/>
        <v>-2.4987902593223994E-3</v>
      </c>
      <c r="Y1023">
        <f>LN(B1023/B1022)</f>
        <v>-7.113949995332095E-3</v>
      </c>
      <c r="Z1023">
        <f>LN(C1023/C1022)</f>
        <v>3.8859682982917684E-4</v>
      </c>
    </row>
    <row r="1024" spans="1:26" x14ac:dyDescent="0.3">
      <c r="A1024" s="11">
        <v>41684</v>
      </c>
      <c r="B1024" s="12">
        <v>19775.96</v>
      </c>
      <c r="C1024" s="12">
        <v>32.469009999999997</v>
      </c>
      <c r="D1024" s="16">
        <f t="shared" si="213"/>
        <v>8.1170511089259101E-3</v>
      </c>
      <c r="E1024" s="15">
        <f t="shared" si="212"/>
        <v>3.8882944159834842E-4</v>
      </c>
      <c r="G1024" s="25" t="str">
        <f>IF(VLOOKUP(A1024,Aux!B:C,2,FALSE)=0,"",VLOOKUP(A1024,Aux!B:C,2,FALSE))</f>
        <v/>
      </c>
      <c r="H1024" s="25" t="str">
        <f t="shared" si="201"/>
        <v/>
      </c>
      <c r="L1024" s="13">
        <f t="shared" si="204"/>
        <v>116259.5419957719</v>
      </c>
      <c r="M1024" s="14">
        <f t="shared" si="205"/>
        <v>447.79502816167064</v>
      </c>
      <c r="N1024" s="14">
        <f t="shared" si="206"/>
        <v>23.571217935570402</v>
      </c>
      <c r="O1024" s="1">
        <f t="shared" si="207"/>
        <v>2.8122528930582922</v>
      </c>
      <c r="P1024" s="1">
        <f t="shared" si="208"/>
        <v>1867.7668728663691</v>
      </c>
      <c r="S1024" s="6">
        <f t="shared" si="202"/>
        <v>0.47836934300865952</v>
      </c>
      <c r="T1024" s="6">
        <f t="shared" si="203"/>
        <v>0.5216306569913407</v>
      </c>
      <c r="V1024" s="1">
        <f t="shared" si="209"/>
        <v>118261.30775080711</v>
      </c>
      <c r="W1024" s="7">
        <f t="shared" si="210"/>
        <v>4.0626721004952395E-3</v>
      </c>
      <c r="X1024" s="7">
        <f t="shared" si="211"/>
        <v>3.3505876512751331E-3</v>
      </c>
      <c r="Y1024">
        <f>LN(B1024/B1023)</f>
        <v>8.0842850393949596E-3</v>
      </c>
      <c r="Z1024">
        <f>LN(C1024/C1023)</f>
        <v>3.8875386702080079E-4</v>
      </c>
    </row>
    <row r="1025" spans="1:26" x14ac:dyDescent="0.3">
      <c r="A1025" s="9">
        <v>41687</v>
      </c>
      <c r="B1025" s="1">
        <v>19541.64</v>
      </c>
      <c r="C1025" s="1">
        <v>32.481639999999999</v>
      </c>
      <c r="D1025" s="6">
        <f t="shared" si="213"/>
        <v>-1.1848729467494823E-2</v>
      </c>
      <c r="E1025" s="5">
        <f t="shared" si="212"/>
        <v>3.8898629801153994E-4</v>
      </c>
      <c r="G1025" s="25" t="str">
        <f>IF(VLOOKUP(A1025,Aux!B:C,2,FALSE)=0,"",VLOOKUP(A1025,Aux!B:C,2,FALSE))</f>
        <v/>
      </c>
      <c r="H1025" s="25" t="str">
        <f t="shared" si="201"/>
        <v/>
      </c>
      <c r="L1025" s="13">
        <f t="shared" si="204"/>
        <v>115624.16479347479</v>
      </c>
      <c r="M1025" s="14">
        <f t="shared" si="205"/>
        <v>-658.96709790141824</v>
      </c>
      <c r="N1025" s="14">
        <f t="shared" si="206"/>
        <v>23.589895604304992</v>
      </c>
      <c r="O1025" s="1">
        <f t="shared" si="207"/>
        <v>2.8122528930582922</v>
      </c>
      <c r="P1025" s="1">
        <f t="shared" si="208"/>
        <v>1867.7668728663691</v>
      </c>
      <c r="S1025" s="6">
        <f t="shared" si="202"/>
        <v>0.47529885922432252</v>
      </c>
      <c r="T1025" s="6">
        <f t="shared" si="203"/>
        <v>0.52470114077567764</v>
      </c>
      <c r="V1025" s="1">
        <f t="shared" si="209"/>
        <v>117748.9782972385</v>
      </c>
      <c r="W1025" s="7">
        <f t="shared" si="210"/>
        <v>-5.4801503842932314E-3</v>
      </c>
      <c r="X1025" s="7">
        <f t="shared" si="211"/>
        <v>-4.341592622143284E-3</v>
      </c>
      <c r="Y1025">
        <f>LN(B1025/B1024)</f>
        <v>-1.1919485127654001E-2</v>
      </c>
      <c r="Z1025">
        <f>LN(C1025/C1024)</f>
        <v>3.8891066245501398E-4</v>
      </c>
    </row>
    <row r="1026" spans="1:26" x14ac:dyDescent="0.3">
      <c r="A1026" s="11">
        <v>41688</v>
      </c>
      <c r="B1026" s="12">
        <v>19198.080000000002</v>
      </c>
      <c r="C1026" s="12">
        <v>32.494259999999997</v>
      </c>
      <c r="D1026" s="16">
        <f t="shared" si="213"/>
        <v>-1.7580919513408122E-2</v>
      </c>
      <c r="E1026" s="15">
        <f t="shared" si="212"/>
        <v>3.8852718027770905E-4</v>
      </c>
      <c r="G1026" s="25" t="str">
        <f>IF(VLOOKUP(A1026,Aux!B:C,2,FALSE)=0,"",VLOOKUP(A1026,Aux!B:C,2,FALSE))</f>
        <v/>
      </c>
      <c r="H1026" s="25" t="str">
        <f t="shared" si="201"/>
        <v/>
      </c>
      <c r="L1026" s="13">
        <f t="shared" si="204"/>
        <v>114681.55840747127</v>
      </c>
      <c r="M1026" s="14">
        <f t="shared" si="205"/>
        <v>-966.17760393910032</v>
      </c>
      <c r="N1026" s="14">
        <f t="shared" si="206"/>
        <v>23.571217935570402</v>
      </c>
      <c r="O1026" s="1">
        <f t="shared" si="207"/>
        <v>2.8122528930582922</v>
      </c>
      <c r="P1026" s="1">
        <f t="shared" si="208"/>
        <v>1867.7668728663691</v>
      </c>
      <c r="S1026" s="6">
        <f t="shared" si="202"/>
        <v>0.4707806274251608</v>
      </c>
      <c r="T1026" s="6">
        <f t="shared" si="203"/>
        <v>0.52921937257483931</v>
      </c>
      <c r="V1026" s="1">
        <f t="shared" si="209"/>
        <v>116984.60597110962</v>
      </c>
      <c r="W1026" s="7">
        <f t="shared" si="210"/>
        <v>-8.1857422931844188E-3</v>
      </c>
      <c r="X1026" s="7">
        <f t="shared" si="211"/>
        <v>-6.5127027328967992E-3</v>
      </c>
      <c r="Y1026">
        <f>LN(B1026/B1025)</f>
        <v>-1.7737299458456281E-2</v>
      </c>
      <c r="Z1026">
        <f>LN(C1026/C1025)</f>
        <v>3.8845172313693586E-4</v>
      </c>
    </row>
    <row r="1027" spans="1:26" x14ac:dyDescent="0.3">
      <c r="A1027" s="9">
        <v>41689</v>
      </c>
      <c r="B1027" s="1">
        <v>19427.37</v>
      </c>
      <c r="C1027" s="1">
        <v>32.506889999999999</v>
      </c>
      <c r="D1027" s="6">
        <f t="shared" si="213"/>
        <v>1.1943381838183775E-2</v>
      </c>
      <c r="E1027" s="5">
        <f t="shared" si="212"/>
        <v>3.8868403219516345E-4</v>
      </c>
      <c r="G1027" s="25" t="str">
        <f>IF(VLOOKUP(A1027,Aux!B:C,2,FALSE)=0,"",VLOOKUP(A1027,Aux!B:C,2,FALSE))</f>
        <v/>
      </c>
      <c r="H1027" s="25" t="str">
        <f t="shared" ref="H1027:H1090" si="214">IF(ISNUMBER(G1027),1-G1027,"")</f>
        <v/>
      </c>
      <c r="L1027" s="13">
        <f t="shared" si="204"/>
        <v>115349.9697689249</v>
      </c>
      <c r="M1027" s="14">
        <f t="shared" si="205"/>
        <v>644.82146584932809</v>
      </c>
      <c r="N1027" s="14">
        <f t="shared" si="206"/>
        <v>23.589895604304992</v>
      </c>
      <c r="O1027" s="1">
        <f t="shared" si="207"/>
        <v>2.8122528930582922</v>
      </c>
      <c r="P1027" s="1">
        <f t="shared" si="208"/>
        <v>1867.7668728663691</v>
      </c>
      <c r="S1027" s="6">
        <f t="shared" ref="S1027:S1090" si="215">O1027*B1027/L1027</f>
        <v>0.47364275514298715</v>
      </c>
      <c r="T1027" s="6">
        <f t="shared" ref="T1027:T1090" si="216">P1027*C1027/L1027</f>
        <v>0.52635724485701285</v>
      </c>
      <c r="V1027" s="1">
        <f t="shared" si="209"/>
        <v>117541.84100470558</v>
      </c>
      <c r="W1027" s="7">
        <f t="shared" si="210"/>
        <v>5.8114924329229012E-3</v>
      </c>
      <c r="X1027" s="7">
        <f t="shared" si="211"/>
        <v>4.7520106101990684E-3</v>
      </c>
      <c r="Y1027">
        <f>LN(B1027/B1026)</f>
        <v>1.187262249997954E-2</v>
      </c>
      <c r="Z1027">
        <f>LN(C1027/C1026)</f>
        <v>3.8860851412453345E-4</v>
      </c>
    </row>
    <row r="1028" spans="1:26" x14ac:dyDescent="0.3">
      <c r="A1028" s="11">
        <v>41690</v>
      </c>
      <c r="B1028" s="12">
        <v>19463.39</v>
      </c>
      <c r="C1028" s="12">
        <v>32.519530000000003</v>
      </c>
      <c r="D1028" s="16">
        <f t="shared" si="213"/>
        <v>1.854085241594694E-3</v>
      </c>
      <c r="E1028" s="15">
        <f t="shared" si="212"/>
        <v>3.8884064270705565E-4</v>
      </c>
      <c r="G1028" s="25" t="str">
        <f>IF(VLOOKUP(A1028,Aux!B:C,2,FALSE)=0,"",VLOOKUP(A1028,Aux!B:C,2,FALSE))</f>
        <v/>
      </c>
      <c r="H1028" s="25" t="str">
        <f t="shared" si="214"/>
        <v/>
      </c>
      <c r="L1028" s="13">
        <f t="shared" ref="L1028:L1091" si="217">L1027+M1028+N1028</f>
        <v>115474.8756914059</v>
      </c>
      <c r="M1028" s="14">
        <f t="shared" ref="M1028:M1091" si="218">O1027*(B1028-B1027)</f>
        <v>101.29734920796091</v>
      </c>
      <c r="N1028" s="14">
        <f t="shared" ref="N1028:N1091" si="219">P1027*(C1028-C1027)</f>
        <v>23.608573273039585</v>
      </c>
      <c r="O1028" s="1">
        <f t="shared" ref="O1028:O1091" si="220">IF(ISNUMBER(G1028),L1028*G1028/B1028,O1027)</f>
        <v>2.8122528930582922</v>
      </c>
      <c r="P1028" s="1">
        <f t="shared" ref="P1028:P1091" si="221">IF(ISNUMBER(H1028),L1028*H1028/C1028,P1027)</f>
        <v>1867.7668728663691</v>
      </c>
      <c r="S1028" s="6">
        <f t="shared" si="215"/>
        <v>0.47400765325349031</v>
      </c>
      <c r="T1028" s="6">
        <f t="shared" si="216"/>
        <v>0.52599234674650974</v>
      </c>
      <c r="V1028" s="1">
        <f t="shared" ref="V1028:V1091" si="222">$O$2*B1028+$P$2*C1028</f>
        <v>117653.21775900541</v>
      </c>
      <c r="W1028" s="7">
        <f t="shared" ref="W1028:W1091" si="223">LN(L1028/L1027)</f>
        <v>1.0822572797445044E-3</v>
      </c>
      <c r="X1028" s="7">
        <f t="shared" ref="X1028:X1091" si="224">LN(V1028/V1027)</f>
        <v>9.4710121216570796E-4</v>
      </c>
      <c r="Y1028">
        <f>LN(B1028/B1027)</f>
        <v>1.8523685471574949E-3</v>
      </c>
      <c r="Z1028">
        <f>LN(C1028/C1027)</f>
        <v>3.8876506377581732E-4</v>
      </c>
    </row>
    <row r="1029" spans="1:26" x14ac:dyDescent="0.3">
      <c r="A1029" s="9">
        <v>41691</v>
      </c>
      <c r="B1029" s="1">
        <v>19519.98</v>
      </c>
      <c r="C1029" s="1">
        <v>32.532170000000001</v>
      </c>
      <c r="D1029" s="6">
        <f t="shared" si="213"/>
        <v>2.9075099455952991E-3</v>
      </c>
      <c r="E1029" s="5">
        <f t="shared" ref="E1029:E1092" si="225">C1029/C1028-1</f>
        <v>3.886895044300509E-4</v>
      </c>
      <c r="G1029" s="25" t="str">
        <f>IF(VLOOKUP(A1029,Aux!B:C,2,FALSE)=0,"",VLOOKUP(A1029,Aux!B:C,2,FALSE))</f>
        <v/>
      </c>
      <c r="H1029" s="25" t="str">
        <f t="shared" si="214"/>
        <v/>
      </c>
      <c r="L1029" s="13">
        <f t="shared" si="217"/>
        <v>115657.62965589711</v>
      </c>
      <c r="M1029" s="14">
        <f t="shared" si="218"/>
        <v>159.14539121816915</v>
      </c>
      <c r="N1029" s="14">
        <f t="shared" si="219"/>
        <v>23.608573273026316</v>
      </c>
      <c r="O1029" s="1">
        <f t="shared" si="220"/>
        <v>2.8122528930582922</v>
      </c>
      <c r="P1029" s="1">
        <f t="shared" si="221"/>
        <v>1867.7668728663691</v>
      </c>
      <c r="S1029" s="6">
        <f t="shared" si="215"/>
        <v>0.4746346643171156</v>
      </c>
      <c r="T1029" s="6">
        <f t="shared" si="216"/>
        <v>0.52536533568288435</v>
      </c>
      <c r="V1029" s="1">
        <f t="shared" si="222"/>
        <v>117812.05022284764</v>
      </c>
      <c r="W1029" s="7">
        <f t="shared" si="223"/>
        <v>1.5813786321563429E-3</v>
      </c>
      <c r="X1029" s="7">
        <f t="shared" si="224"/>
        <v>1.349094830791117E-3</v>
      </c>
      <c r="Y1029">
        <f>LN(B1029/B1028)</f>
        <v>2.9032913137179974E-3</v>
      </c>
      <c r="Z1029">
        <f>LN(C1029/C1028)</f>
        <v>3.8861398423326206E-4</v>
      </c>
    </row>
    <row r="1030" spans="1:26" x14ac:dyDescent="0.3">
      <c r="A1030" s="11">
        <v>41694</v>
      </c>
      <c r="B1030" s="12">
        <v>19549.72</v>
      </c>
      <c r="C1030" s="12">
        <v>32.544820000000001</v>
      </c>
      <c r="D1030" s="16">
        <f t="shared" si="213"/>
        <v>1.5235671348023949E-3</v>
      </c>
      <c r="E1030" s="15">
        <f t="shared" si="225"/>
        <v>3.8884587164034201E-4</v>
      </c>
      <c r="G1030" s="25" t="str">
        <f>IF(VLOOKUP(A1030,Aux!B:C,2,FALSE)=0,"",VLOOKUP(A1030,Aux!B:C,2,FALSE))</f>
        <v/>
      </c>
      <c r="H1030" s="25" t="str">
        <f t="shared" si="214"/>
        <v/>
      </c>
      <c r="L1030" s="13">
        <f t="shared" si="217"/>
        <v>115764.89330787843</v>
      </c>
      <c r="M1030" s="14">
        <f t="shared" si="218"/>
        <v>83.636401039558109</v>
      </c>
      <c r="N1030" s="14">
        <f t="shared" si="219"/>
        <v>23.627250941760906</v>
      </c>
      <c r="O1030" s="1">
        <f t="shared" si="220"/>
        <v>2.8122528930582922</v>
      </c>
      <c r="P1030" s="1">
        <f t="shared" si="221"/>
        <v>1867.7668728663691</v>
      </c>
      <c r="S1030" s="6">
        <f t="shared" si="215"/>
        <v>0.47491735238128496</v>
      </c>
      <c r="T1030" s="6">
        <f t="shared" si="216"/>
        <v>0.52508264761871504</v>
      </c>
      <c r="V1030" s="1">
        <f t="shared" si="222"/>
        <v>117908.96116879649</v>
      </c>
      <c r="W1030" s="7">
        <f t="shared" si="223"/>
        <v>9.2699412562574873E-4</v>
      </c>
      <c r="X1030" s="7">
        <f t="shared" si="224"/>
        <v>8.2225127778642263E-4</v>
      </c>
      <c r="Y1030">
        <f>LN(B1030/B1029)</f>
        <v>1.5224076839133827E-3</v>
      </c>
      <c r="Z1030">
        <f>LN(C1030/C1029)</f>
        <v>3.887702906766585E-4</v>
      </c>
    </row>
    <row r="1031" spans="1:26" x14ac:dyDescent="0.3">
      <c r="A1031" s="9">
        <v>41695</v>
      </c>
      <c r="B1031" s="1">
        <v>19284.77</v>
      </c>
      <c r="C1031" s="1">
        <v>32.557470000000002</v>
      </c>
      <c r="D1031" s="6">
        <f t="shared" si="213"/>
        <v>-1.3552623771593719E-2</v>
      </c>
      <c r="E1031" s="5">
        <f t="shared" si="225"/>
        <v>3.886947292994769E-4</v>
      </c>
      <c r="G1031" s="25" t="str">
        <f>IF(VLOOKUP(A1031,Aux!B:C,2,FALSE)=0,"",VLOOKUP(A1031,Aux!B:C,2,FALSE))</f>
        <v/>
      </c>
      <c r="H1031" s="25" t="str">
        <f t="shared" si="214"/>
        <v/>
      </c>
      <c r="L1031" s="13">
        <f t="shared" si="217"/>
        <v>115043.4141548044</v>
      </c>
      <c r="M1031" s="14">
        <f t="shared" si="218"/>
        <v>-745.10640401579656</v>
      </c>
      <c r="N1031" s="14">
        <f t="shared" si="219"/>
        <v>23.627250941760906</v>
      </c>
      <c r="O1031" s="1">
        <f t="shared" si="220"/>
        <v>2.8122528930582922</v>
      </c>
      <c r="P1031" s="1">
        <f t="shared" si="221"/>
        <v>1867.7668728663691</v>
      </c>
      <c r="S1031" s="6">
        <f t="shared" si="215"/>
        <v>0.47141899102095514</v>
      </c>
      <c r="T1031" s="6">
        <f t="shared" si="216"/>
        <v>0.52858100897904481</v>
      </c>
      <c r="V1031" s="1">
        <f t="shared" si="222"/>
        <v>117326.01197643398</v>
      </c>
      <c r="W1031" s="7">
        <f t="shared" si="223"/>
        <v>-6.2517810637542533E-3</v>
      </c>
      <c r="X1031" s="7">
        <f t="shared" si="224"/>
        <v>-4.9563241206904279E-3</v>
      </c>
      <c r="Y1031">
        <f>LN(B1031/B1030)</f>
        <v>-1.3645298856742861E-2</v>
      </c>
      <c r="Z1031">
        <f>LN(C1031/C1030)</f>
        <v>3.8861920707261154E-4</v>
      </c>
    </row>
    <row r="1032" spans="1:26" x14ac:dyDescent="0.3">
      <c r="A1032" s="11">
        <v>41696</v>
      </c>
      <c r="B1032" s="12">
        <v>19268.02</v>
      </c>
      <c r="C1032" s="12">
        <v>32.570129999999999</v>
      </c>
      <c r="D1032" s="16">
        <f t="shared" si="213"/>
        <v>-8.6856104584087657E-4</v>
      </c>
      <c r="E1032" s="15">
        <f t="shared" si="225"/>
        <v>3.8885085358275617E-4</v>
      </c>
      <c r="G1032" s="25" t="str">
        <f>IF(VLOOKUP(A1032,Aux!B:C,2,FALSE)=0,"",VLOOKUP(A1032,Aux!B:C,2,FALSE))</f>
        <v/>
      </c>
      <c r="H1032" s="25" t="str">
        <f t="shared" si="214"/>
        <v/>
      </c>
      <c r="L1032" s="13">
        <f t="shared" si="217"/>
        <v>115019.95484745616</v>
      </c>
      <c r="M1032" s="14">
        <f t="shared" si="218"/>
        <v>-47.105235958726396</v>
      </c>
      <c r="N1032" s="14">
        <f t="shared" si="219"/>
        <v>23.64592861048223</v>
      </c>
      <c r="O1032" s="1">
        <f t="shared" si="220"/>
        <v>2.8122528930582922</v>
      </c>
      <c r="P1032" s="1">
        <f t="shared" si="221"/>
        <v>1867.7668728663691</v>
      </c>
      <c r="S1032" s="6">
        <f t="shared" si="215"/>
        <v>0.47110560128778778</v>
      </c>
      <c r="T1032" s="6">
        <f t="shared" si="216"/>
        <v>0.52889439871221211</v>
      </c>
      <c r="V1032" s="1">
        <f t="shared" si="222"/>
        <v>117315.69123747852</v>
      </c>
      <c r="W1032" s="7">
        <f t="shared" si="223"/>
        <v>-2.0393778923853093E-4</v>
      </c>
      <c r="X1032" s="7">
        <f t="shared" si="224"/>
        <v>-8.7970201551967864E-5</v>
      </c>
      <c r="Y1032">
        <f>LN(B1032/B1031)</f>
        <v>-8.6893846354208686E-4</v>
      </c>
      <c r="Z1032">
        <f>LN(C1032/C1031)</f>
        <v>3.8877527068260551E-4</v>
      </c>
    </row>
    <row r="1033" spans="1:26" x14ac:dyDescent="0.3">
      <c r="A1033" s="9">
        <v>41697</v>
      </c>
      <c r="B1033" s="1">
        <v>19651.79</v>
      </c>
      <c r="C1033" s="1">
        <v>32.582859999999997</v>
      </c>
      <c r="D1033" s="6">
        <f t="shared" si="213"/>
        <v>1.9917459085053935E-2</v>
      </c>
      <c r="E1033" s="5">
        <f t="shared" si="225"/>
        <v>3.9084891586238513E-4</v>
      </c>
      <c r="G1033" s="25" t="str">
        <f>IF(VLOOKUP(A1033,Aux!B:C,2,FALSE)=0,"",VLOOKUP(A1033,Aux!B:C,2,FALSE))</f>
        <v/>
      </c>
      <c r="H1033" s="25" t="str">
        <f t="shared" si="214"/>
        <v/>
      </c>
      <c r="L1033" s="13">
        <f t="shared" si="217"/>
        <v>116122.98981251672</v>
      </c>
      <c r="M1033" s="14">
        <f t="shared" si="218"/>
        <v>1079.2582927689821</v>
      </c>
      <c r="N1033" s="14">
        <f t="shared" si="219"/>
        <v>23.776672291584561</v>
      </c>
      <c r="O1033" s="1">
        <f t="shared" si="220"/>
        <v>2.8122528930582922</v>
      </c>
      <c r="P1033" s="1">
        <f t="shared" si="221"/>
        <v>1867.7668728663691</v>
      </c>
      <c r="S1033" s="6">
        <f t="shared" si="215"/>
        <v>0.47592473609663299</v>
      </c>
      <c r="T1033" s="6">
        <f t="shared" si="216"/>
        <v>0.52407526390336701</v>
      </c>
      <c r="V1033" s="1">
        <f t="shared" si="222"/>
        <v>118229.54074805995</v>
      </c>
      <c r="W1033" s="7">
        <f t="shared" si="223"/>
        <v>9.5442527123532107E-3</v>
      </c>
      <c r="X1033" s="7">
        <f t="shared" si="224"/>
        <v>7.7594786196769055E-3</v>
      </c>
      <c r="Y1033">
        <f>LN(B1033/B1032)</f>
        <v>1.9721701556146946E-2</v>
      </c>
      <c r="Z1033">
        <f>LN(C1033/C1032)</f>
        <v>3.907725543214388E-4</v>
      </c>
    </row>
    <row r="1034" spans="1:26" x14ac:dyDescent="0.3">
      <c r="A1034" s="11">
        <v>41698</v>
      </c>
      <c r="B1034" s="12">
        <v>19497.39</v>
      </c>
      <c r="C1034" s="12">
        <v>32.595869999999998</v>
      </c>
      <c r="D1034" s="16">
        <f t="shared" si="213"/>
        <v>-7.8567906536759491E-3</v>
      </c>
      <c r="E1034" s="15">
        <f t="shared" si="225"/>
        <v>3.9928968789126884E-4</v>
      </c>
      <c r="G1034" s="25" t="str">
        <f>IF(VLOOKUP(A1034,Aux!B:C,2,FALSE)=0,"",VLOOKUP(A1034,Aux!B:C,2,FALSE))</f>
        <v/>
      </c>
      <c r="H1034" s="25" t="str">
        <f t="shared" si="214"/>
        <v/>
      </c>
      <c r="L1034" s="13">
        <f t="shared" si="217"/>
        <v>115713.07761284451</v>
      </c>
      <c r="M1034" s="14">
        <f t="shared" si="218"/>
        <v>-434.21184668820439</v>
      </c>
      <c r="N1034" s="14">
        <f t="shared" si="219"/>
        <v>24.299647015993887</v>
      </c>
      <c r="O1034" s="1">
        <f t="shared" si="220"/>
        <v>2.8122528930582922</v>
      </c>
      <c r="P1034" s="1">
        <f t="shared" si="221"/>
        <v>1867.7668728663691</v>
      </c>
      <c r="S1034" s="6">
        <f t="shared" si="215"/>
        <v>0.47385820657231686</v>
      </c>
      <c r="T1034" s="6">
        <f t="shared" si="216"/>
        <v>0.52614179342768297</v>
      </c>
      <c r="V1034" s="1">
        <f t="shared" si="222"/>
        <v>117902.43964044326</v>
      </c>
      <c r="W1034" s="7">
        <f t="shared" si="223"/>
        <v>-3.5362282614951638E-3</v>
      </c>
      <c r="X1034" s="7">
        <f t="shared" si="224"/>
        <v>-2.7704956889323673E-3</v>
      </c>
      <c r="Y1034">
        <f>LN(B1034/B1033)</f>
        <v>-7.8878178563739996E-3</v>
      </c>
      <c r="Z1034">
        <f>LN(C1034/C1033)</f>
        <v>3.9920999297737316E-4</v>
      </c>
    </row>
    <row r="1035" spans="1:26" x14ac:dyDescent="0.3">
      <c r="A1035" s="9">
        <v>41703</v>
      </c>
      <c r="B1035" s="1">
        <v>19320.41</v>
      </c>
      <c r="C1035" s="1">
        <v>32.608899999999998</v>
      </c>
      <c r="D1035" s="6">
        <f t="shared" si="213"/>
        <v>-9.0771123724765479E-3</v>
      </c>
      <c r="E1035" s="5">
        <f t="shared" si="225"/>
        <v>3.9974389393515608E-4</v>
      </c>
      <c r="G1035" s="25" t="str">
        <f>IF(VLOOKUP(A1035,Aux!B:C,2,FALSE)=0,"",VLOOKUP(A1035,Aux!B:C,2,FALSE))</f>
        <v/>
      </c>
      <c r="H1035" s="25" t="str">
        <f t="shared" si="214"/>
        <v/>
      </c>
      <c r="L1035" s="13">
        <f t="shared" si="217"/>
        <v>115239.70209818451</v>
      </c>
      <c r="M1035" s="14">
        <f t="shared" si="218"/>
        <v>-497.71251701345534</v>
      </c>
      <c r="N1035" s="14">
        <f t="shared" si="219"/>
        <v>24.337002353449801</v>
      </c>
      <c r="O1035" s="1">
        <f t="shared" si="220"/>
        <v>2.8122528930582922</v>
      </c>
      <c r="P1035" s="1">
        <f t="shared" si="221"/>
        <v>1867.7668728663691</v>
      </c>
      <c r="S1035" s="6">
        <f t="shared" si="215"/>
        <v>0.47148576339844889</v>
      </c>
      <c r="T1035" s="6">
        <f t="shared" si="216"/>
        <v>0.52851423660155095</v>
      </c>
      <c r="V1035" s="1">
        <f t="shared" si="222"/>
        <v>117523.29042562319</v>
      </c>
      <c r="W1035" s="7">
        <f t="shared" si="223"/>
        <v>-4.099333016528945E-3</v>
      </c>
      <c r="X1035" s="7">
        <f t="shared" si="224"/>
        <v>-3.2209694540054801E-3</v>
      </c>
      <c r="Y1035">
        <f>LN(B1035/B1034)</f>
        <v>-9.1185603663696772E-3</v>
      </c>
      <c r="Z1035">
        <f>LN(C1035/C1034)</f>
        <v>3.9966401763078788E-4</v>
      </c>
    </row>
    <row r="1036" spans="1:26" x14ac:dyDescent="0.3">
      <c r="A1036" s="11">
        <v>41704</v>
      </c>
      <c r="B1036" s="12">
        <v>19530.63</v>
      </c>
      <c r="C1036" s="12">
        <v>32.621879999999997</v>
      </c>
      <c r="D1036" s="16">
        <f t="shared" si="213"/>
        <v>1.0880721475372557E-2</v>
      </c>
      <c r="E1036" s="15">
        <f t="shared" si="225"/>
        <v>3.9805083888144743E-4</v>
      </c>
      <c r="G1036" s="25" t="str">
        <f>IF(VLOOKUP(A1036,Aux!B:C,2,FALSE)=0,"",VLOOKUP(A1036,Aux!B:C,2,FALSE))</f>
        <v/>
      </c>
      <c r="H1036" s="25" t="str">
        <f t="shared" si="214"/>
        <v/>
      </c>
      <c r="L1036" s="13">
        <f t="shared" si="217"/>
        <v>115855.13751537303</v>
      </c>
      <c r="M1036" s="14">
        <f t="shared" si="218"/>
        <v>591.19180317871746</v>
      </c>
      <c r="N1036" s="14">
        <f t="shared" si="219"/>
        <v>24.24361400980338</v>
      </c>
      <c r="O1036" s="1">
        <f t="shared" si="220"/>
        <v>2.8122528930582922</v>
      </c>
      <c r="P1036" s="1">
        <f t="shared" si="221"/>
        <v>1867.7668728663691</v>
      </c>
      <c r="S1036" s="6">
        <f t="shared" si="215"/>
        <v>0.47408403199610349</v>
      </c>
      <c r="T1036" s="6">
        <f t="shared" si="216"/>
        <v>0.52591596800389639</v>
      </c>
      <c r="V1036" s="1">
        <f t="shared" si="222"/>
        <v>118037.31329850851</v>
      </c>
      <c r="W1036" s="7">
        <f t="shared" si="223"/>
        <v>5.3262710077468826E-3</v>
      </c>
      <c r="X1036" s="7">
        <f t="shared" si="224"/>
        <v>4.3642585443469046E-3</v>
      </c>
      <c r="Y1036">
        <f>LN(B1036/B1035)</f>
        <v>1.0821952341534149E-2</v>
      </c>
      <c r="Z1036">
        <f>LN(C1036/C1035)</f>
        <v>3.9797163766299093E-4</v>
      </c>
    </row>
    <row r="1037" spans="1:26" x14ac:dyDescent="0.3">
      <c r="A1037" s="9">
        <v>41705</v>
      </c>
      <c r="B1037" s="1">
        <v>19213.38</v>
      </c>
      <c r="C1037" s="1">
        <v>32.634860000000003</v>
      </c>
      <c r="D1037" s="6">
        <f t="shared" si="213"/>
        <v>-1.6243715640509304E-2</v>
      </c>
      <c r="E1037" s="5">
        <f t="shared" si="225"/>
        <v>3.978924574550291E-4</v>
      </c>
      <c r="G1037" s="25" t="str">
        <f>IF(VLOOKUP(A1037,Aux!B:C,2,FALSE)=0,"",VLOOKUP(A1037,Aux!B:C,2,FALSE))</f>
        <v/>
      </c>
      <c r="H1037" s="25" t="str">
        <f t="shared" si="214"/>
        <v/>
      </c>
      <c r="L1037" s="13">
        <f t="shared" si="217"/>
        <v>114987.1938990601</v>
      </c>
      <c r="M1037" s="14">
        <f t="shared" si="218"/>
        <v>-892.18723032274318</v>
      </c>
      <c r="N1037" s="14">
        <f t="shared" si="219"/>
        <v>24.243614009816653</v>
      </c>
      <c r="O1037" s="1">
        <f t="shared" si="220"/>
        <v>2.8122528930582922</v>
      </c>
      <c r="P1037" s="1">
        <f t="shared" si="221"/>
        <v>1867.7668728663691</v>
      </c>
      <c r="S1037" s="6">
        <f t="shared" si="215"/>
        <v>0.46990348801676424</v>
      </c>
      <c r="T1037" s="6">
        <f t="shared" si="216"/>
        <v>0.53009651198323571</v>
      </c>
      <c r="V1037" s="1">
        <f t="shared" si="222"/>
        <v>117334.44443039451</v>
      </c>
      <c r="W1037" s="7">
        <f t="shared" si="223"/>
        <v>-7.5198314019854781E-3</v>
      </c>
      <c r="X1037" s="7">
        <f t="shared" si="224"/>
        <v>-5.9724324121931361E-3</v>
      </c>
      <c r="Y1037">
        <f>LN(B1037/B1036)</f>
        <v>-1.6377091103720501E-2</v>
      </c>
      <c r="Z1037">
        <f>LN(C1037/C1036)</f>
        <v>3.9781331924281524E-4</v>
      </c>
    </row>
    <row r="1038" spans="1:26" x14ac:dyDescent="0.3">
      <c r="A1038" s="11">
        <v>41708</v>
      </c>
      <c r="B1038" s="12">
        <v>18945.099999999999</v>
      </c>
      <c r="C1038" s="12">
        <v>32.647860000000001</v>
      </c>
      <c r="D1038" s="16">
        <f t="shared" si="213"/>
        <v>-1.3963186071373257E-2</v>
      </c>
      <c r="E1038" s="15">
        <f t="shared" si="225"/>
        <v>3.9834704362129436E-4</v>
      </c>
      <c r="G1038" s="25" t="str">
        <f>IF(VLOOKUP(A1038,Aux!B:C,2,FALSE)=0,"",VLOOKUP(A1038,Aux!B:C,2,FALSE))</f>
        <v/>
      </c>
      <c r="H1038" s="25" t="str">
        <f t="shared" si="214"/>
        <v/>
      </c>
      <c r="L1038" s="13">
        <f t="shared" si="217"/>
        <v>114257.00366225769</v>
      </c>
      <c r="M1038" s="14">
        <f t="shared" si="218"/>
        <v>-754.4712061496856</v>
      </c>
      <c r="N1038" s="14">
        <f t="shared" si="219"/>
        <v>24.280969347259294</v>
      </c>
      <c r="O1038" s="1">
        <f t="shared" si="220"/>
        <v>2.8122528930582922</v>
      </c>
      <c r="P1038" s="1">
        <f t="shared" si="221"/>
        <v>1867.7668728663691</v>
      </c>
      <c r="S1038" s="6">
        <f t="shared" si="215"/>
        <v>0.46630325123673805</v>
      </c>
      <c r="T1038" s="6">
        <f t="shared" si="216"/>
        <v>0.53369674876326179</v>
      </c>
      <c r="V1038" s="1">
        <f t="shared" si="222"/>
        <v>116744.59580790949</v>
      </c>
      <c r="W1038" s="7">
        <f t="shared" si="223"/>
        <v>-6.3704356662248069E-3</v>
      </c>
      <c r="X1038" s="7">
        <f t="shared" si="224"/>
        <v>-5.0397495679363668E-3</v>
      </c>
      <c r="Y1038">
        <f>LN(B1038/B1037)</f>
        <v>-1.4061588434887418E-2</v>
      </c>
      <c r="Z1038">
        <f>LN(C1038/C1037)</f>
        <v>3.9826772450137231E-4</v>
      </c>
    </row>
    <row r="1039" spans="1:26" x14ac:dyDescent="0.3">
      <c r="A1039" s="9">
        <v>41709</v>
      </c>
      <c r="B1039" s="1">
        <v>19021.13</v>
      </c>
      <c r="C1039" s="1">
        <v>32.660850000000003</v>
      </c>
      <c r="D1039" s="6">
        <f t="shared" si="213"/>
        <v>4.0131749106631087E-3</v>
      </c>
      <c r="E1039" s="5">
        <f t="shared" si="225"/>
        <v>3.9788212764957365E-4</v>
      </c>
      <c r="G1039" s="25" t="str">
        <f>IF(VLOOKUP(A1039,Aux!B:C,2,FALSE)=0,"",VLOOKUP(A1039,Aux!B:C,2,FALSE))</f>
        <v/>
      </c>
      <c r="H1039" s="25" t="str">
        <f t="shared" si="214"/>
        <v/>
      </c>
      <c r="L1039" s="13">
        <f t="shared" si="217"/>
        <v>114495.08154139546</v>
      </c>
      <c r="M1039" s="14">
        <f t="shared" si="218"/>
        <v>213.81558745922891</v>
      </c>
      <c r="N1039" s="14">
        <f t="shared" si="219"/>
        <v>24.262291678537974</v>
      </c>
      <c r="O1039" s="1">
        <f t="shared" si="220"/>
        <v>2.8122528930582922</v>
      </c>
      <c r="P1039" s="1">
        <f t="shared" si="221"/>
        <v>1867.7668728663691</v>
      </c>
      <c r="S1039" s="6">
        <f t="shared" si="215"/>
        <v>0.46720109852402592</v>
      </c>
      <c r="T1039" s="6">
        <f t="shared" si="216"/>
        <v>0.53279890147597397</v>
      </c>
      <c r="V1039" s="1">
        <f t="shared" si="222"/>
        <v>116949.06002812812</v>
      </c>
      <c r="W1039" s="7">
        <f t="shared" si="223"/>
        <v>2.0815370044624322E-3</v>
      </c>
      <c r="X1039" s="7">
        <f t="shared" si="224"/>
        <v>1.7498487210455393E-3</v>
      </c>
      <c r="Y1039">
        <f>LN(B1039/B1038)</f>
        <v>4.005143604418432E-3</v>
      </c>
      <c r="Z1039">
        <f>LN(C1039/C1038)</f>
        <v>3.9780299354582336E-4</v>
      </c>
    </row>
    <row r="1040" spans="1:26" x14ac:dyDescent="0.3">
      <c r="A1040" s="11">
        <v>41710</v>
      </c>
      <c r="B1040" s="12">
        <v>19072.099999999999</v>
      </c>
      <c r="C1040" s="12">
        <v>32.673850000000002</v>
      </c>
      <c r="D1040" s="16">
        <f t="shared" si="213"/>
        <v>2.6796515243836527E-3</v>
      </c>
      <c r="E1040" s="15">
        <f t="shared" si="225"/>
        <v>3.9803005739291741E-4</v>
      </c>
      <c r="G1040" s="25" t="str">
        <f>IF(VLOOKUP(A1040,Aux!B:C,2,FALSE)=0,"",VLOOKUP(A1040,Aux!B:C,2,FALSE))</f>
        <v/>
      </c>
      <c r="H1040" s="25" t="str">
        <f t="shared" si="214"/>
        <v/>
      </c>
      <c r="L1040" s="13">
        <f t="shared" si="217"/>
        <v>114662.70304070189</v>
      </c>
      <c r="M1040" s="14">
        <f t="shared" si="218"/>
        <v>143.34052995917421</v>
      </c>
      <c r="N1040" s="14">
        <f t="shared" si="219"/>
        <v>24.280969347259294</v>
      </c>
      <c r="O1040" s="1">
        <f t="shared" si="220"/>
        <v>2.8122528930582922</v>
      </c>
      <c r="P1040" s="1">
        <f t="shared" si="221"/>
        <v>1867.7668728663691</v>
      </c>
      <c r="S1040" s="6">
        <f t="shared" si="215"/>
        <v>0.4677682191275222</v>
      </c>
      <c r="T1040" s="6">
        <f t="shared" si="216"/>
        <v>0.53223178087247758</v>
      </c>
      <c r="V1040" s="1">
        <f t="shared" si="222"/>
        <v>117095.73232306784</v>
      </c>
      <c r="W1040" s="7">
        <f t="shared" si="223"/>
        <v>1.4629355010316984E-3</v>
      </c>
      <c r="X1040" s="7">
        <f t="shared" si="224"/>
        <v>1.2533696021802218E-3</v>
      </c>
      <c r="Y1040">
        <f>LN(B1040/B1039)</f>
        <v>2.6760676591499146E-3</v>
      </c>
      <c r="Z1040">
        <f>LN(C1040/C1039)</f>
        <v>3.979508644430427E-4</v>
      </c>
    </row>
    <row r="1041" spans="1:26" x14ac:dyDescent="0.3">
      <c r="A1041" s="9">
        <v>41711</v>
      </c>
      <c r="B1041" s="1">
        <v>18889.759999999998</v>
      </c>
      <c r="C1041" s="1">
        <v>32.686860000000003</v>
      </c>
      <c r="D1041" s="6">
        <f t="shared" si="213"/>
        <v>-9.5605622873202734E-3</v>
      </c>
      <c r="E1041" s="5">
        <f t="shared" si="225"/>
        <v>3.9817774764849823E-4</v>
      </c>
      <c r="G1041" s="25" t="str">
        <f>IF(VLOOKUP(A1041,Aux!B:C,2,FALSE)=0,"",VLOOKUP(A1041,Aux!B:C,2,FALSE))</f>
        <v/>
      </c>
      <c r="H1041" s="25" t="str">
        <f t="shared" si="214"/>
        <v/>
      </c>
      <c r="L1041" s="13">
        <f t="shared" si="217"/>
        <v>114174.21649519764</v>
      </c>
      <c r="M1041" s="14">
        <f t="shared" si="218"/>
        <v>-512.78619252024941</v>
      </c>
      <c r="N1041" s="14">
        <f t="shared" si="219"/>
        <v>24.299647015993887</v>
      </c>
      <c r="O1041" s="1">
        <f t="shared" si="220"/>
        <v>2.8122528930582922</v>
      </c>
      <c r="P1041" s="1">
        <f t="shared" si="221"/>
        <v>1867.7668728663691</v>
      </c>
      <c r="S1041" s="6">
        <f t="shared" si="215"/>
        <v>0.46527827244964043</v>
      </c>
      <c r="T1041" s="6">
        <f t="shared" si="216"/>
        <v>0.53472172755035929</v>
      </c>
      <c r="V1041" s="1">
        <f t="shared" si="222"/>
        <v>116704.17265810474</v>
      </c>
      <c r="W1041" s="7">
        <f t="shared" si="223"/>
        <v>-4.2693048697177985E-3</v>
      </c>
      <c r="X1041" s="7">
        <f t="shared" si="224"/>
        <v>-3.3495311393042233E-3</v>
      </c>
      <c r="Y1041">
        <f>LN(B1041/B1040)</f>
        <v>-9.6065578600687072E-3</v>
      </c>
      <c r="Z1041">
        <f>LN(C1041/C1040)</f>
        <v>3.98098495925954E-4</v>
      </c>
    </row>
    <row r="1042" spans="1:26" x14ac:dyDescent="0.3">
      <c r="A1042" s="11">
        <v>41712</v>
      </c>
      <c r="B1042" s="12">
        <v>18685.2</v>
      </c>
      <c r="C1042" s="12">
        <v>32.699869999999997</v>
      </c>
      <c r="D1042" s="16">
        <f t="shared" si="213"/>
        <v>-1.0829147644014436E-2</v>
      </c>
      <c r="E1042" s="15">
        <f t="shared" si="225"/>
        <v>3.9801926523352904E-4</v>
      </c>
      <c r="G1042" s="25" t="str">
        <f>IF(VLOOKUP(A1042,Aux!B:C,2,FALSE)=0,"",VLOOKUP(A1042,Aux!B:C,2,FALSE))</f>
        <v/>
      </c>
      <c r="H1042" s="25" t="str">
        <f t="shared" si="214"/>
        <v/>
      </c>
      <c r="L1042" s="13">
        <f t="shared" si="217"/>
        <v>113623.24169040963</v>
      </c>
      <c r="M1042" s="14">
        <f t="shared" si="218"/>
        <v>-575.27445180399775</v>
      </c>
      <c r="N1042" s="14">
        <f t="shared" si="219"/>
        <v>24.299647015980614</v>
      </c>
      <c r="O1042" s="1">
        <f t="shared" si="220"/>
        <v>2.8122528930582922</v>
      </c>
      <c r="P1042" s="1">
        <f t="shared" si="221"/>
        <v>1867.7668728663691</v>
      </c>
      <c r="S1042" s="6">
        <f t="shared" si="215"/>
        <v>0.46247147129061428</v>
      </c>
      <c r="T1042" s="6">
        <f t="shared" si="216"/>
        <v>0.53752852870938539</v>
      </c>
      <c r="V1042" s="1">
        <f t="shared" si="222"/>
        <v>116261.35067588187</v>
      </c>
      <c r="W1042" s="7">
        <f t="shared" si="223"/>
        <v>-4.8374190265821678E-3</v>
      </c>
      <c r="X1042" s="7">
        <f t="shared" si="224"/>
        <v>-3.801614154753261E-3</v>
      </c>
      <c r="Y1042">
        <f>LN(B1042/B1041)</f>
        <v>-1.0888209644472856E-2</v>
      </c>
      <c r="Z1042">
        <f>LN(C1042/C1041)</f>
        <v>3.9794007657749088E-4</v>
      </c>
    </row>
    <row r="1043" spans="1:26" x14ac:dyDescent="0.3">
      <c r="A1043" s="9">
        <v>41715</v>
      </c>
      <c r="B1043" s="1">
        <v>18803.25</v>
      </c>
      <c r="C1043" s="1">
        <v>32.712890000000002</v>
      </c>
      <c r="D1043" s="6">
        <f t="shared" si="213"/>
        <v>6.3178344358101324E-3</v>
      </c>
      <c r="E1043" s="5">
        <f t="shared" si="225"/>
        <v>3.9816672054060476E-4</v>
      </c>
      <c r="G1043" s="25" t="str">
        <f>IF(VLOOKUP(A1043,Aux!B:C,2,FALSE)=0,"",VLOOKUP(A1043,Aux!B:C,2,FALSE))</f>
        <v/>
      </c>
      <c r="H1043" s="25" t="str">
        <f t="shared" si="214"/>
        <v/>
      </c>
      <c r="L1043" s="13">
        <f t="shared" si="217"/>
        <v>113979.54646911989</v>
      </c>
      <c r="M1043" s="14">
        <f t="shared" si="218"/>
        <v>331.98645402552933</v>
      </c>
      <c r="N1043" s="14">
        <f t="shared" si="219"/>
        <v>24.318324684728481</v>
      </c>
      <c r="O1043" s="1">
        <f t="shared" si="220"/>
        <v>2.8122528930582922</v>
      </c>
      <c r="P1043" s="1">
        <f t="shared" si="221"/>
        <v>1867.7668728663691</v>
      </c>
      <c r="S1043" s="6">
        <f t="shared" si="215"/>
        <v>0.4639384507967384</v>
      </c>
      <c r="T1043" s="6">
        <f t="shared" si="216"/>
        <v>0.53606154920326132</v>
      </c>
      <c r="V1043" s="1">
        <f t="shared" si="222"/>
        <v>116562.82361994179</v>
      </c>
      <c r="W1043" s="7">
        <f t="shared" si="223"/>
        <v>3.1309376537599722E-3</v>
      </c>
      <c r="X1043" s="7">
        <f t="shared" si="224"/>
        <v>2.5897062747831817E-3</v>
      </c>
      <c r="Y1043">
        <f>LN(B1043/B1042)</f>
        <v>6.2979605823855903E-3</v>
      </c>
      <c r="Z1043">
        <f>LN(C1043/C1042)</f>
        <v>3.9808747320700118E-4</v>
      </c>
    </row>
    <row r="1044" spans="1:26" x14ac:dyDescent="0.3">
      <c r="A1044" s="11">
        <v>41716</v>
      </c>
      <c r="B1044" s="12">
        <v>19205.12</v>
      </c>
      <c r="C1044" s="12">
        <v>32.725920000000002</v>
      </c>
      <c r="D1044" s="16">
        <f t="shared" si="213"/>
        <v>2.1372369138313863E-2</v>
      </c>
      <c r="E1044" s="15">
        <f t="shared" si="225"/>
        <v>3.9831393679978788E-4</v>
      </c>
      <c r="G1044" s="25" t="str">
        <f>IF(VLOOKUP(A1044,Aux!B:C,2,FALSE)=0,"",VLOOKUP(A1044,Aux!B:C,2,FALSE))</f>
        <v/>
      </c>
      <c r="H1044" s="25" t="str">
        <f t="shared" si="214"/>
        <v/>
      </c>
      <c r="L1044" s="13">
        <f t="shared" si="217"/>
        <v>115134.04354160668</v>
      </c>
      <c r="M1044" s="14">
        <f t="shared" si="218"/>
        <v>1130.160070133333</v>
      </c>
      <c r="N1044" s="14">
        <f t="shared" si="219"/>
        <v>24.337002353449801</v>
      </c>
      <c r="O1044" s="1">
        <f t="shared" si="220"/>
        <v>2.8122528930582922</v>
      </c>
      <c r="P1044" s="1">
        <f t="shared" si="221"/>
        <v>1867.7668728663691</v>
      </c>
      <c r="S1044" s="6">
        <f t="shared" si="215"/>
        <v>0.46910238379679486</v>
      </c>
      <c r="T1044" s="6">
        <f t="shared" si="216"/>
        <v>0.53089761620320475</v>
      </c>
      <c r="V1044" s="1">
        <f t="shared" si="222"/>
        <v>117519.10160340306</v>
      </c>
      <c r="W1044" s="7">
        <f t="shared" si="223"/>
        <v>1.0078030237784932E-2</v>
      </c>
      <c r="X1044" s="7">
        <f t="shared" si="224"/>
        <v>8.1705010107377546E-3</v>
      </c>
      <c r="Y1044">
        <f>LN(B1044/B1043)</f>
        <v>2.1147182915538829E-2</v>
      </c>
      <c r="Z1044">
        <f>LN(C1044/C1043)</f>
        <v>3.9823463086207137E-4</v>
      </c>
    </row>
    <row r="1045" spans="1:26" x14ac:dyDescent="0.3">
      <c r="A1045" s="9">
        <v>41717</v>
      </c>
      <c r="B1045" s="1">
        <v>19346.939999999999</v>
      </c>
      <c r="C1045" s="1">
        <v>32.738950000000003</v>
      </c>
      <c r="D1045" s="6">
        <f t="shared" si="213"/>
        <v>7.3844891362302434E-3</v>
      </c>
      <c r="E1045" s="5">
        <f t="shared" si="225"/>
        <v>3.9815534597664737E-4</v>
      </c>
      <c r="G1045" s="25" t="str">
        <f>IF(VLOOKUP(A1045,Aux!B:C,2,FALSE)=0,"",VLOOKUP(A1045,Aux!B:C,2,FALSE))</f>
        <v/>
      </c>
      <c r="H1045" s="25" t="str">
        <f t="shared" si="214"/>
        <v/>
      </c>
      <c r="L1045" s="13">
        <f t="shared" si="217"/>
        <v>115557.21424925365</v>
      </c>
      <c r="M1045" s="14">
        <f t="shared" si="218"/>
        <v>398.83370529352618</v>
      </c>
      <c r="N1045" s="14">
        <f t="shared" si="219"/>
        <v>24.337002353449801</v>
      </c>
      <c r="O1045" s="1">
        <f t="shared" si="220"/>
        <v>2.8122528930582922</v>
      </c>
      <c r="P1045" s="1">
        <f t="shared" si="221"/>
        <v>1867.7668728663691</v>
      </c>
      <c r="S1045" s="6">
        <f t="shared" si="215"/>
        <v>0.47083592608478442</v>
      </c>
      <c r="T1045" s="6">
        <f t="shared" si="216"/>
        <v>0.52916407391521525</v>
      </c>
      <c r="V1045" s="1">
        <f t="shared" si="222"/>
        <v>117875.43514026667</v>
      </c>
      <c r="W1045" s="7">
        <f t="shared" si="223"/>
        <v>3.6687231786684581E-3</v>
      </c>
      <c r="X1045" s="7">
        <f t="shared" si="224"/>
        <v>3.027545277585766E-3</v>
      </c>
      <c r="Y1045">
        <f>LN(B1045/B1044)</f>
        <v>7.3573572843656388E-3</v>
      </c>
      <c r="Z1045">
        <f>LN(C1045/C1044)</f>
        <v>3.9807610317014943E-4</v>
      </c>
    </row>
    <row r="1046" spans="1:26" x14ac:dyDescent="0.3">
      <c r="A1046" s="11">
        <v>41718</v>
      </c>
      <c r="B1046" s="12">
        <v>19617.330000000002</v>
      </c>
      <c r="C1046" s="12">
        <v>32.752029999999998</v>
      </c>
      <c r="D1046" s="16">
        <f t="shared" si="213"/>
        <v>1.3975853545832306E-2</v>
      </c>
      <c r="E1046" s="15">
        <f t="shared" si="225"/>
        <v>3.9952411424293288E-4</v>
      </c>
      <c r="G1046" s="25" t="str">
        <f>IF(VLOOKUP(A1046,Aux!B:C,2,FALSE)=0,"",VLOOKUP(A1046,Aux!B:C,2,FALSE))</f>
        <v/>
      </c>
      <c r="H1046" s="25" t="str">
        <f t="shared" si="214"/>
        <v/>
      </c>
      <c r="L1046" s="13">
        <f t="shared" si="217"/>
        <v>116342.04969970477</v>
      </c>
      <c r="M1046" s="14">
        <f t="shared" si="218"/>
        <v>760.40505975404017</v>
      </c>
      <c r="N1046" s="14">
        <f t="shared" si="219"/>
        <v>24.430390697082949</v>
      </c>
      <c r="O1046" s="1">
        <f t="shared" si="220"/>
        <v>2.8122528930582922</v>
      </c>
      <c r="P1046" s="1">
        <f t="shared" si="221"/>
        <v>1867.7668728663691</v>
      </c>
      <c r="S1046" s="6">
        <f t="shared" si="215"/>
        <v>0.47419564283917909</v>
      </c>
      <c r="T1046" s="6">
        <f t="shared" si="216"/>
        <v>0.52580435716082052</v>
      </c>
      <c r="V1046" s="1">
        <f t="shared" si="222"/>
        <v>118528.496021156</v>
      </c>
      <c r="W1046" s="7">
        <f t="shared" si="223"/>
        <v>6.7687877366891108E-3</v>
      </c>
      <c r="X1046" s="7">
        <f t="shared" si="224"/>
        <v>5.524971931903256E-3</v>
      </c>
      <c r="Y1046">
        <f>LN(B1046/B1045)</f>
        <v>1.3879091814284445E-2</v>
      </c>
      <c r="Z1046">
        <f>LN(C1046/C1045)</f>
        <v>3.9944432573491668E-4</v>
      </c>
    </row>
    <row r="1047" spans="1:26" x14ac:dyDescent="0.3">
      <c r="A1047" s="9">
        <v>41719</v>
      </c>
      <c r="B1047" s="1">
        <v>19665.88</v>
      </c>
      <c r="C1047" s="1">
        <v>32.76511</v>
      </c>
      <c r="D1047" s="6">
        <f t="shared" si="213"/>
        <v>2.4748525920703646E-3</v>
      </c>
      <c r="E1047" s="5">
        <f t="shared" si="225"/>
        <v>3.9936455847167096E-4</v>
      </c>
      <c r="G1047" s="25" t="str">
        <f>IF(VLOOKUP(A1047,Aux!B:C,2,FALSE)=0,"",VLOOKUP(A1047,Aux!B:C,2,FALSE))</f>
        <v/>
      </c>
      <c r="H1047" s="25" t="str">
        <f t="shared" si="214"/>
        <v/>
      </c>
      <c r="L1047" s="13">
        <f t="shared" si="217"/>
        <v>116503.01496835984</v>
      </c>
      <c r="M1047" s="14">
        <f t="shared" si="218"/>
        <v>136.53487795797804</v>
      </c>
      <c r="N1047" s="14">
        <f t="shared" si="219"/>
        <v>24.430390697096218</v>
      </c>
      <c r="O1047" s="1">
        <f t="shared" si="220"/>
        <v>2.8122528930582922</v>
      </c>
      <c r="P1047" s="1">
        <f t="shared" si="221"/>
        <v>1867.7668728663691</v>
      </c>
      <c r="S1047" s="6">
        <f t="shared" si="215"/>
        <v>0.47471241786795976</v>
      </c>
      <c r="T1047" s="6">
        <f t="shared" si="216"/>
        <v>0.52528758213203997</v>
      </c>
      <c r="V1047" s="1">
        <f t="shared" si="222"/>
        <v>118669.76426204061</v>
      </c>
      <c r="W1047" s="7">
        <f t="shared" si="223"/>
        <v>1.3825957146732968E-3</v>
      </c>
      <c r="X1047" s="7">
        <f t="shared" si="224"/>
        <v>1.19114075641829E-3</v>
      </c>
      <c r="Y1047">
        <f>LN(B1047/B1046)</f>
        <v>2.4717951877717835E-3</v>
      </c>
      <c r="Z1047">
        <f>LN(C1047/C1046)</f>
        <v>3.9928483367185607E-4</v>
      </c>
    </row>
    <row r="1048" spans="1:26" x14ac:dyDescent="0.3">
      <c r="A1048" s="11">
        <v>41722</v>
      </c>
      <c r="B1048" s="12">
        <v>19917.59</v>
      </c>
      <c r="C1048" s="12">
        <v>32.778199999999998</v>
      </c>
      <c r="D1048" s="16">
        <f t="shared" si="213"/>
        <v>1.2799325532343309E-2</v>
      </c>
      <c r="E1048" s="15">
        <f t="shared" si="225"/>
        <v>3.9951033278984305E-4</v>
      </c>
      <c r="G1048" s="25" t="str">
        <f>IF(VLOOKUP(A1048,Aux!B:C,2,FALSE)=0,"",VLOOKUP(A1048,Aux!B:C,2,FALSE))</f>
        <v/>
      </c>
      <c r="H1048" s="25" t="str">
        <f t="shared" si="214"/>
        <v/>
      </c>
      <c r="L1048" s="13">
        <f t="shared" si="217"/>
        <v>117235.33621243737</v>
      </c>
      <c r="M1048" s="14">
        <f t="shared" si="218"/>
        <v>707.87217571170027</v>
      </c>
      <c r="N1048" s="14">
        <f t="shared" si="219"/>
        <v>24.449068365817539</v>
      </c>
      <c r="O1048" s="1">
        <f t="shared" si="220"/>
        <v>2.8122528930582922</v>
      </c>
      <c r="P1048" s="1">
        <f t="shared" si="221"/>
        <v>1867.7668728663691</v>
      </c>
      <c r="S1048" s="6">
        <f t="shared" si="215"/>
        <v>0.47778512784532384</v>
      </c>
      <c r="T1048" s="6">
        <f t="shared" si="216"/>
        <v>0.52221487215467588</v>
      </c>
      <c r="V1048" s="1">
        <f t="shared" si="222"/>
        <v>119279.75210082465</v>
      </c>
      <c r="W1048" s="7">
        <f t="shared" si="223"/>
        <v>6.2661829913282048E-3</v>
      </c>
      <c r="X1048" s="7">
        <f t="shared" si="224"/>
        <v>5.127046983047054E-3</v>
      </c>
      <c r="Y1048">
        <f>LN(B1048/B1047)</f>
        <v>1.2718106463974067E-2</v>
      </c>
      <c r="Z1048">
        <f>LN(C1048/C1047)</f>
        <v>3.9943054978555588E-4</v>
      </c>
    </row>
    <row r="1049" spans="1:26" x14ac:dyDescent="0.3">
      <c r="A1049" s="9">
        <v>41723</v>
      </c>
      <c r="B1049" s="1">
        <v>19984.88</v>
      </c>
      <c r="C1049" s="1">
        <v>32.791290000000004</v>
      </c>
      <c r="D1049" s="6">
        <f t="shared" si="213"/>
        <v>3.3784207828357893E-3</v>
      </c>
      <c r="E1049" s="5">
        <f t="shared" si="225"/>
        <v>3.9935078802399993E-4</v>
      </c>
      <c r="G1049" s="25" t="str">
        <f>IF(VLOOKUP(A1049,Aux!B:C,2,FALSE)=0,"",VLOOKUP(A1049,Aux!B:C,2,FALSE))</f>
        <v/>
      </c>
      <c r="H1049" s="25" t="str">
        <f t="shared" si="214"/>
        <v/>
      </c>
      <c r="L1049" s="13">
        <f t="shared" si="217"/>
        <v>117449.0217779771</v>
      </c>
      <c r="M1049" s="14">
        <f t="shared" si="218"/>
        <v>189.23649717389495</v>
      </c>
      <c r="N1049" s="14">
        <f t="shared" si="219"/>
        <v>24.449068365830811</v>
      </c>
      <c r="O1049" s="1">
        <f t="shared" si="220"/>
        <v>2.8122528930582922</v>
      </c>
      <c r="P1049" s="1">
        <f t="shared" si="221"/>
        <v>1867.7668728663691</v>
      </c>
      <c r="S1049" s="6">
        <f t="shared" si="215"/>
        <v>0.47852707282370366</v>
      </c>
      <c r="T1049" s="6">
        <f t="shared" si="216"/>
        <v>0.5214729271762959</v>
      </c>
      <c r="V1049" s="1">
        <f t="shared" si="222"/>
        <v>119464.2765485626</v>
      </c>
      <c r="W1049" s="7">
        <f t="shared" si="223"/>
        <v>1.821047013288294E-3</v>
      </c>
      <c r="X1049" s="7">
        <f t="shared" si="224"/>
        <v>1.5457935054954514E-3</v>
      </c>
      <c r="Y1049">
        <f>LN(B1049/B1048)</f>
        <v>3.3727267403198128E-3</v>
      </c>
      <c r="Z1049">
        <f>LN(C1049/C1048)</f>
        <v>3.9927106872132364E-4</v>
      </c>
    </row>
    <row r="1050" spans="1:26" x14ac:dyDescent="0.3">
      <c r="A1050" s="11">
        <v>41724</v>
      </c>
      <c r="B1050" s="12">
        <v>19939.96</v>
      </c>
      <c r="C1050" s="12">
        <v>32.804389999999998</v>
      </c>
      <c r="D1050" s="16">
        <f t="shared" si="213"/>
        <v>-2.2476992606411672E-3</v>
      </c>
      <c r="E1050" s="15">
        <f t="shared" si="225"/>
        <v>3.9949632966540527E-4</v>
      </c>
      <c r="G1050" s="25" t="str">
        <f>IF(VLOOKUP(A1050,Aux!B:C,2,FALSE)=0,"",VLOOKUP(A1050,Aux!B:C,2,FALSE))</f>
        <v/>
      </c>
      <c r="H1050" s="25" t="str">
        <f t="shared" si="214"/>
        <v/>
      </c>
      <c r="L1050" s="13">
        <f t="shared" si="217"/>
        <v>117347.16312405546</v>
      </c>
      <c r="M1050" s="14">
        <f t="shared" si="218"/>
        <v>-126.32639995618381</v>
      </c>
      <c r="N1050" s="14">
        <f t="shared" si="219"/>
        <v>24.467746034538862</v>
      </c>
      <c r="O1050" s="1">
        <f t="shared" si="220"/>
        <v>2.8122528930582922</v>
      </c>
      <c r="P1050" s="1">
        <f t="shared" si="221"/>
        <v>1867.7668728663691</v>
      </c>
      <c r="S1050" s="6">
        <f t="shared" si="215"/>
        <v>0.47786592112316129</v>
      </c>
      <c r="T1050" s="6">
        <f t="shared" si="216"/>
        <v>0.52213407887683827</v>
      </c>
      <c r="V1050" s="1">
        <f t="shared" si="222"/>
        <v>119389.95097249834</v>
      </c>
      <c r="W1050" s="7">
        <f t="shared" si="223"/>
        <v>-8.676347135196708E-4</v>
      </c>
      <c r="X1050" s="7">
        <f t="shared" si="224"/>
        <v>-6.223509563522252E-4</v>
      </c>
      <c r="Y1050">
        <f>LN(B1050/B1049)</f>
        <v>-2.2502291282562792E-3</v>
      </c>
      <c r="Z1050">
        <f>LN(C1050/C1049)</f>
        <v>3.9941655225317894E-4</v>
      </c>
    </row>
    <row r="1051" spans="1:26" x14ac:dyDescent="0.3">
      <c r="A1051" s="9">
        <v>41725</v>
      </c>
      <c r="B1051" s="1">
        <v>20587.759999999998</v>
      </c>
      <c r="C1051" s="1">
        <v>32.817500000000003</v>
      </c>
      <c r="D1051" s="6">
        <f t="shared" ref="D1051:D1114" si="226">B1051/B1050-1</f>
        <v>3.2487527557728324E-2</v>
      </c>
      <c r="E1051" s="5">
        <f t="shared" si="225"/>
        <v>3.9964163333028324E-4</v>
      </c>
      <c r="G1051" s="25" t="str">
        <f>IF(VLOOKUP(A1051,Aux!B:C,2,FALSE)=0,"",VLOOKUP(A1051,Aux!B:C,2,FALSE))</f>
        <v/>
      </c>
      <c r="H1051" s="25" t="str">
        <f t="shared" si="214"/>
        <v/>
      </c>
      <c r="L1051" s="13">
        <f t="shared" si="217"/>
        <v>119193.4269718819</v>
      </c>
      <c r="M1051" s="14">
        <f t="shared" si="218"/>
        <v>1821.7774241231596</v>
      </c>
      <c r="N1051" s="14">
        <f t="shared" si="219"/>
        <v>24.486423703286725</v>
      </c>
      <c r="O1051" s="1">
        <f t="shared" si="220"/>
        <v>2.8122528930582922</v>
      </c>
      <c r="P1051" s="1">
        <f t="shared" si="221"/>
        <v>1867.7668728663691</v>
      </c>
      <c r="S1051" s="6">
        <f t="shared" si="215"/>
        <v>0.48574815820379169</v>
      </c>
      <c r="T1051" s="6">
        <f t="shared" si="216"/>
        <v>0.51425184179620798</v>
      </c>
      <c r="V1051" s="1">
        <f t="shared" si="222"/>
        <v>120913.77703923396</v>
      </c>
      <c r="W1051" s="7">
        <f t="shared" si="223"/>
        <v>1.5610862738767625E-2</v>
      </c>
      <c r="X1051" s="7">
        <f t="shared" si="224"/>
        <v>1.2682670426498293E-2</v>
      </c>
      <c r="Y1051">
        <f>LN(B1051/B1050)</f>
        <v>3.1970965932852334E-2</v>
      </c>
      <c r="Z1051">
        <f>LN(C1051/C1050)</f>
        <v>3.9956179788240873E-4</v>
      </c>
    </row>
    <row r="1052" spans="1:26" x14ac:dyDescent="0.3">
      <c r="A1052" s="11">
        <v>41726</v>
      </c>
      <c r="B1052" s="12">
        <v>20603.2</v>
      </c>
      <c r="C1052" s="12">
        <v>32.830570000000002</v>
      </c>
      <c r="D1052" s="16">
        <f t="shared" si="226"/>
        <v>7.4996017050921182E-4</v>
      </c>
      <c r="E1052" s="15">
        <f t="shared" si="225"/>
        <v>3.9826312181001633E-4</v>
      </c>
      <c r="G1052" s="25" t="str">
        <f>IF(VLOOKUP(A1052,Aux!B:C,2,FALSE)=0,"",VLOOKUP(A1052,Aux!B:C,2,FALSE))</f>
        <v/>
      </c>
      <c r="H1052" s="25" t="str">
        <f t="shared" si="214"/>
        <v/>
      </c>
      <c r="L1052" s="13">
        <f t="shared" si="217"/>
        <v>119261.25986957908</v>
      </c>
      <c r="M1052" s="14">
        <f t="shared" si="218"/>
        <v>43.421184668826577</v>
      </c>
      <c r="N1052" s="14">
        <f t="shared" si="219"/>
        <v>24.411713028361628</v>
      </c>
      <c r="O1052" s="1">
        <f t="shared" si="220"/>
        <v>2.8122528930582922</v>
      </c>
      <c r="P1052" s="1">
        <f t="shared" si="221"/>
        <v>1867.7668728663691</v>
      </c>
      <c r="S1052" s="6">
        <f t="shared" si="215"/>
        <v>0.48583596106247562</v>
      </c>
      <c r="T1052" s="6">
        <f t="shared" si="216"/>
        <v>0.51416403893752405</v>
      </c>
      <c r="V1052" s="1">
        <f t="shared" si="222"/>
        <v>120978.63698059997</v>
      </c>
      <c r="W1052" s="7">
        <f t="shared" si="223"/>
        <v>5.6893743985841894E-4</v>
      </c>
      <c r="X1052" s="7">
        <f t="shared" si="224"/>
        <v>5.362709962049789E-4</v>
      </c>
      <c r="Y1052">
        <f>LN(B1052/B1051)</f>
        <v>7.4967909090409648E-4</v>
      </c>
      <c r="Z1052">
        <f>LN(C1052/C1051)</f>
        <v>3.9818383610326961E-4</v>
      </c>
    </row>
    <row r="1053" spans="1:26" x14ac:dyDescent="0.3">
      <c r="A1053" s="9">
        <v>41729</v>
      </c>
      <c r="B1053" s="1">
        <v>20841.73</v>
      </c>
      <c r="C1053" s="1">
        <v>32.843640000000001</v>
      </c>
      <c r="D1053" s="6">
        <f t="shared" si="226"/>
        <v>1.1577327793740766E-2</v>
      </c>
      <c r="E1053" s="5">
        <f t="shared" si="225"/>
        <v>3.9810457144051625E-4</v>
      </c>
      <c r="G1053" s="25" t="str">
        <f>IF(VLOOKUP(A1053,Aux!B:C,2,FALSE)=0,"",VLOOKUP(A1053,Aux!B:C,2,FALSE))</f>
        <v/>
      </c>
      <c r="H1053" s="25" t="str">
        <f t="shared" si="214"/>
        <v/>
      </c>
      <c r="L1053" s="13">
        <f t="shared" si="217"/>
        <v>119956.47826518863</v>
      </c>
      <c r="M1053" s="14">
        <f t="shared" si="218"/>
        <v>670.80668258119113</v>
      </c>
      <c r="N1053" s="14">
        <f t="shared" si="219"/>
        <v>24.411713028361628</v>
      </c>
      <c r="O1053" s="1">
        <f t="shared" si="220"/>
        <v>2.8122528930582922</v>
      </c>
      <c r="P1053" s="1">
        <f t="shared" si="221"/>
        <v>1867.7668728663691</v>
      </c>
      <c r="S1053" s="6">
        <f t="shared" si="215"/>
        <v>0.48861233954589228</v>
      </c>
      <c r="T1053" s="6">
        <f t="shared" si="216"/>
        <v>0.51138766045410744</v>
      </c>
      <c r="V1053" s="1">
        <f t="shared" si="222"/>
        <v>121558.17335569592</v>
      </c>
      <c r="W1053" s="7">
        <f t="shared" si="223"/>
        <v>5.8124481765678146E-3</v>
      </c>
      <c r="X1053" s="7">
        <f t="shared" si="224"/>
        <v>4.7789651168479025E-3</v>
      </c>
      <c r="Y1053">
        <f>LN(B1053/B1052)</f>
        <v>1.1510823338059827E-2</v>
      </c>
      <c r="Z1053">
        <f>LN(C1053/C1052)</f>
        <v>3.9802534884083733E-4</v>
      </c>
    </row>
    <row r="1054" spans="1:26" x14ac:dyDescent="0.3">
      <c r="A1054" s="11">
        <v>41730</v>
      </c>
      <c r="B1054" s="12">
        <v>20818.86</v>
      </c>
      <c r="C1054" s="12">
        <v>32.85671</v>
      </c>
      <c r="D1054" s="16">
        <f t="shared" si="226"/>
        <v>-1.0973177370592335E-3</v>
      </c>
      <c r="E1054" s="15">
        <f t="shared" si="225"/>
        <v>3.9794614726007538E-4</v>
      </c>
      <c r="G1054" s="25" t="str">
        <f>IF(VLOOKUP(A1054,Aux!B:C,2,FALSE)=0,"",VLOOKUP(A1054,Aux!B:C,2,FALSE))</f>
        <v/>
      </c>
      <c r="H1054" s="25" t="str">
        <f t="shared" si="214"/>
        <v/>
      </c>
      <c r="L1054" s="13">
        <f t="shared" si="217"/>
        <v>119916.57375455275</v>
      </c>
      <c r="M1054" s="14">
        <f t="shared" si="218"/>
        <v>-64.316223664240283</v>
      </c>
      <c r="N1054" s="14">
        <f t="shared" si="219"/>
        <v>24.411713028361628</v>
      </c>
      <c r="O1054" s="1">
        <f t="shared" si="220"/>
        <v>2.8122528930582922</v>
      </c>
      <c r="P1054" s="1">
        <f t="shared" si="221"/>
        <v>1867.7668728663691</v>
      </c>
      <c r="S1054" s="6">
        <f t="shared" si="215"/>
        <v>0.48823859314903695</v>
      </c>
      <c r="T1054" s="6">
        <f t="shared" si="216"/>
        <v>0.51176140685096283</v>
      </c>
      <c r="V1054" s="1">
        <f t="shared" si="222"/>
        <v>121534.65078697095</v>
      </c>
      <c r="W1054" s="7">
        <f t="shared" si="223"/>
        <v>-3.327135805209893E-4</v>
      </c>
      <c r="X1054" s="7">
        <f t="shared" si="224"/>
        <v>-1.935274632753542E-4</v>
      </c>
      <c r="Y1054">
        <f>LN(B1054/B1053)</f>
        <v>-1.0979202309590885E-3</v>
      </c>
      <c r="Z1054">
        <f>LN(C1054/C1053)</f>
        <v>3.9786698769214956E-4</v>
      </c>
    </row>
    <row r="1055" spans="1:26" x14ac:dyDescent="0.3">
      <c r="A1055" s="9">
        <v>41731</v>
      </c>
      <c r="B1055" s="1">
        <v>21368.720000000001</v>
      </c>
      <c r="C1055" s="1">
        <v>32.869790000000002</v>
      </c>
      <c r="D1055" s="6">
        <f t="shared" si="226"/>
        <v>2.6411628686681343E-2</v>
      </c>
      <c r="E1055" s="5">
        <f t="shared" si="225"/>
        <v>3.980922009538812E-4</v>
      </c>
      <c r="G1055" s="25" t="str">
        <f>IF(VLOOKUP(A1055,Aux!B:C,2,FALSE)=0,"",VLOOKUP(A1055,Aux!B:C,2,FALSE))</f>
        <v/>
      </c>
      <c r="H1055" s="25" t="str">
        <f t="shared" si="214"/>
        <v/>
      </c>
      <c r="L1055" s="13">
        <f t="shared" si="217"/>
        <v>121487.34952102687</v>
      </c>
      <c r="M1055" s="14">
        <f t="shared" si="218"/>
        <v>1546.3453757770342</v>
      </c>
      <c r="N1055" s="14">
        <f t="shared" si="219"/>
        <v>24.430390697096218</v>
      </c>
      <c r="O1055" s="1">
        <f t="shared" si="220"/>
        <v>2.8122528930582922</v>
      </c>
      <c r="P1055" s="1">
        <f t="shared" si="221"/>
        <v>1867.7668728663691</v>
      </c>
      <c r="S1055" s="6">
        <f t="shared" si="215"/>
        <v>0.49465433954958049</v>
      </c>
      <c r="T1055" s="6">
        <f t="shared" si="216"/>
        <v>0.50534566045041929</v>
      </c>
      <c r="V1055" s="1">
        <f t="shared" si="222"/>
        <v>122832.45873377321</v>
      </c>
      <c r="W1055" s="7">
        <f t="shared" si="223"/>
        <v>1.3013855897931262E-2</v>
      </c>
      <c r="X1055" s="7">
        <f t="shared" si="224"/>
        <v>1.062188893891392E-2</v>
      </c>
      <c r="Y1055">
        <f>LN(B1055/B1054)</f>
        <v>2.6068863840731298E-2</v>
      </c>
      <c r="Z1055">
        <f>LN(C1055/C1054)</f>
        <v>3.9801298327691334E-4</v>
      </c>
    </row>
    <row r="1056" spans="1:26" x14ac:dyDescent="0.3">
      <c r="A1056" s="11">
        <v>41732</v>
      </c>
      <c r="B1056" s="12">
        <v>21254.29</v>
      </c>
      <c r="C1056" s="12">
        <v>32.882869999999997</v>
      </c>
      <c r="D1056" s="16">
        <f t="shared" si="226"/>
        <v>-5.3550236045959432E-3</v>
      </c>
      <c r="E1056" s="15">
        <f t="shared" si="225"/>
        <v>3.9793378661667766E-4</v>
      </c>
      <c r="G1056" s="25" t="str">
        <f>IF(VLOOKUP(A1056,Aux!B:C,2,FALSE)=0,"",VLOOKUP(A1056,Aux!B:C,2,FALSE))</f>
        <v/>
      </c>
      <c r="H1056" s="25" t="str">
        <f t="shared" si="214"/>
        <v/>
      </c>
      <c r="L1056" s="13">
        <f t="shared" si="217"/>
        <v>121189.97381317129</v>
      </c>
      <c r="M1056" s="14">
        <f t="shared" si="218"/>
        <v>-321.80609855266118</v>
      </c>
      <c r="N1056" s="14">
        <f t="shared" si="219"/>
        <v>24.430390697082949</v>
      </c>
      <c r="O1056" s="1">
        <f t="shared" si="220"/>
        <v>2.8122528930582922</v>
      </c>
      <c r="P1056" s="1">
        <f t="shared" si="221"/>
        <v>1867.7668728663691</v>
      </c>
      <c r="S1056" s="6">
        <f t="shared" si="215"/>
        <v>0.49321273585343151</v>
      </c>
      <c r="T1056" s="6">
        <f t="shared" si="216"/>
        <v>0.50678726414656827</v>
      </c>
      <c r="V1056" s="1">
        <f t="shared" si="222"/>
        <v>122597.72641358689</v>
      </c>
      <c r="W1056" s="7">
        <f t="shared" si="223"/>
        <v>-2.4507922917220079E-3</v>
      </c>
      <c r="X1056" s="7">
        <f t="shared" si="224"/>
        <v>-1.9128241427772122E-3</v>
      </c>
      <c r="Y1056">
        <f>LN(B1056/B1055)</f>
        <v>-5.3694131373472403E-3</v>
      </c>
      <c r="Z1056">
        <f>LN(C1056/C1055)</f>
        <v>3.9785463196558929E-4</v>
      </c>
    </row>
    <row r="1057" spans="1:26" x14ac:dyDescent="0.3">
      <c r="A1057" s="9">
        <v>41733</v>
      </c>
      <c r="B1057" s="1">
        <v>21103.31</v>
      </c>
      <c r="C1057" s="1">
        <v>32.896259999999998</v>
      </c>
      <c r="D1057" s="6">
        <f t="shared" si="226"/>
        <v>-7.1035071037423014E-3</v>
      </c>
      <c r="E1057" s="5">
        <f t="shared" si="225"/>
        <v>4.0720289926032827E-4</v>
      </c>
      <c r="G1057" s="25" t="str">
        <f>IF(VLOOKUP(A1057,Aux!B:C,2,FALSE)=0,"",VLOOKUP(A1057,Aux!B:C,2,FALSE))</f>
        <v/>
      </c>
      <c r="H1057" s="25" t="str">
        <f t="shared" si="214"/>
        <v/>
      </c>
      <c r="L1057" s="13">
        <f t="shared" si="217"/>
        <v>120790.38926980505</v>
      </c>
      <c r="M1057" s="14">
        <f t="shared" si="218"/>
        <v>-424.59394179393973</v>
      </c>
      <c r="N1057" s="14">
        <f t="shared" si="219"/>
        <v>25.009398427682779</v>
      </c>
      <c r="O1057" s="1">
        <f t="shared" si="220"/>
        <v>2.8122528930582922</v>
      </c>
      <c r="P1057" s="1">
        <f t="shared" si="221"/>
        <v>1867.7668728663691</v>
      </c>
      <c r="S1057" s="6">
        <f t="shared" si="215"/>
        <v>0.49132919398117753</v>
      </c>
      <c r="T1057" s="6">
        <f t="shared" si="216"/>
        <v>0.5086708060188222</v>
      </c>
      <c r="V1057" s="1">
        <f t="shared" si="222"/>
        <v>122279.36547593784</v>
      </c>
      <c r="W1057" s="7">
        <f t="shared" si="223"/>
        <v>-3.3026225886663356E-3</v>
      </c>
      <c r="X1057" s="7">
        <f t="shared" si="224"/>
        <v>-2.6001706779459647E-3</v>
      </c>
      <c r="Y1057">
        <f>LN(B1057/B1056)</f>
        <v>-7.1288571310629796E-3</v>
      </c>
      <c r="Z1057">
        <f>LN(C1057/C1056)</f>
        <v>4.0712001465954839E-4</v>
      </c>
    </row>
    <row r="1058" spans="1:26" x14ac:dyDescent="0.3">
      <c r="A1058" s="11">
        <v>41736</v>
      </c>
      <c r="B1058" s="12">
        <v>21517.22</v>
      </c>
      <c r="C1058" s="12">
        <v>32.909649999999999</v>
      </c>
      <c r="D1058" s="16">
        <f t="shared" si="226"/>
        <v>1.9613510866304917E-2</v>
      </c>
      <c r="E1058" s="15">
        <f t="shared" si="225"/>
        <v>4.0703715255174799E-4</v>
      </c>
      <c r="G1058" s="25" t="str">
        <f>IF(VLOOKUP(A1058,Aux!B:C,2,FALSE)=0,"",VLOOKUP(A1058,Aux!B:C,2,FALSE))</f>
        <v/>
      </c>
      <c r="H1058" s="25" t="str">
        <f t="shared" si="214"/>
        <v/>
      </c>
      <c r="L1058" s="13">
        <f t="shared" si="217"/>
        <v>121979.4182631985</v>
      </c>
      <c r="M1058" s="14">
        <f t="shared" si="218"/>
        <v>1164.0195949657573</v>
      </c>
      <c r="N1058" s="14">
        <f t="shared" si="219"/>
        <v>25.009398427682779</v>
      </c>
      <c r="O1058" s="1">
        <f t="shared" si="220"/>
        <v>2.8122528930582922</v>
      </c>
      <c r="P1058" s="1">
        <f t="shared" si="221"/>
        <v>1867.7668728663691</v>
      </c>
      <c r="S1058" s="6">
        <f t="shared" si="215"/>
        <v>0.49608257734926686</v>
      </c>
      <c r="T1058" s="6">
        <f t="shared" si="216"/>
        <v>0.50391742265073269</v>
      </c>
      <c r="V1058" s="1">
        <f t="shared" si="222"/>
        <v>123264.22552824669</v>
      </c>
      <c r="W1058" s="7">
        <f t="shared" si="223"/>
        <v>9.7956044297423106E-3</v>
      </c>
      <c r="X1058" s="7">
        <f t="shared" si="224"/>
        <v>8.0219184681953378E-3</v>
      </c>
      <c r="Y1058">
        <f>LN(B1058/B1057)</f>
        <v>1.9423644575912471E-2</v>
      </c>
      <c r="Z1058">
        <f>LN(C1058/C1057)</f>
        <v>4.0695433540231162E-4</v>
      </c>
    </row>
    <row r="1059" spans="1:26" x14ac:dyDescent="0.3">
      <c r="A1059" s="9">
        <v>41737</v>
      </c>
      <c r="B1059" s="1">
        <v>21300.45</v>
      </c>
      <c r="C1059" s="1">
        <v>32.923050000000003</v>
      </c>
      <c r="D1059" s="6">
        <f t="shared" si="226"/>
        <v>-1.0074256804550097E-2</v>
      </c>
      <c r="E1059" s="5">
        <f t="shared" si="225"/>
        <v>4.0717540295953647E-4</v>
      </c>
      <c r="G1059" s="25" t="str">
        <f>IF(VLOOKUP(A1059,Aux!B:C,2,FALSE)=0,"",VLOOKUP(A1059,Aux!B:C,2,FALSE))</f>
        <v/>
      </c>
      <c r="H1059" s="25" t="str">
        <f t="shared" si="214"/>
        <v/>
      </c>
      <c r="L1059" s="13">
        <f t="shared" si="217"/>
        <v>121394.83427966668</v>
      </c>
      <c r="M1059" s="14">
        <f t="shared" si="218"/>
        <v>-609.61205962824727</v>
      </c>
      <c r="N1059" s="14">
        <f t="shared" si="219"/>
        <v>25.028076096417372</v>
      </c>
      <c r="O1059" s="1">
        <f t="shared" si="220"/>
        <v>2.8122528930582922</v>
      </c>
      <c r="P1059" s="1">
        <f t="shared" si="221"/>
        <v>1867.7668728663691</v>
      </c>
      <c r="S1059" s="6">
        <f t="shared" si="215"/>
        <v>0.49344976243340016</v>
      </c>
      <c r="T1059" s="6">
        <f t="shared" si="216"/>
        <v>0.50655023756659934</v>
      </c>
      <c r="V1059" s="1">
        <f t="shared" si="222"/>
        <v>122794.10713057575</v>
      </c>
      <c r="W1059" s="7">
        <f t="shared" si="223"/>
        <v>-4.8040012589392923E-3</v>
      </c>
      <c r="X1059" s="7">
        <f t="shared" si="224"/>
        <v>-3.8211993443142524E-3</v>
      </c>
      <c r="Y1059">
        <f>LN(B1059/B1058)</f>
        <v>-1.0125345539940558E-2</v>
      </c>
      <c r="Z1059">
        <f>LN(C1059/C1058)</f>
        <v>4.0709252955039487E-4</v>
      </c>
    </row>
    <row r="1060" spans="1:26" x14ac:dyDescent="0.3">
      <c r="A1060" s="11">
        <v>41738</v>
      </c>
      <c r="B1060" s="12">
        <v>21153.919999999998</v>
      </c>
      <c r="C1060" s="12">
        <v>32.936450000000001</v>
      </c>
      <c r="D1060" s="16">
        <f t="shared" si="226"/>
        <v>-6.8791973878487012E-3</v>
      </c>
      <c r="E1060" s="15">
        <f t="shared" si="225"/>
        <v>4.0700967862927762E-4</v>
      </c>
      <c r="G1060" s="25" t="str">
        <f>IF(VLOOKUP(A1060,Aux!B:C,2,FALSE)=0,"",VLOOKUP(A1060,Aux!B:C,2,FALSE))</f>
        <v/>
      </c>
      <c r="H1060" s="25" t="str">
        <f t="shared" si="214"/>
        <v/>
      </c>
      <c r="L1060" s="13">
        <f t="shared" si="217"/>
        <v>121007.78293934325</v>
      </c>
      <c r="M1060" s="14">
        <f t="shared" si="218"/>
        <v>-412.07941641983854</v>
      </c>
      <c r="N1060" s="14">
        <f t="shared" si="219"/>
        <v>25.028076096404103</v>
      </c>
      <c r="O1060" s="1">
        <f t="shared" si="220"/>
        <v>2.8122528930582922</v>
      </c>
      <c r="P1060" s="1">
        <f t="shared" si="221"/>
        <v>1867.7668728663691</v>
      </c>
      <c r="S1060" s="6">
        <f t="shared" si="215"/>
        <v>0.49162269793294117</v>
      </c>
      <c r="T1060" s="6">
        <f t="shared" si="216"/>
        <v>0.50837730206705822</v>
      </c>
      <c r="V1060" s="1">
        <f t="shared" si="222"/>
        <v>122486.0348699131</v>
      </c>
      <c r="W1060" s="7">
        <f t="shared" si="223"/>
        <v>-3.1934611408017044E-3</v>
      </c>
      <c r="X1060" s="7">
        <f t="shared" si="224"/>
        <v>-2.5120046013424988E-3</v>
      </c>
      <c r="Y1060">
        <f>LN(B1060/B1059)</f>
        <v>-6.9029681447437775E-3</v>
      </c>
      <c r="Z1060">
        <f>LN(C1060/C1059)</f>
        <v>4.0692687265782133E-4</v>
      </c>
    </row>
    <row r="1061" spans="1:26" x14ac:dyDescent="0.3">
      <c r="A1061" s="9">
        <v>41739</v>
      </c>
      <c r="B1061" s="1">
        <v>21169.46</v>
      </c>
      <c r="C1061" s="1">
        <v>32.949860000000001</v>
      </c>
      <c r="D1061" s="6">
        <f t="shared" si="226"/>
        <v>7.3461561734178282E-4</v>
      </c>
      <c r="E1061" s="5">
        <f t="shared" si="225"/>
        <v>4.0714770413941004E-4</v>
      </c>
      <c r="G1061" s="25" t="str">
        <f>IF(VLOOKUP(A1061,Aux!B:C,2,FALSE)=0,"",VLOOKUP(A1061,Aux!B:C,2,FALSE))</f>
        <v/>
      </c>
      <c r="H1061" s="25" t="str">
        <f t="shared" si="214"/>
        <v/>
      </c>
      <c r="L1061" s="13">
        <f t="shared" si="217"/>
        <v>121076.53210306652</v>
      </c>
      <c r="M1061" s="14">
        <f t="shared" si="218"/>
        <v>43.702409958128314</v>
      </c>
      <c r="N1061" s="14">
        <f t="shared" si="219"/>
        <v>25.046753765138693</v>
      </c>
      <c r="O1061" s="1">
        <f t="shared" si="220"/>
        <v>2.8122528930582922</v>
      </c>
      <c r="P1061" s="1">
        <f t="shared" si="221"/>
        <v>1867.7668728663691</v>
      </c>
      <c r="S1061" s="6">
        <f t="shared" si="215"/>
        <v>0.49170449545749723</v>
      </c>
      <c r="T1061" s="6">
        <f t="shared" si="216"/>
        <v>0.50829550454250216</v>
      </c>
      <c r="V1061" s="1">
        <f t="shared" si="222"/>
        <v>122551.88613981403</v>
      </c>
      <c r="W1061" s="7">
        <f t="shared" si="223"/>
        <v>5.6797703361669439E-4</v>
      </c>
      <c r="X1061" s="7">
        <f t="shared" si="224"/>
        <v>5.374782092081678E-4</v>
      </c>
      <c r="Y1061">
        <f>LN(B1061/B1060)</f>
        <v>7.3434591936397651E-4</v>
      </c>
      <c r="Z1061">
        <f>LN(C1061/C1060)</f>
        <v>4.0706484200357299E-4</v>
      </c>
    </row>
    <row r="1062" spans="1:26" x14ac:dyDescent="0.3">
      <c r="A1062" s="11">
        <v>41740</v>
      </c>
      <c r="B1062" s="12">
        <v>21493.06</v>
      </c>
      <c r="C1062" s="12">
        <v>32.963270000000001</v>
      </c>
      <c r="D1062" s="16">
        <f t="shared" si="226"/>
        <v>1.5286171683170036E-2</v>
      </c>
      <c r="E1062" s="15">
        <f t="shared" si="225"/>
        <v>4.0698200235156357E-4</v>
      </c>
      <c r="G1062" s="25" t="str">
        <f>IF(VLOOKUP(A1062,Aux!B:C,2,FALSE)=0,"",VLOOKUP(A1062,Aux!B:C,2,FALSE))</f>
        <v/>
      </c>
      <c r="H1062" s="25" t="str">
        <f t="shared" si="214"/>
        <v/>
      </c>
      <c r="L1062" s="13">
        <f t="shared" si="217"/>
        <v>122011.62389302533</v>
      </c>
      <c r="M1062" s="14">
        <f t="shared" si="218"/>
        <v>910.04503619366949</v>
      </c>
      <c r="N1062" s="14">
        <f t="shared" si="219"/>
        <v>25.046753765138693</v>
      </c>
      <c r="O1062" s="1">
        <f t="shared" si="220"/>
        <v>2.8122528930582922</v>
      </c>
      <c r="P1062" s="1">
        <f t="shared" si="221"/>
        <v>1867.7668728663691</v>
      </c>
      <c r="S1062" s="6">
        <f t="shared" si="215"/>
        <v>0.49539476844165398</v>
      </c>
      <c r="T1062" s="6">
        <f t="shared" si="216"/>
        <v>0.50460523155834547</v>
      </c>
      <c r="V1062" s="1">
        <f t="shared" si="222"/>
        <v>123328.44260571143</v>
      </c>
      <c r="W1062" s="7">
        <f t="shared" si="223"/>
        <v>7.6934756317442576E-3</v>
      </c>
      <c r="X1062" s="7">
        <f t="shared" si="224"/>
        <v>6.3165610021714298E-3</v>
      </c>
      <c r="Y1062">
        <f>LN(B1062/B1061)</f>
        <v>1.5170515300415533E-2</v>
      </c>
      <c r="Z1062">
        <f>LN(C1062/C1061)</f>
        <v>4.0689920763965456E-4</v>
      </c>
    </row>
    <row r="1063" spans="1:26" x14ac:dyDescent="0.3">
      <c r="A1063" s="9">
        <v>41743</v>
      </c>
      <c r="B1063" s="1">
        <v>21379.040000000001</v>
      </c>
      <c r="C1063" s="1">
        <v>32.976680000000002</v>
      </c>
      <c r="D1063" s="6">
        <f t="shared" si="226"/>
        <v>-5.3049682083425864E-3</v>
      </c>
      <c r="E1063" s="5">
        <f t="shared" si="225"/>
        <v>4.0681643538409418E-4</v>
      </c>
      <c r="G1063" s="25" t="str">
        <f>IF(VLOOKUP(A1063,Aux!B:C,2,FALSE)=0,"",VLOOKUP(A1063,Aux!B:C,2,FALSE))</f>
        <v/>
      </c>
      <c r="H1063" s="25" t="str">
        <f t="shared" si="214"/>
        <v/>
      </c>
      <c r="L1063" s="13">
        <f t="shared" si="217"/>
        <v>121716.01757192396</v>
      </c>
      <c r="M1063" s="14">
        <f t="shared" si="218"/>
        <v>-320.65307486650772</v>
      </c>
      <c r="N1063" s="14">
        <f t="shared" si="219"/>
        <v>25.046753765138693</v>
      </c>
      <c r="O1063" s="1">
        <f t="shared" si="220"/>
        <v>2.8122528930582922</v>
      </c>
      <c r="P1063" s="1">
        <f t="shared" si="221"/>
        <v>1867.7668728663691</v>
      </c>
      <c r="S1063" s="6">
        <f t="shared" si="215"/>
        <v>0.49396347572151827</v>
      </c>
      <c r="T1063" s="6">
        <f t="shared" si="216"/>
        <v>0.50603652427848111</v>
      </c>
      <c r="V1063" s="1">
        <f t="shared" si="222"/>
        <v>123095.3944235793</v>
      </c>
      <c r="W1063" s="7">
        <f t="shared" si="223"/>
        <v>-2.4257114562147718E-3</v>
      </c>
      <c r="X1063" s="7">
        <f t="shared" si="224"/>
        <v>-1.8914424385249025E-3</v>
      </c>
      <c r="Y1063">
        <f>LN(B1063/B1062)</f>
        <v>-5.3190895163896176E-3</v>
      </c>
      <c r="Z1063">
        <f>LN(C1063/C1062)</f>
        <v>4.0673370801385365E-4</v>
      </c>
    </row>
    <row r="1064" spans="1:26" x14ac:dyDescent="0.3">
      <c r="A1064" s="11">
        <v>41744</v>
      </c>
      <c r="B1064" s="12">
        <v>20958.419999999998</v>
      </c>
      <c r="C1064" s="12">
        <v>32.990110000000001</v>
      </c>
      <c r="D1064" s="16">
        <f t="shared" si="226"/>
        <v>-1.9674410076411464E-2</v>
      </c>
      <c r="E1064" s="15">
        <f t="shared" si="225"/>
        <v>4.0725749226422359E-4</v>
      </c>
      <c r="G1064" s="25" t="str">
        <f>IF(VLOOKUP(A1064,Aux!B:C,2,FALSE)=0,"",VLOOKUP(A1064,Aux!B:C,2,FALSE))</f>
        <v/>
      </c>
      <c r="H1064" s="25" t="str">
        <f t="shared" si="214"/>
        <v/>
      </c>
      <c r="L1064" s="13">
        <f t="shared" si="217"/>
        <v>120558.21186914838</v>
      </c>
      <c r="M1064" s="14">
        <f t="shared" si="218"/>
        <v>-1182.8898118781863</v>
      </c>
      <c r="N1064" s="14">
        <f t="shared" si="219"/>
        <v>25.084109102594606</v>
      </c>
      <c r="O1064" s="1">
        <f t="shared" si="220"/>
        <v>2.8122528930582922</v>
      </c>
      <c r="P1064" s="1">
        <f t="shared" si="221"/>
        <v>1867.7668728663691</v>
      </c>
      <c r="S1064" s="6">
        <f t="shared" si="215"/>
        <v>0.48889558301431635</v>
      </c>
      <c r="T1064" s="6">
        <f t="shared" si="216"/>
        <v>0.5111044169856831</v>
      </c>
      <c r="V1064" s="1">
        <f t="shared" si="222"/>
        <v>122155.05405917103</v>
      </c>
      <c r="W1064" s="7">
        <f t="shared" si="223"/>
        <v>-9.5578842168492235E-3</v>
      </c>
      <c r="X1064" s="7">
        <f t="shared" si="224"/>
        <v>-7.6684465067155087E-3</v>
      </c>
      <c r="Y1064">
        <f>LN(B1064/B1063)</f>
        <v>-1.9870527879311827E-2</v>
      </c>
      <c r="Z1064">
        <f>LN(C1064/C1063)</f>
        <v>4.071745854405739E-4</v>
      </c>
    </row>
    <row r="1065" spans="1:26" x14ac:dyDescent="0.3">
      <c r="A1065" s="9">
        <v>41745</v>
      </c>
      <c r="B1065" s="1">
        <v>21265.17</v>
      </c>
      <c r="C1065" s="1">
        <v>33.003540000000001</v>
      </c>
      <c r="D1065" s="6">
        <f t="shared" si="226"/>
        <v>1.4636122379454219E-2</v>
      </c>
      <c r="E1065" s="5">
        <f t="shared" si="225"/>
        <v>4.0709170111896675E-4</v>
      </c>
      <c r="G1065" s="25" t="str">
        <f>IF(VLOOKUP(A1065,Aux!B:C,2,FALSE)=0,"",VLOOKUP(A1065,Aux!B:C,2,FALSE))</f>
        <v/>
      </c>
      <c r="H1065" s="25" t="str">
        <f t="shared" si="214"/>
        <v/>
      </c>
      <c r="L1065" s="13">
        <f t="shared" si="217"/>
        <v>121445.9545531966</v>
      </c>
      <c r="M1065" s="14">
        <f t="shared" si="218"/>
        <v>862.65857494563113</v>
      </c>
      <c r="N1065" s="14">
        <f t="shared" si="219"/>
        <v>25.084109102594606</v>
      </c>
      <c r="O1065" s="1">
        <f t="shared" si="220"/>
        <v>2.8122528930582922</v>
      </c>
      <c r="P1065" s="1">
        <f t="shared" si="221"/>
        <v>1867.7668728663691</v>
      </c>
      <c r="S1065" s="6">
        <f t="shared" si="215"/>
        <v>0.49242509619932262</v>
      </c>
      <c r="T1065" s="6">
        <f t="shared" si="216"/>
        <v>0.50757490380067682</v>
      </c>
      <c r="V1065" s="1">
        <f t="shared" si="222"/>
        <v>122892.78172830149</v>
      </c>
      <c r="W1065" s="7">
        <f t="shared" si="223"/>
        <v>7.3366229940678655E-3</v>
      </c>
      <c r="X1065" s="7">
        <f t="shared" si="224"/>
        <v>6.0211092706995394E-3</v>
      </c>
      <c r="Y1065">
        <f>LN(B1065/B1064)</f>
        <v>1.4530048098456207E-2</v>
      </c>
      <c r="Z1065">
        <f>LN(C1065/C1064)</f>
        <v>4.0700886177378421E-4</v>
      </c>
    </row>
    <row r="1066" spans="1:26" x14ac:dyDescent="0.3">
      <c r="A1066" s="11">
        <v>41746</v>
      </c>
      <c r="B1066" s="12">
        <v>21617.9</v>
      </c>
      <c r="C1066" s="12">
        <v>33.016970000000001</v>
      </c>
      <c r="D1066" s="16">
        <f t="shared" si="226"/>
        <v>1.6587217501670803E-2</v>
      </c>
      <c r="E1066" s="15">
        <f t="shared" si="225"/>
        <v>4.0692604490311091E-4</v>
      </c>
      <c r="G1066" s="25" t="str">
        <f>IF(VLOOKUP(A1066,Aux!B:C,2,FALSE)=0,"",VLOOKUP(A1066,Aux!B:C,2,FALSE))</f>
        <v/>
      </c>
      <c r="H1066" s="25" t="str">
        <f t="shared" si="214"/>
        <v/>
      </c>
      <c r="L1066" s="13">
        <f t="shared" si="217"/>
        <v>122463.00462526765</v>
      </c>
      <c r="M1066" s="14">
        <f t="shared" si="218"/>
        <v>991.96596296846042</v>
      </c>
      <c r="N1066" s="14">
        <f t="shared" si="219"/>
        <v>25.084109102594606</v>
      </c>
      <c r="O1066" s="1">
        <f t="shared" si="220"/>
        <v>2.8122528930582922</v>
      </c>
      <c r="P1066" s="1">
        <f t="shared" si="221"/>
        <v>1867.7668728663691</v>
      </c>
      <c r="S1066" s="6">
        <f t="shared" si="215"/>
        <v>0.49643565420328656</v>
      </c>
      <c r="T1066" s="6">
        <f t="shared" si="216"/>
        <v>0.50356434579671283</v>
      </c>
      <c r="V1066" s="1">
        <f t="shared" si="222"/>
        <v>123736.58686582097</v>
      </c>
      <c r="W1066" s="7">
        <f t="shared" si="223"/>
        <v>8.3396359863337158E-3</v>
      </c>
      <c r="X1066" s="7">
        <f t="shared" si="224"/>
        <v>6.8427246501572064E-3</v>
      </c>
      <c r="Y1066">
        <f>LN(B1066/B1065)</f>
        <v>1.6451152177928516E-2</v>
      </c>
      <c r="Z1066">
        <f>LN(C1066/C1065)</f>
        <v>4.0684327295404727E-4</v>
      </c>
    </row>
    <row r="1067" spans="1:26" x14ac:dyDescent="0.3">
      <c r="A1067" s="9">
        <v>41751</v>
      </c>
      <c r="B1067" s="1">
        <v>21578.81</v>
      </c>
      <c r="C1067" s="1">
        <v>33.030410000000003</v>
      </c>
      <c r="D1067" s="6">
        <f t="shared" si="226"/>
        <v>-1.8082237405113721E-3</v>
      </c>
      <c r="E1067" s="5">
        <f t="shared" si="225"/>
        <v>4.0706339800422597E-4</v>
      </c>
      <c r="G1067" s="25" t="str">
        <f>IF(VLOOKUP(A1067,Aux!B:C,2,FALSE)=0,"",VLOOKUP(A1067,Aux!B:C,2,FALSE))</f>
        <v/>
      </c>
      <c r="H1067" s="25" t="str">
        <f t="shared" si="214"/>
        <v/>
      </c>
      <c r="L1067" s="13">
        <f t="shared" si="217"/>
        <v>122378.17644644933</v>
      </c>
      <c r="M1067" s="14">
        <f t="shared" si="218"/>
        <v>-109.93096558964905</v>
      </c>
      <c r="N1067" s="14">
        <f t="shared" si="219"/>
        <v>25.1027867713292</v>
      </c>
      <c r="O1067" s="1">
        <f t="shared" si="220"/>
        <v>2.8122528930582922</v>
      </c>
      <c r="P1067" s="1">
        <f t="shared" si="221"/>
        <v>1867.7668728663691</v>
      </c>
      <c r="S1067" s="6">
        <f t="shared" si="215"/>
        <v>0.49588147669294608</v>
      </c>
      <c r="T1067" s="6">
        <f t="shared" si="216"/>
        <v>0.50411852330705331</v>
      </c>
      <c r="V1067" s="1">
        <f t="shared" si="222"/>
        <v>123676.47192872813</v>
      </c>
      <c r="W1067" s="7">
        <f t="shared" si="223"/>
        <v>-6.9292413834266819E-4</v>
      </c>
      <c r="X1067" s="7">
        <f t="shared" si="224"/>
        <v>-4.8594798163615677E-4</v>
      </c>
      <c r="Y1067">
        <f>LN(B1067/B1066)</f>
        <v>-1.8098605505026477E-3</v>
      </c>
      <c r="Z1067">
        <f>LN(C1067/C1066)</f>
        <v>4.069805701759178E-4</v>
      </c>
    </row>
    <row r="1068" spans="1:26" x14ac:dyDescent="0.3">
      <c r="A1068" s="11">
        <v>41752</v>
      </c>
      <c r="B1068" s="12">
        <v>21408.3</v>
      </c>
      <c r="C1068" s="12">
        <v>33.043849999999999</v>
      </c>
      <c r="D1068" s="16">
        <f t="shared" si="226"/>
        <v>-7.9017332281067221E-3</v>
      </c>
      <c r="E1068" s="15">
        <f t="shared" si="225"/>
        <v>4.0689776481728224E-4</v>
      </c>
      <c r="G1068" s="25" t="str">
        <f>IF(VLOOKUP(A1068,Aux!B:C,2,FALSE)=0,"",VLOOKUP(A1068,Aux!B:C,2,FALSE))</f>
        <v/>
      </c>
      <c r="H1068" s="25" t="str">
        <f t="shared" si="214"/>
        <v/>
      </c>
      <c r="L1068" s="13">
        <f t="shared" si="217"/>
        <v>121923.76199242526</v>
      </c>
      <c r="M1068" s="14">
        <f t="shared" si="218"/>
        <v>-479.51724079537513</v>
      </c>
      <c r="N1068" s="14">
        <f t="shared" si="219"/>
        <v>25.102786771315927</v>
      </c>
      <c r="O1068" s="1">
        <f t="shared" si="220"/>
        <v>2.8122528930582922</v>
      </c>
      <c r="P1068" s="1">
        <f t="shared" si="221"/>
        <v>1867.7668728663691</v>
      </c>
      <c r="S1068" s="6">
        <f t="shared" si="215"/>
        <v>0.49379671875774483</v>
      </c>
      <c r="T1068" s="6">
        <f t="shared" si="216"/>
        <v>0.50620328124225467</v>
      </c>
      <c r="V1068" s="1">
        <f t="shared" si="222"/>
        <v>123313.16645453905</v>
      </c>
      <c r="W1068" s="7">
        <f t="shared" si="223"/>
        <v>-3.7201094759158498E-3</v>
      </c>
      <c r="X1068" s="7">
        <f t="shared" si="224"/>
        <v>-2.9418702629724586E-3</v>
      </c>
      <c r="Y1068">
        <f>LN(B1068/B1067)</f>
        <v>-7.9331173574472055E-3</v>
      </c>
      <c r="Z1068">
        <f>LN(C1068/C1067)</f>
        <v>4.0681500437104155E-4</v>
      </c>
    </row>
    <row r="1069" spans="1:26" x14ac:dyDescent="0.3">
      <c r="A1069" s="9">
        <v>41753</v>
      </c>
      <c r="B1069" s="1">
        <v>21484.97</v>
      </c>
      <c r="C1069" s="1">
        <v>33.057299999999998</v>
      </c>
      <c r="D1069" s="6">
        <f t="shared" si="226"/>
        <v>3.5813212632485047E-3</v>
      </c>
      <c r="E1069" s="5">
        <f t="shared" si="225"/>
        <v>4.0703489454152475E-4</v>
      </c>
      <c r="G1069" s="25" t="str">
        <f>IF(VLOOKUP(A1069,Aux!B:C,2,FALSE)=0,"",VLOOKUP(A1069,Aux!B:C,2,FALSE))</f>
        <v/>
      </c>
      <c r="H1069" s="25" t="str">
        <f t="shared" si="214"/>
        <v/>
      </c>
      <c r="L1069" s="13">
        <f t="shared" si="217"/>
        <v>122164.49888617609</v>
      </c>
      <c r="M1069" s="14">
        <f t="shared" si="218"/>
        <v>215.61542931078458</v>
      </c>
      <c r="N1069" s="14">
        <f t="shared" si="219"/>
        <v>25.12146444005052</v>
      </c>
      <c r="O1069" s="1">
        <f t="shared" si="220"/>
        <v>2.8122528930582922</v>
      </c>
      <c r="P1069" s="1">
        <f t="shared" si="221"/>
        <v>1867.7668728663691</v>
      </c>
      <c r="S1069" s="6">
        <f t="shared" si="215"/>
        <v>0.49458860463273069</v>
      </c>
      <c r="T1069" s="6">
        <f t="shared" si="216"/>
        <v>0.50541139536726887</v>
      </c>
      <c r="V1069" s="1">
        <f t="shared" si="222"/>
        <v>123520.1362580773</v>
      </c>
      <c r="W1069" s="7">
        <f t="shared" si="223"/>
        <v>1.9725403502940191E-3</v>
      </c>
      <c r="X1069" s="7">
        <f t="shared" si="224"/>
        <v>1.6770010348633336E-3</v>
      </c>
      <c r="Y1069">
        <f>LN(B1069/B1068)</f>
        <v>3.5749236024224217E-3</v>
      </c>
      <c r="Z1069">
        <f>LN(C1069/C1068)</f>
        <v>4.0695207831080595E-4</v>
      </c>
    </row>
    <row r="1070" spans="1:26" x14ac:dyDescent="0.3">
      <c r="A1070" s="11">
        <v>41754</v>
      </c>
      <c r="B1070" s="12">
        <v>21348.32</v>
      </c>
      <c r="C1070" s="12">
        <v>33.07076</v>
      </c>
      <c r="D1070" s="16">
        <f t="shared" si="226"/>
        <v>-6.360260219120728E-3</v>
      </c>
      <c r="E1070" s="15">
        <f t="shared" si="225"/>
        <v>4.071717895897109E-4</v>
      </c>
      <c r="G1070" s="25" t="str">
        <f>IF(VLOOKUP(A1070,Aux!B:C,2,FALSE)=0,"",VLOOKUP(A1070,Aux!B:C,2,FALSE))</f>
        <v/>
      </c>
      <c r="H1070" s="25" t="str">
        <f t="shared" si="214"/>
        <v/>
      </c>
      <c r="L1070" s="13">
        <f t="shared" si="217"/>
        <v>121805.34467044845</v>
      </c>
      <c r="M1070" s="14">
        <f t="shared" si="218"/>
        <v>-384.29435783641969</v>
      </c>
      <c r="N1070" s="14">
        <f t="shared" si="219"/>
        <v>25.140142108785113</v>
      </c>
      <c r="O1070" s="1">
        <f t="shared" si="220"/>
        <v>2.8122528930582922</v>
      </c>
      <c r="P1070" s="1">
        <f t="shared" si="221"/>
        <v>1867.7668728663691</v>
      </c>
      <c r="S1070" s="6">
        <f t="shared" si="215"/>
        <v>0.49289195678865738</v>
      </c>
      <c r="T1070" s="6">
        <f t="shared" si="216"/>
        <v>0.50710804321134217</v>
      </c>
      <c r="V1070" s="1">
        <f t="shared" si="222"/>
        <v>123234.99173096662</v>
      </c>
      <c r="W1070" s="7">
        <f t="shared" si="223"/>
        <v>-2.9442530268462865E-3</v>
      </c>
      <c r="X1070" s="7">
        <f t="shared" si="224"/>
        <v>-2.3111548388715418E-3</v>
      </c>
      <c r="Y1070">
        <f>LN(B1070/B1069)</f>
        <v>-6.3805728490285932E-3</v>
      </c>
      <c r="Z1070">
        <f>LN(C1070/C1069)</f>
        <v>4.0708891765123923E-4</v>
      </c>
    </row>
    <row r="1071" spans="1:26" x14ac:dyDescent="0.3">
      <c r="A1071" s="9">
        <v>41757</v>
      </c>
      <c r="B1071" s="1">
        <v>21342.35</v>
      </c>
      <c r="C1071" s="1">
        <v>33.084220000000002</v>
      </c>
      <c r="D1071" s="6">
        <f t="shared" si="226"/>
        <v>-2.7964729777341102E-4</v>
      </c>
      <c r="E1071" s="5">
        <f t="shared" si="225"/>
        <v>4.0700606820043284E-4</v>
      </c>
      <c r="G1071" s="25" t="str">
        <f>IF(VLOOKUP(A1071,Aux!B:C,2,FALSE)=0,"",VLOOKUP(A1071,Aux!B:C,2,FALSE))</f>
        <v/>
      </c>
      <c r="H1071" s="25" t="str">
        <f t="shared" si="214"/>
        <v/>
      </c>
      <c r="L1071" s="13">
        <f t="shared" si="217"/>
        <v>121813.69566278567</v>
      </c>
      <c r="M1071" s="14">
        <f t="shared" si="218"/>
        <v>-16.789149771561277</v>
      </c>
      <c r="N1071" s="14">
        <f t="shared" si="219"/>
        <v>25.140142108785113</v>
      </c>
      <c r="O1071" s="1">
        <f t="shared" si="220"/>
        <v>2.8122528930582922</v>
      </c>
      <c r="P1071" s="1">
        <f t="shared" si="221"/>
        <v>1867.7668728663691</v>
      </c>
      <c r="S1071" s="6">
        <f t="shared" si="215"/>
        <v>0.49272033990590841</v>
      </c>
      <c r="T1071" s="6">
        <f t="shared" si="216"/>
        <v>0.5072796600940912</v>
      </c>
      <c r="V1071" s="1">
        <f t="shared" si="222"/>
        <v>123251.33053506681</v>
      </c>
      <c r="W1071" s="7">
        <f t="shared" si="223"/>
        <v>6.8557796870603711E-5</v>
      </c>
      <c r="X1071" s="7">
        <f t="shared" si="224"/>
        <v>1.3257371828103204E-4</v>
      </c>
      <c r="Y1071">
        <f>LN(B1071/B1070)</f>
        <v>-2.7968640637023257E-4</v>
      </c>
      <c r="Z1071">
        <f>LN(C1071/C1070)</f>
        <v>4.0692326369785165E-4</v>
      </c>
    </row>
    <row r="1072" spans="1:26" x14ac:dyDescent="0.3">
      <c r="A1072" s="11">
        <v>41758</v>
      </c>
      <c r="B1072" s="12">
        <v>21508.560000000001</v>
      </c>
      <c r="C1072" s="12">
        <v>33.09769</v>
      </c>
      <c r="D1072" s="16">
        <f t="shared" si="226"/>
        <v>7.7878021867321401E-3</v>
      </c>
      <c r="E1072" s="15">
        <f t="shared" si="225"/>
        <v>4.0714274055719812E-4</v>
      </c>
      <c r="G1072" s="25" t="str">
        <f>IF(VLOOKUP(A1072,Aux!B:C,2,FALSE)=0,"",VLOOKUP(A1072,Aux!B:C,2,FALSE))</f>
        <v/>
      </c>
      <c r="H1072" s="25" t="str">
        <f t="shared" si="214"/>
        <v/>
      </c>
      <c r="L1072" s="13">
        <f t="shared" si="217"/>
        <v>122306.27903591841</v>
      </c>
      <c r="M1072" s="14">
        <f t="shared" si="218"/>
        <v>467.42455335522652</v>
      </c>
      <c r="N1072" s="14">
        <f t="shared" si="219"/>
        <v>25.158819777506434</v>
      </c>
      <c r="O1072" s="1">
        <f t="shared" si="220"/>
        <v>2.8122528930582922</v>
      </c>
      <c r="P1072" s="1">
        <f t="shared" si="221"/>
        <v>1867.7668728663691</v>
      </c>
      <c r="S1072" s="6">
        <f t="shared" si="215"/>
        <v>0.49455768389253457</v>
      </c>
      <c r="T1072" s="6">
        <f t="shared" si="216"/>
        <v>0.50544231610746504</v>
      </c>
      <c r="V1072" s="1">
        <f t="shared" si="222"/>
        <v>123664.91699338022</v>
      </c>
      <c r="W1072" s="7">
        <f t="shared" si="223"/>
        <v>4.0355898140464292E-3</v>
      </c>
      <c r="X1072" s="7">
        <f t="shared" si="224"/>
        <v>3.3500172568366538E-3</v>
      </c>
      <c r="Y1072">
        <f>LN(B1072/B1071)</f>
        <v>7.7576337844182126E-3</v>
      </c>
      <c r="Z1072">
        <f>LN(C1072/C1071)</f>
        <v>4.070598804414374E-4</v>
      </c>
    </row>
    <row r="1073" spans="1:26" x14ac:dyDescent="0.3">
      <c r="A1073" s="9">
        <v>41759</v>
      </c>
      <c r="B1073" s="1">
        <v>21406.3</v>
      </c>
      <c r="C1073" s="1">
        <v>33.111159999999998</v>
      </c>
      <c r="D1073" s="6">
        <f t="shared" si="226"/>
        <v>-4.7543861606729187E-3</v>
      </c>
      <c r="E1073" s="5">
        <f t="shared" si="225"/>
        <v>4.0697704280856506E-4</v>
      </c>
      <c r="G1073" s="25" t="str">
        <f>IF(VLOOKUP(A1073,Aux!B:C,2,FALSE)=0,"",VLOOKUP(A1073,Aux!B:C,2,FALSE))</f>
        <v/>
      </c>
      <c r="H1073" s="25" t="str">
        <f t="shared" si="214"/>
        <v/>
      </c>
      <c r="L1073" s="13">
        <f t="shared" si="217"/>
        <v>122043.85687485179</v>
      </c>
      <c r="M1073" s="14">
        <f t="shared" si="218"/>
        <v>-287.58098084414667</v>
      </c>
      <c r="N1073" s="14">
        <f t="shared" si="219"/>
        <v>25.158819777506434</v>
      </c>
      <c r="O1073" s="1">
        <f t="shared" si="220"/>
        <v>2.8122528930582922</v>
      </c>
      <c r="P1073" s="1">
        <f t="shared" si="221"/>
        <v>1867.7668728663691</v>
      </c>
      <c r="S1073" s="6">
        <f t="shared" si="215"/>
        <v>0.49326472176641317</v>
      </c>
      <c r="T1073" s="6">
        <f t="shared" si="216"/>
        <v>0.50673527823358633</v>
      </c>
      <c r="V1073" s="1">
        <f t="shared" si="222"/>
        <v>123459.1337705628</v>
      </c>
      <c r="W1073" s="7">
        <f t="shared" si="223"/>
        <v>-2.1479199181141523E-3</v>
      </c>
      <c r="X1073" s="7">
        <f t="shared" si="224"/>
        <v>-1.6654248726121197E-3</v>
      </c>
      <c r="Y1073">
        <f>LN(B1073/B1072)</f>
        <v>-4.7657242057929207E-3</v>
      </c>
      <c r="Z1073">
        <f>LN(C1073/C1072)</f>
        <v>4.0689425011426739E-4</v>
      </c>
    </row>
    <row r="1074" spans="1:26" x14ac:dyDescent="0.3">
      <c r="A1074" s="11">
        <v>41761</v>
      </c>
      <c r="B1074" s="12">
        <v>21839.040000000001</v>
      </c>
      <c r="C1074" s="12">
        <v>33.124639999999999</v>
      </c>
      <c r="D1074" s="16">
        <f t="shared" si="226"/>
        <v>2.0215544022087029E-2</v>
      </c>
      <c r="E1074" s="15">
        <f t="shared" si="225"/>
        <v>4.0711349285249554E-4</v>
      </c>
      <c r="G1074" s="25" t="str">
        <f>IF(VLOOKUP(A1074,Aux!B:C,2,FALSE)=0,"",VLOOKUP(A1074,Aux!B:C,2,FALSE))</f>
        <v/>
      </c>
      <c r="H1074" s="25" t="str">
        <f t="shared" si="214"/>
        <v/>
      </c>
      <c r="L1074" s="13">
        <f t="shared" si="217"/>
        <v>123286.00868924009</v>
      </c>
      <c r="M1074" s="14">
        <f t="shared" si="218"/>
        <v>1216.9743169420499</v>
      </c>
      <c r="N1074" s="14">
        <f t="shared" si="219"/>
        <v>25.177497446241027</v>
      </c>
      <c r="O1074" s="1">
        <f t="shared" si="220"/>
        <v>2.8122528930582922</v>
      </c>
      <c r="P1074" s="1">
        <f t="shared" si="221"/>
        <v>1867.7668728663691</v>
      </c>
      <c r="S1074" s="6">
        <f t="shared" si="215"/>
        <v>0.49816604556017224</v>
      </c>
      <c r="T1074" s="6">
        <f t="shared" si="216"/>
        <v>0.50183395443982715</v>
      </c>
      <c r="V1074" s="1">
        <f t="shared" si="222"/>
        <v>124487.63663347012</v>
      </c>
      <c r="W1074" s="7">
        <f t="shared" si="223"/>
        <v>1.0126467287250225E-2</v>
      </c>
      <c r="X1074" s="7">
        <f t="shared" si="224"/>
        <v>8.2962061598269611E-3</v>
      </c>
      <c r="Y1074">
        <f>LN(B1074/B1073)</f>
        <v>2.0013922640458908E-2</v>
      </c>
      <c r="Z1074">
        <f>LN(C1074/C1073)</f>
        <v>4.0703064463945186E-4</v>
      </c>
    </row>
    <row r="1075" spans="1:26" x14ac:dyDescent="0.3">
      <c r="A1075" s="9">
        <v>41764</v>
      </c>
      <c r="B1075" s="1">
        <v>22037.43</v>
      </c>
      <c r="C1075" s="1">
        <v>33.138120000000001</v>
      </c>
      <c r="D1075" s="6">
        <f t="shared" si="226"/>
        <v>9.0841905138687729E-3</v>
      </c>
      <c r="E1075" s="5">
        <f t="shared" si="225"/>
        <v>4.0694781890460163E-4</v>
      </c>
      <c r="G1075" s="25" t="str">
        <f>IF(VLOOKUP(A1075,Aux!B:C,2,FALSE)=0,"",VLOOKUP(A1075,Aux!B:C,2,FALSE))</f>
        <v/>
      </c>
      <c r="H1075" s="25" t="str">
        <f t="shared" si="214"/>
        <v/>
      </c>
      <c r="L1075" s="13">
        <f t="shared" si="217"/>
        <v>123869.10903814016</v>
      </c>
      <c r="M1075" s="14">
        <f t="shared" si="218"/>
        <v>557.922851453833</v>
      </c>
      <c r="N1075" s="14">
        <f t="shared" si="219"/>
        <v>25.177497446241027</v>
      </c>
      <c r="O1075" s="1">
        <f t="shared" si="220"/>
        <v>2.8122528930582922</v>
      </c>
      <c r="P1075" s="1">
        <f t="shared" si="221"/>
        <v>1867.7668728663691</v>
      </c>
      <c r="S1075" s="6">
        <f t="shared" si="215"/>
        <v>0.50032511539246738</v>
      </c>
      <c r="T1075" s="6">
        <f t="shared" si="216"/>
        <v>0.49967488460753201</v>
      </c>
      <c r="V1075" s="1">
        <f t="shared" si="222"/>
        <v>124975.48584877059</v>
      </c>
      <c r="W1075" s="7">
        <f t="shared" si="223"/>
        <v>4.7185058203228917E-3</v>
      </c>
      <c r="X1075" s="7">
        <f t="shared" si="224"/>
        <v>3.9111980348112132E-3</v>
      </c>
      <c r="Y1075">
        <f>LN(B1075/B1074)</f>
        <v>9.0431774484337653E-3</v>
      </c>
      <c r="Z1075">
        <f>LN(C1075/C1074)</f>
        <v>4.0686503809849692E-4</v>
      </c>
    </row>
    <row r="1076" spans="1:26" x14ac:dyDescent="0.3">
      <c r="A1076" s="11">
        <v>41765</v>
      </c>
      <c r="B1076" s="12">
        <v>22173.759999999998</v>
      </c>
      <c r="C1076" s="12">
        <v>33.151609999999998</v>
      </c>
      <c r="D1076" s="16">
        <f t="shared" si="226"/>
        <v>6.1862930477827316E-3</v>
      </c>
      <c r="E1076" s="15">
        <f t="shared" si="225"/>
        <v>4.0708404701295109E-4</v>
      </c>
      <c r="G1076" s="25" t="str">
        <f>IF(VLOOKUP(A1076,Aux!B:C,2,FALSE)=0,"",VLOOKUP(A1076,Aux!B:C,2,FALSE))</f>
        <v/>
      </c>
      <c r="H1076" s="25" t="str">
        <f t="shared" si="214"/>
        <v/>
      </c>
      <c r="L1076" s="13">
        <f t="shared" si="217"/>
        <v>124277.69965016576</v>
      </c>
      <c r="M1076" s="14">
        <f t="shared" si="218"/>
        <v>383.39443691063167</v>
      </c>
      <c r="N1076" s="14">
        <f t="shared" si="219"/>
        <v>25.196175114962347</v>
      </c>
      <c r="O1076" s="1">
        <f t="shared" si="220"/>
        <v>2.8122528930582922</v>
      </c>
      <c r="P1076" s="1">
        <f t="shared" si="221"/>
        <v>1867.7668728663691</v>
      </c>
      <c r="S1076" s="6">
        <f t="shared" si="215"/>
        <v>0.50176516692467654</v>
      </c>
      <c r="T1076" s="6">
        <f t="shared" si="216"/>
        <v>0.4982348330753229</v>
      </c>
      <c r="V1076" s="1">
        <f t="shared" si="222"/>
        <v>125320.18284452523</v>
      </c>
      <c r="W1076" s="7">
        <f t="shared" si="223"/>
        <v>3.293139117452981E-3</v>
      </c>
      <c r="X1076" s="7">
        <f t="shared" si="224"/>
        <v>2.7543202442787125E-3</v>
      </c>
      <c r="Y1076">
        <f>LN(B1076/B1075)</f>
        <v>6.1672364895319753E-3</v>
      </c>
      <c r="Z1076">
        <f>LN(C1076/C1075)</f>
        <v>4.070012107823944E-4</v>
      </c>
    </row>
    <row r="1077" spans="1:26" x14ac:dyDescent="0.3">
      <c r="A1077" s="9">
        <v>41766</v>
      </c>
      <c r="B1077" s="1">
        <v>22272.42</v>
      </c>
      <c r="C1077" s="1">
        <v>33.165109999999999</v>
      </c>
      <c r="D1077" s="6">
        <f t="shared" si="226"/>
        <v>4.4494032586264165E-3</v>
      </c>
      <c r="E1077" s="5">
        <f t="shared" si="225"/>
        <v>4.072200415001781E-4</v>
      </c>
      <c r="G1077" s="25" t="str">
        <f>IF(VLOOKUP(A1077,Aux!B:C,2,FALSE)=0,"",VLOOKUP(A1077,Aux!B:C,2,FALSE))</f>
        <v/>
      </c>
      <c r="H1077" s="25" t="str">
        <f t="shared" si="214"/>
        <v/>
      </c>
      <c r="L1077" s="13">
        <f t="shared" si="217"/>
        <v>124580.37137337858</v>
      </c>
      <c r="M1077" s="14">
        <f t="shared" si="218"/>
        <v>277.45687042913067</v>
      </c>
      <c r="N1077" s="14">
        <f t="shared" si="219"/>
        <v>25.214852783696937</v>
      </c>
      <c r="O1077" s="1">
        <f t="shared" si="220"/>
        <v>2.8122528930582922</v>
      </c>
      <c r="P1077" s="1">
        <f t="shared" si="221"/>
        <v>1867.7668728663691</v>
      </c>
      <c r="S1077" s="6">
        <f t="shared" si="215"/>
        <v>0.50277324501373177</v>
      </c>
      <c r="T1077" s="6">
        <f t="shared" si="216"/>
        <v>0.49722675498626762</v>
      </c>
      <c r="V1077" s="1">
        <f t="shared" si="222"/>
        <v>125577.99620390087</v>
      </c>
      <c r="W1077" s="7">
        <f t="shared" si="223"/>
        <v>2.4324858841026195E-3</v>
      </c>
      <c r="X1077" s="7">
        <f t="shared" si="224"/>
        <v>2.0551241232100062E-3</v>
      </c>
      <c r="Y1077">
        <f>LN(B1077/B1076)</f>
        <v>4.4395339282057309E-3</v>
      </c>
      <c r="Z1077">
        <f>LN(C1077/C1076)</f>
        <v>4.0713714992172295E-4</v>
      </c>
    </row>
    <row r="1078" spans="1:26" x14ac:dyDescent="0.3">
      <c r="A1078" s="11">
        <v>41767</v>
      </c>
      <c r="B1078" s="12">
        <v>22040.27</v>
      </c>
      <c r="C1078" s="12">
        <v>33.178609999999999</v>
      </c>
      <c r="D1078" s="16">
        <f t="shared" si="226"/>
        <v>-1.0423205022175308E-2</v>
      </c>
      <c r="E1078" s="15">
        <f t="shared" si="225"/>
        <v>4.0705428083920303E-4</v>
      </c>
      <c r="G1078" s="25" t="str">
        <f>IF(VLOOKUP(A1078,Aux!B:C,2,FALSE)=0,"",VLOOKUP(A1078,Aux!B:C,2,FALSE))</f>
        <v/>
      </c>
      <c r="H1078" s="25" t="str">
        <f t="shared" si="214"/>
        <v/>
      </c>
      <c r="L1078" s="13">
        <f t="shared" si="217"/>
        <v>123952.7217170388</v>
      </c>
      <c r="M1078" s="14">
        <f t="shared" si="218"/>
        <v>-652.86450912347641</v>
      </c>
      <c r="N1078" s="14">
        <f t="shared" si="219"/>
        <v>25.214852783696937</v>
      </c>
      <c r="O1078" s="1">
        <f t="shared" si="220"/>
        <v>2.8122528930582922</v>
      </c>
      <c r="P1078" s="1">
        <f t="shared" si="221"/>
        <v>1867.7668728663691</v>
      </c>
      <c r="S1078" s="6">
        <f t="shared" si="215"/>
        <v>0.50005205382082063</v>
      </c>
      <c r="T1078" s="6">
        <f t="shared" si="216"/>
        <v>0.49994794617917876</v>
      </c>
      <c r="V1078" s="1">
        <f t="shared" si="222"/>
        <v>125072.61932148077</v>
      </c>
      <c r="W1078" s="7">
        <f t="shared" si="223"/>
        <v>-5.0508443995686443E-3</v>
      </c>
      <c r="X1078" s="7">
        <f t="shared" si="224"/>
        <v>-4.0325260418739651E-3</v>
      </c>
      <c r="Y1078">
        <f>LN(B1078/B1077)</f>
        <v>-1.0477907069426385E-2</v>
      </c>
      <c r="Z1078">
        <f>LN(C1078/C1077)</f>
        <v>4.0697145672060736E-4</v>
      </c>
    </row>
    <row r="1079" spans="1:26" x14ac:dyDescent="0.3">
      <c r="A1079" s="9">
        <v>41768</v>
      </c>
      <c r="B1079" s="1">
        <v>21912.33</v>
      </c>
      <c r="C1079" s="1">
        <v>33.19211</v>
      </c>
      <c r="D1079" s="6">
        <f t="shared" si="226"/>
        <v>-5.8048290696982585E-3</v>
      </c>
      <c r="E1079" s="5">
        <f t="shared" si="225"/>
        <v>4.0688865507032546E-4</v>
      </c>
      <c r="G1079" s="25" t="str">
        <f>IF(VLOOKUP(A1079,Aux!B:C,2,FALSE)=0,"",VLOOKUP(A1079,Aux!B:C,2,FALSE))</f>
        <v/>
      </c>
      <c r="H1079" s="25" t="str">
        <f t="shared" si="214"/>
        <v/>
      </c>
      <c r="L1079" s="13">
        <f t="shared" si="217"/>
        <v>123618.13693468463</v>
      </c>
      <c r="M1079" s="14">
        <f t="shared" si="218"/>
        <v>-359.79963513787419</v>
      </c>
      <c r="N1079" s="14">
        <f t="shared" si="219"/>
        <v>25.214852783696937</v>
      </c>
      <c r="O1079" s="1">
        <f t="shared" si="220"/>
        <v>2.8122528930582922</v>
      </c>
      <c r="P1079" s="1">
        <f t="shared" si="221"/>
        <v>1867.7668728663691</v>
      </c>
      <c r="S1079" s="6">
        <f t="shared" si="215"/>
        <v>0.49849492124854944</v>
      </c>
      <c r="T1079" s="6">
        <f t="shared" si="216"/>
        <v>0.5015050787514499</v>
      </c>
      <c r="V1079" s="1">
        <f t="shared" si="222"/>
        <v>124807.65855434598</v>
      </c>
      <c r="W1079" s="7">
        <f t="shared" si="223"/>
        <v>-2.702943212944627E-3</v>
      </c>
      <c r="X1079" s="7">
        <f t="shared" si="224"/>
        <v>-2.1207025115352832E-3</v>
      </c>
      <c r="Y1079">
        <f>LN(B1079/B1078)</f>
        <v>-5.8217425750613791E-3</v>
      </c>
      <c r="Z1079">
        <f>LN(C1079/C1078)</f>
        <v>4.0680589832927137E-4</v>
      </c>
    </row>
    <row r="1080" spans="1:26" x14ac:dyDescent="0.3">
      <c r="A1080" s="11">
        <v>41771</v>
      </c>
      <c r="B1080" s="12">
        <v>22284.48</v>
      </c>
      <c r="C1080" s="12">
        <v>33.205620000000003</v>
      </c>
      <c r="D1080" s="16">
        <f t="shared" si="226"/>
        <v>1.6983588691845908E-2</v>
      </c>
      <c r="E1080" s="15">
        <f t="shared" si="225"/>
        <v>4.0702444044704578E-4</v>
      </c>
      <c r="G1080" s="25" t="str">
        <f>IF(VLOOKUP(A1080,Aux!B:C,2,FALSE)=0,"",VLOOKUP(A1080,Aux!B:C,2,FALSE))</f>
        <v/>
      </c>
      <c r="H1080" s="25" t="str">
        <f t="shared" si="214"/>
        <v/>
      </c>
      <c r="L1080" s="13">
        <f t="shared" si="217"/>
        <v>124689.9503792887</v>
      </c>
      <c r="M1080" s="14">
        <f t="shared" si="218"/>
        <v>1046.5799141516372</v>
      </c>
      <c r="N1080" s="14">
        <f t="shared" si="219"/>
        <v>25.23353045243153</v>
      </c>
      <c r="O1080" s="1">
        <f t="shared" si="220"/>
        <v>2.8122528930582922</v>
      </c>
      <c r="P1080" s="1">
        <f t="shared" si="221"/>
        <v>1867.7668728663691</v>
      </c>
      <c r="S1080" s="6">
        <f t="shared" si="215"/>
        <v>0.50260340275754267</v>
      </c>
      <c r="T1080" s="6">
        <f t="shared" si="216"/>
        <v>0.49739659724245666</v>
      </c>
      <c r="V1080" s="1">
        <f t="shared" si="222"/>
        <v>125696.4452817776</v>
      </c>
      <c r="W1080" s="7">
        <f t="shared" si="223"/>
        <v>8.63298584356041E-3</v>
      </c>
      <c r="X1080" s="7">
        <f t="shared" si="224"/>
        <v>7.0960151412530013E-3</v>
      </c>
      <c r="Y1080">
        <f>LN(B1080/B1079)</f>
        <v>1.6840979956717895E-2</v>
      </c>
      <c r="Z1080">
        <f>LN(C1080/C1079)</f>
        <v>4.069416284697223E-4</v>
      </c>
    </row>
    <row r="1081" spans="1:26" x14ac:dyDescent="0.3">
      <c r="A1081" s="9">
        <v>41772</v>
      </c>
      <c r="B1081" s="1">
        <v>22229.360000000001</v>
      </c>
      <c r="C1081" s="1">
        <v>33.219140000000003</v>
      </c>
      <c r="D1081" s="6">
        <f t="shared" si="226"/>
        <v>-2.4734703255359092E-3</v>
      </c>
      <c r="E1081" s="5">
        <f t="shared" si="225"/>
        <v>4.0715999279639092E-4</v>
      </c>
      <c r="G1081" s="25" t="str">
        <f>IF(VLOOKUP(A1081,Aux!B:C,2,FALSE)=0,"",VLOOKUP(A1081,Aux!B:C,2,FALSE))</f>
        <v/>
      </c>
      <c r="H1081" s="25" t="str">
        <f t="shared" si="214"/>
        <v/>
      </c>
      <c r="L1081" s="13">
        <f t="shared" si="217"/>
        <v>124560.19120794447</v>
      </c>
      <c r="M1081" s="14">
        <f t="shared" si="218"/>
        <v>-155.0113794653702</v>
      </c>
      <c r="N1081" s="14">
        <f t="shared" si="219"/>
        <v>25.252208121152851</v>
      </c>
      <c r="O1081" s="1">
        <f t="shared" si="220"/>
        <v>2.8122528930582922</v>
      </c>
      <c r="P1081" s="1">
        <f t="shared" si="221"/>
        <v>1867.7668728663691</v>
      </c>
      <c r="S1081" s="6">
        <f t="shared" si="215"/>
        <v>0.50188251450634491</v>
      </c>
      <c r="T1081" s="6">
        <f t="shared" si="216"/>
        <v>0.49811748549365459</v>
      </c>
      <c r="V1081" s="1">
        <f t="shared" si="222"/>
        <v>125599.52754454927</v>
      </c>
      <c r="W1081" s="7">
        <f t="shared" si="223"/>
        <v>-1.0411964642463873E-3</v>
      </c>
      <c r="X1081" s="7">
        <f t="shared" si="224"/>
        <v>-7.7134337604830314E-4</v>
      </c>
      <c r="Y1081">
        <f>LN(B1081/B1080)</f>
        <v>-2.4765344069139711E-3</v>
      </c>
      <c r="Z1081">
        <f>LN(C1081/C1080)</f>
        <v>4.0707712565921621E-4</v>
      </c>
    </row>
    <row r="1082" spans="1:26" x14ac:dyDescent="0.3">
      <c r="A1082" s="11">
        <v>41773</v>
      </c>
      <c r="B1082" s="12">
        <v>22426.29</v>
      </c>
      <c r="C1082" s="12">
        <v>33.232660000000003</v>
      </c>
      <c r="D1082" s="16">
        <f t="shared" si="226"/>
        <v>8.8590044877585594E-3</v>
      </c>
      <c r="E1082" s="15">
        <f t="shared" si="225"/>
        <v>4.0699428100787749E-4</v>
      </c>
      <c r="G1082" s="25" t="str">
        <f>IF(VLOOKUP(A1082,Aux!B:C,2,FALSE)=0,"",VLOOKUP(A1082,Aux!B:C,2,FALSE))</f>
        <v/>
      </c>
      <c r="H1082" s="25" t="str">
        <f t="shared" si="214"/>
        <v/>
      </c>
      <c r="L1082" s="13">
        <f t="shared" si="217"/>
        <v>125139.2603782956</v>
      </c>
      <c r="M1082" s="14">
        <f t="shared" si="218"/>
        <v>553.81696222997027</v>
      </c>
      <c r="N1082" s="14">
        <f t="shared" si="219"/>
        <v>25.252208121152851</v>
      </c>
      <c r="O1082" s="1">
        <f t="shared" si="220"/>
        <v>2.8122528930582922</v>
      </c>
      <c r="P1082" s="1">
        <f t="shared" si="221"/>
        <v>1867.7668728663691</v>
      </c>
      <c r="S1082" s="6">
        <f t="shared" si="215"/>
        <v>0.50398570953998512</v>
      </c>
      <c r="T1082" s="6">
        <f t="shared" si="216"/>
        <v>0.49601429046001433</v>
      </c>
      <c r="V1082" s="1">
        <f t="shared" si="222"/>
        <v>126084.09797407713</v>
      </c>
      <c r="W1082" s="7">
        <f t="shared" si="223"/>
        <v>4.6381376071563491E-3</v>
      </c>
      <c r="X1082" s="7">
        <f t="shared" si="224"/>
        <v>3.8506361093013672E-3</v>
      </c>
      <c r="Y1082">
        <f>LN(B1082/B1081)</f>
        <v>8.8199937358270676E-3</v>
      </c>
      <c r="Z1082">
        <f>LN(C1082/C1081)</f>
        <v>4.06911481300734E-4</v>
      </c>
    </row>
    <row r="1083" spans="1:26" x14ac:dyDescent="0.3">
      <c r="A1083" s="9">
        <v>41774</v>
      </c>
      <c r="B1083" s="1">
        <v>22193.66</v>
      </c>
      <c r="C1083" s="1">
        <v>33.246189999999999</v>
      </c>
      <c r="D1083" s="6">
        <f t="shared" si="226"/>
        <v>-1.0373093364974828E-2</v>
      </c>
      <c r="E1083" s="5">
        <f t="shared" si="225"/>
        <v>4.0712961285671589E-4</v>
      </c>
      <c r="G1083" s="25" t="str">
        <f>IF(VLOOKUP(A1083,Aux!B:C,2,FALSE)=0,"",VLOOKUP(A1083,Aux!B:C,2,FALSE))</f>
        <v/>
      </c>
      <c r="H1083" s="25" t="str">
        <f t="shared" si="214"/>
        <v/>
      </c>
      <c r="L1083" s="13">
        <f t="shared" si="217"/>
        <v>124510.31687357332</v>
      </c>
      <c r="M1083" s="14">
        <f t="shared" si="218"/>
        <v>-654.21439051215339</v>
      </c>
      <c r="N1083" s="14">
        <f t="shared" si="219"/>
        <v>25.270885789874171</v>
      </c>
      <c r="O1083" s="1">
        <f t="shared" si="220"/>
        <v>2.8122528930582922</v>
      </c>
      <c r="P1083" s="1">
        <f t="shared" si="221"/>
        <v>1867.7668728663691</v>
      </c>
      <c r="S1083" s="6">
        <f t="shared" si="215"/>
        <v>0.50127721228054467</v>
      </c>
      <c r="T1083" s="6">
        <f t="shared" si="216"/>
        <v>0.49872278771945477</v>
      </c>
      <c r="V1083" s="1">
        <f t="shared" si="222"/>
        <v>125577.68082884037</v>
      </c>
      <c r="W1083" s="7">
        <f t="shared" si="223"/>
        <v>-5.0386212727810669E-3</v>
      </c>
      <c r="X1083" s="7">
        <f t="shared" si="224"/>
        <v>-4.0245907121530177E-3</v>
      </c>
      <c r="Y1083">
        <f>LN(B1083/B1082)</f>
        <v>-1.0427268868648615E-2</v>
      </c>
      <c r="Z1083">
        <f>LN(C1083/C1082)</f>
        <v>4.0704675808354179E-4</v>
      </c>
    </row>
    <row r="1084" spans="1:26" x14ac:dyDescent="0.3">
      <c r="A1084" s="11">
        <v>41775</v>
      </c>
      <c r="B1084" s="12">
        <v>22236.33</v>
      </c>
      <c r="C1084" s="12">
        <v>33.259720000000002</v>
      </c>
      <c r="D1084" s="16">
        <f t="shared" si="226"/>
        <v>1.9226211449576702E-3</v>
      </c>
      <c r="E1084" s="15">
        <f t="shared" si="225"/>
        <v>4.0696392579131491E-4</v>
      </c>
      <c r="G1084" s="25" t="str">
        <f>IF(VLOOKUP(A1084,Aux!B:C,2,FALSE)=0,"",VLOOKUP(A1084,Aux!B:C,2,FALSE))</f>
        <v/>
      </c>
      <c r="H1084" s="25" t="str">
        <f t="shared" si="214"/>
        <v/>
      </c>
      <c r="L1084" s="13">
        <f t="shared" si="217"/>
        <v>124655.58659031001</v>
      </c>
      <c r="M1084" s="14">
        <f t="shared" si="218"/>
        <v>119.99883094680264</v>
      </c>
      <c r="N1084" s="14">
        <f t="shared" si="219"/>
        <v>25.270885789887444</v>
      </c>
      <c r="O1084" s="1">
        <f t="shared" si="220"/>
        <v>2.8122528930582922</v>
      </c>
      <c r="P1084" s="1">
        <f t="shared" si="221"/>
        <v>1867.7668728663691</v>
      </c>
      <c r="S1084" s="6">
        <f t="shared" si="215"/>
        <v>0.50165568254090542</v>
      </c>
      <c r="T1084" s="6">
        <f t="shared" si="216"/>
        <v>0.49834431745909402</v>
      </c>
      <c r="V1084" s="1">
        <f t="shared" si="222"/>
        <v>125706.39041364918</v>
      </c>
      <c r="W1084" s="7">
        <f t="shared" si="223"/>
        <v>1.1660482528070329E-3</v>
      </c>
      <c r="X1084" s="7">
        <f t="shared" si="224"/>
        <v>1.0244150807356626E-3</v>
      </c>
      <c r="Y1084">
        <f>LN(B1084/B1083)</f>
        <v>1.9207752744852063E-3</v>
      </c>
      <c r="Z1084">
        <f>LN(C1084/C1083)</f>
        <v>4.0688113843308449E-4</v>
      </c>
    </row>
    <row r="1085" spans="1:26" x14ac:dyDescent="0.3">
      <c r="A1085" s="9">
        <v>41778</v>
      </c>
      <c r="B1085" s="1">
        <v>21984.27</v>
      </c>
      <c r="C1085" s="1">
        <v>33.273260000000001</v>
      </c>
      <c r="D1085" s="6">
        <f t="shared" si="226"/>
        <v>-1.1335503655504398E-2</v>
      </c>
      <c r="E1085" s="5">
        <f t="shared" si="225"/>
        <v>4.0709903751445786E-4</v>
      </c>
      <c r="G1085" s="25" t="str">
        <f>IF(VLOOKUP(A1085,Aux!B:C,2,FALSE)=0,"",VLOOKUP(A1085,Aux!B:C,2,FALSE))</f>
        <v/>
      </c>
      <c r="H1085" s="25" t="str">
        <f t="shared" si="214"/>
        <v/>
      </c>
      <c r="L1085" s="13">
        <f t="shared" si="217"/>
        <v>123972.01968954434</v>
      </c>
      <c r="M1085" s="14">
        <f t="shared" si="218"/>
        <v>-708.85646422427681</v>
      </c>
      <c r="N1085" s="14">
        <f t="shared" si="219"/>
        <v>25.289563458608765</v>
      </c>
      <c r="O1085" s="1">
        <f t="shared" si="220"/>
        <v>2.8122528930582922</v>
      </c>
      <c r="P1085" s="1">
        <f t="shared" si="221"/>
        <v>1867.7668728663691</v>
      </c>
      <c r="S1085" s="6">
        <f t="shared" si="215"/>
        <v>0.49870387740798339</v>
      </c>
      <c r="T1085" s="6">
        <f t="shared" si="216"/>
        <v>0.50129612259201606</v>
      </c>
      <c r="V1085" s="1">
        <f t="shared" si="222"/>
        <v>125155.16995007201</v>
      </c>
      <c r="W1085" s="7">
        <f t="shared" si="223"/>
        <v>-5.498734700931456E-3</v>
      </c>
      <c r="X1085" s="7">
        <f t="shared" si="224"/>
        <v>-4.3946258638347451E-3</v>
      </c>
      <c r="Y1085">
        <f>LN(B1085/B1084)</f>
        <v>-1.1400240155895854E-2</v>
      </c>
      <c r="Z1085">
        <f>LN(C1085/C1084)</f>
        <v>4.0701619518387802E-4</v>
      </c>
    </row>
    <row r="1086" spans="1:26" x14ac:dyDescent="0.3">
      <c r="A1086" s="11">
        <v>41779</v>
      </c>
      <c r="B1086" s="12">
        <v>21593.95</v>
      </c>
      <c r="C1086" s="12">
        <v>33.286799999999999</v>
      </c>
      <c r="D1086" s="16">
        <f t="shared" si="226"/>
        <v>-1.7754512658368915E-2</v>
      </c>
      <c r="E1086" s="15">
        <f t="shared" si="225"/>
        <v>4.0693337532893281E-4</v>
      </c>
      <c r="G1086" s="25" t="str">
        <f>IF(VLOOKUP(A1086,Aux!B:C,2,FALSE)=0,"",VLOOKUP(A1086,Aux!B:C,2,FALSE))</f>
        <v/>
      </c>
      <c r="H1086" s="25" t="str">
        <f t="shared" si="214"/>
        <v/>
      </c>
      <c r="L1086" s="13">
        <f t="shared" si="217"/>
        <v>122899.63070378442</v>
      </c>
      <c r="M1086" s="14">
        <f t="shared" si="218"/>
        <v>-1097.6785492185118</v>
      </c>
      <c r="N1086" s="14">
        <f t="shared" si="219"/>
        <v>25.289563458608765</v>
      </c>
      <c r="O1086" s="1">
        <f t="shared" si="220"/>
        <v>2.8122528930582922</v>
      </c>
      <c r="P1086" s="1">
        <f t="shared" si="221"/>
        <v>1867.7668728663691</v>
      </c>
      <c r="S1086" s="6">
        <f t="shared" si="215"/>
        <v>0.49412392870751026</v>
      </c>
      <c r="T1086" s="6">
        <f t="shared" si="216"/>
        <v>0.50587607129248924</v>
      </c>
      <c r="V1086" s="1">
        <f t="shared" si="222"/>
        <v>124284.97883013416</v>
      </c>
      <c r="W1086" s="7">
        <f t="shared" si="223"/>
        <v>-8.6878807615577043E-3</v>
      </c>
      <c r="X1086" s="7">
        <f t="shared" si="224"/>
        <v>-6.9771819359721009E-3</v>
      </c>
      <c r="Y1086">
        <f>LN(B1086/B1085)</f>
        <v>-1.791401475963814E-2</v>
      </c>
      <c r="Z1086">
        <f>LN(C1086/C1085)</f>
        <v>4.0685060039811452E-4</v>
      </c>
    </row>
    <row r="1087" spans="1:26" x14ac:dyDescent="0.3">
      <c r="A1087" s="9">
        <v>41780</v>
      </c>
      <c r="B1087" s="1">
        <v>21541.16</v>
      </c>
      <c r="C1087" s="1">
        <v>33.300350000000002</v>
      </c>
      <c r="D1087" s="6">
        <f t="shared" si="226"/>
        <v>-2.4446662143795539E-3</v>
      </c>
      <c r="E1087" s="5">
        <f t="shared" si="225"/>
        <v>4.0706826730119161E-4</v>
      </c>
      <c r="G1087" s="25" t="str">
        <f>IF(VLOOKUP(A1087,Aux!B:C,2,FALSE)=0,"",VLOOKUP(A1087,Aux!B:C,2,FALSE))</f>
        <v/>
      </c>
      <c r="H1087" s="25" t="str">
        <f t="shared" si="214"/>
        <v/>
      </c>
      <c r="L1087" s="13">
        <f t="shared" si="217"/>
        <v>122776.48011468722</v>
      </c>
      <c r="M1087" s="14">
        <f t="shared" si="218"/>
        <v>-148.4588302245497</v>
      </c>
      <c r="N1087" s="14">
        <f t="shared" si="219"/>
        <v>25.308241127343358</v>
      </c>
      <c r="O1087" s="1">
        <f t="shared" si="220"/>
        <v>2.8122528930582922</v>
      </c>
      <c r="P1087" s="1">
        <f t="shared" si="221"/>
        <v>1867.7668728663691</v>
      </c>
      <c r="S1087" s="6">
        <f t="shared" si="215"/>
        <v>0.49341037854517161</v>
      </c>
      <c r="T1087" s="6">
        <f t="shared" si="216"/>
        <v>0.50658962145482789</v>
      </c>
      <c r="V1087" s="1">
        <f t="shared" si="222"/>
        <v>124193.50359838351</v>
      </c>
      <c r="W1087" s="7">
        <f t="shared" si="223"/>
        <v>-1.0025443581125684E-3</v>
      </c>
      <c r="X1087" s="7">
        <f t="shared" si="224"/>
        <v>-7.3628295689110118E-4</v>
      </c>
      <c r="Y1087">
        <f>LN(B1087/B1086)</f>
        <v>-2.447659289871504E-3</v>
      </c>
      <c r="Z1087">
        <f>LN(C1087/C1086)</f>
        <v>4.069854374915655E-4</v>
      </c>
    </row>
    <row r="1088" spans="1:26" x14ac:dyDescent="0.3">
      <c r="A1088" s="11">
        <v>41781</v>
      </c>
      <c r="B1088" s="12">
        <v>21780.34</v>
      </c>
      <c r="C1088" s="12">
        <v>33.31391</v>
      </c>
      <c r="D1088" s="16">
        <f t="shared" si="226"/>
        <v>1.1103394617560047E-2</v>
      </c>
      <c r="E1088" s="15">
        <f t="shared" si="225"/>
        <v>4.0720292729656826E-4</v>
      </c>
      <c r="G1088" s="25" t="str">
        <f>IF(VLOOKUP(A1088,Aux!B:C,2,FALSE)=0,"",VLOOKUP(A1088,Aux!B:C,2,FALSE))</f>
        <v/>
      </c>
      <c r="H1088" s="25" t="str">
        <f t="shared" si="214"/>
        <v/>
      </c>
      <c r="L1088" s="13">
        <f t="shared" si="217"/>
        <v>123474.44168044497</v>
      </c>
      <c r="M1088" s="14">
        <f t="shared" si="218"/>
        <v>672.63464696168319</v>
      </c>
      <c r="N1088" s="14">
        <f t="shared" si="219"/>
        <v>25.326918796064678</v>
      </c>
      <c r="O1088" s="1">
        <f t="shared" si="220"/>
        <v>2.8122528930582922</v>
      </c>
      <c r="P1088" s="1">
        <f t="shared" si="221"/>
        <v>1867.7668728663691</v>
      </c>
      <c r="S1088" s="6">
        <f t="shared" si="215"/>
        <v>0.4960688490927907</v>
      </c>
      <c r="T1088" s="6">
        <f t="shared" si="216"/>
        <v>0.50393115090720875</v>
      </c>
      <c r="V1088" s="1">
        <f t="shared" si="222"/>
        <v>124775.63574112272</v>
      </c>
      <c r="W1088" s="7">
        <f t="shared" si="223"/>
        <v>5.6687173368868311E-3</v>
      </c>
      <c r="X1088" s="7">
        <f t="shared" si="224"/>
        <v>4.67634828262899E-3</v>
      </c>
      <c r="Y1088">
        <f>LN(B1088/B1087)</f>
        <v>1.1042204460544793E-2</v>
      </c>
      <c r="Z1088">
        <f>LN(C1088/C1087)</f>
        <v>4.0712004268437661E-4</v>
      </c>
    </row>
    <row r="1089" spans="1:26" x14ac:dyDescent="0.3">
      <c r="A1089" s="9">
        <v>41782</v>
      </c>
      <c r="B1089" s="1">
        <v>21704.560000000001</v>
      </c>
      <c r="C1089" s="1">
        <v>33.327469999999998</v>
      </c>
      <c r="D1089" s="6">
        <f t="shared" si="226"/>
        <v>-3.4792845290751995E-3</v>
      </c>
      <c r="E1089" s="5">
        <f t="shared" si="225"/>
        <v>4.070371805651174E-4</v>
      </c>
      <c r="G1089" s="25" t="str">
        <f>IF(VLOOKUP(A1089,Aux!B:C,2,FALSE)=0,"",VLOOKUP(A1089,Aux!B:C,2,FALSE))</f>
        <v/>
      </c>
      <c r="H1089" s="25" t="str">
        <f t="shared" si="214"/>
        <v/>
      </c>
      <c r="L1089" s="13">
        <f t="shared" si="217"/>
        <v>123286.65607500508</v>
      </c>
      <c r="M1089" s="14">
        <f t="shared" si="218"/>
        <v>-213.11252423595411</v>
      </c>
      <c r="N1089" s="14">
        <f t="shared" si="219"/>
        <v>25.326918796064678</v>
      </c>
      <c r="O1089" s="1">
        <f t="shared" si="220"/>
        <v>2.8122528930582922</v>
      </c>
      <c r="P1089" s="1">
        <f t="shared" si="221"/>
        <v>1867.7668728663691</v>
      </c>
      <c r="S1089" s="6">
        <f t="shared" si="215"/>
        <v>0.49509584894104508</v>
      </c>
      <c r="T1089" s="6">
        <f t="shared" si="216"/>
        <v>0.50490415105895436</v>
      </c>
      <c r="V1089" s="1">
        <f t="shared" si="222"/>
        <v>124631.14414650219</v>
      </c>
      <c r="W1089" s="7">
        <f t="shared" si="223"/>
        <v>-1.5220036172505455E-3</v>
      </c>
      <c r="X1089" s="7">
        <f t="shared" si="224"/>
        <v>-1.1586823008674374E-3</v>
      </c>
      <c r="Y1089">
        <f>LN(B1089/B1088)</f>
        <v>-3.4853513156310446E-3</v>
      </c>
      <c r="Z1089">
        <f>LN(C1089/C1088)</f>
        <v>4.0695436340428318E-4</v>
      </c>
    </row>
    <row r="1090" spans="1:26" x14ac:dyDescent="0.3">
      <c r="A1090" s="11">
        <v>41785</v>
      </c>
      <c r="B1090" s="12">
        <v>21824.18</v>
      </c>
      <c r="C1090" s="12">
        <v>33.341030000000003</v>
      </c>
      <c r="D1090" s="16">
        <f t="shared" si="226"/>
        <v>5.5112842646889426E-3</v>
      </c>
      <c r="E1090" s="15">
        <f t="shared" si="225"/>
        <v>4.0687156870911068E-4</v>
      </c>
      <c r="G1090" s="25" t="str">
        <f>IF(VLOOKUP(A1090,Aux!B:C,2,FALSE)=0,"",VLOOKUP(A1090,Aux!B:C,2,FALSE))</f>
        <v/>
      </c>
      <c r="H1090" s="25" t="str">
        <f t="shared" si="214"/>
        <v/>
      </c>
      <c r="L1090" s="13">
        <f t="shared" si="217"/>
        <v>123648.3846848688</v>
      </c>
      <c r="M1090" s="14">
        <f t="shared" si="218"/>
        <v>336.40169106763005</v>
      </c>
      <c r="N1090" s="14">
        <f t="shared" si="219"/>
        <v>25.326918796077951</v>
      </c>
      <c r="O1090" s="1">
        <f t="shared" si="220"/>
        <v>2.8122528930582922</v>
      </c>
      <c r="P1090" s="1">
        <f t="shared" si="221"/>
        <v>1867.7668728663691</v>
      </c>
      <c r="S1090" s="6">
        <f t="shared" si="215"/>
        <v>0.49636809651857561</v>
      </c>
      <c r="T1090" s="6">
        <f t="shared" si="216"/>
        <v>0.50363190348142384</v>
      </c>
      <c r="V1090" s="1">
        <f t="shared" si="222"/>
        <v>124937.44718701024</v>
      </c>
      <c r="W1090" s="7">
        <f t="shared" si="223"/>
        <v>2.9297491963060722E-3</v>
      </c>
      <c r="X1090" s="7">
        <f t="shared" si="224"/>
        <v>2.4546614032662051E-3</v>
      </c>
      <c r="Y1090">
        <f>LN(B1090/B1089)</f>
        <v>5.4961527083124562E-3</v>
      </c>
      <c r="Z1090">
        <f>LN(C1090/C1089)</f>
        <v>4.0678881891732961E-4</v>
      </c>
    </row>
    <row r="1091" spans="1:26" x14ac:dyDescent="0.3">
      <c r="A1091" s="9">
        <v>41786</v>
      </c>
      <c r="B1091" s="1">
        <v>21510.27</v>
      </c>
      <c r="C1091" s="1">
        <v>33.354610000000001</v>
      </c>
      <c r="D1091" s="6">
        <f t="shared" si="226"/>
        <v>-1.4383587378769769E-2</v>
      </c>
      <c r="E1091" s="5">
        <f t="shared" si="225"/>
        <v>4.0730595305538131E-4</v>
      </c>
      <c r="G1091" s="25" t="str">
        <f>IF(VLOOKUP(A1091,Aux!B:C,2,FALSE)=0,"",VLOOKUP(A1091,Aux!B:C,2,FALSE))</f>
        <v/>
      </c>
      <c r="H1091" s="25" t="str">
        <f t="shared" ref="H1091:H1154" si="227">IF(ISNUMBER(G1091),1-G1091,"")</f>
        <v/>
      </c>
      <c r="L1091" s="13">
        <f t="shared" si="217"/>
        <v>122790.95465334239</v>
      </c>
      <c r="M1091" s="14">
        <f t="shared" si="218"/>
        <v>-882.79430565992811</v>
      </c>
      <c r="N1091" s="14">
        <f t="shared" si="219"/>
        <v>25.364274133520592</v>
      </c>
      <c r="O1091" s="1">
        <f t="shared" si="220"/>
        <v>2.8122528930582922</v>
      </c>
      <c r="P1091" s="1">
        <f t="shared" si="221"/>
        <v>1867.7668728663691</v>
      </c>
      <c r="S1091" s="6">
        <f t="shared" ref="S1091:S1154" si="228">O1091*B1091/L1091</f>
        <v>0.49264474902686473</v>
      </c>
      <c r="T1091" s="6">
        <f t="shared" ref="T1091:T1154" si="229">P1091*C1091/L1091</f>
        <v>0.50735525097313461</v>
      </c>
      <c r="V1091" s="1">
        <f t="shared" si="222"/>
        <v>124243.62609520694</v>
      </c>
      <c r="W1091" s="7">
        <f t="shared" si="223"/>
        <v>-6.9585764487437446E-3</v>
      </c>
      <c r="X1091" s="7">
        <f t="shared" si="224"/>
        <v>-5.5688249168957659E-3</v>
      </c>
      <c r="Y1091">
        <f>LN(B1091/B1090)</f>
        <v>-1.4488033925510728E-2</v>
      </c>
      <c r="Z1091">
        <f>LN(C1091/C1090)</f>
        <v>4.0722302650257239E-4</v>
      </c>
    </row>
    <row r="1092" spans="1:26" x14ac:dyDescent="0.3">
      <c r="A1092" s="11">
        <v>41787</v>
      </c>
      <c r="B1092" s="12">
        <v>21695.41</v>
      </c>
      <c r="C1092" s="12">
        <v>33.368180000000002</v>
      </c>
      <c r="D1092" s="16">
        <f t="shared" si="226"/>
        <v>8.6070514224134698E-3</v>
      </c>
      <c r="E1092" s="15">
        <f t="shared" si="225"/>
        <v>4.0684031382776098E-4</v>
      </c>
      <c r="G1092" s="25" t="str">
        <f>IF(VLOOKUP(A1092,Aux!B:C,2,FALSE)=0,"",VLOOKUP(A1092,Aux!B:C,2,FALSE))</f>
        <v/>
      </c>
      <c r="H1092" s="25" t="str">
        <f t="shared" si="227"/>
        <v/>
      </c>
      <c r="L1092" s="13">
        <f t="shared" ref="L1092:L1155" si="230">L1091+M1092+N1092</f>
        <v>123336.960750428</v>
      </c>
      <c r="M1092" s="14">
        <f t="shared" ref="M1092:M1155" si="231">O1091*(B1092-B1091)</f>
        <v>520.66050062081058</v>
      </c>
      <c r="N1092" s="14">
        <f t="shared" ref="N1092:N1155" si="232">P1091*(C1092-C1091)</f>
        <v>25.345596464799272</v>
      </c>
      <c r="O1092" s="1">
        <f t="shared" ref="O1092:O1155" si="233">IF(ISNUMBER(G1092),L1092*G1092/B1092,O1091)</f>
        <v>2.8122528930582922</v>
      </c>
      <c r="P1092" s="1">
        <f t="shared" ref="P1092:P1155" si="234">IF(ISNUMBER(H1092),L1092*H1092/C1092,P1091)</f>
        <v>1867.7668728663691</v>
      </c>
      <c r="S1092" s="6">
        <f t="shared" si="228"/>
        <v>0.49468528466535994</v>
      </c>
      <c r="T1092" s="6">
        <f t="shared" si="229"/>
        <v>0.50531471533463945</v>
      </c>
      <c r="V1092" s="1">
        <f t="shared" ref="V1092:V1155" si="235">$O$2*B1092+$P$2*C1092</f>
        <v>124701.10843894148</v>
      </c>
      <c r="W1092" s="7">
        <f t="shared" ref="W1092:W1155" si="236">LN(L1092/L1091)</f>
        <v>4.4367742022722069E-3</v>
      </c>
      <c r="X1092" s="7">
        <f t="shared" ref="X1092:X1155" si="237">LN(V1092/V1091)</f>
        <v>3.6753768628863558E-3</v>
      </c>
      <c r="Y1092">
        <f>LN(B1092/B1091)</f>
        <v>8.5702219333059267E-3</v>
      </c>
      <c r="Z1092">
        <f>LN(C1092/C1091)</f>
        <v>4.0675757674704254E-4</v>
      </c>
    </row>
    <row r="1093" spans="1:26" x14ac:dyDescent="0.3">
      <c r="A1093" s="9">
        <v>41788</v>
      </c>
      <c r="B1093" s="1">
        <v>21556.91</v>
      </c>
      <c r="C1093" s="1">
        <v>33.38176</v>
      </c>
      <c r="D1093" s="6">
        <f t="shared" si="226"/>
        <v>-6.3838387935513108E-3</v>
      </c>
      <c r="E1093" s="5">
        <f t="shared" ref="E1093:E1156" si="238">C1093/C1092-1</f>
        <v>4.0697454880667117E-4</v>
      </c>
      <c r="G1093" s="25" t="str">
        <f>IF(VLOOKUP(A1093,Aux!B:C,2,FALSE)=0,"",VLOOKUP(A1093,Aux!B:C,2,FALSE))</f>
        <v/>
      </c>
      <c r="H1093" s="25" t="str">
        <f t="shared" si="227"/>
        <v/>
      </c>
      <c r="L1093" s="13">
        <f t="shared" si="230"/>
        <v>122972.82799887295</v>
      </c>
      <c r="M1093" s="14">
        <f t="shared" si="231"/>
        <v>-389.49702568857344</v>
      </c>
      <c r="N1093" s="14">
        <f t="shared" si="232"/>
        <v>25.364274133520592</v>
      </c>
      <c r="O1093" s="1">
        <f t="shared" si="233"/>
        <v>2.8122528930582922</v>
      </c>
      <c r="P1093" s="1">
        <f t="shared" si="234"/>
        <v>1867.7668728663691</v>
      </c>
      <c r="S1093" s="6">
        <f t="shared" si="228"/>
        <v>0.49298274667191394</v>
      </c>
      <c r="T1093" s="6">
        <f t="shared" si="229"/>
        <v>0.50701725332808545</v>
      </c>
      <c r="V1093" s="1">
        <f t="shared" si="235"/>
        <v>124411.96435301282</v>
      </c>
      <c r="W1093" s="7">
        <f t="shared" si="236"/>
        <v>-2.9567076377950041E-3</v>
      </c>
      <c r="X1093" s="7">
        <f t="shared" si="237"/>
        <v>-2.3213893396614432E-3</v>
      </c>
      <c r="Y1093">
        <f>LN(B1093/B1092)</f>
        <v>-6.4043026308045333E-3</v>
      </c>
      <c r="Z1093">
        <f>LN(C1093/C1092)</f>
        <v>4.0689175712695899E-4</v>
      </c>
    </row>
    <row r="1094" spans="1:26" x14ac:dyDescent="0.3">
      <c r="A1094" s="11">
        <v>41789</v>
      </c>
      <c r="B1094" s="12">
        <v>21167.57</v>
      </c>
      <c r="C1094" s="12">
        <v>33.395350000000001</v>
      </c>
      <c r="D1094" s="16">
        <f t="shared" si="226"/>
        <v>-1.8061030082697438E-2</v>
      </c>
      <c r="E1094" s="15">
        <f t="shared" si="238"/>
        <v>4.0710855269465718E-4</v>
      </c>
      <c r="G1094" s="25" t="str">
        <f>IF(VLOOKUP(A1094,Aux!B:C,2,FALSE)=0,"",VLOOKUP(A1094,Aux!B:C,2,FALSE))</f>
        <v/>
      </c>
      <c r="H1094" s="25" t="str">
        <f t="shared" si="227"/>
        <v/>
      </c>
      <c r="L1094" s="13">
        <f t="shared" si="230"/>
        <v>121903.28840929188</v>
      </c>
      <c r="M1094" s="14">
        <f t="shared" si="231"/>
        <v>-1094.9225413833158</v>
      </c>
      <c r="N1094" s="14">
        <f t="shared" si="232"/>
        <v>25.382951802255185</v>
      </c>
      <c r="O1094" s="1">
        <f t="shared" si="233"/>
        <v>2.8122528930582922</v>
      </c>
      <c r="P1094" s="1">
        <f t="shared" si="234"/>
        <v>1867.7668728663691</v>
      </c>
      <c r="S1094" s="6">
        <f t="shared" si="228"/>
        <v>0.48832612104479078</v>
      </c>
      <c r="T1094" s="6">
        <f t="shared" si="229"/>
        <v>0.51167387895520866</v>
      </c>
      <c r="V1094" s="1">
        <f t="shared" si="235"/>
        <v>123544.14598397864</v>
      </c>
      <c r="W1094" s="7">
        <f t="shared" si="236"/>
        <v>-8.7354079802067185E-3</v>
      </c>
      <c r="X1094" s="7">
        <f t="shared" si="237"/>
        <v>-6.9998025960615736E-3</v>
      </c>
      <c r="Y1094">
        <f>LN(B1094/B1093)</f>
        <v>-1.8226121319369747E-2</v>
      </c>
      <c r="Z1094">
        <f>LN(C1094/C1093)</f>
        <v>4.0702570649198773E-4</v>
      </c>
    </row>
    <row r="1095" spans="1:26" x14ac:dyDescent="0.3">
      <c r="A1095" s="9">
        <v>41792</v>
      </c>
      <c r="B1095" s="1">
        <v>21313.58</v>
      </c>
      <c r="C1095" s="1">
        <v>33.408949999999997</v>
      </c>
      <c r="D1095" s="6">
        <f t="shared" si="226"/>
        <v>6.8978158569925618E-3</v>
      </c>
      <c r="E1095" s="5">
        <f t="shared" si="238"/>
        <v>4.072423256529234E-4</v>
      </c>
      <c r="G1095" s="25" t="str">
        <f>IF(VLOOKUP(A1095,Aux!B:C,2,FALSE)=0,"",VLOOKUP(A1095,Aux!B:C,2,FALSE))</f>
        <v/>
      </c>
      <c r="H1095" s="25" t="str">
        <f t="shared" si="227"/>
        <v/>
      </c>
      <c r="L1095" s="13">
        <f t="shared" si="230"/>
        <v>122339.3070836783</v>
      </c>
      <c r="M1095" s="14">
        <f t="shared" si="231"/>
        <v>410.61704491544697</v>
      </c>
      <c r="N1095" s="14">
        <f t="shared" si="232"/>
        <v>25.401629470976506</v>
      </c>
      <c r="O1095" s="1">
        <f t="shared" si="233"/>
        <v>2.8122528930582922</v>
      </c>
      <c r="P1095" s="1">
        <f t="shared" si="234"/>
        <v>1867.7668728663691</v>
      </c>
      <c r="S1095" s="6">
        <f t="shared" si="228"/>
        <v>0.48994209992894466</v>
      </c>
      <c r="T1095" s="6">
        <f t="shared" si="229"/>
        <v>0.51005790007105489</v>
      </c>
      <c r="V1095" s="1">
        <f t="shared" si="235"/>
        <v>123911.42116291227</v>
      </c>
      <c r="W1095" s="7">
        <f t="shared" si="236"/>
        <v>3.5703775313127312E-3</v>
      </c>
      <c r="X1095" s="7">
        <f t="shared" si="237"/>
        <v>2.9684153228395111E-3</v>
      </c>
      <c r="Y1095">
        <f>LN(B1095/B1094)</f>
        <v>6.8741347613843502E-3</v>
      </c>
      <c r="Z1095">
        <f>LN(C1095/C1094)</f>
        <v>4.0715942500336034E-4</v>
      </c>
    </row>
    <row r="1096" spans="1:26" x14ac:dyDescent="0.3">
      <c r="A1096" s="11">
        <v>41793</v>
      </c>
      <c r="B1096" s="12">
        <v>21497.61</v>
      </c>
      <c r="C1096" s="12">
        <v>33.422550000000001</v>
      </c>
      <c r="D1096" s="16">
        <f t="shared" si="226"/>
        <v>8.634401165829475E-3</v>
      </c>
      <c r="E1096" s="15">
        <f t="shared" si="238"/>
        <v>4.0707654685356864E-4</v>
      </c>
      <c r="G1096" s="25" t="str">
        <f>IF(VLOOKUP(A1096,Aux!B:C,2,FALSE)=0,"",VLOOKUP(A1096,Aux!B:C,2,FALSE))</f>
        <v/>
      </c>
      <c r="H1096" s="25" t="str">
        <f t="shared" si="227"/>
        <v/>
      </c>
      <c r="L1096" s="13">
        <f t="shared" si="230"/>
        <v>122882.2476130588</v>
      </c>
      <c r="M1096" s="14">
        <f t="shared" si="231"/>
        <v>517.53889990951427</v>
      </c>
      <c r="N1096" s="14">
        <f t="shared" si="232"/>
        <v>25.401629470989775</v>
      </c>
      <c r="O1096" s="1">
        <f t="shared" si="233"/>
        <v>2.8122528930582922</v>
      </c>
      <c r="P1096" s="1">
        <f t="shared" si="234"/>
        <v>1867.7668728663691</v>
      </c>
      <c r="S1096" s="6">
        <f t="shared" si="228"/>
        <v>0.491989014611042</v>
      </c>
      <c r="T1096" s="6">
        <f t="shared" si="229"/>
        <v>0.50801098538895739</v>
      </c>
      <c r="V1096" s="1">
        <f t="shared" si="235"/>
        <v>124366.40981179263</v>
      </c>
      <c r="W1096" s="7">
        <f t="shared" si="236"/>
        <v>4.4281704130606043E-3</v>
      </c>
      <c r="X1096" s="7">
        <f t="shared" si="237"/>
        <v>3.6651613753138097E-3</v>
      </c>
      <c r="Y1096">
        <f>LN(B1096/B1095)</f>
        <v>8.5973379172478489E-3</v>
      </c>
      <c r="Z1096">
        <f>LN(C1096/C1095)</f>
        <v>4.0699371367493666E-4</v>
      </c>
    </row>
    <row r="1097" spans="1:26" x14ac:dyDescent="0.3">
      <c r="A1097" s="9">
        <v>41794</v>
      </c>
      <c r="B1097" s="1">
        <v>21417.919999999998</v>
      </c>
      <c r="C1097" s="1">
        <v>33.436149999999998</v>
      </c>
      <c r="D1097" s="6">
        <f t="shared" si="226"/>
        <v>-3.706923699890452E-3</v>
      </c>
      <c r="E1097" s="5">
        <f t="shared" si="238"/>
        <v>4.0691090296807175E-4</v>
      </c>
      <c r="G1097" s="25" t="str">
        <f>IF(VLOOKUP(A1097,Aux!B:C,2,FALSE)=0,"",VLOOKUP(A1097,Aux!B:C,2,FALSE))</f>
        <v/>
      </c>
      <c r="H1097" s="25" t="str">
        <f t="shared" si="227"/>
        <v/>
      </c>
      <c r="L1097" s="13">
        <f t="shared" si="230"/>
        <v>122683.54080948196</v>
      </c>
      <c r="M1097" s="14">
        <f t="shared" si="231"/>
        <v>-224.10843304782185</v>
      </c>
      <c r="N1097" s="14">
        <f t="shared" si="232"/>
        <v>25.401629470976506</v>
      </c>
      <c r="O1097" s="1">
        <f t="shared" si="233"/>
        <v>2.8122528930582922</v>
      </c>
      <c r="P1097" s="1">
        <f t="shared" si="234"/>
        <v>1867.7668728663691</v>
      </c>
      <c r="S1097" s="6">
        <f t="shared" si="228"/>
        <v>0.49095915463368983</v>
      </c>
      <c r="T1097" s="6">
        <f t="shared" si="229"/>
        <v>0.50904084536630967</v>
      </c>
      <c r="V1097" s="1">
        <f t="shared" si="235"/>
        <v>124212.98719569802</v>
      </c>
      <c r="W1097" s="7">
        <f t="shared" si="236"/>
        <v>-1.6183593669337223E-3</v>
      </c>
      <c r="X1097" s="7">
        <f t="shared" si="237"/>
        <v>-1.2343954279625217E-3</v>
      </c>
      <c r="Y1097">
        <f>LN(B1097/B1096)</f>
        <v>-3.7138113681912627E-3</v>
      </c>
      <c r="Z1097">
        <f>LN(C1097/C1096)</f>
        <v>4.0682813717803502E-4</v>
      </c>
    </row>
    <row r="1098" spans="1:26" x14ac:dyDescent="0.3">
      <c r="A1098" s="11">
        <v>41795</v>
      </c>
      <c r="B1098" s="12">
        <v>21314.95</v>
      </c>
      <c r="C1098" s="12">
        <v>33.449759999999998</v>
      </c>
      <c r="D1098" s="16">
        <f t="shared" si="226"/>
        <v>-4.8076563924039917E-3</v>
      </c>
      <c r="E1098" s="15">
        <f t="shared" si="238"/>
        <v>4.0704447132822175E-4</v>
      </c>
      <c r="G1098" s="25" t="str">
        <f>IF(VLOOKUP(A1098,Aux!B:C,2,FALSE)=0,"",VLOOKUP(A1098,Aux!B:C,2,FALSE))</f>
        <v/>
      </c>
      <c r="H1098" s="25" t="str">
        <f t="shared" si="227"/>
        <v/>
      </c>
      <c r="L1098" s="13">
        <f t="shared" si="230"/>
        <v>122419.38343622346</v>
      </c>
      <c r="M1098" s="14">
        <f t="shared" si="231"/>
        <v>-289.57768039820542</v>
      </c>
      <c r="N1098" s="14">
        <f t="shared" si="232"/>
        <v>25.420307139711095</v>
      </c>
      <c r="O1098" s="1">
        <f t="shared" si="233"/>
        <v>2.8122528930582922</v>
      </c>
      <c r="P1098" s="1">
        <f t="shared" si="234"/>
        <v>1867.7668728663691</v>
      </c>
      <c r="S1098" s="6">
        <f t="shared" si="228"/>
        <v>0.4896530934916955</v>
      </c>
      <c r="T1098" s="6">
        <f t="shared" si="229"/>
        <v>0.51034690650830394</v>
      </c>
      <c r="V1098" s="1">
        <f t="shared" si="235"/>
        <v>124005.87917658927</v>
      </c>
      <c r="W1098" s="7">
        <f t="shared" si="236"/>
        <v>-2.1554820396094162E-3</v>
      </c>
      <c r="X1098" s="7">
        <f t="shared" si="237"/>
        <v>-1.6687536301929415E-3</v>
      </c>
      <c r="Y1098">
        <f>LN(B1098/B1097)</f>
        <v>-4.8192503471574267E-3</v>
      </c>
      <c r="Z1098">
        <f>LN(C1098/C1097)</f>
        <v>4.0696165120095677E-4</v>
      </c>
    </row>
    <row r="1099" spans="1:26" x14ac:dyDescent="0.3">
      <c r="A1099" s="9">
        <v>41796</v>
      </c>
      <c r="B1099" s="1">
        <v>21928.38</v>
      </c>
      <c r="C1099" s="1">
        <v>33.463380000000001</v>
      </c>
      <c r="D1099" s="6">
        <f t="shared" si="226"/>
        <v>2.8779330939082692E-2</v>
      </c>
      <c r="E1099" s="5">
        <f t="shared" si="238"/>
        <v>4.0717780934751424E-4</v>
      </c>
      <c r="G1099" s="25" t="str">
        <f>IF(VLOOKUP(A1099,Aux!B:C,2,FALSE)=0,"",VLOOKUP(A1099,Aux!B:C,2,FALSE))</f>
        <v/>
      </c>
      <c r="H1099" s="25" t="str">
        <f t="shared" si="227"/>
        <v/>
      </c>
      <c r="L1099" s="13">
        <f t="shared" si="230"/>
        <v>124169.94271322065</v>
      </c>
      <c r="M1099" s="14">
        <f t="shared" si="231"/>
        <v>1725.1202921887491</v>
      </c>
      <c r="N1099" s="14">
        <f t="shared" si="232"/>
        <v>25.438984808445689</v>
      </c>
      <c r="O1099" s="1">
        <f t="shared" si="233"/>
        <v>2.8122528930582922</v>
      </c>
      <c r="P1099" s="1">
        <f t="shared" si="234"/>
        <v>1867.7668728663691</v>
      </c>
      <c r="S1099" s="6">
        <f t="shared" si="228"/>
        <v>0.49664313881104538</v>
      </c>
      <c r="T1099" s="6">
        <f t="shared" si="229"/>
        <v>0.50335686118895417</v>
      </c>
      <c r="V1099" s="1">
        <f t="shared" si="235"/>
        <v>125451.55338861124</v>
      </c>
      <c r="W1099" s="7">
        <f t="shared" si="236"/>
        <v>1.4198414123558456E-2</v>
      </c>
      <c r="X1099" s="7">
        <f t="shared" si="237"/>
        <v>1.1590678072024751E-2</v>
      </c>
      <c r="Y1099">
        <f>LN(B1099/B1098)</f>
        <v>2.8372983843611439E-2</v>
      </c>
      <c r="Z1099">
        <f>LN(C1099/C1098)</f>
        <v>4.0709493495894652E-4</v>
      </c>
    </row>
    <row r="1100" spans="1:26" x14ac:dyDescent="0.3">
      <c r="A1100" s="11">
        <v>41799</v>
      </c>
      <c r="B1100" s="12">
        <v>22380.69</v>
      </c>
      <c r="C1100" s="12">
        <v>33.476999999999997</v>
      </c>
      <c r="D1100" s="16">
        <f t="shared" si="226"/>
        <v>2.0626694721634697E-2</v>
      </c>
      <c r="E1100" s="15">
        <f t="shared" si="238"/>
        <v>4.0701208305904402E-4</v>
      </c>
      <c r="G1100" s="25" t="str">
        <f>IF(VLOOKUP(A1100,Aux!B:C,2,FALSE)=0,"",VLOOKUP(A1100,Aux!B:C,2,FALSE))</f>
        <v/>
      </c>
      <c r="H1100" s="25" t="str">
        <f t="shared" si="227"/>
        <v/>
      </c>
      <c r="L1100" s="13">
        <f t="shared" si="230"/>
        <v>125467.39180408827</v>
      </c>
      <c r="M1100" s="14">
        <f t="shared" si="231"/>
        <v>1272.0101060591896</v>
      </c>
      <c r="N1100" s="14">
        <f t="shared" si="232"/>
        <v>25.438984808432419</v>
      </c>
      <c r="O1100" s="1">
        <f t="shared" si="233"/>
        <v>2.8122528930582922</v>
      </c>
      <c r="P1100" s="1">
        <f t="shared" si="234"/>
        <v>1867.7668728663691</v>
      </c>
      <c r="S1100" s="6">
        <f t="shared" si="228"/>
        <v>0.50164556141741623</v>
      </c>
      <c r="T1100" s="6">
        <f t="shared" si="229"/>
        <v>0.49835443858258338</v>
      </c>
      <c r="V1100" s="1">
        <f t="shared" si="235"/>
        <v>126525.51812462544</v>
      </c>
      <c r="W1100" s="7">
        <f t="shared" si="236"/>
        <v>1.0394765477907669E-2</v>
      </c>
      <c r="X1100" s="7">
        <f t="shared" si="237"/>
        <v>8.5243568617585953E-3</v>
      </c>
      <c r="Y1100">
        <f>LN(B1100/B1099)</f>
        <v>2.0416845215565124E-2</v>
      </c>
      <c r="Z1100">
        <f>LN(C1100/C1099)</f>
        <v>4.0692927610935678E-4</v>
      </c>
    </row>
    <row r="1101" spans="1:26" x14ac:dyDescent="0.3">
      <c r="A1101" s="9">
        <v>41800</v>
      </c>
      <c r="B1101" s="1">
        <v>22523.51</v>
      </c>
      <c r="C1101" s="1">
        <v>33.490670000000001</v>
      </c>
      <c r="D1101" s="6">
        <f t="shared" si="226"/>
        <v>6.3813939605972259E-3</v>
      </c>
      <c r="E1101" s="5">
        <f t="shared" si="238"/>
        <v>4.0834005436574117E-4</v>
      </c>
      <c r="G1101" s="25" t="str">
        <f>IF(VLOOKUP(A1101,Aux!B:C,2,FALSE)=0,"",VLOOKUP(A1101,Aux!B:C,2,FALSE))</f>
        <v/>
      </c>
      <c r="H1101" s="25" t="str">
        <f t="shared" si="227"/>
        <v/>
      </c>
      <c r="L1101" s="13">
        <f t="shared" si="230"/>
        <v>125894.57013542694</v>
      </c>
      <c r="M1101" s="14">
        <f t="shared" si="231"/>
        <v>401.64595818658449</v>
      </c>
      <c r="N1101" s="14">
        <f t="shared" si="232"/>
        <v>25.532373152092109</v>
      </c>
      <c r="O1101" s="1">
        <f t="shared" si="233"/>
        <v>2.8122528930582922</v>
      </c>
      <c r="P1101" s="1">
        <f t="shared" si="234"/>
        <v>1867.7668728663691</v>
      </c>
      <c r="S1101" s="6">
        <f t="shared" si="228"/>
        <v>0.50313374191745919</v>
      </c>
      <c r="T1101" s="6">
        <f t="shared" si="229"/>
        <v>0.49686625808254037</v>
      </c>
      <c r="V1101" s="1">
        <f t="shared" si="235"/>
        <v>126885.59046124457</v>
      </c>
      <c r="W1101" s="7">
        <f t="shared" si="236"/>
        <v>3.3989131791823568E-3</v>
      </c>
      <c r="X1101" s="7">
        <f t="shared" si="237"/>
        <v>2.8418057989086799E-3</v>
      </c>
      <c r="Y1101">
        <f>LN(B1101/B1100)</f>
        <v>6.3611190751315357E-3</v>
      </c>
      <c r="Z1101">
        <f>LN(C1101/C1100)</f>
        <v>4.0825670625455106E-4</v>
      </c>
    </row>
    <row r="1102" spans="1:26" x14ac:dyDescent="0.3">
      <c r="A1102" s="11">
        <v>41801</v>
      </c>
      <c r="B1102" s="12">
        <v>22700.720000000001</v>
      </c>
      <c r="C1102" s="12">
        <v>33.504309999999997</v>
      </c>
      <c r="D1102" s="16">
        <f t="shared" si="226"/>
        <v>7.8677790450956131E-3</v>
      </c>
      <c r="E1102" s="15">
        <f t="shared" si="238"/>
        <v>4.072776089578678E-4</v>
      </c>
      <c r="G1102" s="25" t="str">
        <f>IF(VLOOKUP(A1102,Aux!B:C,2,FALSE)=0,"",VLOOKUP(A1102,Aux!B:C,2,FALSE))</f>
        <v/>
      </c>
      <c r="H1102" s="25" t="str">
        <f t="shared" si="227"/>
        <v/>
      </c>
      <c r="L1102" s="13">
        <f t="shared" si="230"/>
        <v>126418.4058107517</v>
      </c>
      <c r="M1102" s="14">
        <f t="shared" si="231"/>
        <v>498.35933517886775</v>
      </c>
      <c r="N1102" s="14">
        <f t="shared" si="232"/>
        <v>25.476340145888329</v>
      </c>
      <c r="O1102" s="1">
        <f t="shared" si="233"/>
        <v>2.8122528930582922</v>
      </c>
      <c r="P1102" s="1">
        <f t="shared" si="234"/>
        <v>1867.7668728663691</v>
      </c>
      <c r="S1102" s="6">
        <f t="shared" si="228"/>
        <v>0.50499106585851861</v>
      </c>
      <c r="T1102" s="6">
        <f t="shared" si="229"/>
        <v>0.49500893414148106</v>
      </c>
      <c r="V1102" s="1">
        <f t="shared" si="235"/>
        <v>127324.93461685852</v>
      </c>
      <c r="W1102" s="7">
        <f t="shared" si="236"/>
        <v>4.1522749751411615E-3</v>
      </c>
      <c r="X1102" s="7">
        <f t="shared" si="237"/>
        <v>3.456541328549838E-3</v>
      </c>
      <c r="Y1102">
        <f>LN(B1102/B1101)</f>
        <v>7.8369894631860771E-3</v>
      </c>
      <c r="Z1102">
        <f>LN(C1102/C1101)</f>
        <v>4.0719469394467689E-4</v>
      </c>
    </row>
    <row r="1103" spans="1:26" x14ac:dyDescent="0.3">
      <c r="A1103" s="9">
        <v>41803</v>
      </c>
      <c r="B1103" s="1">
        <v>22575.15</v>
      </c>
      <c r="C1103" s="1">
        <v>33.531590000000001</v>
      </c>
      <c r="D1103" s="6">
        <f t="shared" si="226"/>
        <v>-5.5315426118642819E-3</v>
      </c>
      <c r="E1103" s="5">
        <f t="shared" si="238"/>
        <v>8.1422360287386475E-4</v>
      </c>
      <c r="G1103" s="25" t="str">
        <f>IF(VLOOKUP(A1103,Aux!B:C,2,FALSE)=0,"",VLOOKUP(A1103,Aux!B:C,2,FALSE))</f>
        <v/>
      </c>
      <c r="H1103" s="25" t="str">
        <f t="shared" si="227"/>
        <v/>
      </c>
      <c r="L1103" s="13">
        <f t="shared" si="230"/>
        <v>126116.22389526217</v>
      </c>
      <c r="M1103" s="14">
        <f t="shared" si="231"/>
        <v>-353.13459578132893</v>
      </c>
      <c r="N1103" s="14">
        <f t="shared" si="232"/>
        <v>50.952680291803205</v>
      </c>
      <c r="O1103" s="1">
        <f t="shared" si="233"/>
        <v>2.8122528930582922</v>
      </c>
      <c r="P1103" s="1">
        <f t="shared" si="234"/>
        <v>1867.7668728663691</v>
      </c>
      <c r="S1103" s="6">
        <f t="shared" si="228"/>
        <v>0.50340098155372959</v>
      </c>
      <c r="T1103" s="6">
        <f t="shared" si="229"/>
        <v>0.49659901844627002</v>
      </c>
      <c r="V1103" s="1">
        <f t="shared" si="235"/>
        <v>127096.26920794634</v>
      </c>
      <c r="W1103" s="7">
        <f t="shared" si="236"/>
        <v>-2.393193044985639E-3</v>
      </c>
      <c r="X1103" s="7">
        <f t="shared" si="237"/>
        <v>-1.7975346947913468E-3</v>
      </c>
      <c r="Y1103">
        <f>LN(B1103/B1102)</f>
        <v>-5.5468982467770777E-3</v>
      </c>
      <c r="Z1103">
        <f>LN(C1103/C1102)</f>
        <v>8.1389230265889922E-4</v>
      </c>
    </row>
    <row r="1104" spans="1:26" x14ac:dyDescent="0.3">
      <c r="A1104" s="11">
        <v>41806</v>
      </c>
      <c r="B1104" s="12">
        <v>22501.55</v>
      </c>
      <c r="C1104" s="12">
        <v>33.545229999999997</v>
      </c>
      <c r="D1104" s="16">
        <f t="shared" si="226"/>
        <v>-3.260221969732302E-3</v>
      </c>
      <c r="E1104" s="15">
        <f t="shared" si="238"/>
        <v>4.0678059107834841E-4</v>
      </c>
      <c r="G1104" s="25" t="str">
        <f>IF(VLOOKUP(A1104,Aux!B:C,2,FALSE)=0,"",VLOOKUP(A1104,Aux!B:C,2,FALSE))</f>
        <v/>
      </c>
      <c r="H1104" s="25" t="str">
        <f t="shared" si="227"/>
        <v/>
      </c>
      <c r="L1104" s="13">
        <f t="shared" si="230"/>
        <v>125934.71842247897</v>
      </c>
      <c r="M1104" s="14">
        <f t="shared" si="231"/>
        <v>-206.98181292909644</v>
      </c>
      <c r="N1104" s="14">
        <f t="shared" si="232"/>
        <v>25.476340145888329</v>
      </c>
      <c r="O1104" s="1">
        <f t="shared" si="233"/>
        <v>2.8122528930582922</v>
      </c>
      <c r="P1104" s="1">
        <f t="shared" si="234"/>
        <v>1867.7668728663691</v>
      </c>
      <c r="S1104" s="6">
        <f t="shared" si="228"/>
        <v>0.502482952107832</v>
      </c>
      <c r="T1104" s="6">
        <f t="shared" si="229"/>
        <v>0.49751704789216755</v>
      </c>
      <c r="V1104" s="1">
        <f t="shared" si="235"/>
        <v>126956.98592017953</v>
      </c>
      <c r="W1104" s="7">
        <f t="shared" si="236"/>
        <v>-1.4402287290677912E-3</v>
      </c>
      <c r="X1104" s="7">
        <f t="shared" si="237"/>
        <v>-1.0964890148835987E-3</v>
      </c>
      <c r="Y1104">
        <f>LN(B1104/B1103)</f>
        <v>-3.2655480727141256E-3</v>
      </c>
      <c r="Z1104">
        <f>LN(C1104/C1103)</f>
        <v>4.066978782835889E-4</v>
      </c>
    </row>
    <row r="1105" spans="1:26" x14ac:dyDescent="0.3">
      <c r="A1105" s="9">
        <v>41807</v>
      </c>
      <c r="B1105" s="1">
        <v>22378.5</v>
      </c>
      <c r="C1105" s="1">
        <v>33.558889999999998</v>
      </c>
      <c r="D1105" s="6">
        <f t="shared" si="226"/>
        <v>-5.4685121691616656E-3</v>
      </c>
      <c r="E1105" s="5">
        <f t="shared" si="238"/>
        <v>4.0721139786503713E-4</v>
      </c>
      <c r="G1105" s="25" t="str">
        <f>IF(VLOOKUP(A1105,Aux!B:C,2,FALSE)=0,"",VLOOKUP(A1105,Aux!B:C,2,FALSE))</f>
        <v/>
      </c>
      <c r="H1105" s="25" t="str">
        <f t="shared" si="227"/>
        <v/>
      </c>
      <c r="L1105" s="13">
        <f t="shared" si="230"/>
        <v>125614.1843994715</v>
      </c>
      <c r="M1105" s="14">
        <f t="shared" si="231"/>
        <v>-346.04771849082078</v>
      </c>
      <c r="N1105" s="14">
        <f t="shared" si="232"/>
        <v>25.513695483357516</v>
      </c>
      <c r="O1105" s="1">
        <f t="shared" si="233"/>
        <v>2.8122528930582922</v>
      </c>
      <c r="P1105" s="1">
        <f t="shared" si="234"/>
        <v>1867.7668728663691</v>
      </c>
      <c r="S1105" s="6">
        <f t="shared" si="228"/>
        <v>0.50101030921130407</v>
      </c>
      <c r="T1105" s="6">
        <f t="shared" si="229"/>
        <v>0.49898969078869548</v>
      </c>
      <c r="V1105" s="1">
        <f t="shared" si="235"/>
        <v>126703.66449529168</v>
      </c>
      <c r="W1105" s="7">
        <f t="shared" si="236"/>
        <v>-2.5484841547272637E-3</v>
      </c>
      <c r="X1105" s="7">
        <f t="shared" si="237"/>
        <v>-1.9973260234708201E-3</v>
      </c>
      <c r="Y1105">
        <f>LN(B1105/B1104)</f>
        <v>-5.4835192176572196E-3</v>
      </c>
      <c r="Z1105">
        <f>LN(C1105/C1104)</f>
        <v>4.0712850980497328E-4</v>
      </c>
    </row>
    <row r="1106" spans="1:26" x14ac:dyDescent="0.3">
      <c r="A1106" s="11">
        <v>41808</v>
      </c>
      <c r="B1106" s="12">
        <v>22746.13</v>
      </c>
      <c r="C1106" s="12">
        <v>33.57255</v>
      </c>
      <c r="D1106" s="16">
        <f t="shared" si="226"/>
        <v>1.6427821346381544E-2</v>
      </c>
      <c r="E1106" s="15">
        <f t="shared" si="238"/>
        <v>4.0704564423910128E-4</v>
      </c>
      <c r="G1106" s="25" t="str">
        <f>IF(VLOOKUP(A1106,Aux!B:C,2,FALSE)=0,"",VLOOKUP(A1106,Aux!B:C,2,FALSE))</f>
        <v/>
      </c>
      <c r="H1106" s="25" t="str">
        <f t="shared" si="227"/>
        <v/>
      </c>
      <c r="L1106" s="13">
        <f t="shared" si="230"/>
        <v>126673.56662602989</v>
      </c>
      <c r="M1106" s="14">
        <f t="shared" si="231"/>
        <v>1033.8685310750229</v>
      </c>
      <c r="N1106" s="14">
        <f t="shared" si="232"/>
        <v>25.513695483357516</v>
      </c>
      <c r="O1106" s="1">
        <f t="shared" si="233"/>
        <v>2.8122528930582922</v>
      </c>
      <c r="P1106" s="1">
        <f t="shared" si="234"/>
        <v>1867.7668728663691</v>
      </c>
      <c r="S1106" s="6">
        <f t="shared" si="228"/>
        <v>0.50498199113022679</v>
      </c>
      <c r="T1106" s="6">
        <f t="shared" si="229"/>
        <v>0.49501800886977276</v>
      </c>
      <c r="V1106" s="1">
        <f t="shared" si="235"/>
        <v>127582.35899448211</v>
      </c>
      <c r="W1106" s="7">
        <f t="shared" si="236"/>
        <v>8.3982551576505023E-3</v>
      </c>
      <c r="X1106" s="7">
        <f t="shared" si="237"/>
        <v>6.911099434990276E-3</v>
      </c>
      <c r="Y1106">
        <f>LN(B1106/B1105)</f>
        <v>1.6294344527645527E-2</v>
      </c>
      <c r="Z1106">
        <f>LN(C1106/C1105)</f>
        <v>4.0696282363460298E-4</v>
      </c>
    </row>
    <row r="1107" spans="1:26" x14ac:dyDescent="0.3">
      <c r="A1107" s="9">
        <v>41810</v>
      </c>
      <c r="B1107" s="1">
        <v>22524.63</v>
      </c>
      <c r="C1107" s="1">
        <v>33.586219999999997</v>
      </c>
      <c r="D1107" s="6">
        <f t="shared" si="226"/>
        <v>-9.7379202528078412E-3</v>
      </c>
      <c r="E1107" s="5">
        <f t="shared" si="238"/>
        <v>4.0717788788757758E-4</v>
      </c>
      <c r="G1107" s="25" t="str">
        <f>IF(VLOOKUP(A1107,Aux!B:C,2,FALSE)=0,"",VLOOKUP(A1107,Aux!B:C,2,FALSE))</f>
        <v/>
      </c>
      <c r="H1107" s="25" t="str">
        <f t="shared" si="227"/>
        <v/>
      </c>
      <c r="L1107" s="13">
        <f t="shared" si="230"/>
        <v>126076.18498336956</v>
      </c>
      <c r="M1107" s="14">
        <f t="shared" si="231"/>
        <v>-622.91401581241166</v>
      </c>
      <c r="N1107" s="14">
        <f t="shared" si="232"/>
        <v>25.532373152078836</v>
      </c>
      <c r="O1107" s="1">
        <f t="shared" si="233"/>
        <v>2.8122528930582922</v>
      </c>
      <c r="P1107" s="1">
        <f t="shared" si="234"/>
        <v>1867.7668728663691</v>
      </c>
      <c r="S1107" s="6">
        <f t="shared" si="228"/>
        <v>0.50243395206575525</v>
      </c>
      <c r="T1107" s="6">
        <f t="shared" si="229"/>
        <v>0.49756604793424425</v>
      </c>
      <c r="V1107" s="1">
        <f t="shared" si="235"/>
        <v>127101.93234711947</v>
      </c>
      <c r="W1107" s="7">
        <f t="shared" si="236"/>
        <v>-4.7270689782241918E-3</v>
      </c>
      <c r="X1107" s="7">
        <f t="shared" si="237"/>
        <v>-3.7727275182676662E-3</v>
      </c>
      <c r="Y1107">
        <f>LN(B1107/B1106)</f>
        <v>-9.7856438701496556E-3</v>
      </c>
      <c r="Z1107">
        <f>LN(C1107/C1106)</f>
        <v>4.0709501346704313E-4</v>
      </c>
    </row>
    <row r="1108" spans="1:26" x14ac:dyDescent="0.3">
      <c r="A1108" s="11">
        <v>41813</v>
      </c>
      <c r="B1108" s="12">
        <v>22341.81</v>
      </c>
      <c r="C1108" s="12">
        <v>33.599890000000002</v>
      </c>
      <c r="D1108" s="16">
        <f t="shared" si="226"/>
        <v>-8.1164485276783438E-3</v>
      </c>
      <c r="E1108" s="15">
        <f t="shared" si="238"/>
        <v>4.0701216153538056E-4</v>
      </c>
      <c r="G1108" s="25" t="str">
        <f>IF(VLOOKUP(A1108,Aux!B:C,2,FALSE)=0,"",VLOOKUP(A1108,Aux!B:C,2,FALSE))</f>
        <v/>
      </c>
      <c r="H1108" s="25" t="str">
        <f t="shared" si="227"/>
        <v/>
      </c>
      <c r="L1108" s="13">
        <f t="shared" si="230"/>
        <v>125587.58128261274</v>
      </c>
      <c r="M1108" s="14">
        <f t="shared" si="231"/>
        <v>-514.13607390891616</v>
      </c>
      <c r="N1108" s="14">
        <f t="shared" si="232"/>
        <v>25.532373152092109</v>
      </c>
      <c r="O1108" s="1">
        <f t="shared" si="233"/>
        <v>2.8122528930582922</v>
      </c>
      <c r="P1108" s="1">
        <f t="shared" si="234"/>
        <v>1867.7668728663691</v>
      </c>
      <c r="S1108" s="6">
        <f t="shared" si="228"/>
        <v>0.50029484736447782</v>
      </c>
      <c r="T1108" s="6">
        <f t="shared" si="229"/>
        <v>0.49970515263552173</v>
      </c>
      <c r="V1108" s="1">
        <f t="shared" si="235"/>
        <v>126710.74181279045</v>
      </c>
      <c r="W1108" s="7">
        <f t="shared" si="236"/>
        <v>-3.8829929466756893E-3</v>
      </c>
      <c r="X1108" s="7">
        <f t="shared" si="237"/>
        <v>-3.0825162327169499E-3</v>
      </c>
      <c r="Y1108">
        <f>LN(B1108/B1107)</f>
        <v>-8.1495662164391969E-3</v>
      </c>
      <c r="Z1108">
        <f>LN(C1108/C1107)</f>
        <v>4.0692935455376552E-4</v>
      </c>
    </row>
    <row r="1109" spans="1:26" x14ac:dyDescent="0.3">
      <c r="A1109" s="9">
        <v>41814</v>
      </c>
      <c r="B1109" s="1">
        <v>22371.14</v>
      </c>
      <c r="C1109" s="1">
        <v>33.61356</v>
      </c>
      <c r="D1109" s="6">
        <f t="shared" si="226"/>
        <v>1.312785311485376E-3</v>
      </c>
      <c r="E1109" s="5">
        <f t="shared" si="238"/>
        <v>4.0684657003331459E-4</v>
      </c>
      <c r="G1109" s="25" t="str">
        <f>IF(VLOOKUP(A1109,Aux!B:C,2,FALSE)=0,"",VLOOKUP(A1109,Aux!B:C,2,FALSE))</f>
        <v/>
      </c>
      <c r="H1109" s="25" t="str">
        <f t="shared" si="227"/>
        <v/>
      </c>
      <c r="L1109" s="13">
        <f t="shared" si="230"/>
        <v>125695.5970331182</v>
      </c>
      <c r="M1109" s="14">
        <f t="shared" si="231"/>
        <v>82.483377353394388</v>
      </c>
      <c r="N1109" s="14">
        <f t="shared" si="232"/>
        <v>25.532373152078836</v>
      </c>
      <c r="O1109" s="1">
        <f t="shared" si="233"/>
        <v>2.8122528930582922</v>
      </c>
      <c r="P1109" s="1">
        <f t="shared" si="234"/>
        <v>1867.7668728663691</v>
      </c>
      <c r="S1109" s="6">
        <f t="shared" si="228"/>
        <v>0.50052113734290726</v>
      </c>
      <c r="T1109" s="6">
        <f t="shared" si="229"/>
        <v>0.49947886265709235</v>
      </c>
      <c r="V1109" s="1">
        <f t="shared" si="235"/>
        <v>126808.98874950816</v>
      </c>
      <c r="W1109" s="7">
        <f t="shared" si="236"/>
        <v>8.5971339492280248E-4</v>
      </c>
      <c r="X1109" s="7">
        <f t="shared" si="237"/>
        <v>7.7506347468939726E-4</v>
      </c>
      <c r="Y1109">
        <f>LN(B1109/B1108)</f>
        <v>1.3119243622603076E-3</v>
      </c>
      <c r="Z1109">
        <f>LN(C1109/C1108)</f>
        <v>4.0676383040833507E-4</v>
      </c>
    </row>
    <row r="1110" spans="1:26" x14ac:dyDescent="0.3">
      <c r="A1110" s="11">
        <v>41815</v>
      </c>
      <c r="B1110" s="12">
        <v>22030.69</v>
      </c>
      <c r="C1110" s="12">
        <v>33.627249999999997</v>
      </c>
      <c r="D1110" s="16">
        <f t="shared" si="226"/>
        <v>-1.5218267821845544E-2</v>
      </c>
      <c r="E1110" s="15">
        <f t="shared" si="238"/>
        <v>4.0727611118840379E-4</v>
      </c>
      <c r="G1110" s="25" t="str">
        <f>IF(VLOOKUP(A1110,Aux!B:C,2,FALSE)=0,"",VLOOKUP(A1110,Aux!B:C,2,FALSE))</f>
        <v/>
      </c>
      <c r="H1110" s="25" t="str">
        <f t="shared" si="227"/>
        <v/>
      </c>
      <c r="L1110" s="13">
        <f t="shared" si="230"/>
        <v>124763.73526416604</v>
      </c>
      <c r="M1110" s="14">
        <f t="shared" si="231"/>
        <v>-957.43149744169762</v>
      </c>
      <c r="N1110" s="14">
        <f t="shared" si="232"/>
        <v>25.56972848953475</v>
      </c>
      <c r="O1110" s="1">
        <f t="shared" si="233"/>
        <v>2.8122528930582922</v>
      </c>
      <c r="P1110" s="1">
        <f t="shared" si="234"/>
        <v>1867.7668728663691</v>
      </c>
      <c r="S1110" s="6">
        <f t="shared" si="228"/>
        <v>0.49658557879330351</v>
      </c>
      <c r="T1110" s="6">
        <f t="shared" si="229"/>
        <v>0.50341442120669611</v>
      </c>
      <c r="V1110" s="1">
        <f t="shared" si="235"/>
        <v>126054.18503390148</v>
      </c>
      <c r="W1110" s="7">
        <f t="shared" si="236"/>
        <v>-7.44125651334176E-3</v>
      </c>
      <c r="X1110" s="7">
        <f t="shared" si="237"/>
        <v>-5.9700742199120978E-3</v>
      </c>
      <c r="Y1110">
        <f>LN(B1110/B1109)</f>
        <v>-1.5335254062420981E-2</v>
      </c>
      <c r="Z1110">
        <f>LN(C1110/C1109)</f>
        <v>4.0719319678497138E-4</v>
      </c>
    </row>
    <row r="1111" spans="1:26" x14ac:dyDescent="0.3">
      <c r="A1111" s="9">
        <v>41816</v>
      </c>
      <c r="B1111" s="1">
        <v>22063.57</v>
      </c>
      <c r="C1111" s="1">
        <v>33.640929999999997</v>
      </c>
      <c r="D1111" s="6">
        <f t="shared" si="226"/>
        <v>1.4924634680075766E-3</v>
      </c>
      <c r="E1111" s="5">
        <f t="shared" si="238"/>
        <v>4.0681292701605365E-4</v>
      </c>
      <c r="G1111" s="25" t="str">
        <f>IF(VLOOKUP(A1111,Aux!B:C,2,FALSE)=0,"",VLOOKUP(A1111,Aux!B:C,2,FALSE))</f>
        <v/>
      </c>
      <c r="H1111" s="25" t="str">
        <f t="shared" si="227"/>
        <v/>
      </c>
      <c r="L1111" s="13">
        <f t="shared" si="230"/>
        <v>124881.75319011061</v>
      </c>
      <c r="M1111" s="14">
        <f t="shared" si="231"/>
        <v>92.466875123759507</v>
      </c>
      <c r="N1111" s="14">
        <f t="shared" si="232"/>
        <v>25.55105082081343</v>
      </c>
      <c r="O1111" s="1">
        <f t="shared" si="233"/>
        <v>2.8122528930582922</v>
      </c>
      <c r="P1111" s="1">
        <f t="shared" si="234"/>
        <v>1867.7668728663691</v>
      </c>
      <c r="S1111" s="6">
        <f t="shared" si="228"/>
        <v>0.49685672228861499</v>
      </c>
      <c r="T1111" s="6">
        <f t="shared" si="229"/>
        <v>0.50314327771138456</v>
      </c>
      <c r="V1111" s="1">
        <f t="shared" si="235"/>
        <v>126160.64431612345</v>
      </c>
      <c r="W1111" s="7">
        <f t="shared" si="236"/>
        <v>9.4548421817719627E-4</v>
      </c>
      <c r="X1111" s="7">
        <f t="shared" si="237"/>
        <v>8.4419531412017633E-4</v>
      </c>
      <c r="Y1111">
        <f>LN(B1111/B1110)</f>
        <v>1.4913508512948662E-3</v>
      </c>
      <c r="Z1111">
        <f>LN(C1111/C1110)</f>
        <v>4.0673020107248836E-4</v>
      </c>
    </row>
    <row r="1112" spans="1:26" x14ac:dyDescent="0.3">
      <c r="A1112" s="11">
        <v>41817</v>
      </c>
      <c r="B1112" s="12">
        <v>21924.080000000002</v>
      </c>
      <c r="C1112" s="12">
        <v>33.654629999999997</v>
      </c>
      <c r="D1112" s="16">
        <f t="shared" si="226"/>
        <v>-6.3221863007663082E-3</v>
      </c>
      <c r="E1112" s="15">
        <f t="shared" si="238"/>
        <v>4.0724201144270999E-4</v>
      </c>
      <c r="G1112" s="25" t="str">
        <f>IF(VLOOKUP(A1112,Aux!B:C,2,FALSE)=0,"",VLOOKUP(A1112,Aux!B:C,2,FALSE))</f>
        <v/>
      </c>
      <c r="H1112" s="25" t="str">
        <f t="shared" si="227"/>
        <v/>
      </c>
      <c r="L1112" s="13">
        <f t="shared" si="230"/>
        <v>124515.0604402162</v>
      </c>
      <c r="M1112" s="14">
        <f t="shared" si="231"/>
        <v>-392.28115605269545</v>
      </c>
      <c r="N1112" s="14">
        <f t="shared" si="232"/>
        <v>25.588406158269343</v>
      </c>
      <c r="O1112" s="1">
        <f t="shared" si="233"/>
        <v>2.8122528930582922</v>
      </c>
      <c r="P1112" s="1">
        <f t="shared" si="234"/>
        <v>1867.7668728663691</v>
      </c>
      <c r="S1112" s="6">
        <f t="shared" si="228"/>
        <v>0.49516947740827355</v>
      </c>
      <c r="T1112" s="6">
        <f t="shared" si="229"/>
        <v>0.50483052259172589</v>
      </c>
      <c r="V1112" s="1">
        <f t="shared" si="235"/>
        <v>125869.4847214598</v>
      </c>
      <c r="W1112" s="7">
        <f t="shared" si="236"/>
        <v>-2.940639126861939E-3</v>
      </c>
      <c r="X1112" s="7">
        <f t="shared" si="237"/>
        <v>-2.310515217403782E-3</v>
      </c>
      <c r="Y1112">
        <f>LN(B1112/B1111)</f>
        <v>-6.3422559546878737E-3</v>
      </c>
      <c r="Z1112">
        <f>LN(C1112/C1111)</f>
        <v>4.071591109210545E-4</v>
      </c>
    </row>
    <row r="1113" spans="1:26" x14ac:dyDescent="0.3">
      <c r="A1113" s="9">
        <v>41820</v>
      </c>
      <c r="B1113" s="1">
        <v>21934.98</v>
      </c>
      <c r="C1113" s="1">
        <v>33.668329999999997</v>
      </c>
      <c r="D1113" s="6">
        <f t="shared" si="226"/>
        <v>4.9717023473716537E-4</v>
      </c>
      <c r="E1113" s="5">
        <f t="shared" si="238"/>
        <v>4.0707623289870654E-4</v>
      </c>
      <c r="G1113" s="25" t="str">
        <f>IF(VLOOKUP(A1113,Aux!B:C,2,FALSE)=0,"",VLOOKUP(A1113,Aux!B:C,2,FALSE))</f>
        <v/>
      </c>
      <c r="H1113" s="25" t="str">
        <f t="shared" si="227"/>
        <v/>
      </c>
      <c r="L1113" s="13">
        <f t="shared" si="230"/>
        <v>124571.3024029088</v>
      </c>
      <c r="M1113" s="14">
        <f t="shared" si="231"/>
        <v>30.653556534329248</v>
      </c>
      <c r="N1113" s="14">
        <f t="shared" si="232"/>
        <v>25.588406158269343</v>
      </c>
      <c r="O1113" s="1">
        <f t="shared" si="233"/>
        <v>2.8122528930582922</v>
      </c>
      <c r="P1113" s="1">
        <f t="shared" si="234"/>
        <v>1867.7668728663691</v>
      </c>
      <c r="S1113" s="6">
        <f t="shared" si="228"/>
        <v>0.49519198863843111</v>
      </c>
      <c r="T1113" s="6">
        <f t="shared" si="229"/>
        <v>0.50480801136156839</v>
      </c>
      <c r="V1113" s="1">
        <f t="shared" si="235"/>
        <v>125925.28011746649</v>
      </c>
      <c r="W1113" s="7">
        <f t="shared" si="236"/>
        <v>4.5158605237505007E-4</v>
      </c>
      <c r="X1113" s="7">
        <f t="shared" si="237"/>
        <v>4.4318154871578463E-4</v>
      </c>
      <c r="Y1113">
        <f>LN(B1113/B1112)</f>
        <v>4.9704668656396444E-4</v>
      </c>
      <c r="Z1113">
        <f>LN(C1113/C1112)</f>
        <v>4.0699339984782615E-4</v>
      </c>
    </row>
    <row r="1114" spans="1:26" x14ac:dyDescent="0.3">
      <c r="A1114" s="11">
        <v>41821</v>
      </c>
      <c r="B1114" s="12">
        <v>21933.34</v>
      </c>
      <c r="C1114" s="12">
        <v>33.682029999999997</v>
      </c>
      <c r="D1114" s="16">
        <f t="shared" si="226"/>
        <v>-7.4766423311056762E-5</v>
      </c>
      <c r="E1114" s="15">
        <f t="shared" si="238"/>
        <v>4.0691058926900503E-4</v>
      </c>
      <c r="G1114" s="25" t="str">
        <f>IF(VLOOKUP(A1114,Aux!B:C,2,FALSE)=0,"",VLOOKUP(A1114,Aux!B:C,2,FALSE))</f>
        <v/>
      </c>
      <c r="H1114" s="25" t="str">
        <f t="shared" si="227"/>
        <v/>
      </c>
      <c r="L1114" s="13">
        <f t="shared" si="230"/>
        <v>124592.27871432246</v>
      </c>
      <c r="M1114" s="14">
        <f t="shared" si="231"/>
        <v>-4.6120947446139624</v>
      </c>
      <c r="N1114" s="14">
        <f t="shared" si="232"/>
        <v>25.588406158269343</v>
      </c>
      <c r="O1114" s="1">
        <f t="shared" si="233"/>
        <v>2.8122528930582922</v>
      </c>
      <c r="P1114" s="1">
        <f t="shared" si="234"/>
        <v>1867.7668728663691</v>
      </c>
      <c r="S1114" s="6">
        <f t="shared" si="228"/>
        <v>0.49507160079206836</v>
      </c>
      <c r="T1114" s="6">
        <f t="shared" si="229"/>
        <v>0.50492839920793109</v>
      </c>
      <c r="V1114" s="1">
        <f t="shared" si="235"/>
        <v>125952.14529482165</v>
      </c>
      <c r="W1114" s="7">
        <f t="shared" si="236"/>
        <v>1.6837381586143652E-4</v>
      </c>
      <c r="X1114" s="7">
        <f t="shared" si="237"/>
        <v>2.1331945419913537E-4</v>
      </c>
      <c r="Y1114">
        <f>LN(B1114/B1113)</f>
        <v>-7.4769218459407155E-5</v>
      </c>
      <c r="Z1114">
        <f>LN(C1114/C1113)</f>
        <v>4.0682782360656388E-4</v>
      </c>
    </row>
    <row r="1115" spans="1:26" x14ac:dyDescent="0.3">
      <c r="A1115" s="9">
        <v>41822</v>
      </c>
      <c r="B1115" s="1">
        <v>21867.3</v>
      </c>
      <c r="C1115" s="1">
        <v>33.695740000000001</v>
      </c>
      <c r="D1115" s="6">
        <f t="shared" ref="D1115:D1178" si="239">B1115/B1114-1</f>
        <v>-3.0109413340604352E-3</v>
      </c>
      <c r="E1115" s="5">
        <f t="shared" si="238"/>
        <v>4.0704197460783575E-4</v>
      </c>
      <c r="G1115" s="25" t="str">
        <f>IF(VLOOKUP(A1115,Aux!B:C,2,FALSE)=0,"",VLOOKUP(A1115,Aux!B:C,2,FALSE))</f>
        <v/>
      </c>
      <c r="H1115" s="25" t="str">
        <f t="shared" si="227"/>
        <v/>
      </c>
      <c r="L1115" s="13">
        <f t="shared" si="230"/>
        <v>124432.1646170919</v>
      </c>
      <c r="M1115" s="14">
        <f t="shared" si="231"/>
        <v>-185.72118105757207</v>
      </c>
      <c r="N1115" s="14">
        <f t="shared" si="232"/>
        <v>25.607083827003933</v>
      </c>
      <c r="O1115" s="1">
        <f t="shared" si="233"/>
        <v>2.8122528930582922</v>
      </c>
      <c r="P1115" s="1">
        <f t="shared" si="234"/>
        <v>1867.7668728663691</v>
      </c>
      <c r="S1115" s="6">
        <f t="shared" si="228"/>
        <v>0.49421608856209276</v>
      </c>
      <c r="T1115" s="6">
        <f t="shared" si="229"/>
        <v>0.50578391143790669</v>
      </c>
      <c r="V1115" s="1">
        <f t="shared" si="235"/>
        <v>125830.45979077736</v>
      </c>
      <c r="W1115" s="7">
        <f t="shared" si="236"/>
        <v>-1.2859309484044843E-3</v>
      </c>
      <c r="X1115" s="7">
        <f t="shared" si="237"/>
        <v>-9.6659190159024857E-4</v>
      </c>
      <c r="Y1115">
        <f>LN(B1115/B1114)</f>
        <v>-3.0154833373472467E-3</v>
      </c>
      <c r="Z1115">
        <f>LN(C1115/C1114)</f>
        <v>4.0695915549643038E-4</v>
      </c>
    </row>
    <row r="1116" spans="1:26" x14ac:dyDescent="0.3">
      <c r="A1116" s="11">
        <v>41823</v>
      </c>
      <c r="B1116" s="12">
        <v>22200.22</v>
      </c>
      <c r="C1116" s="12">
        <v>33.70946</v>
      </c>
      <c r="D1116" s="16">
        <f t="shared" si="239"/>
        <v>1.5224559044783925E-2</v>
      </c>
      <c r="E1116" s="15">
        <f t="shared" si="238"/>
        <v>4.0717313227123242E-4</v>
      </c>
      <c r="G1116" s="25" t="str">
        <f>IF(VLOOKUP(A1116,Aux!B:C,2,FALSE)=0,"",VLOOKUP(A1116,Aux!B:C,2,FALSE))</f>
        <v/>
      </c>
      <c r="H1116" s="25" t="str">
        <f t="shared" si="227"/>
        <v/>
      </c>
      <c r="L1116" s="13">
        <f t="shared" si="230"/>
        <v>125394.0456117446</v>
      </c>
      <c r="M1116" s="14">
        <f t="shared" si="231"/>
        <v>936.25523315697194</v>
      </c>
      <c r="N1116" s="14">
        <f t="shared" si="232"/>
        <v>25.625761495725254</v>
      </c>
      <c r="O1116" s="1">
        <f t="shared" si="233"/>
        <v>2.8122528930582922</v>
      </c>
      <c r="P1116" s="1">
        <f t="shared" si="234"/>
        <v>1867.7668728663691</v>
      </c>
      <c r="S1116" s="6">
        <f t="shared" si="228"/>
        <v>0.49789152759964084</v>
      </c>
      <c r="T1116" s="6">
        <f t="shared" si="229"/>
        <v>0.5021084724003585</v>
      </c>
      <c r="V1116" s="1">
        <f t="shared" si="235"/>
        <v>126629.21133375318</v>
      </c>
      <c r="W1116" s="7">
        <f t="shared" si="236"/>
        <v>7.7004390116037448E-3</v>
      </c>
      <c r="X1116" s="7">
        <f t="shared" si="237"/>
        <v>6.3277766673324057E-3</v>
      </c>
      <c r="Y1116">
        <f>LN(B1116/B1115)</f>
        <v>1.5109828461904779E-2</v>
      </c>
      <c r="Z1116">
        <f>LN(C1116/C1115)</f>
        <v>4.0709025978628036E-4</v>
      </c>
    </row>
    <row r="1117" spans="1:26" x14ac:dyDescent="0.3">
      <c r="A1117" s="9">
        <v>41824</v>
      </c>
      <c r="B1117" s="1">
        <v>22279.17</v>
      </c>
      <c r="C1117" s="1">
        <v>33.723179999999999</v>
      </c>
      <c r="D1117" s="6">
        <f t="shared" si="239"/>
        <v>3.5562710639802653E-3</v>
      </c>
      <c r="E1117" s="5">
        <f t="shared" si="238"/>
        <v>4.070074097894949E-4</v>
      </c>
      <c r="G1117" s="25" t="str">
        <f>IF(VLOOKUP(A1117,Aux!B:C,2,FALSE)=0,"",VLOOKUP(A1117,Aux!B:C,2,FALSE))</f>
        <v/>
      </c>
      <c r="H1117" s="25" t="str">
        <f t="shared" si="227"/>
        <v/>
      </c>
      <c r="L1117" s="13">
        <f t="shared" si="230"/>
        <v>125641.69873914728</v>
      </c>
      <c r="M1117" s="14">
        <f t="shared" si="231"/>
        <v>222.02736590694397</v>
      </c>
      <c r="N1117" s="14">
        <f t="shared" si="232"/>
        <v>25.625761495725254</v>
      </c>
      <c r="O1117" s="1">
        <f t="shared" si="233"/>
        <v>2.8122528930582922</v>
      </c>
      <c r="P1117" s="1">
        <f t="shared" si="234"/>
        <v>1867.7668728663691</v>
      </c>
      <c r="S1117" s="6">
        <f t="shared" si="228"/>
        <v>0.49867727765698899</v>
      </c>
      <c r="T1117" s="6">
        <f t="shared" si="229"/>
        <v>0.50132272234301034</v>
      </c>
      <c r="V1117" s="1">
        <f t="shared" si="235"/>
        <v>126842.04520281084</v>
      </c>
      <c r="W1117" s="7">
        <f t="shared" si="236"/>
        <v>1.973051354773651E-3</v>
      </c>
      <c r="X1117" s="7">
        <f t="shared" si="237"/>
        <v>1.6793534855654975E-3</v>
      </c>
      <c r="Y1117">
        <f>LN(B1117/B1116)</f>
        <v>3.5499624842954929E-3</v>
      </c>
      <c r="Z1117">
        <f>LN(C1117/C1116)</f>
        <v>4.0692460474110005E-4</v>
      </c>
    </row>
    <row r="1118" spans="1:26" x14ac:dyDescent="0.3">
      <c r="A1118" s="11">
        <v>41827</v>
      </c>
      <c r="B1118" s="12">
        <v>22170.95</v>
      </c>
      <c r="C1118" s="12">
        <v>33.736910000000002</v>
      </c>
      <c r="D1118" s="16">
        <f t="shared" si="239"/>
        <v>-4.8574520505026975E-3</v>
      </c>
      <c r="E1118" s="15">
        <f t="shared" si="238"/>
        <v>4.0713835409356136E-4</v>
      </c>
      <c r="G1118" s="25" t="str">
        <f>IF(VLOOKUP(A1118,Aux!B:C,2,FALSE)=0,"",VLOOKUP(A1118,Aux!B:C,2,FALSE))</f>
        <v/>
      </c>
      <c r="H1118" s="25" t="str">
        <f t="shared" si="227"/>
        <v/>
      </c>
      <c r="L1118" s="13">
        <f t="shared" si="230"/>
        <v>125363.00117022498</v>
      </c>
      <c r="M1118" s="14">
        <f t="shared" si="231"/>
        <v>-304.34200808676144</v>
      </c>
      <c r="N1118" s="14">
        <f t="shared" si="232"/>
        <v>25.644439164459847</v>
      </c>
      <c r="O1118" s="1">
        <f t="shared" si="233"/>
        <v>2.8122528930582922</v>
      </c>
      <c r="P1118" s="1">
        <f t="shared" si="234"/>
        <v>1867.7668728663691</v>
      </c>
      <c r="S1118" s="6">
        <f t="shared" si="228"/>
        <v>0.49735821332713592</v>
      </c>
      <c r="T1118" s="6">
        <f t="shared" si="229"/>
        <v>0.5026417866728633</v>
      </c>
      <c r="V1118" s="1">
        <f t="shared" si="235"/>
        <v>126623.09370595148</v>
      </c>
      <c r="W1118" s="7">
        <f t="shared" si="236"/>
        <v>-2.2206570916941336E-3</v>
      </c>
      <c r="X1118" s="7">
        <f t="shared" si="237"/>
        <v>-1.7276659998536671E-3</v>
      </c>
      <c r="Y1118">
        <f>LN(B1118/B1117)</f>
        <v>-4.8692878140383289E-3</v>
      </c>
      <c r="Z1118">
        <f>LN(C1118/C1117)</f>
        <v>4.0705549576298104E-4</v>
      </c>
    </row>
    <row r="1119" spans="1:26" x14ac:dyDescent="0.3">
      <c r="A1119" s="9">
        <v>41828</v>
      </c>
      <c r="B1119" s="1">
        <v>22101.56</v>
      </c>
      <c r="C1119" s="1">
        <v>33.750639999999997</v>
      </c>
      <c r="D1119" s="6">
        <f t="shared" si="239"/>
        <v>-3.1297711645192905E-3</v>
      </c>
      <c r="E1119" s="5">
        <f t="shared" si="238"/>
        <v>4.0697265991451737E-4</v>
      </c>
      <c r="G1119" s="25" t="str">
        <f>IF(VLOOKUP(A1119,Aux!B:C,2,FALSE)=0,"",VLOOKUP(A1119,Aux!B:C,2,FALSE))</f>
        <v/>
      </c>
      <c r="H1119" s="25" t="str">
        <f t="shared" si="227"/>
        <v/>
      </c>
      <c r="L1119" s="13">
        <f t="shared" si="230"/>
        <v>125193.50338114011</v>
      </c>
      <c r="M1119" s="14">
        <f t="shared" si="231"/>
        <v>-195.14222824931326</v>
      </c>
      <c r="N1119" s="14">
        <f t="shared" si="232"/>
        <v>25.644439164446577</v>
      </c>
      <c r="O1119" s="1">
        <f t="shared" si="233"/>
        <v>2.8122528930582922</v>
      </c>
      <c r="P1119" s="1">
        <f t="shared" si="234"/>
        <v>1867.7668728663691</v>
      </c>
      <c r="S1119" s="6">
        <f t="shared" si="228"/>
        <v>0.49647285500011701</v>
      </c>
      <c r="T1119" s="6">
        <f t="shared" si="229"/>
        <v>0.50352714499988227</v>
      </c>
      <c r="V1119" s="1">
        <f t="shared" si="235"/>
        <v>126493.7243773728</v>
      </c>
      <c r="W1119" s="7">
        <f t="shared" si="236"/>
        <v>-1.3529707819341253E-3</v>
      </c>
      <c r="X1119" s="7">
        <f t="shared" si="237"/>
        <v>-1.0222105415459838E-3</v>
      </c>
      <c r="Y1119">
        <f>LN(B1119/B1118)</f>
        <v>-3.134679141529052E-3</v>
      </c>
      <c r="Z1119">
        <f>LN(C1119/C1118)</f>
        <v>4.0688986900322172E-4</v>
      </c>
    </row>
    <row r="1120" spans="1:26" x14ac:dyDescent="0.3">
      <c r="A1120" s="11">
        <v>41830</v>
      </c>
      <c r="B1120" s="12">
        <v>22451.71</v>
      </c>
      <c r="C1120" s="12">
        <v>33.778120000000001</v>
      </c>
      <c r="D1120" s="16">
        <f t="shared" si="239"/>
        <v>1.584277308932025E-2</v>
      </c>
      <c r="E1120" s="15">
        <f t="shared" si="238"/>
        <v>8.1420678244925604E-4</v>
      </c>
      <c r="G1120" s="25" t="str">
        <f>IF(VLOOKUP(A1120,Aux!B:C,2,FALSE)=0,"",VLOOKUP(A1120,Aux!B:C,2,FALSE))</f>
        <v/>
      </c>
      <c r="H1120" s="25" t="str">
        <f t="shared" si="227"/>
        <v/>
      </c>
      <c r="L1120" s="13">
        <f t="shared" si="230"/>
        <v>126229.53996531083</v>
      </c>
      <c r="M1120" s="14">
        <f t="shared" si="231"/>
        <v>984.71035050435489</v>
      </c>
      <c r="N1120" s="14">
        <f t="shared" si="232"/>
        <v>51.326233666375607</v>
      </c>
      <c r="O1120" s="1">
        <f t="shared" si="233"/>
        <v>2.8122528930582922</v>
      </c>
      <c r="P1120" s="1">
        <f t="shared" si="234"/>
        <v>1867.7668728663691</v>
      </c>
      <c r="S1120" s="6">
        <f t="shared" si="228"/>
        <v>0.50019897417797188</v>
      </c>
      <c r="T1120" s="6">
        <f t="shared" si="229"/>
        <v>0.4998010258220274</v>
      </c>
      <c r="V1120" s="1">
        <f t="shared" si="235"/>
        <v>127363.00907572758</v>
      </c>
      <c r="W1120" s="7">
        <f t="shared" si="236"/>
        <v>8.2414279490006653E-3</v>
      </c>
      <c r="X1120" s="7">
        <f t="shared" si="237"/>
        <v>6.8486510818388541E-3</v>
      </c>
      <c r="Y1120">
        <f>LN(B1120/B1119)</f>
        <v>1.5718586284796394E-2</v>
      </c>
      <c r="Z1120">
        <f>LN(C1120/C1119)</f>
        <v>8.1387549591859377E-4</v>
      </c>
    </row>
    <row r="1121" spans="1:26" x14ac:dyDescent="0.3">
      <c r="A1121" s="9">
        <v>41831</v>
      </c>
      <c r="B1121" s="1">
        <v>22538.41</v>
      </c>
      <c r="C1121" s="1">
        <v>33.791870000000003</v>
      </c>
      <c r="D1121" s="6">
        <f t="shared" si="239"/>
        <v>3.8616212306323838E-3</v>
      </c>
      <c r="E1121" s="5">
        <f t="shared" si="238"/>
        <v>4.0706824417702236E-4</v>
      </c>
      <c r="G1121" s="25" t="str">
        <f>IF(VLOOKUP(A1121,Aux!B:C,2,FALSE)=0,"",VLOOKUP(A1121,Aux!B:C,2,FALSE))</f>
        <v/>
      </c>
      <c r="H1121" s="25" t="str">
        <f t="shared" si="227"/>
        <v/>
      </c>
      <c r="L1121" s="13">
        <f t="shared" si="230"/>
        <v>126499.0440856409</v>
      </c>
      <c r="M1121" s="14">
        <f t="shared" si="231"/>
        <v>243.82232582815598</v>
      </c>
      <c r="N1121" s="14">
        <f t="shared" si="232"/>
        <v>25.681794501915761</v>
      </c>
      <c r="O1121" s="1">
        <f t="shared" si="233"/>
        <v>2.8122528930582922</v>
      </c>
      <c r="P1121" s="1">
        <f t="shared" si="234"/>
        <v>1867.7668728663691</v>
      </c>
      <c r="S1121" s="6">
        <f t="shared" si="228"/>
        <v>0.50106077232111457</v>
      </c>
      <c r="T1121" s="6">
        <f t="shared" si="229"/>
        <v>0.49893922767888488</v>
      </c>
      <c r="V1121" s="1">
        <f t="shared" si="235"/>
        <v>127593.78957985555</v>
      </c>
      <c r="W1121" s="7">
        <f t="shared" si="236"/>
        <v>2.1327561620997255E-3</v>
      </c>
      <c r="X1121" s="7">
        <f t="shared" si="237"/>
        <v>1.8103503681744903E-3</v>
      </c>
      <c r="Y1121">
        <f>LN(B1121/B1120)</f>
        <v>3.854184310930822E-3</v>
      </c>
      <c r="Z1121">
        <f>LN(C1121/C1120)</f>
        <v>4.0698541437680555E-4</v>
      </c>
    </row>
    <row r="1122" spans="1:26" x14ac:dyDescent="0.3">
      <c r="A1122" s="11">
        <v>41834</v>
      </c>
      <c r="B1122" s="12">
        <v>22900.06</v>
      </c>
      <c r="C1122" s="12">
        <v>33.805630000000001</v>
      </c>
      <c r="D1122" s="16">
        <f t="shared" si="239"/>
        <v>1.6045941128943975E-2</v>
      </c>
      <c r="E1122" s="15">
        <f t="shared" si="238"/>
        <v>4.0719853621595803E-4</v>
      </c>
      <c r="G1122" s="25" t="str">
        <f>IF(VLOOKUP(A1122,Aux!B:C,2,FALSE)=0,"",VLOOKUP(A1122,Aux!B:C,2,FALSE))</f>
        <v/>
      </c>
      <c r="H1122" s="25" t="str">
        <f t="shared" si="227"/>
        <v/>
      </c>
      <c r="L1122" s="13">
        <f t="shared" si="230"/>
        <v>127541.79581658606</v>
      </c>
      <c r="M1122" s="14">
        <f t="shared" si="231"/>
        <v>1017.0512587745354</v>
      </c>
      <c r="N1122" s="14">
        <f t="shared" si="232"/>
        <v>25.700472170637081</v>
      </c>
      <c r="O1122" s="1">
        <f t="shared" si="233"/>
        <v>2.8122528930582922</v>
      </c>
      <c r="P1122" s="1">
        <f t="shared" si="234"/>
        <v>1867.7668728663691</v>
      </c>
      <c r="S1122" s="6">
        <f t="shared" si="228"/>
        <v>0.50493847584537099</v>
      </c>
      <c r="T1122" s="6">
        <f t="shared" si="229"/>
        <v>0.49506152415462845</v>
      </c>
      <c r="V1122" s="1">
        <f t="shared" si="235"/>
        <v>128458.91172311059</v>
      </c>
      <c r="W1122" s="7">
        <f t="shared" si="236"/>
        <v>8.2093697028067705E-3</v>
      </c>
      <c r="X1122" s="7">
        <f t="shared" si="237"/>
        <v>6.7574013538483158E-3</v>
      </c>
      <c r="Y1122">
        <f>LN(B1122/B1121)</f>
        <v>1.5918565780601586E-2</v>
      </c>
      <c r="Z1122">
        <f>LN(C1122/C1121)</f>
        <v>4.0711565339108982E-4</v>
      </c>
    </row>
    <row r="1123" spans="1:26" x14ac:dyDescent="0.3">
      <c r="A1123" s="9">
        <v>41835</v>
      </c>
      <c r="B1123" s="1">
        <v>22978.720000000001</v>
      </c>
      <c r="C1123" s="1">
        <v>33.819389999999999</v>
      </c>
      <c r="D1123" s="6">
        <f t="shared" si="239"/>
        <v>3.4349254980117205E-3</v>
      </c>
      <c r="E1123" s="5">
        <f t="shared" si="238"/>
        <v>4.0703279305831508E-4</v>
      </c>
      <c r="G1123" s="25" t="str">
        <f>IF(VLOOKUP(A1123,Aux!B:C,2,FALSE)=0,"",VLOOKUP(A1123,Aux!B:C,2,FALSE))</f>
        <v/>
      </c>
      <c r="H1123" s="25" t="str">
        <f t="shared" si="227"/>
        <v/>
      </c>
      <c r="L1123" s="13">
        <f t="shared" si="230"/>
        <v>127788.70810132466</v>
      </c>
      <c r="M1123" s="14">
        <f t="shared" si="231"/>
        <v>221.21181256796484</v>
      </c>
      <c r="N1123" s="14">
        <f t="shared" si="232"/>
        <v>25.700472170637081</v>
      </c>
      <c r="O1123" s="1">
        <f t="shared" si="233"/>
        <v>2.8122528930582922</v>
      </c>
      <c r="P1123" s="1">
        <f t="shared" si="234"/>
        <v>1867.7668728663691</v>
      </c>
      <c r="S1123" s="6">
        <f t="shared" si="228"/>
        <v>0.50569391270109076</v>
      </c>
      <c r="T1123" s="6">
        <f t="shared" si="229"/>
        <v>0.49430608729890874</v>
      </c>
      <c r="V1123" s="1">
        <f t="shared" si="235"/>
        <v>128671.16603732246</v>
      </c>
      <c r="W1123" s="7">
        <f t="shared" si="236"/>
        <v>1.934060818557477E-3</v>
      </c>
      <c r="X1123" s="7">
        <f t="shared" si="237"/>
        <v>1.6509493115018502E-3</v>
      </c>
      <c r="Y1123">
        <f>LN(B1123/B1122)</f>
        <v>3.4290396159498073E-3</v>
      </c>
      <c r="Z1123">
        <f>LN(C1123/C1122)</f>
        <v>4.0694997768262299E-4</v>
      </c>
    </row>
    <row r="1124" spans="1:26" x14ac:dyDescent="0.3">
      <c r="A1124" s="11">
        <v>41836</v>
      </c>
      <c r="B1124" s="12">
        <v>22885.63</v>
      </c>
      <c r="C1124" s="12">
        <v>33.833150000000003</v>
      </c>
      <c r="D1124" s="16">
        <f t="shared" si="239"/>
        <v>-4.0511394890576646E-3</v>
      </c>
      <c r="E1124" s="15">
        <f t="shared" si="238"/>
        <v>4.0686718477189743E-4</v>
      </c>
      <c r="G1124" s="25" t="str">
        <f>IF(VLOOKUP(A1124,Aux!B:C,2,FALSE)=0,"",VLOOKUP(A1124,Aux!B:C,2,FALSE))</f>
        <v/>
      </c>
      <c r="H1124" s="25" t="str">
        <f t="shared" si="227"/>
        <v/>
      </c>
      <c r="L1124" s="13">
        <f t="shared" si="230"/>
        <v>127552.61595168052</v>
      </c>
      <c r="M1124" s="14">
        <f t="shared" si="231"/>
        <v>-261.7926218147968</v>
      </c>
      <c r="N1124" s="14">
        <f t="shared" si="232"/>
        <v>25.700472170650354</v>
      </c>
      <c r="O1124" s="1">
        <f t="shared" si="233"/>
        <v>2.8122528930582922</v>
      </c>
      <c r="P1124" s="1">
        <f t="shared" si="234"/>
        <v>1867.7668728663691</v>
      </c>
      <c r="S1124" s="6">
        <f t="shared" si="228"/>
        <v>0.50457749295665222</v>
      </c>
      <c r="T1124" s="6">
        <f t="shared" si="229"/>
        <v>0.49542250704334717</v>
      </c>
      <c r="V1124" s="1">
        <f t="shared" si="235"/>
        <v>128487.1870936872</v>
      </c>
      <c r="W1124" s="7">
        <f t="shared" si="236"/>
        <v>-1.8492284223795953E-3</v>
      </c>
      <c r="X1124" s="7">
        <f t="shared" si="237"/>
        <v>-1.4308613567054419E-3</v>
      </c>
      <c r="Y1124">
        <f>LN(B1124/B1123)</f>
        <v>-4.0593675842634938E-3</v>
      </c>
      <c r="Z1124">
        <f>LN(C1124/C1123)</f>
        <v>4.0678443676308071E-4</v>
      </c>
    </row>
    <row r="1125" spans="1:26" x14ac:dyDescent="0.3">
      <c r="A1125" s="9">
        <v>41837</v>
      </c>
      <c r="B1125" s="1">
        <v>22857.81</v>
      </c>
      <c r="C1125" s="1">
        <v>33.846919999999997</v>
      </c>
      <c r="D1125" s="6">
        <f t="shared" si="239"/>
        <v>-1.215609970099174E-3</v>
      </c>
      <c r="E1125" s="5">
        <f t="shared" si="238"/>
        <v>4.0699727929549567E-4</v>
      </c>
      <c r="G1125" s="25" t="str">
        <f>IF(VLOOKUP(A1125,Aux!B:C,2,FALSE)=0,"",VLOOKUP(A1125,Aux!B:C,2,FALSE))</f>
        <v/>
      </c>
      <c r="H1125" s="25" t="str">
        <f t="shared" si="227"/>
        <v/>
      </c>
      <c r="L1125" s="13">
        <f t="shared" si="230"/>
        <v>127500.09822603498</v>
      </c>
      <c r="M1125" s="14">
        <f t="shared" si="231"/>
        <v>-78.236875484880869</v>
      </c>
      <c r="N1125" s="14">
        <f t="shared" si="232"/>
        <v>25.719149839358401</v>
      </c>
      <c r="O1125" s="1">
        <f t="shared" si="233"/>
        <v>2.8122528930582922</v>
      </c>
      <c r="P1125" s="1">
        <f t="shared" si="234"/>
        <v>1867.7668728663691</v>
      </c>
      <c r="S1125" s="6">
        <f t="shared" si="228"/>
        <v>0.50417170806814848</v>
      </c>
      <c r="T1125" s="6">
        <f t="shared" si="229"/>
        <v>0.49582829193185107</v>
      </c>
      <c r="V1125" s="1">
        <f t="shared" si="235"/>
        <v>128453.81069453334</v>
      </c>
      <c r="W1125" s="7">
        <f t="shared" si="236"/>
        <v>-4.1181860429970082E-4</v>
      </c>
      <c r="X1125" s="7">
        <f t="shared" si="237"/>
        <v>-2.5979816089216487E-4</v>
      </c>
      <c r="Y1125">
        <f>LN(B1125/B1124)</f>
        <v>-1.2163494232173429E-3</v>
      </c>
      <c r="Z1125">
        <f>LN(C1125/C1124)</f>
        <v>4.0691447836855823E-4</v>
      </c>
    </row>
    <row r="1126" spans="1:26" x14ac:dyDescent="0.3">
      <c r="A1126" s="11">
        <v>41838</v>
      </c>
      <c r="B1126" s="12">
        <v>23390.67</v>
      </c>
      <c r="C1126" s="12">
        <v>33.860700000000001</v>
      </c>
      <c r="D1126" s="16">
        <f t="shared" si="239"/>
        <v>2.3311944582617317E-2</v>
      </c>
      <c r="E1126" s="15">
        <f t="shared" si="238"/>
        <v>4.0712714775836822E-4</v>
      </c>
      <c r="G1126" s="25" t="str">
        <f>IF(VLOOKUP(A1126,Aux!B:C,2,FALSE)=0,"",VLOOKUP(A1126,Aux!B:C,2,FALSE))</f>
        <v/>
      </c>
      <c r="H1126" s="25" t="str">
        <f t="shared" si="227"/>
        <v/>
      </c>
      <c r="L1126" s="13">
        <f t="shared" si="230"/>
        <v>129024.37313013812</v>
      </c>
      <c r="M1126" s="14">
        <f t="shared" si="231"/>
        <v>1498.5370765950329</v>
      </c>
      <c r="N1126" s="14">
        <f t="shared" si="232"/>
        <v>25.737827508106268</v>
      </c>
      <c r="O1126" s="1">
        <f t="shared" si="233"/>
        <v>2.8122528930582922</v>
      </c>
      <c r="P1126" s="1">
        <f t="shared" si="234"/>
        <v>1867.7668728663691</v>
      </c>
      <c r="S1126" s="6">
        <f t="shared" si="228"/>
        <v>0.50982986998683966</v>
      </c>
      <c r="T1126" s="6">
        <f t="shared" si="229"/>
        <v>0.49017013001315995</v>
      </c>
      <c r="V1126" s="1">
        <f t="shared" si="235"/>
        <v>129713.96503939547</v>
      </c>
      <c r="W1126" s="7">
        <f t="shared" si="236"/>
        <v>1.1884190509808627E-2</v>
      </c>
      <c r="X1126" s="7">
        <f t="shared" si="237"/>
        <v>9.7623675099700689E-3</v>
      </c>
      <c r="Y1126">
        <f>LN(B1126/B1125)</f>
        <v>2.3044371653234298E-2</v>
      </c>
      <c r="Z1126">
        <f>LN(C1126/C1125)</f>
        <v>4.0704429398839723E-4</v>
      </c>
    </row>
    <row r="1127" spans="1:26" x14ac:dyDescent="0.3">
      <c r="A1127" s="9">
        <v>41841</v>
      </c>
      <c r="B1127" s="1">
        <v>23659.27</v>
      </c>
      <c r="C1127" s="1">
        <v>33.874490000000002</v>
      </c>
      <c r="D1127" s="6">
        <f t="shared" si="239"/>
        <v>1.1483211040983488E-2</v>
      </c>
      <c r="E1127" s="5">
        <f t="shared" si="238"/>
        <v>4.072567903203872E-4</v>
      </c>
      <c r="G1127" s="25" t="str">
        <f>IF(VLOOKUP(A1127,Aux!B:C,2,FALSE)=0,"",VLOOKUP(A1127,Aux!B:C,2,FALSE))</f>
        <v/>
      </c>
      <c r="H1127" s="25" t="str">
        <f t="shared" si="227"/>
        <v/>
      </c>
      <c r="L1127" s="13">
        <f t="shared" si="230"/>
        <v>129805.50076239041</v>
      </c>
      <c r="M1127" s="14">
        <f t="shared" si="231"/>
        <v>755.37112707546339</v>
      </c>
      <c r="N1127" s="14">
        <f t="shared" si="232"/>
        <v>25.756505176827588</v>
      </c>
      <c r="O1127" s="1">
        <f t="shared" si="233"/>
        <v>2.8122528930582922</v>
      </c>
      <c r="P1127" s="1">
        <f t="shared" si="234"/>
        <v>1867.7668728663691</v>
      </c>
      <c r="S1127" s="6">
        <f t="shared" si="228"/>
        <v>0.51258113188085497</v>
      </c>
      <c r="T1127" s="6">
        <f t="shared" si="229"/>
        <v>0.48741886811914464</v>
      </c>
      <c r="V1127" s="1">
        <f t="shared" si="235"/>
        <v>130364.48469171794</v>
      </c>
      <c r="W1127" s="7">
        <f t="shared" si="236"/>
        <v>6.0358566187021243E-3</v>
      </c>
      <c r="X1127" s="7">
        <f t="shared" si="237"/>
        <v>5.0024983584640598E-3</v>
      </c>
      <c r="Y1127">
        <f>LN(B1127/B1126)</f>
        <v>1.1417779406829386E-2</v>
      </c>
      <c r="Z1127">
        <f>LN(C1127/C1126)</f>
        <v>4.0717388378249276E-4</v>
      </c>
    </row>
    <row r="1128" spans="1:26" x14ac:dyDescent="0.3">
      <c r="A1128" s="11">
        <v>41842</v>
      </c>
      <c r="B1128" s="12">
        <v>23802.77</v>
      </c>
      <c r="C1128" s="12">
        <v>33.888269999999999</v>
      </c>
      <c r="D1128" s="16">
        <f t="shared" si="239"/>
        <v>6.0652758939729878E-3</v>
      </c>
      <c r="E1128" s="15">
        <f t="shared" si="238"/>
        <v>4.0679579234992325E-4</v>
      </c>
      <c r="G1128" s="25" t="str">
        <f>IF(VLOOKUP(A1128,Aux!B:C,2,FALSE)=0,"",VLOOKUP(A1128,Aux!B:C,2,FALSE))</f>
        <v/>
      </c>
      <c r="H1128" s="25" t="str">
        <f t="shared" si="227"/>
        <v/>
      </c>
      <c r="L1128" s="13">
        <f t="shared" si="230"/>
        <v>130234.79688005237</v>
      </c>
      <c r="M1128" s="14">
        <f t="shared" si="231"/>
        <v>403.5582901538649</v>
      </c>
      <c r="N1128" s="14">
        <f t="shared" si="232"/>
        <v>25.737827508092995</v>
      </c>
      <c r="O1128" s="1">
        <f t="shared" si="233"/>
        <v>2.8122528930582922</v>
      </c>
      <c r="P1128" s="1">
        <f t="shared" si="234"/>
        <v>1867.7668728663691</v>
      </c>
      <c r="S1128" s="6">
        <f t="shared" si="228"/>
        <v>0.51399019616050112</v>
      </c>
      <c r="T1128" s="6">
        <f t="shared" si="229"/>
        <v>0.48600980383949854</v>
      </c>
      <c r="V1128" s="1">
        <f t="shared" si="235"/>
        <v>130726.37189669437</v>
      </c>
      <c r="W1128" s="7">
        <f t="shared" si="236"/>
        <v>3.3017690839304316E-3</v>
      </c>
      <c r="X1128" s="7">
        <f t="shared" si="237"/>
        <v>2.7721188053299625E-3</v>
      </c>
      <c r="Y1128">
        <f>LN(B1128/B1127)</f>
        <v>6.0469561470305787E-3</v>
      </c>
      <c r="Z1128">
        <f>LN(C1128/C1127)</f>
        <v>4.067130733739804E-4</v>
      </c>
    </row>
    <row r="1129" spans="1:26" x14ac:dyDescent="0.3">
      <c r="A1129" s="9">
        <v>41843</v>
      </c>
      <c r="B1129" s="1">
        <v>23576.17</v>
      </c>
      <c r="C1129" s="1">
        <v>33.902070000000002</v>
      </c>
      <c r="D1129" s="6">
        <f t="shared" si="239"/>
        <v>-9.5199004149517652E-3</v>
      </c>
      <c r="E1129" s="5">
        <f t="shared" si="238"/>
        <v>4.0722055153596948E-4</v>
      </c>
      <c r="G1129" s="25" t="str">
        <f>IF(VLOOKUP(A1129,Aux!B:C,2,FALSE)=0,"",VLOOKUP(A1129,Aux!B:C,2,FALSE))</f>
        <v/>
      </c>
      <c r="H1129" s="25" t="str">
        <f t="shared" si="227"/>
        <v/>
      </c>
      <c r="L1129" s="13">
        <f t="shared" si="230"/>
        <v>129623.31555733092</v>
      </c>
      <c r="M1129" s="14">
        <f t="shared" si="231"/>
        <v>-637.2565055670151</v>
      </c>
      <c r="N1129" s="14">
        <f t="shared" si="232"/>
        <v>25.775182845562178</v>
      </c>
      <c r="O1129" s="1">
        <f t="shared" si="233"/>
        <v>2.8122528930582922</v>
      </c>
      <c r="P1129" s="1">
        <f t="shared" si="234"/>
        <v>1867.7668728663691</v>
      </c>
      <c r="S1129" s="6">
        <f t="shared" si="228"/>
        <v>0.51149866059713167</v>
      </c>
      <c r="T1129" s="6">
        <f t="shared" si="229"/>
        <v>0.48850133940286783</v>
      </c>
      <c r="V1129" s="1">
        <f t="shared" si="235"/>
        <v>130234.47019815276</v>
      </c>
      <c r="W1129" s="7">
        <f t="shared" si="236"/>
        <v>-4.7062794817569528E-3</v>
      </c>
      <c r="X1129" s="7">
        <f t="shared" si="237"/>
        <v>-3.7699317428938704E-3</v>
      </c>
      <c r="Y1129">
        <f>LN(B1129/B1128)</f>
        <v>-9.5655043274959634E-3</v>
      </c>
      <c r="Z1129">
        <f>LN(C1129/C1128)</f>
        <v>4.0713765974990192E-4</v>
      </c>
    </row>
    <row r="1130" spans="1:26" x14ac:dyDescent="0.3">
      <c r="A1130" s="11">
        <v>41844</v>
      </c>
      <c r="B1130" s="12">
        <v>23792.69</v>
      </c>
      <c r="C1130" s="12">
        <v>33.915869999999998</v>
      </c>
      <c r="D1130" s="16">
        <f t="shared" si="239"/>
        <v>9.1838496244300849E-3</v>
      </c>
      <c r="E1130" s="15">
        <f t="shared" si="238"/>
        <v>4.0705479045954895E-4</v>
      </c>
      <c r="G1130" s="25" t="str">
        <f>IF(VLOOKUP(A1130,Aux!B:C,2,FALSE)=0,"",VLOOKUP(A1130,Aux!B:C,2,FALSE))</f>
        <v/>
      </c>
      <c r="H1130" s="25" t="str">
        <f t="shared" si="227"/>
        <v/>
      </c>
      <c r="L1130" s="13">
        <f t="shared" si="230"/>
        <v>130257.99973658145</v>
      </c>
      <c r="M1130" s="14">
        <f t="shared" si="231"/>
        <v>608.90899640498264</v>
      </c>
      <c r="N1130" s="14">
        <f t="shared" si="232"/>
        <v>25.775182845548908</v>
      </c>
      <c r="O1130" s="1">
        <f t="shared" si="233"/>
        <v>2.8122528930582922</v>
      </c>
      <c r="P1130" s="1">
        <f t="shared" si="234"/>
        <v>1867.7668728663691</v>
      </c>
      <c r="S1130" s="6">
        <f t="shared" si="228"/>
        <v>0.51368101323106607</v>
      </c>
      <c r="T1130" s="6">
        <f t="shared" si="229"/>
        <v>0.48631898676893354</v>
      </c>
      <c r="V1130" s="1">
        <f t="shared" si="235"/>
        <v>130764.86184003169</v>
      </c>
      <c r="W1130" s="7">
        <f t="shared" si="236"/>
        <v>4.8844253413876677E-3</v>
      </c>
      <c r="X1130" s="7">
        <f t="shared" si="237"/>
        <v>4.0643197655076809E-3</v>
      </c>
      <c r="Y1130">
        <f>LN(B1130/B1129)</f>
        <v>9.1419345100929097E-3</v>
      </c>
      <c r="Z1130">
        <f>LN(C1130/C1129)</f>
        <v>4.0697196613359441E-4</v>
      </c>
    </row>
    <row r="1131" spans="1:26" x14ac:dyDescent="0.3">
      <c r="A1131" s="9">
        <v>41845</v>
      </c>
      <c r="B1131" s="1">
        <v>23725.27</v>
      </c>
      <c r="C1131" s="1">
        <v>33.929670000000002</v>
      </c>
      <c r="D1131" s="6">
        <f t="shared" si="239"/>
        <v>-2.8336434425867418E-3</v>
      </c>
      <c r="E1131" s="5">
        <f t="shared" si="238"/>
        <v>4.0688916427633615E-4</v>
      </c>
      <c r="G1131" s="25" t="str">
        <f>IF(VLOOKUP(A1131,Aux!B:C,2,FALSE)=0,"",VLOOKUP(A1131,Aux!B:C,2,FALSE))</f>
        <v/>
      </c>
      <c r="H1131" s="25" t="str">
        <f t="shared" si="227"/>
        <v/>
      </c>
      <c r="L1131" s="13">
        <f t="shared" si="230"/>
        <v>130094.17282937703</v>
      </c>
      <c r="M1131" s="14">
        <f t="shared" si="231"/>
        <v>-189.60209004998515</v>
      </c>
      <c r="N1131" s="14">
        <f t="shared" si="232"/>
        <v>25.775182845562178</v>
      </c>
      <c r="O1131" s="1">
        <f t="shared" si="233"/>
        <v>2.8122528930582922</v>
      </c>
      <c r="P1131" s="1">
        <f t="shared" si="234"/>
        <v>1867.7668728663691</v>
      </c>
      <c r="S1131" s="6">
        <f t="shared" si="228"/>
        <v>0.51287046717762363</v>
      </c>
      <c r="T1131" s="6">
        <f t="shared" si="229"/>
        <v>0.48712953282237587</v>
      </c>
      <c r="V1131" s="1">
        <f t="shared" si="235"/>
        <v>130640.19396963631</v>
      </c>
      <c r="W1131" s="7">
        <f t="shared" si="236"/>
        <v>-1.258502490780821E-3</v>
      </c>
      <c r="X1131" s="7">
        <f t="shared" si="237"/>
        <v>-9.5382914045820898E-4</v>
      </c>
      <c r="Y1131">
        <f>LN(B1131/B1130)</f>
        <v>-2.8376658106014675E-3</v>
      </c>
      <c r="Z1131">
        <f>LN(C1131/C1130)</f>
        <v>4.0680640732817603E-4</v>
      </c>
    </row>
    <row r="1132" spans="1:26" x14ac:dyDescent="0.3">
      <c r="A1132" s="11">
        <v>41848</v>
      </c>
      <c r="B1132" s="12">
        <v>23674.639999999999</v>
      </c>
      <c r="C1132" s="12">
        <v>33.943489999999997</v>
      </c>
      <c r="D1132" s="16">
        <f t="shared" si="239"/>
        <v>-2.1340115412806782E-3</v>
      </c>
      <c r="E1132" s="15">
        <f t="shared" si="238"/>
        <v>4.07313127418929E-4</v>
      </c>
      <c r="G1132" s="25" t="str">
        <f>IF(VLOOKUP(A1132,Aux!B:C,2,FALSE)=0,"",VLOOKUP(A1132,Aux!B:C,2,FALSE))</f>
        <v/>
      </c>
      <c r="H1132" s="25" t="str">
        <f t="shared" si="227"/>
        <v/>
      </c>
      <c r="L1132" s="13">
        <f t="shared" si="230"/>
        <v>129977.60100358448</v>
      </c>
      <c r="M1132" s="14">
        <f t="shared" si="231"/>
        <v>-142.3843639755442</v>
      </c>
      <c r="N1132" s="14">
        <f t="shared" si="232"/>
        <v>25.812538183004822</v>
      </c>
      <c r="O1132" s="1">
        <f t="shared" si="233"/>
        <v>2.8122528930582922</v>
      </c>
      <c r="P1132" s="1">
        <f t="shared" si="234"/>
        <v>1867.7668728663691</v>
      </c>
      <c r="S1132" s="6">
        <f t="shared" si="228"/>
        <v>0.51223498755202801</v>
      </c>
      <c r="T1132" s="6">
        <f t="shared" si="229"/>
        <v>0.4877650124479716</v>
      </c>
      <c r="V1132" s="1">
        <f t="shared" si="235"/>
        <v>130554.30595920744</v>
      </c>
      <c r="W1132" s="7">
        <f t="shared" si="236"/>
        <v>-8.964589419397489E-4</v>
      </c>
      <c r="X1132" s="7">
        <f t="shared" si="237"/>
        <v>-6.5765560567228711E-4</v>
      </c>
      <c r="Y1132">
        <f>LN(B1132/B1131)</f>
        <v>-2.1362917885367062E-3</v>
      </c>
      <c r="Z1132">
        <f>LN(C1132/C1131)</f>
        <v>4.0723019794512315E-4</v>
      </c>
    </row>
    <row r="1133" spans="1:26" x14ac:dyDescent="0.3">
      <c r="A1133" s="9">
        <v>41849</v>
      </c>
      <c r="B1133" s="1">
        <v>23446.93</v>
      </c>
      <c r="C1133" s="1">
        <v>33.957300000000004</v>
      </c>
      <c r="D1133" s="6">
        <f t="shared" si="239"/>
        <v>-9.6183088739680844E-3</v>
      </c>
      <c r="E1133" s="5">
        <f t="shared" si="238"/>
        <v>4.0685268368112482E-4</v>
      </c>
      <c r="G1133" s="25" t="str">
        <f>IF(VLOOKUP(A1133,Aux!B:C,2,FALSE)=0,"",VLOOKUP(A1133,Aux!B:C,2,FALSE))</f>
        <v/>
      </c>
      <c r="H1133" s="25" t="str">
        <f t="shared" si="227"/>
        <v/>
      </c>
      <c r="L1133" s="13">
        <f t="shared" si="230"/>
        <v>129363.01675782049</v>
      </c>
      <c r="M1133" s="14">
        <f t="shared" si="231"/>
        <v>-640.37810627830129</v>
      </c>
      <c r="N1133" s="14">
        <f t="shared" si="232"/>
        <v>25.793860514296771</v>
      </c>
      <c r="O1133" s="1">
        <f t="shared" si="233"/>
        <v>2.8122528930582922</v>
      </c>
      <c r="P1133" s="1">
        <f t="shared" si="234"/>
        <v>1867.7668728663691</v>
      </c>
      <c r="S1133" s="6">
        <f t="shared" si="228"/>
        <v>0.50971829799917701</v>
      </c>
      <c r="T1133" s="6">
        <f t="shared" si="229"/>
        <v>0.49028170200082255</v>
      </c>
      <c r="V1133" s="1">
        <f t="shared" si="235"/>
        <v>130059.86582316246</v>
      </c>
      <c r="W1133" s="7">
        <f t="shared" si="236"/>
        <v>-4.7396000021938398E-3</v>
      </c>
      <c r="X1133" s="7">
        <f t="shared" si="237"/>
        <v>-3.794427032848826E-3</v>
      </c>
      <c r="Y1133">
        <f>LN(B1133/B1132)</f>
        <v>-9.6648635655394739E-3</v>
      </c>
      <c r="Z1133">
        <f>LN(C1133/C1132)</f>
        <v>4.0676994156982148E-4</v>
      </c>
    </row>
    <row r="1134" spans="1:26" x14ac:dyDescent="0.3">
      <c r="A1134" s="11">
        <v>41850</v>
      </c>
      <c r="B1134" s="12">
        <v>23336.45</v>
      </c>
      <c r="C1134" s="12">
        <v>33.971119999999999</v>
      </c>
      <c r="D1134" s="16">
        <f t="shared" si="239"/>
        <v>-4.7119175090299947E-3</v>
      </c>
      <c r="E1134" s="15">
        <f t="shared" si="238"/>
        <v>4.0698170938191502E-4</v>
      </c>
      <c r="G1134" s="25" t="str">
        <f>IF(VLOOKUP(A1134,Aux!B:C,2,FALSE)=0,"",VLOOKUP(A1134,Aux!B:C,2,FALSE))</f>
        <v/>
      </c>
      <c r="H1134" s="25" t="str">
        <f t="shared" si="227"/>
        <v/>
      </c>
      <c r="L1134" s="13">
        <f t="shared" si="230"/>
        <v>129078.13159637841</v>
      </c>
      <c r="M1134" s="14">
        <f t="shared" si="231"/>
        <v>-310.69769962507888</v>
      </c>
      <c r="N1134" s="14">
        <f t="shared" si="232"/>
        <v>25.812538183004822</v>
      </c>
      <c r="O1134" s="1">
        <f t="shared" si="233"/>
        <v>2.8122528930582922</v>
      </c>
      <c r="P1134" s="1">
        <f t="shared" si="234"/>
        <v>1867.7668728663691</v>
      </c>
      <c r="S1134" s="6">
        <f t="shared" si="228"/>
        <v>0.50843623326859133</v>
      </c>
      <c r="T1134" s="6">
        <f t="shared" si="229"/>
        <v>0.49156376673140822</v>
      </c>
      <c r="V1134" s="1">
        <f t="shared" si="235"/>
        <v>129835.90176916942</v>
      </c>
      <c r="W1134" s="7">
        <f t="shared" si="236"/>
        <v>-2.2046433290169457E-3</v>
      </c>
      <c r="X1134" s="7">
        <f t="shared" si="237"/>
        <v>-1.7234917790839869E-3</v>
      </c>
      <c r="Y1134">
        <f>LN(B1134/B1133)</f>
        <v>-4.7230535876288957E-3</v>
      </c>
      <c r="Z1134">
        <f>LN(C1134/C1133)</f>
        <v>4.0689891478919084E-4</v>
      </c>
    </row>
    <row r="1135" spans="1:26" x14ac:dyDescent="0.3">
      <c r="A1135" s="9">
        <v>41851</v>
      </c>
      <c r="B1135" s="1">
        <v>22913.07</v>
      </c>
      <c r="C1135" s="1">
        <v>33.984949999999998</v>
      </c>
      <c r="D1135" s="6">
        <f t="shared" si="239"/>
        <v>-1.8142433832052496E-2</v>
      </c>
      <c r="E1135" s="5">
        <f t="shared" si="238"/>
        <v>4.0711051033937018E-4</v>
      </c>
      <c r="G1135" s="25" t="str">
        <f>IF(VLOOKUP(A1135,Aux!B:C,2,FALSE)=0,"",VLOOKUP(A1135,Aux!B:C,2,FALSE))</f>
        <v/>
      </c>
      <c r="H1135" s="25" t="str">
        <f t="shared" si="227"/>
        <v/>
      </c>
      <c r="L1135" s="13">
        <f t="shared" si="230"/>
        <v>127913.31118236714</v>
      </c>
      <c r="M1135" s="14">
        <f t="shared" si="231"/>
        <v>-1190.6516298630227</v>
      </c>
      <c r="N1135" s="14">
        <f t="shared" si="232"/>
        <v>25.831215851739412</v>
      </c>
      <c r="O1135" s="1">
        <f t="shared" si="233"/>
        <v>2.8122528930582922</v>
      </c>
      <c r="P1135" s="1">
        <f t="shared" si="234"/>
        <v>1867.7668728663691</v>
      </c>
      <c r="S1135" s="6">
        <f t="shared" si="228"/>
        <v>0.5037579498233633</v>
      </c>
      <c r="T1135" s="6">
        <f t="shared" si="229"/>
        <v>0.49624205017663614</v>
      </c>
      <c r="V1135" s="1">
        <f t="shared" si="235"/>
        <v>128890.0888412004</v>
      </c>
      <c r="W1135" s="7">
        <f t="shared" si="236"/>
        <v>-9.0651142164457962E-3</v>
      </c>
      <c r="X1135" s="7">
        <f t="shared" si="237"/>
        <v>-7.3113423123337311E-3</v>
      </c>
      <c r="Y1135">
        <f>LN(B1135/B1134)</f>
        <v>-1.8309025783152903E-2</v>
      </c>
      <c r="Z1135">
        <f>LN(C1135/C1134)</f>
        <v>4.0702766334004925E-4</v>
      </c>
    </row>
    <row r="1136" spans="1:26" x14ac:dyDescent="0.3">
      <c r="A1136" s="11">
        <v>41852</v>
      </c>
      <c r="B1136" s="12">
        <v>22943.73</v>
      </c>
      <c r="C1136" s="12">
        <v>33.998779999999996</v>
      </c>
      <c r="D1136" s="16">
        <f t="shared" si="239"/>
        <v>1.3381009179476155E-3</v>
      </c>
      <c r="E1136" s="15">
        <f t="shared" si="238"/>
        <v>4.069448388184238E-4</v>
      </c>
      <c r="G1136" s="25" t="str">
        <f>IF(VLOOKUP(A1136,Aux!B:C,2,FALSE)=0,"",VLOOKUP(A1136,Aux!B:C,2,FALSE))</f>
        <v/>
      </c>
      <c r="H1136" s="25" t="str">
        <f t="shared" si="227"/>
        <v/>
      </c>
      <c r="L1136" s="13">
        <f t="shared" si="230"/>
        <v>128025.36607192004</v>
      </c>
      <c r="M1136" s="14">
        <f t="shared" si="231"/>
        <v>86.223673701166831</v>
      </c>
      <c r="N1136" s="14">
        <f t="shared" si="232"/>
        <v>25.831215851739412</v>
      </c>
      <c r="O1136" s="1">
        <f t="shared" si="233"/>
        <v>2.8122528930582922</v>
      </c>
      <c r="P1136" s="1">
        <f t="shared" si="234"/>
        <v>1867.7668728663691</v>
      </c>
      <c r="S1136" s="6">
        <f t="shared" si="228"/>
        <v>0.50399052195485472</v>
      </c>
      <c r="T1136" s="6">
        <f t="shared" si="229"/>
        <v>0.49600947804514472</v>
      </c>
      <c r="V1136" s="1">
        <f t="shared" si="235"/>
        <v>128991.7620756356</v>
      </c>
      <c r="W1136" s="7">
        <f t="shared" si="236"/>
        <v>8.7563863277567114E-4</v>
      </c>
      <c r="X1136" s="7">
        <f t="shared" si="237"/>
        <v>7.8852574806543055E-4</v>
      </c>
      <c r="Y1136">
        <f>LN(B1136/B1135)</f>
        <v>1.3372064587431867E-3</v>
      </c>
      <c r="Z1136">
        <f>LN(C1136/C1135)</f>
        <v>4.0686205922456088E-4</v>
      </c>
    </row>
    <row r="1137" spans="1:26" x14ac:dyDescent="0.3">
      <c r="A1137" s="9">
        <v>41855</v>
      </c>
      <c r="B1137" s="1">
        <v>23230.400000000001</v>
      </c>
      <c r="C1137" s="1">
        <v>34.012619999999998</v>
      </c>
      <c r="D1137" s="6">
        <f t="shared" si="239"/>
        <v>1.2494481063018092E-2</v>
      </c>
      <c r="E1137" s="5">
        <f t="shared" si="238"/>
        <v>4.0707343028190124E-4</v>
      </c>
      <c r="G1137" s="25" t="str">
        <f>IF(VLOOKUP(A1137,Aux!B:C,2,FALSE)=0,"",VLOOKUP(A1137,Aux!B:C,2,FALSE))</f>
        <v/>
      </c>
      <c r="H1137" s="25" t="str">
        <f t="shared" si="227"/>
        <v/>
      </c>
      <c r="L1137" s="13">
        <f t="shared" si="230"/>
        <v>128857.40450229353</v>
      </c>
      <c r="M1137" s="14">
        <f t="shared" si="231"/>
        <v>806.18853685302599</v>
      </c>
      <c r="N1137" s="14">
        <f t="shared" si="232"/>
        <v>25.849893520474005</v>
      </c>
      <c r="O1137" s="1">
        <f t="shared" si="233"/>
        <v>2.8122528930582922</v>
      </c>
      <c r="P1137" s="1">
        <f t="shared" si="234"/>
        <v>1867.7668728663691</v>
      </c>
      <c r="S1137" s="6">
        <f t="shared" si="228"/>
        <v>0.50699267038037032</v>
      </c>
      <c r="T1137" s="6">
        <f t="shared" si="229"/>
        <v>0.49300732961962923</v>
      </c>
      <c r="V1137" s="1">
        <f t="shared" si="235"/>
        <v>129684.08170667314</v>
      </c>
      <c r="W1137" s="7">
        <f t="shared" si="236"/>
        <v>6.4779847879238607E-3</v>
      </c>
      <c r="X1137" s="7">
        <f t="shared" si="237"/>
        <v>5.3528097094437052E-3</v>
      </c>
      <c r="Y1137">
        <f>LN(B1137/B1136)</f>
        <v>1.2417069181744039E-2</v>
      </c>
      <c r="Z1137">
        <f>LN(C1137/C1136)</f>
        <v>4.0699059837143137E-4</v>
      </c>
    </row>
    <row r="1138" spans="1:26" x14ac:dyDescent="0.3">
      <c r="A1138" s="11">
        <v>41856</v>
      </c>
      <c r="B1138" s="12">
        <v>23067.82</v>
      </c>
      <c r="C1138" s="12">
        <v>34.026479999999999</v>
      </c>
      <c r="D1138" s="16">
        <f t="shared" si="239"/>
        <v>-6.9985880570287984E-3</v>
      </c>
      <c r="E1138" s="15">
        <f t="shared" si="238"/>
        <v>4.0749580596854962E-4</v>
      </c>
      <c r="G1138" s="25" t="str">
        <f>IF(VLOOKUP(A1138,Aux!B:C,2,FALSE)=0,"",VLOOKUP(A1138,Aux!B:C,2,FALSE))</f>
        <v/>
      </c>
      <c r="H1138" s="25" t="str">
        <f t="shared" si="227"/>
        <v/>
      </c>
      <c r="L1138" s="13">
        <f t="shared" si="230"/>
        <v>128426.07567579804</v>
      </c>
      <c r="M1138" s="14">
        <f t="shared" si="231"/>
        <v>-457.21607535342207</v>
      </c>
      <c r="N1138" s="14">
        <f t="shared" si="232"/>
        <v>25.887248857929919</v>
      </c>
      <c r="O1138" s="1">
        <f t="shared" si="233"/>
        <v>2.8122528930582922</v>
      </c>
      <c r="P1138" s="1">
        <f t="shared" si="234"/>
        <v>1867.7668728663691</v>
      </c>
      <c r="S1138" s="6">
        <f t="shared" si="228"/>
        <v>0.50513529429423498</v>
      </c>
      <c r="T1138" s="6">
        <f t="shared" si="229"/>
        <v>0.49486470570576457</v>
      </c>
      <c r="V1138" s="1">
        <f t="shared" si="235"/>
        <v>129340.01061551081</v>
      </c>
      <c r="W1138" s="7">
        <f t="shared" si="236"/>
        <v>-3.3529492860539236E-3</v>
      </c>
      <c r="X1138" s="7">
        <f t="shared" si="237"/>
        <v>-2.6566740602886195E-3</v>
      </c>
      <c r="Y1138">
        <f>LN(B1138/B1137)</f>
        <v>-7.0231930417304373E-3</v>
      </c>
      <c r="Z1138">
        <f>LN(C1138/C1137)</f>
        <v>4.0741280210099501E-4</v>
      </c>
    </row>
    <row r="1139" spans="1:26" x14ac:dyDescent="0.3">
      <c r="A1139" s="9">
        <v>41857</v>
      </c>
      <c r="B1139" s="1">
        <v>23166.13</v>
      </c>
      <c r="C1139" s="1">
        <v>34.04034</v>
      </c>
      <c r="D1139" s="6">
        <f t="shared" si="239"/>
        <v>4.2617811305967201E-3</v>
      </c>
      <c r="E1139" s="5">
        <f t="shared" si="238"/>
        <v>4.0732982077495983E-4</v>
      </c>
      <c r="G1139" s="25" t="str">
        <f>IF(VLOOKUP(A1139,Aux!B:C,2,FALSE)=0,"",VLOOKUP(A1139,Aux!B:C,2,FALSE))</f>
        <v/>
      </c>
      <c r="H1139" s="25" t="str">
        <f t="shared" si="227"/>
        <v/>
      </c>
      <c r="L1139" s="13">
        <f t="shared" si="230"/>
        <v>128728.43550657254</v>
      </c>
      <c r="M1139" s="14">
        <f t="shared" si="231"/>
        <v>276.47258191656437</v>
      </c>
      <c r="N1139" s="14">
        <f t="shared" si="232"/>
        <v>25.887248857929919</v>
      </c>
      <c r="O1139" s="1">
        <f t="shared" si="233"/>
        <v>2.8122528930582922</v>
      </c>
      <c r="P1139" s="1">
        <f t="shared" si="234"/>
        <v>1867.7668728663691</v>
      </c>
      <c r="S1139" s="6">
        <f t="shared" si="228"/>
        <v>0.50609654236136625</v>
      </c>
      <c r="T1139" s="6">
        <f t="shared" si="229"/>
        <v>0.49390345763863325</v>
      </c>
      <c r="V1139" s="1">
        <f t="shared" si="235"/>
        <v>129597.82188032952</v>
      </c>
      <c r="W1139" s="7">
        <f t="shared" si="236"/>
        <v>2.3515820797403793E-3</v>
      </c>
      <c r="X1139" s="7">
        <f t="shared" si="237"/>
        <v>1.9912992051005262E-3</v>
      </c>
      <c r="Y1139">
        <f>LN(B1139/B1138)</f>
        <v>4.2527254611314834E-3</v>
      </c>
      <c r="Z1139">
        <f>LN(C1139/C1138)</f>
        <v>4.0724688450436005E-4</v>
      </c>
    </row>
    <row r="1140" spans="1:26" x14ac:dyDescent="0.3">
      <c r="A1140" s="11">
        <v>41858</v>
      </c>
      <c r="B1140" s="12">
        <v>23053.99</v>
      </c>
      <c r="C1140" s="12">
        <v>34.054209999999998</v>
      </c>
      <c r="D1140" s="16">
        <f t="shared" si="239"/>
        <v>-4.8406876763619211E-3</v>
      </c>
      <c r="E1140" s="15">
        <f t="shared" si="238"/>
        <v>4.074577398462953E-4</v>
      </c>
      <c r="G1140" s="25" t="str">
        <f>IF(VLOOKUP(A1140,Aux!B:C,2,FALSE)=0,"",VLOOKUP(A1140,Aux!B:C,2,FALSE))</f>
        <v/>
      </c>
      <c r="H1140" s="25" t="str">
        <f t="shared" si="227"/>
        <v/>
      </c>
      <c r="L1140" s="13">
        <f t="shared" si="230"/>
        <v>128438.97539367164</v>
      </c>
      <c r="M1140" s="14">
        <f t="shared" si="231"/>
        <v>-315.36603942755522</v>
      </c>
      <c r="N1140" s="14">
        <f t="shared" si="232"/>
        <v>25.905926526651239</v>
      </c>
      <c r="O1140" s="1">
        <f t="shared" si="233"/>
        <v>2.8122528930582922</v>
      </c>
      <c r="P1140" s="1">
        <f t="shared" si="234"/>
        <v>1867.7668728663691</v>
      </c>
      <c r="S1140" s="6">
        <f t="shared" si="228"/>
        <v>0.504781744601424</v>
      </c>
      <c r="T1140" s="6">
        <f t="shared" si="229"/>
        <v>0.49521825539857545</v>
      </c>
      <c r="V1140" s="1">
        <f t="shared" si="235"/>
        <v>129370.14000489243</v>
      </c>
      <c r="W1140" s="7">
        <f t="shared" si="236"/>
        <v>-2.2511424299651072E-3</v>
      </c>
      <c r="X1140" s="7">
        <f t="shared" si="237"/>
        <v>-1.7583791635359394E-3</v>
      </c>
      <c r="Y1140">
        <f>LN(B1140/B1139)</f>
        <v>-4.8524417521662146E-3</v>
      </c>
      <c r="Z1140">
        <f>LN(C1140/C1139)</f>
        <v>4.0737475148348352E-4</v>
      </c>
    </row>
    <row r="1141" spans="1:26" x14ac:dyDescent="0.3">
      <c r="A1141" s="9">
        <v>41859</v>
      </c>
      <c r="B1141" s="1">
        <v>22826.75</v>
      </c>
      <c r="C1141" s="1">
        <v>34.068080000000002</v>
      </c>
      <c r="D1141" s="6">
        <f t="shared" si="239"/>
        <v>-9.8568620876473556E-3</v>
      </c>
      <c r="E1141" s="5">
        <f t="shared" si="238"/>
        <v>4.0729178565590551E-4</v>
      </c>
      <c r="G1141" s="25" t="str">
        <f>IF(VLOOKUP(A1141,Aux!B:C,2,FALSE)=0,"",VLOOKUP(A1141,Aux!B:C,2,FALSE))</f>
        <v/>
      </c>
      <c r="H1141" s="25" t="str">
        <f t="shared" si="227"/>
        <v/>
      </c>
      <c r="L1141" s="13">
        <f t="shared" si="230"/>
        <v>127825.82497277974</v>
      </c>
      <c r="M1141" s="14">
        <f t="shared" si="231"/>
        <v>-639.05634741857079</v>
      </c>
      <c r="N1141" s="14">
        <f t="shared" si="232"/>
        <v>25.905926526664512</v>
      </c>
      <c r="O1141" s="1">
        <f t="shared" si="233"/>
        <v>2.8122528930582922</v>
      </c>
      <c r="P1141" s="1">
        <f t="shared" si="234"/>
        <v>1867.7668728663691</v>
      </c>
      <c r="S1141" s="6">
        <f t="shared" si="228"/>
        <v>0.5022036332665053</v>
      </c>
      <c r="T1141" s="6">
        <f t="shared" si="229"/>
        <v>0.49779636673349414</v>
      </c>
      <c r="V1141" s="1">
        <f t="shared" si="235"/>
        <v>128876.91840323582</v>
      </c>
      <c r="W1141" s="7">
        <f t="shared" si="236"/>
        <v>-4.7852970057722412E-3</v>
      </c>
      <c r="X1141" s="7">
        <f t="shared" si="237"/>
        <v>-3.8197701410306855E-3</v>
      </c>
      <c r="Y1141">
        <f>LN(B1141/B1140)</f>
        <v>-9.9057625548732726E-3</v>
      </c>
      <c r="Z1141">
        <f>LN(C1141/C1140)</f>
        <v>4.0720886487111309E-4</v>
      </c>
    </row>
    <row r="1142" spans="1:26" x14ac:dyDescent="0.3">
      <c r="A1142" s="11">
        <v>41862</v>
      </c>
      <c r="B1142" s="12">
        <v>23246.54</v>
      </c>
      <c r="C1142" s="12">
        <v>34.081969999999998</v>
      </c>
      <c r="D1142" s="16">
        <f t="shared" si="239"/>
        <v>1.8390265806564665E-2</v>
      </c>
      <c r="E1142" s="15">
        <f t="shared" si="238"/>
        <v>4.0771302638709095E-4</v>
      </c>
      <c r="G1142" s="25" t="str">
        <f>IF(VLOOKUP(A1142,Aux!B:C,2,FALSE)=0,"",VLOOKUP(A1142,Aux!B:C,2,FALSE))</f>
        <v/>
      </c>
      <c r="H1142" s="25" t="str">
        <f t="shared" si="227"/>
        <v/>
      </c>
      <c r="L1142" s="13">
        <f t="shared" si="230"/>
        <v>129032.32389662079</v>
      </c>
      <c r="M1142" s="14">
        <f t="shared" si="231"/>
        <v>1180.555641976943</v>
      </c>
      <c r="N1142" s="14">
        <f t="shared" si="232"/>
        <v>25.943281864107153</v>
      </c>
      <c r="O1142" s="1">
        <f t="shared" si="233"/>
        <v>2.8122528930582922</v>
      </c>
      <c r="P1142" s="1">
        <f t="shared" si="234"/>
        <v>1867.7668728663691</v>
      </c>
      <c r="S1142" s="6">
        <f t="shared" si="228"/>
        <v>0.50665714911073856</v>
      </c>
      <c r="T1142" s="6">
        <f t="shared" si="229"/>
        <v>0.49334285088926089</v>
      </c>
      <c r="V1142" s="1">
        <f t="shared" si="235"/>
        <v>129876.46238745895</v>
      </c>
      <c r="W1142" s="7">
        <f t="shared" si="236"/>
        <v>9.3943509467605425E-3</v>
      </c>
      <c r="X1142" s="7">
        <f t="shared" si="237"/>
        <v>7.7258813237455082E-3</v>
      </c>
      <c r="Y1142">
        <f>LN(B1142/B1141)</f>
        <v>1.8223209895037618E-2</v>
      </c>
      <c r="Z1142">
        <f>LN(C1142/C1141)</f>
        <v>4.0762993401560906E-4</v>
      </c>
    </row>
    <row r="1143" spans="1:26" x14ac:dyDescent="0.3">
      <c r="A1143" s="9">
        <v>41863</v>
      </c>
      <c r="B1143" s="1">
        <v>23188.51</v>
      </c>
      <c r="C1143" s="1">
        <v>34.095849999999999</v>
      </c>
      <c r="D1143" s="6">
        <f t="shared" si="239"/>
        <v>-2.4962854687192726E-3</v>
      </c>
      <c r="E1143" s="5">
        <f t="shared" si="238"/>
        <v>4.0725345395231649E-4</v>
      </c>
      <c r="G1143" s="25" t="str">
        <f>IF(VLOOKUP(A1143,Aux!B:C,2,FALSE)=0,"",VLOOKUP(A1143,Aux!B:C,2,FALSE))</f>
        <v/>
      </c>
      <c r="H1143" s="25" t="str">
        <f t="shared" si="227"/>
        <v/>
      </c>
      <c r="L1143" s="13">
        <f t="shared" si="230"/>
        <v>128895.05346543199</v>
      </c>
      <c r="M1143" s="14">
        <f t="shared" si="231"/>
        <v>-163.19503538417965</v>
      </c>
      <c r="N1143" s="14">
        <f t="shared" si="232"/>
        <v>25.924604195385832</v>
      </c>
      <c r="O1143" s="1">
        <f t="shared" si="233"/>
        <v>2.8122528930582922</v>
      </c>
      <c r="P1143" s="1">
        <f t="shared" si="234"/>
        <v>1867.7668728663691</v>
      </c>
      <c r="S1143" s="6">
        <f t="shared" si="228"/>
        <v>0.50593062014362056</v>
      </c>
      <c r="T1143" s="6">
        <f t="shared" si="229"/>
        <v>0.49406937985637894</v>
      </c>
      <c r="V1143" s="1">
        <f t="shared" si="235"/>
        <v>129773.6365461244</v>
      </c>
      <c r="W1143" s="7">
        <f t="shared" si="236"/>
        <v>-1.0644115840126862E-3</v>
      </c>
      <c r="X1143" s="7">
        <f t="shared" si="237"/>
        <v>-7.9203394978272397E-4</v>
      </c>
      <c r="Y1143">
        <f>LN(B1143/B1142)</f>
        <v>-2.4994063841690737E-3</v>
      </c>
      <c r="Z1143">
        <f>LN(C1143/C1142)</f>
        <v>4.071705487726219E-4</v>
      </c>
    </row>
    <row r="1144" spans="1:26" x14ac:dyDescent="0.3">
      <c r="A1144" s="11">
        <v>41864</v>
      </c>
      <c r="B1144" s="12">
        <v>22878.240000000002</v>
      </c>
      <c r="C1144" s="12">
        <v>34.109740000000002</v>
      </c>
      <c r="D1144" s="16">
        <f t="shared" si="239"/>
        <v>-1.3380333622125651E-2</v>
      </c>
      <c r="E1144" s="15">
        <f t="shared" si="238"/>
        <v>4.0738095692005594E-4</v>
      </c>
      <c r="G1144" s="25" t="str">
        <f>IF(VLOOKUP(A1144,Aux!B:C,2,FALSE)=0,"",VLOOKUP(A1144,Aux!B:C,2,FALSE))</f>
        <v/>
      </c>
      <c r="H1144" s="25" t="str">
        <f t="shared" si="227"/>
        <v/>
      </c>
      <c r="L1144" s="13">
        <f t="shared" si="230"/>
        <v>128048.43904216692</v>
      </c>
      <c r="M1144" s="14">
        <f t="shared" si="231"/>
        <v>-872.5577051291873</v>
      </c>
      <c r="N1144" s="14">
        <f t="shared" si="232"/>
        <v>25.943281864120426</v>
      </c>
      <c r="O1144" s="1">
        <f t="shared" si="233"/>
        <v>2.8122528930582922</v>
      </c>
      <c r="P1144" s="1">
        <f t="shared" si="234"/>
        <v>1867.7668728663691</v>
      </c>
      <c r="S1144" s="6">
        <f t="shared" si="228"/>
        <v>0.50246138968468557</v>
      </c>
      <c r="T1144" s="6">
        <f t="shared" si="229"/>
        <v>0.49753861031531382</v>
      </c>
      <c r="V1144" s="1">
        <f t="shared" si="235"/>
        <v>129088.90657271209</v>
      </c>
      <c r="W1144" s="7">
        <f t="shared" si="236"/>
        <v>-6.589911881582566E-3</v>
      </c>
      <c r="X1144" s="7">
        <f t="shared" si="237"/>
        <v>-5.2903101556911582E-3</v>
      </c>
      <c r="Y1144">
        <f>LN(B1144/B1143)</f>
        <v>-1.3470656894573762E-2</v>
      </c>
      <c r="Z1144">
        <f>LN(C1144/C1143)</f>
        <v>4.0729799982735387E-4</v>
      </c>
    </row>
    <row r="1145" spans="1:26" x14ac:dyDescent="0.3">
      <c r="A1145" s="9">
        <v>41865</v>
      </c>
      <c r="B1145" s="1">
        <v>22951</v>
      </c>
      <c r="C1145" s="1">
        <v>34.123640000000002</v>
      </c>
      <c r="D1145" s="6">
        <f t="shared" si="239"/>
        <v>3.1803145696520652E-3</v>
      </c>
      <c r="E1145" s="5">
        <f t="shared" si="238"/>
        <v>4.0750823665036684E-4</v>
      </c>
      <c r="G1145" s="25" t="str">
        <f>IF(VLOOKUP(A1145,Aux!B:C,2,FALSE)=0,"",VLOOKUP(A1145,Aux!B:C,2,FALSE))</f>
        <v/>
      </c>
      <c r="H1145" s="25" t="str">
        <f t="shared" si="227"/>
        <v/>
      </c>
      <c r="L1145" s="13">
        <f t="shared" si="230"/>
        <v>128279.02052219868</v>
      </c>
      <c r="M1145" s="14">
        <f t="shared" si="231"/>
        <v>204.61952049891684</v>
      </c>
      <c r="N1145" s="14">
        <f t="shared" si="232"/>
        <v>25.961959532841746</v>
      </c>
      <c r="O1145" s="1">
        <f t="shared" si="233"/>
        <v>2.8122528930582922</v>
      </c>
      <c r="P1145" s="1">
        <f t="shared" si="234"/>
        <v>1867.7668728663691</v>
      </c>
      <c r="S1145" s="6">
        <f t="shared" si="228"/>
        <v>0.50315332846972838</v>
      </c>
      <c r="T1145" s="6">
        <f t="shared" si="229"/>
        <v>0.49684667153027107</v>
      </c>
      <c r="V1145" s="1">
        <f t="shared" si="235"/>
        <v>129287.86257908546</v>
      </c>
      <c r="W1145" s="7">
        <f t="shared" si="236"/>
        <v>1.7991169780996049E-3</v>
      </c>
      <c r="X1145" s="7">
        <f t="shared" si="237"/>
        <v>1.5400459286582201E-3</v>
      </c>
      <c r="Y1145">
        <f>LN(B1145/B1144)</f>
        <v>3.1752680660860856E-3</v>
      </c>
      <c r="Z1145">
        <f>LN(C1145/C1144)</f>
        <v>4.0742522771934766E-4</v>
      </c>
    </row>
    <row r="1146" spans="1:26" x14ac:dyDescent="0.3">
      <c r="A1146" s="11">
        <v>41866</v>
      </c>
      <c r="B1146" s="12">
        <v>23408.32</v>
      </c>
      <c r="C1146" s="12">
        <v>34.137540000000001</v>
      </c>
      <c r="D1146" s="16">
        <f t="shared" si="239"/>
        <v>1.9925929153413735E-2</v>
      </c>
      <c r="E1146" s="15">
        <f t="shared" si="238"/>
        <v>4.0734224133176511E-4</v>
      </c>
      <c r="G1146" s="25" t="str">
        <f>IF(VLOOKUP(A1146,Aux!B:C,2,FALSE)=0,"",VLOOKUP(A1146,Aux!B:C,2,FALSE))</f>
        <v/>
      </c>
      <c r="H1146" s="25" t="str">
        <f t="shared" si="227"/>
        <v/>
      </c>
      <c r="L1146" s="13">
        <f t="shared" si="230"/>
        <v>129591.08197478495</v>
      </c>
      <c r="M1146" s="14">
        <f t="shared" si="231"/>
        <v>1286.0994930534173</v>
      </c>
      <c r="N1146" s="14">
        <f t="shared" si="232"/>
        <v>25.961959532841746</v>
      </c>
      <c r="O1146" s="1">
        <f t="shared" si="233"/>
        <v>2.8122528930582922</v>
      </c>
      <c r="P1146" s="1">
        <f t="shared" si="234"/>
        <v>1867.7668728663691</v>
      </c>
      <c r="S1146" s="6">
        <f t="shared" si="228"/>
        <v>0.50798337847386066</v>
      </c>
      <c r="T1146" s="6">
        <f t="shared" si="229"/>
        <v>0.49201662152613884</v>
      </c>
      <c r="V1146" s="1">
        <f t="shared" si="235"/>
        <v>130374.01195743962</v>
      </c>
      <c r="W1146" s="7">
        <f t="shared" si="236"/>
        <v>1.01762302995029E-2</v>
      </c>
      <c r="X1146" s="7">
        <f t="shared" si="237"/>
        <v>8.3659236854249381E-3</v>
      </c>
      <c r="Y1146">
        <f>LN(B1146/B1145)</f>
        <v>1.9730006182285095E-2</v>
      </c>
      <c r="Z1146">
        <f>LN(C1146/C1145)</f>
        <v>4.0725930000388505E-4</v>
      </c>
    </row>
    <row r="1147" spans="1:26" x14ac:dyDescent="0.3">
      <c r="A1147" s="9">
        <v>41869</v>
      </c>
      <c r="B1147" s="1">
        <v>23639.72</v>
      </c>
      <c r="C1147" s="1">
        <v>34.15146</v>
      </c>
      <c r="D1147" s="6">
        <f t="shared" si="239"/>
        <v>9.8853740892128616E-3</v>
      </c>
      <c r="E1147" s="5">
        <f t="shared" si="238"/>
        <v>4.0776224648864101E-4</v>
      </c>
      <c r="G1147" s="25" t="str">
        <f>IF(VLOOKUP(A1147,Aux!B:C,2,FALSE)=0,"",VLOOKUP(A1147,Aux!B:C,2,FALSE))</f>
        <v/>
      </c>
      <c r="H1147" s="25" t="str">
        <f t="shared" si="227"/>
        <v/>
      </c>
      <c r="L1147" s="13">
        <f t="shared" si="230"/>
        <v>130267.83660910893</v>
      </c>
      <c r="M1147" s="14">
        <f t="shared" si="231"/>
        <v>650.75531945369289</v>
      </c>
      <c r="N1147" s="14">
        <f t="shared" si="232"/>
        <v>25.99931487029766</v>
      </c>
      <c r="O1147" s="1">
        <f t="shared" si="233"/>
        <v>2.8122528930582922</v>
      </c>
      <c r="P1147" s="1">
        <f t="shared" si="234"/>
        <v>1867.7668728663691</v>
      </c>
      <c r="S1147" s="6">
        <f t="shared" si="228"/>
        <v>0.51033987123448799</v>
      </c>
      <c r="T1147" s="6">
        <f t="shared" si="229"/>
        <v>0.48966012876551146</v>
      </c>
      <c r="V1147" s="1">
        <f t="shared" si="235"/>
        <v>130939.00073571911</v>
      </c>
      <c r="W1147" s="7">
        <f t="shared" si="236"/>
        <v>5.2086429670265199E-3</v>
      </c>
      <c r="X1147" s="7">
        <f t="shared" si="237"/>
        <v>4.3242366910942083E-3</v>
      </c>
      <c r="Y1147">
        <f>LN(B1147/B1146)</f>
        <v>9.8368334117978056E-3</v>
      </c>
      <c r="Z1147">
        <f>LN(C1147/C1146)</f>
        <v>4.0767913405645077E-4</v>
      </c>
    </row>
    <row r="1148" spans="1:26" x14ac:dyDescent="0.3">
      <c r="A1148" s="11">
        <v>41870</v>
      </c>
      <c r="B1148" s="12">
        <v>23981.01</v>
      </c>
      <c r="C1148" s="12">
        <v>34.165370000000003</v>
      </c>
      <c r="D1148" s="16">
        <f t="shared" si="239"/>
        <v>1.4437142233495015E-2</v>
      </c>
      <c r="E1148" s="15">
        <f t="shared" si="238"/>
        <v>4.0730323095994336E-4</v>
      </c>
      <c r="G1148" s="25" t="str">
        <f>IF(VLOOKUP(A1148,Aux!B:C,2,FALSE)=0,"",VLOOKUP(A1148,Aux!B:C,2,FALSE))</f>
        <v/>
      </c>
      <c r="H1148" s="25" t="str">
        <f t="shared" si="227"/>
        <v/>
      </c>
      <c r="L1148" s="13">
        <f t="shared" si="230"/>
        <v>131253.61103618235</v>
      </c>
      <c r="M1148" s="14">
        <f t="shared" si="231"/>
        <v>959.7937898718568</v>
      </c>
      <c r="N1148" s="14">
        <f t="shared" si="232"/>
        <v>25.980637201576336</v>
      </c>
      <c r="O1148" s="1">
        <f t="shared" si="233"/>
        <v>2.8122528930582922</v>
      </c>
      <c r="P1148" s="1">
        <f t="shared" si="234"/>
        <v>1867.7668728663691</v>
      </c>
      <c r="S1148" s="6">
        <f t="shared" si="228"/>
        <v>0.51381949965832652</v>
      </c>
      <c r="T1148" s="6">
        <f t="shared" si="229"/>
        <v>0.48618050034167298</v>
      </c>
      <c r="V1148" s="1">
        <f t="shared" si="235"/>
        <v>131757.48721664678</v>
      </c>
      <c r="W1148" s="7">
        <f t="shared" si="236"/>
        <v>7.5388011552981029E-3</v>
      </c>
      <c r="X1148" s="7">
        <f t="shared" si="237"/>
        <v>6.231443258735864E-3</v>
      </c>
      <c r="Y1148">
        <f>LN(B1148/B1147)</f>
        <v>1.4333919008326973E-2</v>
      </c>
      <c r="Z1148">
        <f>LN(C1148/C1147)</f>
        <v>4.0722030551540504E-4</v>
      </c>
    </row>
    <row r="1149" spans="1:26" x14ac:dyDescent="0.3">
      <c r="A1149" s="9">
        <v>41871</v>
      </c>
      <c r="B1149" s="1">
        <v>24145.43</v>
      </c>
      <c r="C1149" s="1">
        <v>34.179290000000002</v>
      </c>
      <c r="D1149" s="6">
        <f t="shared" si="239"/>
        <v>6.8562583477511652E-3</v>
      </c>
      <c r="E1149" s="5">
        <f t="shared" si="238"/>
        <v>4.0743009661525775E-4</v>
      </c>
      <c r="G1149" s="25" t="str">
        <f>IF(VLOOKUP(A1149,Aux!B:C,2,FALSE)=0,"",VLOOKUP(A1149,Aux!B:C,2,FALSE))</f>
        <v/>
      </c>
      <c r="H1149" s="25" t="str">
        <f t="shared" si="227"/>
        <v/>
      </c>
      <c r="L1149" s="13">
        <f t="shared" si="230"/>
        <v>131742.00097172931</v>
      </c>
      <c r="M1149" s="14">
        <f t="shared" si="231"/>
        <v>462.39062067664975</v>
      </c>
      <c r="N1149" s="14">
        <f t="shared" si="232"/>
        <v>25.99931487029766</v>
      </c>
      <c r="O1149" s="1">
        <f t="shared" si="233"/>
        <v>2.8122528930582922</v>
      </c>
      <c r="P1149" s="1">
        <f t="shared" si="234"/>
        <v>1867.7668728663691</v>
      </c>
      <c r="S1149" s="6">
        <f t="shared" si="228"/>
        <v>0.51542450297386844</v>
      </c>
      <c r="T1149" s="6">
        <f t="shared" si="229"/>
        <v>0.48457549702613101</v>
      </c>
      <c r="V1149" s="1">
        <f t="shared" si="235"/>
        <v>132167.95079195336</v>
      </c>
      <c r="W1149" s="7">
        <f t="shared" si="236"/>
        <v>3.714058141362908E-3</v>
      </c>
      <c r="X1149" s="7">
        <f t="shared" si="237"/>
        <v>3.1104535382201681E-3</v>
      </c>
      <c r="Y1149">
        <f>LN(B1149/B1148)</f>
        <v>6.83286109268803E-3</v>
      </c>
      <c r="Z1149">
        <f>LN(C1149/C1148)</f>
        <v>4.0734711951092515E-4</v>
      </c>
    </row>
    <row r="1150" spans="1:26" x14ac:dyDescent="0.3">
      <c r="A1150" s="11">
        <v>41872</v>
      </c>
      <c r="B1150" s="12">
        <v>24195.08</v>
      </c>
      <c r="C1150" s="12">
        <v>34.193260000000002</v>
      </c>
      <c r="D1150" s="16">
        <f t="shared" si="239"/>
        <v>2.0562897409572845E-3</v>
      </c>
      <c r="E1150" s="15">
        <f t="shared" si="238"/>
        <v>4.0872703909289321E-4</v>
      </c>
      <c r="G1150" s="25" t="str">
        <f>IF(VLOOKUP(A1150,Aux!B:C,2,FALSE)=0,"",VLOOKUP(A1150,Aux!B:C,2,FALSE))</f>
        <v/>
      </c>
      <c r="H1150" s="25" t="str">
        <f t="shared" si="227"/>
        <v/>
      </c>
      <c r="L1150" s="13">
        <f t="shared" si="230"/>
        <v>131907.7220310836</v>
      </c>
      <c r="M1150" s="14">
        <f t="shared" si="231"/>
        <v>139.6283561403483</v>
      </c>
      <c r="N1150" s="14">
        <f t="shared" si="232"/>
        <v>26.092703213944077</v>
      </c>
      <c r="O1150" s="1">
        <f t="shared" si="233"/>
        <v>2.8122528930582922</v>
      </c>
      <c r="P1150" s="1">
        <f t="shared" si="234"/>
        <v>1867.7668728663691</v>
      </c>
      <c r="S1150" s="6">
        <f t="shared" si="228"/>
        <v>0.51583548468635376</v>
      </c>
      <c r="T1150" s="6">
        <f t="shared" si="229"/>
        <v>0.48416451531364585</v>
      </c>
      <c r="V1150" s="1">
        <f t="shared" si="235"/>
        <v>132313.74781920691</v>
      </c>
      <c r="W1150" s="7">
        <f t="shared" si="236"/>
        <v>1.2571307057863464E-3</v>
      </c>
      <c r="X1150" s="7">
        <f t="shared" si="237"/>
        <v>1.1025113857597753E-3</v>
      </c>
      <c r="Y1150">
        <f>LN(B1150/B1149)</f>
        <v>2.0541784709677056E-3</v>
      </c>
      <c r="Z1150">
        <f>LN(C1150/C1149)</f>
        <v>4.0864353295002123E-4</v>
      </c>
    </row>
    <row r="1151" spans="1:26" x14ac:dyDescent="0.3">
      <c r="A1151" s="9">
        <v>41873</v>
      </c>
      <c r="B1151" s="1">
        <v>23967.01</v>
      </c>
      <c r="C1151" s="1">
        <v>34.2072</v>
      </c>
      <c r="D1151" s="6">
        <f t="shared" si="239"/>
        <v>-9.4262965859176484E-3</v>
      </c>
      <c r="E1151" s="5">
        <f t="shared" si="238"/>
        <v>4.0768268366342397E-4</v>
      </c>
      <c r="G1151" s="25" t="str">
        <f>IF(VLOOKUP(A1151,Aux!B:C,2,FALSE)=0,"",VLOOKUP(A1151,Aux!B:C,2,FALSE))</f>
        <v/>
      </c>
      <c r="H1151" s="25" t="str">
        <f t="shared" si="227"/>
        <v/>
      </c>
      <c r="L1151" s="13">
        <f t="shared" si="230"/>
        <v>131292.36818397153</v>
      </c>
      <c r="M1151" s="14">
        <f t="shared" si="231"/>
        <v>-641.39051731981408</v>
      </c>
      <c r="N1151" s="14">
        <f t="shared" si="232"/>
        <v>26.03667020775357</v>
      </c>
      <c r="O1151" s="1">
        <f t="shared" si="233"/>
        <v>2.8122528930582922</v>
      </c>
      <c r="P1151" s="1">
        <f t="shared" si="234"/>
        <v>1867.7668728663691</v>
      </c>
      <c r="S1151" s="6">
        <f t="shared" si="228"/>
        <v>0.51336794470804226</v>
      </c>
      <c r="T1151" s="6">
        <f t="shared" si="229"/>
        <v>0.48663205529195741</v>
      </c>
      <c r="V1151" s="1">
        <f t="shared" si="235"/>
        <v>131818.76797778904</v>
      </c>
      <c r="W1151" s="7">
        <f t="shared" si="236"/>
        <v>-4.6759480044911012E-3</v>
      </c>
      <c r="X1151" s="7">
        <f t="shared" si="237"/>
        <v>-3.7479703651854229E-3</v>
      </c>
      <c r="Y1151">
        <f>LN(B1151/B1150)</f>
        <v>-9.4710052997945791E-3</v>
      </c>
      <c r="Z1151">
        <f>LN(C1151/C1150)</f>
        <v>4.0759960365756401E-4</v>
      </c>
    </row>
    <row r="1152" spans="1:26" x14ac:dyDescent="0.3">
      <c r="A1152" s="11">
        <v>41876</v>
      </c>
      <c r="B1152" s="12">
        <v>24497.25</v>
      </c>
      <c r="C1152" s="12">
        <v>34.221130000000002</v>
      </c>
      <c r="D1152" s="16">
        <f t="shared" si="239"/>
        <v>2.212374426346897E-2</v>
      </c>
      <c r="E1152" s="15">
        <f t="shared" si="238"/>
        <v>4.0722421010785936E-4</v>
      </c>
      <c r="G1152" s="25" t="str">
        <f>IF(VLOOKUP(A1152,Aux!B:C,2,FALSE)=0,"",VLOOKUP(A1152,Aux!B:C,2,FALSE))</f>
        <v/>
      </c>
      <c r="H1152" s="25" t="str">
        <f t="shared" si="227"/>
        <v/>
      </c>
      <c r="L1152" s="13">
        <f t="shared" si="230"/>
        <v>132809.55515052579</v>
      </c>
      <c r="M1152" s="14">
        <f t="shared" si="231"/>
        <v>1491.1689740152333</v>
      </c>
      <c r="N1152" s="14">
        <f t="shared" si="232"/>
        <v>26.01799253903225</v>
      </c>
      <c r="O1152" s="1">
        <f t="shared" si="233"/>
        <v>2.8122528930582922</v>
      </c>
      <c r="P1152" s="1">
        <f t="shared" si="234"/>
        <v>1867.7668728663691</v>
      </c>
      <c r="S1152" s="6">
        <f t="shared" si="228"/>
        <v>0.51873121709044068</v>
      </c>
      <c r="T1152" s="6">
        <f t="shared" si="229"/>
        <v>0.48126878290955899</v>
      </c>
      <c r="V1152" s="1">
        <f t="shared" si="235"/>
        <v>133073.2134608723</v>
      </c>
      <c r="W1152" s="7">
        <f t="shared" si="236"/>
        <v>1.1489531296082918E-2</v>
      </c>
      <c r="X1152" s="7">
        <f t="shared" si="237"/>
        <v>9.4714445797857618E-3</v>
      </c>
      <c r="Y1152">
        <f>LN(B1152/B1151)</f>
        <v>2.1882564944492575E-2</v>
      </c>
      <c r="Z1152">
        <f>LN(C1152/C1151)</f>
        <v>4.071413168325459E-4</v>
      </c>
    </row>
    <row r="1153" spans="1:26" x14ac:dyDescent="0.3">
      <c r="A1153" s="9">
        <v>41877</v>
      </c>
      <c r="B1153" s="1">
        <v>24530.77</v>
      </c>
      <c r="C1153" s="1">
        <v>34.235120000000002</v>
      </c>
      <c r="D1153" s="6">
        <f t="shared" si="239"/>
        <v>1.3683168518916489E-3</v>
      </c>
      <c r="E1153" s="5">
        <f t="shared" si="238"/>
        <v>4.0881174876461479E-4</v>
      </c>
      <c r="G1153" s="25" t="str">
        <f>IF(VLOOKUP(A1153,Aux!B:C,2,FALSE)=0,"",VLOOKUP(A1153,Aux!B:C,2,FALSE))</f>
        <v/>
      </c>
      <c r="H1153" s="25" t="str">
        <f t="shared" si="227"/>
        <v/>
      </c>
      <c r="L1153" s="13">
        <f t="shared" si="230"/>
        <v>132929.95192605251</v>
      </c>
      <c r="M1153" s="14">
        <f t="shared" si="231"/>
        <v>94.266716975315177</v>
      </c>
      <c r="N1153" s="14">
        <f t="shared" si="232"/>
        <v>26.130058551399991</v>
      </c>
      <c r="O1153" s="1">
        <f t="shared" si="233"/>
        <v>2.8122528930582922</v>
      </c>
      <c r="P1153" s="1">
        <f t="shared" si="234"/>
        <v>1867.7668728663691</v>
      </c>
      <c r="S1153" s="6">
        <f t="shared" si="228"/>
        <v>0.51897053976085195</v>
      </c>
      <c r="T1153" s="6">
        <f t="shared" si="229"/>
        <v>0.48102946023914772</v>
      </c>
      <c r="V1153" s="1">
        <f t="shared" si="235"/>
        <v>133181.84275654465</v>
      </c>
      <c r="W1153" s="7">
        <f t="shared" si="236"/>
        <v>9.061263422140178E-4</v>
      </c>
      <c r="X1153" s="7">
        <f t="shared" si="237"/>
        <v>8.1597925870708808E-4</v>
      </c>
      <c r="Y1153">
        <f>LN(B1153/B1152)</f>
        <v>1.367381559475099E-3</v>
      </c>
      <c r="Z1153">
        <f>LN(C1153/C1152)</f>
        <v>4.0872820800917018E-4</v>
      </c>
    </row>
    <row r="1154" spans="1:26" x14ac:dyDescent="0.3">
      <c r="A1154" s="11">
        <v>41878</v>
      </c>
      <c r="B1154" s="12">
        <v>24974.47</v>
      </c>
      <c r="C1154" s="12">
        <v>34.249099999999999</v>
      </c>
      <c r="D1154" s="16">
        <f t="shared" si="239"/>
        <v>1.8087487673644098E-2</v>
      </c>
      <c r="E1154" s="15">
        <f t="shared" si="238"/>
        <v>4.0835259230864729E-4</v>
      </c>
      <c r="G1154" s="25" t="str">
        <f>IF(VLOOKUP(A1154,Aux!B:C,2,FALSE)=0,"",VLOOKUP(A1154,Aux!B:C,2,FALSE))</f>
        <v/>
      </c>
      <c r="H1154" s="25" t="str">
        <f t="shared" si="227"/>
        <v/>
      </c>
      <c r="L1154" s="13">
        <f t="shared" si="230"/>
        <v>134203.85991558517</v>
      </c>
      <c r="M1154" s="14">
        <f t="shared" si="231"/>
        <v>1247.7966086499662</v>
      </c>
      <c r="N1154" s="14">
        <f t="shared" si="232"/>
        <v>26.111380882665397</v>
      </c>
      <c r="O1154" s="1">
        <f t="shared" si="233"/>
        <v>2.8122528930582922</v>
      </c>
      <c r="P1154" s="1">
        <f t="shared" si="234"/>
        <v>1867.7668728663691</v>
      </c>
      <c r="S1154" s="6">
        <f t="shared" si="228"/>
        <v>0.52334206746568512</v>
      </c>
      <c r="T1154" s="6">
        <f t="shared" si="229"/>
        <v>0.47665793253431427</v>
      </c>
      <c r="V1154" s="1">
        <f t="shared" si="235"/>
        <v>134236.7492890656</v>
      </c>
      <c r="W1154" s="7">
        <f t="shared" si="236"/>
        <v>9.5376743043178534E-3</v>
      </c>
      <c r="X1154" s="7">
        <f t="shared" si="237"/>
        <v>7.8895935872988314E-3</v>
      </c>
      <c r="Y1154">
        <f>LN(B1154/B1153)</f>
        <v>1.7925855175955512E-2</v>
      </c>
      <c r="Z1154">
        <f>LN(C1154/C1153)</f>
        <v>4.0826923907972407E-4</v>
      </c>
    </row>
    <row r="1155" spans="1:26" x14ac:dyDescent="0.3">
      <c r="A1155" s="9">
        <v>41879</v>
      </c>
      <c r="B1155" s="1">
        <v>24714.16</v>
      </c>
      <c r="C1155" s="1">
        <v>34.26305</v>
      </c>
      <c r="D1155" s="6">
        <f t="shared" si="239"/>
        <v>-1.0423044012545679E-2</v>
      </c>
      <c r="E1155" s="5">
        <f t="shared" si="238"/>
        <v>4.0730997310878259E-4</v>
      </c>
      <c r="G1155" s="25" t="str">
        <f>IF(VLOOKUP(A1155,Aux!B:C,2,FALSE)=0,"",VLOOKUP(A1155,Aux!B:C,2,FALSE))</f>
        <v/>
      </c>
      <c r="H1155" s="25" t="str">
        <f t="shared" ref="H1155:H1218" si="240">IF(ISNUMBER(G1155),1-G1155,"")</f>
        <v/>
      </c>
      <c r="L1155" s="13">
        <f t="shared" si="230"/>
        <v>133497.85771286965</v>
      </c>
      <c r="M1155" s="14">
        <f t="shared" si="231"/>
        <v>-732.05755059200771</v>
      </c>
      <c r="N1155" s="14">
        <f t="shared" si="232"/>
        <v>26.055347876488163</v>
      </c>
      <c r="O1155" s="1">
        <f t="shared" si="233"/>
        <v>2.8122528930582922</v>
      </c>
      <c r="P1155" s="1">
        <f t="shared" si="234"/>
        <v>1867.7668728663691</v>
      </c>
      <c r="S1155" s="6">
        <f t="shared" ref="S1155:S1218" si="241">O1155*B1155/L1155</f>
        <v>0.52062609206054133</v>
      </c>
      <c r="T1155" s="6">
        <f t="shared" ref="T1155:T1218" si="242">P1155*C1155/L1155</f>
        <v>0.47937390793945805</v>
      </c>
      <c r="V1155" s="1">
        <f t="shared" si="235"/>
        <v>133667.41301121109</v>
      </c>
      <c r="W1155" s="7">
        <f t="shared" si="236"/>
        <v>-5.2745559182281769E-3</v>
      </c>
      <c r="X1155" s="7">
        <f t="shared" si="237"/>
        <v>-4.2503045123176665E-3</v>
      </c>
      <c r="Y1155">
        <f>LN(B1155/B1154)</f>
        <v>-1.0477744363896761E-2</v>
      </c>
      <c r="Z1155">
        <f>LN(C1155/C1154)</f>
        <v>4.072270449192406E-4</v>
      </c>
    </row>
    <row r="1156" spans="1:26" x14ac:dyDescent="0.3">
      <c r="A1156" s="11">
        <v>41880</v>
      </c>
      <c r="B1156" s="12">
        <v>25110.33</v>
      </c>
      <c r="C1156" s="12">
        <v>34.277050000000003</v>
      </c>
      <c r="D1156" s="16">
        <f t="shared" si="239"/>
        <v>1.6030081540299168E-2</v>
      </c>
      <c r="E1156" s="15">
        <f t="shared" si="238"/>
        <v>4.0860343723059245E-4</v>
      </c>
      <c r="G1156" s="25" t="str">
        <f>IF(VLOOKUP(A1156,Aux!B:C,2,FALSE)=0,"",VLOOKUP(A1156,Aux!B:C,2,FALSE))</f>
        <v/>
      </c>
      <c r="H1156" s="25" t="str">
        <f t="shared" si="240"/>
        <v/>
      </c>
      <c r="L1156" s="13">
        <f t="shared" ref="L1156:L1219" si="243">L1155+M1156+N1156</f>
        <v>134638.13667773269</v>
      </c>
      <c r="M1156" s="14">
        <f t="shared" ref="M1156:M1219" si="244">O1155*(B1156-B1155)</f>
        <v>1114.1302286429088</v>
      </c>
      <c r="N1156" s="14">
        <f t="shared" ref="N1156:N1219" si="245">P1155*(C1156-C1155)</f>
        <v>26.148736220134584</v>
      </c>
      <c r="O1156" s="1">
        <f t="shared" ref="O1156:O1219" si="246">IF(ISNUMBER(G1156),L1156*G1156/B1156,O1155)</f>
        <v>2.8122528930582922</v>
      </c>
      <c r="P1156" s="1">
        <f t="shared" ref="P1156:P1219" si="247">IF(ISNUMBER(H1156),L1156*H1156/C1156,P1155)</f>
        <v>1867.7668728663691</v>
      </c>
      <c r="S1156" s="6">
        <f t="shared" si="241"/>
        <v>0.52449179653440237</v>
      </c>
      <c r="T1156" s="6">
        <f t="shared" si="242"/>
        <v>0.47550820346559708</v>
      </c>
      <c r="V1156" s="1">
        <f t="shared" ref="V1156:V1219" si="248">$O$2*B1156+$P$2*C1156</f>
        <v>134612.71091377299</v>
      </c>
      <c r="W1156" s="7">
        <f t="shared" ref="W1156:W1219" si="249">LN(L1156/L1155)</f>
        <v>8.5052798779040387E-3</v>
      </c>
      <c r="X1156" s="7">
        <f t="shared" ref="X1156:X1219" si="250">LN(V1156/V1155)</f>
        <v>7.0471252274827718E-3</v>
      </c>
      <c r="Y1156">
        <f>LN(B1156/B1155)</f>
        <v>1.5902956533242526E-2</v>
      </c>
      <c r="Z1156">
        <f>LN(C1156/C1155)</f>
        <v>4.0851998157887096E-4</v>
      </c>
    </row>
    <row r="1157" spans="1:26" x14ac:dyDescent="0.3">
      <c r="A1157" s="9">
        <v>41883</v>
      </c>
      <c r="B1157" s="1">
        <v>25044.48</v>
      </c>
      <c r="C1157" s="1">
        <v>34.29101</v>
      </c>
      <c r="D1157" s="6">
        <f t="shared" si="239"/>
        <v>-2.62242670645918E-3</v>
      </c>
      <c r="E1157" s="5">
        <f t="shared" ref="E1157:E1220" si="251">C1157/C1156-1</f>
        <v>4.0726958708514616E-4</v>
      </c>
      <c r="G1157" s="25" t="str">
        <f>IF(VLOOKUP(A1157,Aux!B:C,2,FALSE)=0,"",VLOOKUP(A1157,Aux!B:C,2,FALSE))</f>
        <v/>
      </c>
      <c r="H1157" s="25" t="str">
        <f t="shared" si="240"/>
        <v/>
      </c>
      <c r="L1157" s="13">
        <f t="shared" si="243"/>
        <v>134479.02385026999</v>
      </c>
      <c r="M1157" s="14">
        <f t="shared" si="244"/>
        <v>-185.18685300789468</v>
      </c>
      <c r="N1157" s="14">
        <f t="shared" si="245"/>
        <v>26.074025545209484</v>
      </c>
      <c r="O1157" s="1">
        <f t="shared" si="246"/>
        <v>2.8122528930582922</v>
      </c>
      <c r="P1157" s="1">
        <f t="shared" si="247"/>
        <v>1867.7668728663691</v>
      </c>
      <c r="S1157" s="6">
        <f t="shared" si="241"/>
        <v>0.52373529580017941</v>
      </c>
      <c r="T1157" s="6">
        <f t="shared" si="242"/>
        <v>0.47626470419982009</v>
      </c>
      <c r="V1157" s="1">
        <f t="shared" si="248"/>
        <v>134492.02302949029</v>
      </c>
      <c r="W1157" s="7">
        <f t="shared" si="249"/>
        <v>-1.1824801189979637E-3</v>
      </c>
      <c r="X1157" s="7">
        <f t="shared" si="250"/>
        <v>-8.9695852321649292E-4</v>
      </c>
      <c r="Y1157">
        <f>LN(B1157/B1156)</f>
        <v>-2.6258712908057667E-3</v>
      </c>
      <c r="Z1157">
        <f>LN(C1157/C1156)</f>
        <v>4.0718667533772213E-4</v>
      </c>
    </row>
    <row r="1158" spans="1:26" x14ac:dyDescent="0.3">
      <c r="A1158" s="11">
        <v>41884</v>
      </c>
      <c r="B1158" s="12">
        <v>25333.200000000001</v>
      </c>
      <c r="C1158" s="12">
        <v>34.304989999999997</v>
      </c>
      <c r="D1158" s="16">
        <f t="shared" si="239"/>
        <v>1.1528288868445369E-2</v>
      </c>
      <c r="E1158" s="15">
        <f t="shared" si="251"/>
        <v>4.0768702934079748E-4</v>
      </c>
      <c r="G1158" s="25" t="str">
        <f>IF(VLOOKUP(A1158,Aux!B:C,2,FALSE)=0,"",VLOOKUP(A1158,Aux!B:C,2,FALSE))</f>
        <v/>
      </c>
      <c r="H1158" s="25" t="str">
        <f t="shared" si="240"/>
        <v/>
      </c>
      <c r="L1158" s="13">
        <f t="shared" si="243"/>
        <v>135317.08888643645</v>
      </c>
      <c r="M1158" s="14">
        <f t="shared" si="244"/>
        <v>811.95365528379341</v>
      </c>
      <c r="N1158" s="14">
        <f t="shared" si="245"/>
        <v>26.111380882665397</v>
      </c>
      <c r="O1158" s="1">
        <f t="shared" si="246"/>
        <v>2.8122528930582922</v>
      </c>
      <c r="P1158" s="1">
        <f t="shared" si="247"/>
        <v>1867.7668728663691</v>
      </c>
      <c r="S1158" s="6">
        <f t="shared" si="241"/>
        <v>0.52649200168808419</v>
      </c>
      <c r="T1158" s="6">
        <f t="shared" si="242"/>
        <v>0.47350799831191542</v>
      </c>
      <c r="V1158" s="1">
        <f t="shared" si="248"/>
        <v>135189.3852807818</v>
      </c>
      <c r="W1158" s="7">
        <f t="shared" si="249"/>
        <v>6.2126004944140353E-3</v>
      </c>
      <c r="X1158" s="7">
        <f t="shared" si="250"/>
        <v>5.1717603377162049E-3</v>
      </c>
      <c r="Y1158">
        <f>LN(B1158/B1157)</f>
        <v>1.1462344479713411E-2</v>
      </c>
      <c r="Z1158">
        <f>LN(C1158/C1157)</f>
        <v>4.0760394756399264E-4</v>
      </c>
    </row>
    <row r="1159" spans="1:26" x14ac:dyDescent="0.3">
      <c r="A1159" s="9">
        <v>41885</v>
      </c>
      <c r="B1159" s="1">
        <v>25324.1</v>
      </c>
      <c r="C1159" s="1">
        <v>34.318959999999997</v>
      </c>
      <c r="D1159" s="6">
        <f t="shared" si="239"/>
        <v>-3.5921241690750616E-4</v>
      </c>
      <c r="E1159" s="5">
        <f t="shared" si="251"/>
        <v>4.0722938557924415E-4</v>
      </c>
      <c r="G1159" s="25" t="str">
        <f>IF(VLOOKUP(A1159,Aux!B:C,2,FALSE)=0,"",VLOOKUP(A1159,Aux!B:C,2,FALSE))</f>
        <v/>
      </c>
      <c r="H1159" s="25" t="str">
        <f t="shared" si="240"/>
        <v/>
      </c>
      <c r="L1159" s="13">
        <f t="shared" si="243"/>
        <v>135317.59008832357</v>
      </c>
      <c r="M1159" s="14">
        <f t="shared" si="244"/>
        <v>-25.591501326836596</v>
      </c>
      <c r="N1159" s="14">
        <f t="shared" si="245"/>
        <v>26.092703213944077</v>
      </c>
      <c r="O1159" s="1">
        <f t="shared" si="246"/>
        <v>2.8122528930582922</v>
      </c>
      <c r="P1159" s="1">
        <f t="shared" si="247"/>
        <v>1867.7668728663691</v>
      </c>
      <c r="S1159" s="6">
        <f t="shared" si="241"/>
        <v>0.52630092985407673</v>
      </c>
      <c r="T1159" s="6">
        <f t="shared" si="242"/>
        <v>0.47369907014592272</v>
      </c>
      <c r="V1159" s="1">
        <f t="shared" si="248"/>
        <v>135199.64400294935</v>
      </c>
      <c r="W1159" s="7">
        <f t="shared" si="249"/>
        <v>3.7038999511467346E-6</v>
      </c>
      <c r="X1159" s="7">
        <f t="shared" si="250"/>
        <v>7.5881201242958212E-5</v>
      </c>
      <c r="Y1159">
        <f>LN(B1159/B1158)</f>
        <v>-3.592769491420524E-4</v>
      </c>
      <c r="Z1159">
        <f>LN(C1159/C1158)</f>
        <v>4.0714649019719799E-4</v>
      </c>
    </row>
    <row r="1160" spans="1:26" x14ac:dyDescent="0.3">
      <c r="A1160" s="11">
        <v>41886</v>
      </c>
      <c r="B1160" s="12">
        <v>24923.91</v>
      </c>
      <c r="C1160" s="12">
        <v>34.332940000000001</v>
      </c>
      <c r="D1160" s="16">
        <f t="shared" si="239"/>
        <v>-1.5802733364660537E-2</v>
      </c>
      <c r="E1160" s="15">
        <f t="shared" si="251"/>
        <v>4.0735500143362913E-4</v>
      </c>
      <c r="G1160" s="25" t="str">
        <f>IF(VLOOKUP(A1160,Aux!B:C,2,FALSE)=0,"",VLOOKUP(A1160,Aux!B:C,2,FALSE))</f>
        <v/>
      </c>
      <c r="H1160" s="25" t="str">
        <f t="shared" si="240"/>
        <v/>
      </c>
      <c r="L1160" s="13">
        <f t="shared" si="243"/>
        <v>134218.26598393326</v>
      </c>
      <c r="M1160" s="14">
        <f t="shared" si="244"/>
        <v>-1125.4354852729944</v>
      </c>
      <c r="N1160" s="14">
        <f t="shared" si="245"/>
        <v>26.11138088267867</v>
      </c>
      <c r="O1160" s="1">
        <f t="shared" si="246"/>
        <v>2.8122528930582922</v>
      </c>
      <c r="P1160" s="1">
        <f t="shared" si="247"/>
        <v>1867.7668728663691</v>
      </c>
      <c r="S1160" s="6">
        <f t="shared" si="241"/>
        <v>0.52222652028759609</v>
      </c>
      <c r="T1160" s="6">
        <f t="shared" si="242"/>
        <v>0.47777347971240325</v>
      </c>
      <c r="V1160" s="1">
        <f t="shared" si="248"/>
        <v>134307.66678604015</v>
      </c>
      <c r="W1160" s="7">
        <f t="shared" si="249"/>
        <v>-8.1572093313394215E-3</v>
      </c>
      <c r="X1160" s="7">
        <f t="shared" si="250"/>
        <v>-6.6193415768804487E-3</v>
      </c>
      <c r="Y1160">
        <f>LN(B1160/B1159)</f>
        <v>-1.5928927799249419E-2</v>
      </c>
      <c r="Z1160">
        <f>LN(C1160/C1159)</f>
        <v>4.0727205491005564E-4</v>
      </c>
    </row>
    <row r="1161" spans="1:26" x14ac:dyDescent="0.3">
      <c r="A1161" s="9">
        <v>41887</v>
      </c>
      <c r="B1161" s="1">
        <v>24883.360000000001</v>
      </c>
      <c r="C1161" s="1">
        <v>34.34693</v>
      </c>
      <c r="D1161" s="6">
        <f t="shared" si="239"/>
        <v>-1.6269517904694553E-3</v>
      </c>
      <c r="E1161" s="5">
        <f t="shared" si="251"/>
        <v>4.0748039637739097E-4</v>
      </c>
      <c r="G1161" s="25" t="str">
        <f>IF(VLOOKUP(A1161,Aux!B:C,2,FALSE)=0,"",VLOOKUP(A1161,Aux!B:C,2,FALSE))</f>
        <v/>
      </c>
      <c r="H1161" s="25" t="str">
        <f t="shared" si="240"/>
        <v/>
      </c>
      <c r="L1161" s="13">
        <f t="shared" si="243"/>
        <v>134130.35918767116</v>
      </c>
      <c r="M1161" s="14">
        <f t="shared" si="244"/>
        <v>-114.0368548135117</v>
      </c>
      <c r="N1161" s="14">
        <f t="shared" si="245"/>
        <v>26.130058551399991</v>
      </c>
      <c r="O1161" s="1">
        <f t="shared" si="246"/>
        <v>2.8122528930582922</v>
      </c>
      <c r="P1161" s="1">
        <f t="shared" si="247"/>
        <v>1867.7668728663691</v>
      </c>
      <c r="S1161" s="6">
        <f t="shared" si="241"/>
        <v>0.52171858461289489</v>
      </c>
      <c r="T1161" s="6">
        <f t="shared" si="242"/>
        <v>0.4782814153871045</v>
      </c>
      <c r="V1161" s="1">
        <f t="shared" si="248"/>
        <v>134245.41400073006</v>
      </c>
      <c r="W1161" s="7">
        <f t="shared" si="249"/>
        <v>-6.5516862141818885E-4</v>
      </c>
      <c r="X1161" s="7">
        <f t="shared" si="250"/>
        <v>-4.6361625227136068E-4</v>
      </c>
      <c r="Y1161">
        <f>LN(B1161/B1160)</f>
        <v>-1.6282767137862906E-3</v>
      </c>
      <c r="Z1161">
        <f>LN(C1161/C1160)</f>
        <v>4.0739739878650375E-4</v>
      </c>
    </row>
    <row r="1162" spans="1:26" x14ac:dyDescent="0.3">
      <c r="A1162" s="11">
        <v>41890</v>
      </c>
      <c r="B1162" s="12">
        <v>24297.22</v>
      </c>
      <c r="C1162" s="12">
        <v>34.36092</v>
      </c>
      <c r="D1162" s="16">
        <f t="shared" si="239"/>
        <v>-2.3555500543334995E-2</v>
      </c>
      <c r="E1162" s="15">
        <f t="shared" si="251"/>
        <v>4.0731442373442839E-4</v>
      </c>
      <c r="G1162" s="25" t="str">
        <f>IF(VLOOKUP(A1162,Aux!B:C,2,FALSE)=0,"",VLOOKUP(A1162,Aux!B:C,2,FALSE))</f>
        <v/>
      </c>
      <c r="H1162" s="25" t="str">
        <f t="shared" si="240"/>
        <v/>
      </c>
      <c r="L1162" s="13">
        <f t="shared" si="243"/>
        <v>132508.11533548537</v>
      </c>
      <c r="M1162" s="14">
        <f t="shared" si="244"/>
        <v>-1648.3739107371857</v>
      </c>
      <c r="N1162" s="14">
        <f t="shared" si="245"/>
        <v>26.130058551399991</v>
      </c>
      <c r="O1162" s="1">
        <f t="shared" si="246"/>
        <v>2.8122528930582922</v>
      </c>
      <c r="P1162" s="1">
        <f t="shared" si="247"/>
        <v>1867.7668728663691</v>
      </c>
      <c r="S1162" s="6">
        <f t="shared" si="241"/>
        <v>0.51566598064786751</v>
      </c>
      <c r="T1162" s="6">
        <f t="shared" si="242"/>
        <v>0.48433401935213177</v>
      </c>
      <c r="V1162" s="1">
        <f t="shared" si="248"/>
        <v>132924.46600057965</v>
      </c>
      <c r="W1162" s="7">
        <f t="shared" si="249"/>
        <v>-1.2168265451762507E-2</v>
      </c>
      <c r="X1162" s="7">
        <f t="shared" si="250"/>
        <v>-9.8885305782622293E-3</v>
      </c>
      <c r="Y1162">
        <f>LN(B1162/B1161)</f>
        <v>-2.3837366474532544E-2</v>
      </c>
      <c r="Z1162">
        <f>LN(C1162/C1161)</f>
        <v>4.0723149373283037E-4</v>
      </c>
    </row>
    <row r="1163" spans="1:26" x14ac:dyDescent="0.3">
      <c r="A1163" s="9">
        <v>41891</v>
      </c>
      <c r="B1163" s="1">
        <v>24078.76</v>
      </c>
      <c r="C1163" s="1">
        <v>34.374920000000003</v>
      </c>
      <c r="D1163" s="6">
        <f t="shared" si="239"/>
        <v>-8.9911520741879913E-3</v>
      </c>
      <c r="E1163" s="5">
        <f t="shared" si="251"/>
        <v>4.0743961453881816E-4</v>
      </c>
      <c r="G1163" s="25" t="str">
        <f>IF(VLOOKUP(A1163,Aux!B:C,2,FALSE)=0,"",VLOOKUP(A1163,Aux!B:C,2,FALSE))</f>
        <v/>
      </c>
      <c r="H1163" s="25" t="str">
        <f t="shared" si="240"/>
        <v/>
      </c>
      <c r="L1163" s="13">
        <f t="shared" si="243"/>
        <v>131919.89930468801</v>
      </c>
      <c r="M1163" s="14">
        <f t="shared" si="244"/>
        <v>-614.36476701752224</v>
      </c>
      <c r="N1163" s="14">
        <f t="shared" si="245"/>
        <v>26.148736220134584</v>
      </c>
      <c r="O1163" s="1">
        <f t="shared" si="246"/>
        <v>2.8122528930582922</v>
      </c>
      <c r="P1163" s="1">
        <f t="shared" si="247"/>
        <v>1867.7668728663691</v>
      </c>
      <c r="S1163" s="6">
        <f t="shared" si="241"/>
        <v>0.51330817282430941</v>
      </c>
      <c r="T1163" s="6">
        <f t="shared" si="242"/>
        <v>0.48669182717568976</v>
      </c>
      <c r="V1163" s="1">
        <f t="shared" si="248"/>
        <v>132451.79099326907</v>
      </c>
      <c r="W1163" s="7">
        <f t="shared" si="249"/>
        <v>-4.4489764205201572E-3</v>
      </c>
      <c r="X1163" s="7">
        <f t="shared" si="250"/>
        <v>-3.5623044240597527E-3</v>
      </c>
      <c r="Y1163">
        <f>LN(B1163/B1162)</f>
        <v>-9.0318164116708968E-3</v>
      </c>
      <c r="Z1163">
        <f>LN(C1163/C1162)</f>
        <v>4.0735663355813114E-4</v>
      </c>
    </row>
    <row r="1164" spans="1:26" x14ac:dyDescent="0.3">
      <c r="A1164" s="11">
        <v>41892</v>
      </c>
      <c r="B1164" s="12">
        <v>23893.78</v>
      </c>
      <c r="C1164" s="12">
        <v>34.388930000000002</v>
      </c>
      <c r="D1164" s="16">
        <f t="shared" si="239"/>
        <v>-7.6822892873220638E-3</v>
      </c>
      <c r="E1164" s="15">
        <f t="shared" si="251"/>
        <v>4.075645848775622E-4</v>
      </c>
      <c r="G1164" s="25" t="str">
        <f>IF(VLOOKUP(A1164,Aux!B:C,2,FALSE)=0,"",VLOOKUP(A1164,Aux!B:C,2,FALSE))</f>
        <v/>
      </c>
      <c r="H1164" s="25" t="str">
        <f t="shared" si="240"/>
        <v/>
      </c>
      <c r="L1164" s="13">
        <f t="shared" si="243"/>
        <v>131425.85617841894</v>
      </c>
      <c r="M1164" s="14">
        <f t="shared" si="244"/>
        <v>-520.21054015792163</v>
      </c>
      <c r="N1164" s="14">
        <f t="shared" si="245"/>
        <v>26.167413888855904</v>
      </c>
      <c r="O1164" s="1">
        <f t="shared" si="246"/>
        <v>2.8122528930582922</v>
      </c>
      <c r="P1164" s="1">
        <f t="shared" si="247"/>
        <v>1867.7668728663691</v>
      </c>
      <c r="S1164" s="6">
        <f t="shared" si="241"/>
        <v>0.51127954487035188</v>
      </c>
      <c r="T1164" s="6">
        <f t="shared" si="242"/>
        <v>0.48872045512964735</v>
      </c>
      <c r="V1164" s="1">
        <f t="shared" si="248"/>
        <v>132056.37788841975</v>
      </c>
      <c r="W1164" s="7">
        <f t="shared" si="249"/>
        <v>-3.7520536828376813E-3</v>
      </c>
      <c r="X1164" s="7">
        <f t="shared" si="250"/>
        <v>-2.9898010414414504E-3</v>
      </c>
      <c r="Y1164">
        <f>LN(B1164/B1163)</f>
        <v>-7.7119500778354668E-3</v>
      </c>
      <c r="Z1164">
        <f>LN(C1164/C1163)</f>
        <v>4.0748155299194359E-4</v>
      </c>
    </row>
    <row r="1165" spans="1:26" x14ac:dyDescent="0.3">
      <c r="A1165" s="9">
        <v>41893</v>
      </c>
      <c r="B1165" s="1">
        <v>23953.09</v>
      </c>
      <c r="C1165" s="1">
        <v>34.402970000000003</v>
      </c>
      <c r="D1165" s="6">
        <f t="shared" si="239"/>
        <v>2.482235962664836E-3</v>
      </c>
      <c r="E1165" s="5">
        <f t="shared" si="251"/>
        <v>4.0827091741446608E-4</v>
      </c>
      <c r="G1165" s="25" t="str">
        <f>IF(VLOOKUP(A1165,Aux!B:C,2,FALSE)=0,"",VLOOKUP(A1165,Aux!B:C,2,FALSE))</f>
        <v/>
      </c>
      <c r="H1165" s="25" t="str">
        <f t="shared" si="240"/>
        <v/>
      </c>
      <c r="L1165" s="13">
        <f t="shared" si="243"/>
        <v>131618.87434440127</v>
      </c>
      <c r="M1165" s="14">
        <f t="shared" si="244"/>
        <v>166.79471908729099</v>
      </c>
      <c r="N1165" s="14">
        <f t="shared" si="245"/>
        <v>26.223446895046408</v>
      </c>
      <c r="O1165" s="1">
        <f t="shared" si="246"/>
        <v>2.8122528930582922</v>
      </c>
      <c r="P1165" s="1">
        <f t="shared" si="247"/>
        <v>1867.7668728663691</v>
      </c>
      <c r="S1165" s="6">
        <f t="shared" si="241"/>
        <v>0.51179701228808649</v>
      </c>
      <c r="T1165" s="6">
        <f t="shared" si="242"/>
        <v>0.48820298771191273</v>
      </c>
      <c r="V1165" s="1">
        <f t="shared" si="248"/>
        <v>132224.61747285424</v>
      </c>
      <c r="W1165" s="7">
        <f t="shared" si="249"/>
        <v>1.4675694148412752E-3</v>
      </c>
      <c r="X1165" s="7">
        <f t="shared" si="250"/>
        <v>1.2731873279872806E-3</v>
      </c>
      <c r="Y1165">
        <f>LN(B1165/B1164)</f>
        <v>2.4791603036005984E-3</v>
      </c>
      <c r="Z1165">
        <f>LN(C1165/C1164)</f>
        <v>4.081875975207511E-4</v>
      </c>
    </row>
    <row r="1166" spans="1:26" x14ac:dyDescent="0.3">
      <c r="A1166" s="11">
        <v>41894</v>
      </c>
      <c r="B1166" s="12">
        <v>23385.27</v>
      </c>
      <c r="C1166" s="12">
        <v>34.416989999999998</v>
      </c>
      <c r="D1166" s="16">
        <f t="shared" si="239"/>
        <v>-2.3705501043915445E-2</v>
      </c>
      <c r="E1166" s="15">
        <f t="shared" si="251"/>
        <v>4.0752295514012715E-4</v>
      </c>
      <c r="G1166" s="25" t="str">
        <f>IF(VLOOKUP(A1166,Aux!B:C,2,FALSE)=0,"",VLOOKUP(A1166,Aux!B:C,2,FALSE))</f>
        <v/>
      </c>
      <c r="H1166" s="25" t="str">
        <f t="shared" si="240"/>
        <v/>
      </c>
      <c r="L1166" s="13">
        <f t="shared" si="243"/>
        <v>130048.20699822249</v>
      </c>
      <c r="M1166" s="14">
        <f t="shared" si="244"/>
        <v>-1596.8534377363587</v>
      </c>
      <c r="N1166" s="14">
        <f t="shared" si="245"/>
        <v>26.186091557577225</v>
      </c>
      <c r="O1166" s="1">
        <f t="shared" si="246"/>
        <v>2.8122528930582922</v>
      </c>
      <c r="P1166" s="1">
        <f t="shared" si="247"/>
        <v>1867.7668728663691</v>
      </c>
      <c r="S1166" s="6">
        <f t="shared" si="241"/>
        <v>0.50569934588447019</v>
      </c>
      <c r="T1166" s="6">
        <f t="shared" si="242"/>
        <v>0.49430065411552904</v>
      </c>
      <c r="V1166" s="1">
        <f t="shared" si="248"/>
        <v>130946.00146751467</v>
      </c>
      <c r="W1166" s="7">
        <f t="shared" si="249"/>
        <v>-1.2005225896220639E-2</v>
      </c>
      <c r="X1166" s="7">
        <f t="shared" si="250"/>
        <v>-9.7170882619129935E-3</v>
      </c>
      <c r="Y1166">
        <f>LN(B1166/B1165)</f>
        <v>-2.3990997349931053E-2</v>
      </c>
      <c r="Z1166">
        <f>LN(C1166/C1165)</f>
        <v>4.0743994021353713E-4</v>
      </c>
    </row>
    <row r="1167" spans="1:26" x14ac:dyDescent="0.3">
      <c r="A1167" s="9">
        <v>41897</v>
      </c>
      <c r="B1167" s="1">
        <v>23770.58</v>
      </c>
      <c r="C1167" s="1">
        <v>34.431010000000001</v>
      </c>
      <c r="D1167" s="6">
        <f t="shared" si="239"/>
        <v>1.6476611131708285E-2</v>
      </c>
      <c r="E1167" s="5">
        <f t="shared" si="251"/>
        <v>4.0735694783311516E-4</v>
      </c>
      <c r="G1167" s="25" t="str">
        <f>IF(VLOOKUP(A1167,Aux!B:C,2,FALSE)=0,"",VLOOKUP(A1167,Aux!B:C,2,FALSE))</f>
        <v/>
      </c>
      <c r="H1167" s="25" t="str">
        <f t="shared" si="240"/>
        <v/>
      </c>
      <c r="L1167" s="13">
        <f t="shared" si="243"/>
        <v>131157.98225200438</v>
      </c>
      <c r="M1167" s="14">
        <f t="shared" si="244"/>
        <v>1083.5891622242943</v>
      </c>
      <c r="N1167" s="14">
        <f t="shared" si="245"/>
        <v>26.186091557590494</v>
      </c>
      <c r="O1167" s="1">
        <f t="shared" si="246"/>
        <v>2.8122528930582922</v>
      </c>
      <c r="P1167" s="1">
        <f t="shared" si="247"/>
        <v>1867.7668728663691</v>
      </c>
      <c r="S1167" s="6">
        <f t="shared" si="241"/>
        <v>0.50968214992993299</v>
      </c>
      <c r="T1167" s="6">
        <f t="shared" si="242"/>
        <v>0.49031785007006617</v>
      </c>
      <c r="V1167" s="1">
        <f t="shared" si="248"/>
        <v>131866.28971284095</v>
      </c>
      <c r="W1167" s="7">
        <f t="shared" si="249"/>
        <v>8.4973632101626537E-3</v>
      </c>
      <c r="X1167" s="7">
        <f t="shared" si="250"/>
        <v>7.0034167938115349E-3</v>
      </c>
      <c r="Y1167">
        <f>LN(B1167/B1166)</f>
        <v>1.6342344605324178E-2</v>
      </c>
      <c r="Z1167">
        <f>LN(C1167/C1166)</f>
        <v>4.0727400051698706E-4</v>
      </c>
    </row>
    <row r="1168" spans="1:26" x14ac:dyDescent="0.3">
      <c r="A1168" s="11">
        <v>41898</v>
      </c>
      <c r="B1168" s="12">
        <v>24228.26</v>
      </c>
      <c r="C1168" s="12">
        <v>34.445039999999999</v>
      </c>
      <c r="D1168" s="16">
        <f t="shared" si="239"/>
        <v>1.925405269875613E-2</v>
      </c>
      <c r="E1168" s="15">
        <f t="shared" si="251"/>
        <v>4.0748151157909973E-4</v>
      </c>
      <c r="G1168" s="25" t="str">
        <f>IF(VLOOKUP(A1168,Aux!B:C,2,FALSE)=0,"",VLOOKUP(A1168,Aux!B:C,2,FALSE))</f>
        <v/>
      </c>
      <c r="H1168" s="25" t="str">
        <f t="shared" si="240"/>
        <v/>
      </c>
      <c r="L1168" s="13">
        <f t="shared" si="243"/>
        <v>132471.29892532559</v>
      </c>
      <c r="M1168" s="14">
        <f t="shared" si="244"/>
        <v>1287.1119040949097</v>
      </c>
      <c r="N1168" s="14">
        <f t="shared" si="245"/>
        <v>26.204769226311818</v>
      </c>
      <c r="O1168" s="1">
        <f t="shared" si="246"/>
        <v>2.8122528930582922</v>
      </c>
      <c r="P1168" s="1">
        <f t="shared" si="247"/>
        <v>1867.7668728663691</v>
      </c>
      <c r="S1168" s="6">
        <f t="shared" si="241"/>
        <v>0.51434533239669467</v>
      </c>
      <c r="T1168" s="6">
        <f t="shared" si="242"/>
        <v>0.4856546676033045</v>
      </c>
      <c r="V1168" s="1">
        <f t="shared" si="248"/>
        <v>132953.56045100797</v>
      </c>
      <c r="W1168" s="7">
        <f t="shared" si="249"/>
        <v>9.9634420870838014E-3</v>
      </c>
      <c r="X1168" s="7">
        <f t="shared" si="250"/>
        <v>8.2114452284943462E-3</v>
      </c>
      <c r="Y1168">
        <f>LN(B1168/B1167)</f>
        <v>1.9071038867040858E-2</v>
      </c>
      <c r="Z1168">
        <f>LN(C1168/C1167)</f>
        <v>4.0739851353397414E-4</v>
      </c>
    </row>
    <row r="1169" spans="1:26" x14ac:dyDescent="0.3">
      <c r="A1169" s="9">
        <v>41899</v>
      </c>
      <c r="B1169" s="1">
        <v>24231.3</v>
      </c>
      <c r="C1169" s="1">
        <v>34.459069999999997</v>
      </c>
      <c r="D1169" s="6">
        <f t="shared" si="239"/>
        <v>1.2547331091883329E-4</v>
      </c>
      <c r="E1169" s="5">
        <f t="shared" si="251"/>
        <v>4.0731553802797471E-4</v>
      </c>
      <c r="G1169" s="25" t="str">
        <f>IF(VLOOKUP(A1169,Aux!B:C,2,FALSE)=0,"",VLOOKUP(A1169,Aux!B:C,2,FALSE))</f>
        <v/>
      </c>
      <c r="H1169" s="25" t="str">
        <f t="shared" si="240"/>
        <v/>
      </c>
      <c r="L1169" s="13">
        <f t="shared" si="243"/>
        <v>132506.05294334682</v>
      </c>
      <c r="M1169" s="14">
        <f t="shared" si="244"/>
        <v>8.5492487948996629</v>
      </c>
      <c r="N1169" s="14">
        <f t="shared" si="245"/>
        <v>26.204769226311818</v>
      </c>
      <c r="O1169" s="1">
        <f t="shared" si="246"/>
        <v>2.8122528930582922</v>
      </c>
      <c r="P1169" s="1">
        <f t="shared" si="247"/>
        <v>1867.7668728663691</v>
      </c>
      <c r="S1169" s="6">
        <f t="shared" si="241"/>
        <v>0.51427494830518194</v>
      </c>
      <c r="T1169" s="6">
        <f t="shared" si="242"/>
        <v>0.48572505169481711</v>
      </c>
      <c r="V1169" s="1">
        <f t="shared" si="248"/>
        <v>132991.9608057827</v>
      </c>
      <c r="W1169" s="7">
        <f t="shared" si="249"/>
        <v>2.6231689595679152E-4</v>
      </c>
      <c r="X1169" s="7">
        <f t="shared" si="250"/>
        <v>2.8878361899167994E-4</v>
      </c>
      <c r="Y1169">
        <f>LN(B1169/B1168)</f>
        <v>1.2546543980136005E-4</v>
      </c>
      <c r="Z1169">
        <f>LN(C1169/C1168)</f>
        <v>4.07232607572693E-4</v>
      </c>
    </row>
    <row r="1170" spans="1:26" x14ac:dyDescent="0.3">
      <c r="A1170" s="11">
        <v>41900</v>
      </c>
      <c r="B1170" s="12">
        <v>23949.16</v>
      </c>
      <c r="C1170" s="12">
        <v>34.473109999999998</v>
      </c>
      <c r="D1170" s="16">
        <f t="shared" si="239"/>
        <v>-1.1643617965193753E-2</v>
      </c>
      <c r="E1170" s="15">
        <f t="shared" si="251"/>
        <v>4.0743989898750499E-4</v>
      </c>
      <c r="G1170" s="25" t="str">
        <f>IF(VLOOKUP(A1170,Aux!B:C,2,FALSE)=0,"",VLOOKUP(A1170,Aux!B:C,2,FALSE))</f>
        <v/>
      </c>
      <c r="H1170" s="25" t="str">
        <f t="shared" si="240"/>
        <v/>
      </c>
      <c r="L1170" s="13">
        <f t="shared" si="243"/>
        <v>131738.8273589944</v>
      </c>
      <c r="M1170" s="14">
        <f t="shared" si="244"/>
        <v>-793.44903124746497</v>
      </c>
      <c r="N1170" s="14">
        <f t="shared" si="245"/>
        <v>26.223446895046408</v>
      </c>
      <c r="O1170" s="1">
        <f t="shared" si="246"/>
        <v>2.8122528930582922</v>
      </c>
      <c r="P1170" s="1">
        <f t="shared" si="247"/>
        <v>1867.7668728663691</v>
      </c>
      <c r="S1170" s="6">
        <f t="shared" si="241"/>
        <v>0.51124710798268358</v>
      </c>
      <c r="T1170" s="6">
        <f t="shared" si="242"/>
        <v>0.48875289201731548</v>
      </c>
      <c r="V1170" s="1">
        <f t="shared" si="248"/>
        <v>132372.46329623225</v>
      </c>
      <c r="W1170" s="7">
        <f t="shared" si="249"/>
        <v>-5.806944977827069E-3</v>
      </c>
      <c r="X1170" s="7">
        <f t="shared" si="250"/>
        <v>-4.6690406000260438E-3</v>
      </c>
      <c r="Y1170">
        <f>LN(B1170/B1169)</f>
        <v>-1.1711935713139018E-2</v>
      </c>
      <c r="Z1170">
        <f>LN(C1170/C1169)</f>
        <v>4.0735691789096944E-4</v>
      </c>
    </row>
    <row r="1171" spans="1:26" x14ac:dyDescent="0.3">
      <c r="A1171" s="9">
        <v>41901</v>
      </c>
      <c r="B1171" s="1">
        <v>23717.99</v>
      </c>
      <c r="C1171" s="1">
        <v>34.487160000000003</v>
      </c>
      <c r="D1171" s="6">
        <f t="shared" si="239"/>
        <v>-9.6525306106768349E-3</v>
      </c>
      <c r="E1171" s="5">
        <f t="shared" si="251"/>
        <v>4.0756404049435702E-4</v>
      </c>
      <c r="G1171" s="25" t="str">
        <f>IF(VLOOKUP(A1171,Aux!B:C,2,FALSE)=0,"",VLOOKUP(A1171,Aux!B:C,2,FALSE))</f>
        <v/>
      </c>
      <c r="H1171" s="25" t="str">
        <f t="shared" si="240"/>
        <v/>
      </c>
      <c r="L1171" s="13">
        <f t="shared" si="243"/>
        <v>131114.9609822699</v>
      </c>
      <c r="M1171" s="14">
        <f t="shared" si="244"/>
        <v>-650.10850128828054</v>
      </c>
      <c r="N1171" s="14">
        <f t="shared" si="245"/>
        <v>26.242124563781001</v>
      </c>
      <c r="O1171" s="1">
        <f t="shared" si="246"/>
        <v>2.8122528930582922</v>
      </c>
      <c r="P1171" s="1">
        <f t="shared" si="247"/>
        <v>1867.7668728663691</v>
      </c>
      <c r="S1171" s="6">
        <f t="shared" si="241"/>
        <v>0.50872139605828293</v>
      </c>
      <c r="T1171" s="6">
        <f t="shared" si="242"/>
        <v>0.49127860394171613</v>
      </c>
      <c r="V1171" s="1">
        <f t="shared" si="248"/>
        <v>131870.57773094656</v>
      </c>
      <c r="W1171" s="7">
        <f t="shared" si="249"/>
        <v>-4.7468788798421526E-3</v>
      </c>
      <c r="X1171" s="7">
        <f t="shared" si="250"/>
        <v>-3.7986708512572297E-3</v>
      </c>
      <c r="Y1171">
        <f>LN(B1171/B1170)</f>
        <v>-9.6994182511515661E-3</v>
      </c>
      <c r="Z1171">
        <f>LN(C1171/C1170)</f>
        <v>4.0748100883051917E-4</v>
      </c>
    </row>
    <row r="1172" spans="1:26" x14ac:dyDescent="0.3">
      <c r="A1172" s="11">
        <v>41904</v>
      </c>
      <c r="B1172" s="12">
        <v>23324.959999999999</v>
      </c>
      <c r="C1172" s="12">
        <v>34.50121</v>
      </c>
      <c r="D1172" s="16">
        <f t="shared" si="239"/>
        <v>-1.6570965752156996E-2</v>
      </c>
      <c r="E1172" s="15">
        <f t="shared" si="251"/>
        <v>4.0739799971922785E-4</v>
      </c>
      <c r="G1172" s="25" t="str">
        <f>IF(VLOOKUP(A1172,Aux!B:C,2,FALSE)=0,"",VLOOKUP(A1172,Aux!B:C,2,FALSE))</f>
        <v/>
      </c>
      <c r="H1172" s="25" t="str">
        <f t="shared" si="240"/>
        <v/>
      </c>
      <c r="L1172" s="13">
        <f t="shared" si="243"/>
        <v>130035.90335227495</v>
      </c>
      <c r="M1172" s="14">
        <f t="shared" si="244"/>
        <v>-1105.2997545587075</v>
      </c>
      <c r="N1172" s="14">
        <f t="shared" si="245"/>
        <v>26.242124563767728</v>
      </c>
      <c r="O1172" s="1">
        <f t="shared" si="246"/>
        <v>2.8122528930582922</v>
      </c>
      <c r="P1172" s="1">
        <f t="shared" si="247"/>
        <v>1867.7668728663691</v>
      </c>
      <c r="S1172" s="6">
        <f t="shared" si="241"/>
        <v>0.50444288499897105</v>
      </c>
      <c r="T1172" s="6">
        <f t="shared" si="242"/>
        <v>0.49555711500102817</v>
      </c>
      <c r="V1172" s="1">
        <f t="shared" si="248"/>
        <v>130995.27548376778</v>
      </c>
      <c r="W1172" s="7">
        <f t="shared" si="249"/>
        <v>-8.2639111585943292E-3</v>
      </c>
      <c r="X1172" s="7">
        <f t="shared" si="250"/>
        <v>-6.6597123329034261E-3</v>
      </c>
      <c r="Y1172">
        <f>LN(B1172/B1171)</f>
        <v>-1.6709800088045495E-2</v>
      </c>
      <c r="Z1172">
        <f>LN(C1172/C1171)</f>
        <v>4.0731503568629615E-4</v>
      </c>
    </row>
    <row r="1173" spans="1:26" x14ac:dyDescent="0.3">
      <c r="A1173" s="9">
        <v>41905</v>
      </c>
      <c r="B1173" s="1">
        <v>23216.880000000001</v>
      </c>
      <c r="C1173" s="1">
        <v>34.515259999999998</v>
      </c>
      <c r="D1173" s="6">
        <f t="shared" si="239"/>
        <v>-4.6336628230015942E-3</v>
      </c>
      <c r="E1173" s="5">
        <f t="shared" si="251"/>
        <v>4.0723209417858897E-4</v>
      </c>
      <c r="G1173" s="25" t="str">
        <f>IF(VLOOKUP(A1173,Aux!B:C,2,FALSE)=0,"",VLOOKUP(A1173,Aux!B:C,2,FALSE))</f>
        <v/>
      </c>
      <c r="H1173" s="25" t="str">
        <f t="shared" si="240"/>
        <v/>
      </c>
      <c r="L1173" s="13">
        <f t="shared" si="243"/>
        <v>129758.19718415699</v>
      </c>
      <c r="M1173" s="14">
        <f t="shared" si="244"/>
        <v>-303.94829268173493</v>
      </c>
      <c r="N1173" s="14">
        <f t="shared" si="245"/>
        <v>26.242124563767728</v>
      </c>
      <c r="O1173" s="1">
        <f t="shared" si="246"/>
        <v>2.8122528930582922</v>
      </c>
      <c r="P1173" s="1">
        <f t="shared" si="247"/>
        <v>1867.7668728663691</v>
      </c>
      <c r="S1173" s="6">
        <f t="shared" si="241"/>
        <v>0.50318006387776082</v>
      </c>
      <c r="T1173" s="6">
        <f t="shared" si="242"/>
        <v>0.49681993612223824</v>
      </c>
      <c r="V1173" s="1">
        <f t="shared" si="248"/>
        <v>130777.36285419334</v>
      </c>
      <c r="W1173" s="7">
        <f t="shared" si="249"/>
        <v>-2.1378951509528803E-3</v>
      </c>
      <c r="X1173" s="7">
        <f t="shared" si="250"/>
        <v>-1.6649003600519568E-3</v>
      </c>
      <c r="Y1173">
        <f>LN(B1173/B1172)</f>
        <v>-4.6444315171222895E-3</v>
      </c>
      <c r="Z1173">
        <f>LN(C1173/C1172)</f>
        <v>4.0714919769396687E-4</v>
      </c>
    </row>
    <row r="1174" spans="1:26" x14ac:dyDescent="0.3">
      <c r="A1174" s="11">
        <v>41906</v>
      </c>
      <c r="B1174" s="12">
        <v>23334.27</v>
      </c>
      <c r="C1174" s="12">
        <v>34.529359999999997</v>
      </c>
      <c r="D1174" s="16">
        <f t="shared" si="239"/>
        <v>5.0562349462976997E-3</v>
      </c>
      <c r="E1174" s="15">
        <f t="shared" si="251"/>
        <v>4.085149583110681E-4</v>
      </c>
      <c r="G1174" s="25" t="str">
        <f>IF(VLOOKUP(A1174,Aux!B:C,2,FALSE)=0,"",VLOOKUP(A1174,Aux!B:C,2,FALSE))</f>
        <v/>
      </c>
      <c r="H1174" s="25" t="str">
        <f t="shared" si="240"/>
        <v/>
      </c>
      <c r="L1174" s="13">
        <f t="shared" si="243"/>
        <v>130114.66306418052</v>
      </c>
      <c r="M1174" s="14">
        <f t="shared" si="244"/>
        <v>330.1303671161113</v>
      </c>
      <c r="N1174" s="14">
        <f t="shared" si="245"/>
        <v>26.335512907414149</v>
      </c>
      <c r="O1174" s="1">
        <f t="shared" si="246"/>
        <v>2.8122528930582922</v>
      </c>
      <c r="P1174" s="1">
        <f t="shared" si="247"/>
        <v>1867.7668728663691</v>
      </c>
      <c r="S1174" s="6">
        <f t="shared" si="241"/>
        <v>0.50433876374513298</v>
      </c>
      <c r="T1174" s="6">
        <f t="shared" si="242"/>
        <v>0.49566123625486613</v>
      </c>
      <c r="V1174" s="1">
        <f t="shared" si="248"/>
        <v>131079.72925822478</v>
      </c>
      <c r="W1174" s="7">
        <f t="shared" si="249"/>
        <v>2.7433884650497884E-3</v>
      </c>
      <c r="X1174" s="7">
        <f t="shared" si="250"/>
        <v>2.3094011773925607E-3</v>
      </c>
      <c r="Y1174">
        <f>LN(B1174/B1173)</f>
        <v>5.0434951160523919E-3</v>
      </c>
      <c r="Z1174">
        <f>LN(C1174/C1173)</f>
        <v>4.084315387934601E-4</v>
      </c>
    </row>
    <row r="1175" spans="1:26" x14ac:dyDescent="0.3">
      <c r="A1175" s="9">
        <v>41907</v>
      </c>
      <c r="B1175" s="1">
        <v>22993.93</v>
      </c>
      <c r="C1175" s="1">
        <v>34.543469999999999</v>
      </c>
      <c r="D1175" s="6">
        <f t="shared" si="239"/>
        <v>-1.458541449978934E-2</v>
      </c>
      <c r="E1175" s="5">
        <f t="shared" si="251"/>
        <v>4.0863775059829521E-4</v>
      </c>
      <c r="G1175" s="25" t="str">
        <f>IF(VLOOKUP(A1175,Aux!B:C,2,FALSE)=0,"",VLOOKUP(A1175,Aux!B:C,2,FALSE))</f>
        <v/>
      </c>
      <c r="H1175" s="25" t="str">
        <f t="shared" si="240"/>
        <v/>
      </c>
      <c r="L1175" s="13">
        <f t="shared" si="243"/>
        <v>129183.89510513321</v>
      </c>
      <c r="M1175" s="14">
        <f t="shared" si="244"/>
        <v>-957.12214962345956</v>
      </c>
      <c r="N1175" s="14">
        <f t="shared" si="245"/>
        <v>26.354190576148742</v>
      </c>
      <c r="O1175" s="1">
        <f t="shared" si="246"/>
        <v>2.8122528930582922</v>
      </c>
      <c r="P1175" s="1">
        <f t="shared" si="247"/>
        <v>1867.7668728663691</v>
      </c>
      <c r="S1175" s="6">
        <f t="shared" si="241"/>
        <v>0.50056352699888795</v>
      </c>
      <c r="T1175" s="6">
        <f t="shared" si="242"/>
        <v>0.49943647300111116</v>
      </c>
      <c r="V1175" s="1">
        <f t="shared" si="248"/>
        <v>130326.11891209974</v>
      </c>
      <c r="W1175" s="7">
        <f t="shared" si="249"/>
        <v>-7.1791525821171941E-3</v>
      </c>
      <c r="X1175" s="7">
        <f t="shared" si="250"/>
        <v>-5.765842189142608E-3</v>
      </c>
      <c r="Y1175">
        <f>LN(B1175/B1174)</f>
        <v>-1.4692827378193432E-2</v>
      </c>
      <c r="Z1175">
        <f>LN(C1175/C1174)</f>
        <v>4.0855428093115203E-4</v>
      </c>
    </row>
    <row r="1176" spans="1:26" x14ac:dyDescent="0.3">
      <c r="A1176" s="11">
        <v>41908</v>
      </c>
      <c r="B1176" s="12">
        <v>23488.58</v>
      </c>
      <c r="C1176" s="12">
        <v>34.557580000000002</v>
      </c>
      <c r="D1176" s="16">
        <f t="shared" si="239"/>
        <v>2.1512199089064099E-2</v>
      </c>
      <c r="E1176" s="15">
        <f t="shared" si="251"/>
        <v>4.0847083399553341E-4</v>
      </c>
      <c r="G1176" s="25" t="str">
        <f>IF(VLOOKUP(A1176,Aux!B:C,2,FALSE)=0,"",VLOOKUP(A1176,Aux!B:C,2,FALSE))</f>
        <v/>
      </c>
      <c r="H1176" s="25" t="str">
        <f t="shared" si="240"/>
        <v/>
      </c>
      <c r="L1176" s="13">
        <f t="shared" si="243"/>
        <v>130601.33018926065</v>
      </c>
      <c r="M1176" s="14">
        <f t="shared" si="244"/>
        <v>1391.0808935512882</v>
      </c>
      <c r="N1176" s="14">
        <f t="shared" si="245"/>
        <v>26.354190576148742</v>
      </c>
      <c r="O1176" s="1">
        <f t="shared" si="246"/>
        <v>2.8122528930582922</v>
      </c>
      <c r="P1176" s="1">
        <f t="shared" si="247"/>
        <v>1867.7668728663691</v>
      </c>
      <c r="S1176" s="6">
        <f t="shared" si="241"/>
        <v>0.50578219198155538</v>
      </c>
      <c r="T1176" s="6">
        <f t="shared" si="242"/>
        <v>0.49421780801844356</v>
      </c>
      <c r="V1176" s="1">
        <f t="shared" si="248"/>
        <v>131498.85970408123</v>
      </c>
      <c r="W1176" s="7">
        <f t="shared" si="249"/>
        <v>1.0912469316980811E-2</v>
      </c>
      <c r="X1176" s="7">
        <f t="shared" si="250"/>
        <v>8.9582639587831164E-3</v>
      </c>
      <c r="Y1176">
        <f>LN(B1176/B1175)</f>
        <v>2.1284077533221452E-2</v>
      </c>
      <c r="Z1176">
        <f>LN(C1176/C1175)</f>
        <v>4.0838743249503498E-4</v>
      </c>
    </row>
    <row r="1177" spans="1:26" x14ac:dyDescent="0.3">
      <c r="A1177" s="9">
        <v>41911</v>
      </c>
      <c r="B1177" s="1">
        <v>22475.27</v>
      </c>
      <c r="C1177" s="1">
        <v>34.571660000000001</v>
      </c>
      <c r="D1177" s="6">
        <f t="shared" si="239"/>
        <v>-4.3140538934239636E-2</v>
      </c>
      <c r="E1177" s="5">
        <f t="shared" si="251"/>
        <v>4.0743593735448336E-4</v>
      </c>
      <c r="G1177" s="25" t="str">
        <f>IF(VLOOKUP(A1177,Aux!B:C,2,FALSE)=0,"",VLOOKUP(A1177,Aux!B:C,2,FALSE))</f>
        <v/>
      </c>
      <c r="H1177" s="25" t="str">
        <f t="shared" si="240"/>
        <v/>
      </c>
      <c r="L1177" s="13">
        <f t="shared" si="243"/>
        <v>127777.94436776571</v>
      </c>
      <c r="M1177" s="14">
        <f t="shared" si="244"/>
        <v>-2849.6839790649019</v>
      </c>
      <c r="N1177" s="14">
        <f t="shared" si="245"/>
        <v>26.298157569958235</v>
      </c>
      <c r="O1177" s="1">
        <f t="shared" si="246"/>
        <v>2.8122528930582922</v>
      </c>
      <c r="P1177" s="1">
        <f t="shared" si="247"/>
        <v>1867.7668728663691</v>
      </c>
      <c r="S1177" s="6">
        <f t="shared" si="241"/>
        <v>0.49465612702180184</v>
      </c>
      <c r="T1177" s="6">
        <f t="shared" si="242"/>
        <v>0.50534387297819716</v>
      </c>
      <c r="V1177" s="1">
        <f t="shared" si="248"/>
        <v>129192.61691336577</v>
      </c>
      <c r="W1177" s="7">
        <f t="shared" si="249"/>
        <v>-2.1855454238894453E-2</v>
      </c>
      <c r="X1177" s="7">
        <f t="shared" si="250"/>
        <v>-1.7693735046075434E-2</v>
      </c>
      <c r="Y1177">
        <f>LN(B1177/B1176)</f>
        <v>-4.4098751954028265E-2</v>
      </c>
      <c r="Z1177">
        <f>LN(C1177/C1176)</f>
        <v>4.0735295787140994E-4</v>
      </c>
    </row>
    <row r="1178" spans="1:26" x14ac:dyDescent="0.3">
      <c r="A1178" s="11">
        <v>41912</v>
      </c>
      <c r="B1178" s="12">
        <v>22286.43</v>
      </c>
      <c r="C1178" s="12">
        <v>34.585740000000001</v>
      </c>
      <c r="D1178" s="16">
        <f t="shared" si="239"/>
        <v>-8.4021237564665396E-3</v>
      </c>
      <c r="E1178" s="15">
        <f t="shared" si="251"/>
        <v>4.0727000091989041E-4</v>
      </c>
      <c r="G1178" s="25" t="str">
        <f>IF(VLOOKUP(A1178,Aux!B:C,2,FALSE)=0,"",VLOOKUP(A1178,Aux!B:C,2,FALSE))</f>
        <v/>
      </c>
      <c r="H1178" s="25" t="str">
        <f t="shared" si="240"/>
        <v/>
      </c>
      <c r="L1178" s="13">
        <f t="shared" si="243"/>
        <v>127273.17668901054</v>
      </c>
      <c r="M1178" s="14">
        <f t="shared" si="244"/>
        <v>-531.06583632512832</v>
      </c>
      <c r="N1178" s="14">
        <f t="shared" si="245"/>
        <v>26.298157569958235</v>
      </c>
      <c r="O1178" s="1">
        <f t="shared" si="246"/>
        <v>2.8122528930582922</v>
      </c>
      <c r="P1178" s="1">
        <f t="shared" si="247"/>
        <v>1867.7668728663691</v>
      </c>
      <c r="S1178" s="6">
        <f t="shared" si="241"/>
        <v>0.49244529659683445</v>
      </c>
      <c r="T1178" s="6">
        <f t="shared" si="242"/>
        <v>0.50755470340316455</v>
      </c>
      <c r="V1178" s="1">
        <f t="shared" si="248"/>
        <v>128788.45525276526</v>
      </c>
      <c r="W1178" s="7">
        <f t="shared" si="249"/>
        <v>-3.95817384127324E-3</v>
      </c>
      <c r="X1178" s="7">
        <f t="shared" si="250"/>
        <v>-3.1332685600332301E-3</v>
      </c>
      <c r="Y1178">
        <f>LN(B1178/B1177)</f>
        <v>-8.4376205705376933E-3</v>
      </c>
      <c r="Z1178">
        <f>LN(C1178/C1177)</f>
        <v>4.0718708900399259E-4</v>
      </c>
    </row>
    <row r="1179" spans="1:26" x14ac:dyDescent="0.3">
      <c r="A1179" s="9">
        <v>41913</v>
      </c>
      <c r="B1179" s="1">
        <v>21781.64</v>
      </c>
      <c r="C1179" s="1">
        <v>34.599829999999997</v>
      </c>
      <c r="D1179" s="6">
        <f t="shared" ref="D1179:D1242" si="252">B1179/B1178-1</f>
        <v>-2.265010591647032E-2</v>
      </c>
      <c r="E1179" s="5">
        <f t="shared" si="251"/>
        <v>4.0739333609729478E-4</v>
      </c>
      <c r="G1179" s="25" t="str">
        <f>IF(VLOOKUP(A1179,Aux!B:C,2,FALSE)=0,"",VLOOKUP(A1179,Aux!B:C,2,FALSE))</f>
        <v/>
      </c>
      <c r="H1179" s="25" t="str">
        <f t="shared" si="240"/>
        <v/>
      </c>
      <c r="L1179" s="13">
        <f t="shared" si="243"/>
        <v>125879.89638636232</v>
      </c>
      <c r="M1179" s="14">
        <f t="shared" si="244"/>
        <v>-1419.5971378868978</v>
      </c>
      <c r="N1179" s="14">
        <f t="shared" si="245"/>
        <v>26.316835238679555</v>
      </c>
      <c r="O1179" s="1">
        <f t="shared" si="246"/>
        <v>2.8122528930582922</v>
      </c>
      <c r="P1179" s="1">
        <f t="shared" si="247"/>
        <v>1867.7668728663691</v>
      </c>
      <c r="S1179" s="6">
        <f t="shared" si="241"/>
        <v>0.48661845031666678</v>
      </c>
      <c r="T1179" s="6">
        <f t="shared" si="242"/>
        <v>0.51338154968333216</v>
      </c>
      <c r="V1179" s="1">
        <f t="shared" si="248"/>
        <v>127655.40826149921</v>
      </c>
      <c r="W1179" s="7">
        <f t="shared" si="249"/>
        <v>-1.1007524845193805E-2</v>
      </c>
      <c r="X1179" s="7">
        <f t="shared" si="250"/>
        <v>-8.836665839591468E-3</v>
      </c>
      <c r="Y1179">
        <f>LN(B1179/B1178)</f>
        <v>-2.2910559954187212E-2</v>
      </c>
      <c r="Z1179">
        <f>LN(C1179/C1178)</f>
        <v>4.0731037396352874E-4</v>
      </c>
    </row>
    <row r="1180" spans="1:26" x14ac:dyDescent="0.3">
      <c r="A1180" s="11">
        <v>41914</v>
      </c>
      <c r="B1180" s="12">
        <v>22026.25</v>
      </c>
      <c r="C1180" s="12">
        <v>34.613930000000003</v>
      </c>
      <c r="D1180" s="16">
        <f t="shared" si="252"/>
        <v>1.1230100212839877E-2</v>
      </c>
      <c r="E1180" s="15">
        <f t="shared" si="251"/>
        <v>4.0751645311565277E-4</v>
      </c>
      <c r="G1180" s="25" t="str">
        <f>IF(VLOOKUP(A1180,Aux!B:C,2,FALSE)=0,"",VLOOKUP(A1180,Aux!B:C,2,FALSE))</f>
        <v/>
      </c>
      <c r="H1180" s="25" t="str">
        <f t="shared" si="240"/>
        <v/>
      </c>
      <c r="L1180" s="13">
        <f t="shared" si="243"/>
        <v>126594.13707944074</v>
      </c>
      <c r="M1180" s="14">
        <f t="shared" si="244"/>
        <v>687.90518017099043</v>
      </c>
      <c r="N1180" s="14">
        <f t="shared" si="245"/>
        <v>26.335512907427418</v>
      </c>
      <c r="O1180" s="1">
        <f t="shared" si="246"/>
        <v>2.8122528930582922</v>
      </c>
      <c r="P1180" s="1">
        <f t="shared" si="247"/>
        <v>1867.7668728663691</v>
      </c>
      <c r="S1180" s="6">
        <f t="shared" si="241"/>
        <v>0.48930690405397131</v>
      </c>
      <c r="T1180" s="6">
        <f t="shared" si="242"/>
        <v>0.51069309594602763</v>
      </c>
      <c r="V1180" s="1">
        <f t="shared" si="248"/>
        <v>128251.27565571007</v>
      </c>
      <c r="W1180" s="7">
        <f t="shared" si="249"/>
        <v>5.6579489672806309E-3</v>
      </c>
      <c r="X1180" s="7">
        <f t="shared" si="250"/>
        <v>4.6569199519602405E-3</v>
      </c>
      <c r="Y1180">
        <f>LN(B1180/B1179)</f>
        <v>1.1167510791839322E-2</v>
      </c>
      <c r="Z1180">
        <f>LN(C1180/C1179)</f>
        <v>4.0743344083768646E-4</v>
      </c>
    </row>
    <row r="1181" spans="1:26" x14ac:dyDescent="0.3">
      <c r="A1181" s="9">
        <v>41915</v>
      </c>
      <c r="B1181" s="1">
        <v>22436.81</v>
      </c>
      <c r="C1181" s="1">
        <v>34.628030000000003</v>
      </c>
      <c r="D1181" s="6">
        <f t="shared" si="252"/>
        <v>1.8639577776516703E-2</v>
      </c>
      <c r="E1181" s="5">
        <f t="shared" si="251"/>
        <v>4.073504511044046E-4</v>
      </c>
      <c r="G1181" s="25" t="str">
        <f>IF(VLOOKUP(A1181,Aux!B:C,2,FALSE)=0,"",VLOOKUP(A1181,Aux!B:C,2,FALSE))</f>
        <v/>
      </c>
      <c r="H1181" s="25" t="str">
        <f t="shared" si="240"/>
        <v/>
      </c>
      <c r="L1181" s="13">
        <f t="shared" si="243"/>
        <v>127775.07114012218</v>
      </c>
      <c r="M1181" s="14">
        <f t="shared" si="244"/>
        <v>1154.5985477740162</v>
      </c>
      <c r="N1181" s="14">
        <f t="shared" si="245"/>
        <v>26.335512907414149</v>
      </c>
      <c r="O1181" s="1">
        <f t="shared" si="246"/>
        <v>2.8122528930582922</v>
      </c>
      <c r="P1181" s="1">
        <f t="shared" si="247"/>
        <v>1867.7668728663691</v>
      </c>
      <c r="S1181" s="6">
        <f t="shared" si="241"/>
        <v>0.49382076856215545</v>
      </c>
      <c r="T1181" s="6">
        <f t="shared" si="242"/>
        <v>0.50617923143784349</v>
      </c>
      <c r="V1181" s="1">
        <f t="shared" si="248"/>
        <v>129229.99550488299</v>
      </c>
      <c r="W1181" s="7">
        <f t="shared" si="249"/>
        <v>9.2852633663022422E-3</v>
      </c>
      <c r="X1181" s="7">
        <f t="shared" si="250"/>
        <v>7.6022971186205336E-3</v>
      </c>
      <c r="Y1181">
        <f>LN(B1181/B1180)</f>
        <v>1.8467989785702688E-2</v>
      </c>
      <c r="Z1181">
        <f>LN(C1181/C1180)</f>
        <v>4.0726750643366535E-4</v>
      </c>
    </row>
    <row r="1182" spans="1:26" x14ac:dyDescent="0.3">
      <c r="A1182" s="11">
        <v>41918</v>
      </c>
      <c r="B1182" s="12">
        <v>23438.87</v>
      </c>
      <c r="C1182" s="12">
        <v>34.642139999999998</v>
      </c>
      <c r="D1182" s="16">
        <f t="shared" si="252"/>
        <v>4.4661429142556219E-2</v>
      </c>
      <c r="E1182" s="15">
        <f t="shared" si="251"/>
        <v>4.0747336767332776E-4</v>
      </c>
      <c r="G1182" s="25" t="str">
        <f>IF(VLOOKUP(A1182,Aux!B:C,2,FALSE)=0,"",VLOOKUP(A1182,Aux!B:C,2,FALSE))</f>
        <v/>
      </c>
      <c r="H1182" s="25" t="str">
        <f t="shared" si="240"/>
        <v/>
      </c>
      <c r="L1182" s="13">
        <f t="shared" si="243"/>
        <v>130619.47146471631</v>
      </c>
      <c r="M1182" s="14">
        <f t="shared" si="244"/>
        <v>2818.0461340179859</v>
      </c>
      <c r="N1182" s="14">
        <f t="shared" si="245"/>
        <v>26.354190576135469</v>
      </c>
      <c r="O1182" s="1">
        <f t="shared" si="246"/>
        <v>2.8122528930582922</v>
      </c>
      <c r="P1182" s="1">
        <f t="shared" si="247"/>
        <v>1867.7668728663691</v>
      </c>
      <c r="S1182" s="6">
        <f t="shared" si="241"/>
        <v>0.50464168342101157</v>
      </c>
      <c r="T1182" s="6">
        <f t="shared" si="242"/>
        <v>0.49535831657898743</v>
      </c>
      <c r="V1182" s="1">
        <f t="shared" si="248"/>
        <v>131573.34891616122</v>
      </c>
      <c r="W1182" s="7">
        <f t="shared" si="249"/>
        <v>2.2016836693237188E-2</v>
      </c>
      <c r="X1182" s="7">
        <f t="shared" si="250"/>
        <v>1.7970754794226312E-2</v>
      </c>
      <c r="Y1182">
        <f>LN(B1182/B1181)</f>
        <v>4.3692841669127298E-2</v>
      </c>
      <c r="Z1182">
        <f>LN(C1182/C1181)</f>
        <v>4.0739037294530841E-4</v>
      </c>
    </row>
    <row r="1183" spans="1:26" x14ac:dyDescent="0.3">
      <c r="A1183" s="9">
        <v>41919</v>
      </c>
      <c r="B1183" s="1">
        <v>23565.86</v>
      </c>
      <c r="C1183" s="1">
        <v>34.65625</v>
      </c>
      <c r="D1183" s="6">
        <f t="shared" si="252"/>
        <v>5.4179233043232244E-3</v>
      </c>
      <c r="E1183" s="5">
        <f t="shared" si="251"/>
        <v>4.0730740075534122E-4</v>
      </c>
      <c r="G1183" s="25" t="str">
        <f>IF(VLOOKUP(A1183,Aux!B:C,2,FALSE)=0,"",VLOOKUP(A1183,Aux!B:C,2,FALSE))</f>
        <v/>
      </c>
      <c r="H1183" s="25" t="str">
        <f t="shared" si="240"/>
        <v/>
      </c>
      <c r="L1183" s="13">
        <f t="shared" si="243"/>
        <v>131002.95365018194</v>
      </c>
      <c r="M1183" s="14">
        <f t="shared" si="244"/>
        <v>357.12799488947701</v>
      </c>
      <c r="N1183" s="14">
        <f t="shared" si="245"/>
        <v>26.354190576148742</v>
      </c>
      <c r="O1183" s="1">
        <f t="shared" si="246"/>
        <v>2.8122528930582922</v>
      </c>
      <c r="P1183" s="1">
        <f t="shared" si="247"/>
        <v>1867.7668728663691</v>
      </c>
      <c r="S1183" s="6">
        <f t="shared" si="241"/>
        <v>0.50589056289048517</v>
      </c>
      <c r="T1183" s="6">
        <f t="shared" si="242"/>
        <v>0.49410943710951366</v>
      </c>
      <c r="V1183" s="1">
        <f t="shared" si="248"/>
        <v>131897.88522732706</v>
      </c>
      <c r="W1183" s="7">
        <f t="shared" si="249"/>
        <v>2.9315717866153944E-3</v>
      </c>
      <c r="X1183" s="7">
        <f t="shared" si="250"/>
        <v>2.463543895836614E-3</v>
      </c>
      <c r="Y1183">
        <f>LN(B1183/B1182)</f>
        <v>5.4032991557543741E-3</v>
      </c>
      <c r="Z1183">
        <f>LN(C1183/C1182)</f>
        <v>4.0722447361311452E-4</v>
      </c>
    </row>
    <row r="1184" spans="1:26" x14ac:dyDescent="0.3">
      <c r="A1184" s="11">
        <v>41920</v>
      </c>
      <c r="B1184" s="12">
        <v>23416.34</v>
      </c>
      <c r="C1184" s="12">
        <v>34.670409999999997</v>
      </c>
      <c r="D1184" s="16">
        <f t="shared" si="252"/>
        <v>-6.3447716315042646E-3</v>
      </c>
      <c r="E1184" s="15">
        <f t="shared" si="251"/>
        <v>4.085843101893083E-4</v>
      </c>
      <c r="G1184" s="25" t="str">
        <f>IF(VLOOKUP(A1184,Aux!B:C,2,FALSE)=0,"",VLOOKUP(A1184,Aux!B:C,2,FALSE))</f>
        <v/>
      </c>
      <c r="H1184" s="25" t="str">
        <f t="shared" si="240"/>
        <v/>
      </c>
      <c r="L1184" s="13">
        <f t="shared" si="243"/>
        <v>130608.91317653164</v>
      </c>
      <c r="M1184" s="14">
        <f t="shared" si="244"/>
        <v>-420.48805257007706</v>
      </c>
      <c r="N1184" s="14">
        <f t="shared" si="245"/>
        <v>26.447578919781886</v>
      </c>
      <c r="O1184" s="1">
        <f t="shared" si="246"/>
        <v>2.8122528930582922</v>
      </c>
      <c r="P1184" s="1">
        <f t="shared" si="247"/>
        <v>1867.7668728663691</v>
      </c>
      <c r="S1184" s="6">
        <f t="shared" si="241"/>
        <v>0.50419736531173653</v>
      </c>
      <c r="T1184" s="6">
        <f t="shared" si="242"/>
        <v>0.4958026346882623</v>
      </c>
      <c r="V1184" s="1">
        <f t="shared" si="248"/>
        <v>131584.61515274443</v>
      </c>
      <c r="W1184" s="7">
        <f t="shared" si="249"/>
        <v>-3.0124074753168171E-3</v>
      </c>
      <c r="X1184" s="7">
        <f t="shared" si="250"/>
        <v>-2.377920520310421E-3</v>
      </c>
      <c r="Y1184">
        <f>LN(B1184/B1183)</f>
        <v>-6.3649852408828329E-3</v>
      </c>
      <c r="Z1184">
        <f>LN(C1184/C1183)</f>
        <v>4.0850086234958677E-4</v>
      </c>
    </row>
    <row r="1185" spans="1:26" x14ac:dyDescent="0.3">
      <c r="A1185" s="9">
        <v>41921</v>
      </c>
      <c r="B1185" s="1">
        <v>23495.13</v>
      </c>
      <c r="C1185" s="1">
        <v>34.684570000000001</v>
      </c>
      <c r="D1185" s="6">
        <f t="shared" si="252"/>
        <v>3.3647444476805344E-3</v>
      </c>
      <c r="E1185" s="5">
        <f t="shared" si="251"/>
        <v>4.0841743723252222E-4</v>
      </c>
      <c r="G1185" s="25" t="str">
        <f>IF(VLOOKUP(A1185,Aux!B:C,2,FALSE)=0,"",VLOOKUP(A1185,Aux!B:C,2,FALSE))</f>
        <v/>
      </c>
      <c r="H1185" s="25" t="str">
        <f t="shared" si="240"/>
        <v/>
      </c>
      <c r="L1185" s="13">
        <f t="shared" si="243"/>
        <v>130856.9381608955</v>
      </c>
      <c r="M1185" s="14">
        <f t="shared" si="244"/>
        <v>221.57740544406531</v>
      </c>
      <c r="N1185" s="14">
        <f t="shared" si="245"/>
        <v>26.447578919795159</v>
      </c>
      <c r="O1185" s="1">
        <f t="shared" si="246"/>
        <v>2.8122528930582922</v>
      </c>
      <c r="P1185" s="1">
        <f t="shared" si="247"/>
        <v>1867.7668728663691</v>
      </c>
      <c r="S1185" s="6">
        <f t="shared" si="241"/>
        <v>0.50493499423040844</v>
      </c>
      <c r="T1185" s="6">
        <f t="shared" si="242"/>
        <v>0.49506500576959056</v>
      </c>
      <c r="V1185" s="1">
        <f t="shared" si="248"/>
        <v>131798.06423448835</v>
      </c>
      <c r="W1185" s="7">
        <f t="shared" si="249"/>
        <v>1.8971889253509707E-3</v>
      </c>
      <c r="X1185" s="7">
        <f t="shared" si="250"/>
        <v>1.620828894060989E-3</v>
      </c>
      <c r="Y1185">
        <f>LN(B1185/B1184)</f>
        <v>3.3590963611139159E-3</v>
      </c>
      <c r="Z1185">
        <f>LN(C1185/C1184)</f>
        <v>4.083340575327141E-4</v>
      </c>
    </row>
    <row r="1186" spans="1:26" x14ac:dyDescent="0.3">
      <c r="A1186" s="11">
        <v>41922</v>
      </c>
      <c r="B1186" s="12">
        <v>22722.14</v>
      </c>
      <c r="C1186" s="12">
        <v>34.698740000000001</v>
      </c>
      <c r="D1186" s="16">
        <f t="shared" si="252"/>
        <v>-3.2900009491328652E-2</v>
      </c>
      <c r="E1186" s="15">
        <f t="shared" si="251"/>
        <v>4.0853901316917351E-4</v>
      </c>
      <c r="G1186" s="25" t="str">
        <f>IF(VLOOKUP(A1186,Aux!B:C,2,FALSE)=0,"",VLOOKUP(A1186,Aux!B:C,2,FALSE))</f>
        <v/>
      </c>
      <c r="H1186" s="25" t="str">
        <f t="shared" si="240"/>
        <v/>
      </c>
      <c r="L1186" s="13">
        <f t="shared" si="243"/>
        <v>128709.56105367889</v>
      </c>
      <c r="M1186" s="14">
        <f t="shared" si="244"/>
        <v>-2173.8433638051338</v>
      </c>
      <c r="N1186" s="14">
        <f t="shared" si="245"/>
        <v>26.46625658851648</v>
      </c>
      <c r="O1186" s="1">
        <f t="shared" si="246"/>
        <v>2.8122528930582922</v>
      </c>
      <c r="P1186" s="1">
        <f t="shared" si="247"/>
        <v>1867.7668728663691</v>
      </c>
      <c r="S1186" s="6">
        <f t="shared" si="241"/>
        <v>0.49646975273908051</v>
      </c>
      <c r="T1186" s="6">
        <f t="shared" si="242"/>
        <v>0.50353024726091833</v>
      </c>
      <c r="V1186" s="1">
        <f t="shared" si="248"/>
        <v>130046.449432133</v>
      </c>
      <c r="W1186" s="7">
        <f t="shared" si="249"/>
        <v>-1.6546250040830855E-2</v>
      </c>
      <c r="X1186" s="7">
        <f t="shared" si="250"/>
        <v>-1.3379244855011484E-2</v>
      </c>
      <c r="Y1186">
        <f>LN(B1186/B1185)</f>
        <v>-3.3453386073435953E-2</v>
      </c>
      <c r="Z1186">
        <f>LN(C1186/C1185)</f>
        <v>4.0845558382851982E-4</v>
      </c>
    </row>
    <row r="1187" spans="1:26" x14ac:dyDescent="0.3">
      <c r="A1187" s="9">
        <v>41925</v>
      </c>
      <c r="B1187" s="1">
        <v>23746.09</v>
      </c>
      <c r="C1187" s="1">
        <v>34.712910000000001</v>
      </c>
      <c r="D1187" s="6">
        <f t="shared" si="252"/>
        <v>4.5063977248621878E-2</v>
      </c>
      <c r="E1187" s="5">
        <f t="shared" si="251"/>
        <v>4.0837217720302021E-4</v>
      </c>
      <c r="G1187" s="25" t="str">
        <f>IF(VLOOKUP(A1187,Aux!B:C,2,FALSE)=0,"",VLOOKUP(A1187,Aux!B:C,2,FALSE))</f>
        <v/>
      </c>
      <c r="H1187" s="25" t="str">
        <f t="shared" si="240"/>
        <v/>
      </c>
      <c r="L1187" s="13">
        <f t="shared" si="243"/>
        <v>131615.63366011446</v>
      </c>
      <c r="M1187" s="14">
        <f t="shared" si="244"/>
        <v>2879.6063498470403</v>
      </c>
      <c r="N1187" s="14">
        <f t="shared" si="245"/>
        <v>26.46625658851648</v>
      </c>
      <c r="O1187" s="1">
        <f t="shared" si="246"/>
        <v>2.8122528930582922</v>
      </c>
      <c r="P1187" s="1">
        <f t="shared" si="247"/>
        <v>1867.7668728663691</v>
      </c>
      <c r="S1187" s="6">
        <f t="shared" si="241"/>
        <v>0.50738661087767101</v>
      </c>
      <c r="T1187" s="6">
        <f t="shared" si="242"/>
        <v>0.49261338912232788</v>
      </c>
      <c r="V1187" s="1">
        <f t="shared" si="248"/>
        <v>132440.43806707524</v>
      </c>
      <c r="W1187" s="7">
        <f t="shared" si="249"/>
        <v>2.2327407340684956E-2</v>
      </c>
      <c r="X1187" s="7">
        <f t="shared" si="250"/>
        <v>1.8241330375940366E-2</v>
      </c>
      <c r="Y1187">
        <f>LN(B1187/B1186)</f>
        <v>4.407810579025407E-2</v>
      </c>
      <c r="Z1187">
        <f>LN(C1187/C1186)</f>
        <v>4.0828881597962749E-4</v>
      </c>
    </row>
    <row r="1188" spans="1:26" x14ac:dyDescent="0.3">
      <c r="A1188" s="11">
        <v>41926</v>
      </c>
      <c r="B1188" s="12">
        <v>23771.08</v>
      </c>
      <c r="C1188" s="12">
        <v>34.727049999999998</v>
      </c>
      <c r="D1188" s="16">
        <f t="shared" si="252"/>
        <v>1.0523837819196302E-3</v>
      </c>
      <c r="E1188" s="15">
        <f t="shared" si="251"/>
        <v>4.0734124566332852E-4</v>
      </c>
      <c r="G1188" s="25" t="str">
        <f>IF(VLOOKUP(A1188,Aux!B:C,2,FALSE)=0,"",VLOOKUP(A1188,Aux!B:C,2,FALSE))</f>
        <v/>
      </c>
      <c r="H1188" s="25" t="str">
        <f t="shared" si="240"/>
        <v/>
      </c>
      <c r="L1188" s="13">
        <f t="shared" si="243"/>
        <v>131712.32208349431</v>
      </c>
      <c r="M1188" s="14">
        <f t="shared" si="244"/>
        <v>70.278199797531229</v>
      </c>
      <c r="N1188" s="14">
        <f t="shared" si="245"/>
        <v>26.410223582325976</v>
      </c>
      <c r="O1188" s="1">
        <f t="shared" si="246"/>
        <v>2.8122528930582922</v>
      </c>
      <c r="P1188" s="1">
        <f t="shared" si="247"/>
        <v>1867.7668728663691</v>
      </c>
      <c r="S1188" s="6">
        <f t="shared" si="241"/>
        <v>0.50754771796326514</v>
      </c>
      <c r="T1188" s="6">
        <f t="shared" si="242"/>
        <v>0.49245228203673364</v>
      </c>
      <c r="V1188" s="1">
        <f t="shared" si="248"/>
        <v>132529.72392423585</v>
      </c>
      <c r="W1188" s="7">
        <f t="shared" si="249"/>
        <v>7.3435748553156042E-4</v>
      </c>
      <c r="X1188" s="7">
        <f t="shared" si="250"/>
        <v>6.7393143340328582E-4</v>
      </c>
      <c r="Y1188">
        <f>LN(B1188/B1187)</f>
        <v>1.0518304143101096E-3</v>
      </c>
      <c r="Z1188">
        <f>LN(C1188/C1187)</f>
        <v>4.0725830474086061E-4</v>
      </c>
    </row>
    <row r="1189" spans="1:26" x14ac:dyDescent="0.3">
      <c r="A1189" s="9">
        <v>41927</v>
      </c>
      <c r="B1189" s="1">
        <v>23027.99</v>
      </c>
      <c r="C1189" s="1">
        <v>34.741239999999998</v>
      </c>
      <c r="D1189" s="6">
        <f t="shared" si="252"/>
        <v>-3.1260254056609926E-2</v>
      </c>
      <c r="E1189" s="5">
        <f t="shared" si="251"/>
        <v>4.0861518614443426E-4</v>
      </c>
      <c r="G1189" s="25" t="str">
        <f>IF(VLOOKUP(A1189,Aux!B:C,2,FALSE)=0,"",VLOOKUP(A1189,Aux!B:C,2,FALSE))</f>
        <v/>
      </c>
      <c r="H1189" s="25" t="str">
        <f t="shared" si="240"/>
        <v/>
      </c>
      <c r="L1189" s="13">
        <f t="shared" si="243"/>
        <v>129649.06869311759</v>
      </c>
      <c r="M1189" s="14">
        <f t="shared" si="244"/>
        <v>-2089.7570023026869</v>
      </c>
      <c r="N1189" s="14">
        <f t="shared" si="245"/>
        <v>26.503611925972393</v>
      </c>
      <c r="O1189" s="1">
        <f t="shared" si="246"/>
        <v>2.8122528930582922</v>
      </c>
      <c r="P1189" s="1">
        <f t="shared" si="247"/>
        <v>1867.7668728663691</v>
      </c>
      <c r="S1189" s="6">
        <f t="shared" si="241"/>
        <v>0.49950633777483694</v>
      </c>
      <c r="T1189" s="6">
        <f t="shared" si="242"/>
        <v>0.50049366222516201</v>
      </c>
      <c r="V1189" s="1">
        <f t="shared" si="248"/>
        <v>130847.13421043733</v>
      </c>
      <c r="W1189" s="7">
        <f t="shared" si="249"/>
        <v>-1.5788837410056846E-2</v>
      </c>
      <c r="X1189" s="7">
        <f t="shared" si="250"/>
        <v>-1.2777224369144304E-2</v>
      </c>
      <c r="Y1189">
        <f>LN(B1189/B1188)</f>
        <v>-3.1759283203229641E-2</v>
      </c>
      <c r="Z1189">
        <f>LN(C1189/C1188)</f>
        <v>4.0853172569395801E-4</v>
      </c>
    </row>
    <row r="1190" spans="1:26" x14ac:dyDescent="0.3">
      <c r="A1190" s="11">
        <v>41928</v>
      </c>
      <c r="B1190" s="12">
        <v>22311.25</v>
      </c>
      <c r="C1190" s="12">
        <v>34.755389999999998</v>
      </c>
      <c r="D1190" s="16">
        <f t="shared" si="252"/>
        <v>-3.112473125096904E-2</v>
      </c>
      <c r="E1190" s="15">
        <f t="shared" si="251"/>
        <v>4.0729691859020534E-4</v>
      </c>
      <c r="G1190" s="25" t="str">
        <f>IF(VLOOKUP(A1190,Aux!B:C,2,FALSE)=0,"",VLOOKUP(A1190,Aux!B:C,2,FALSE))</f>
        <v/>
      </c>
      <c r="H1190" s="25" t="str">
        <f t="shared" si="240"/>
        <v/>
      </c>
      <c r="L1190" s="13">
        <f t="shared" si="243"/>
        <v>127659.84345579804</v>
      </c>
      <c r="M1190" s="14">
        <f t="shared" si="244"/>
        <v>-2015.6541385706048</v>
      </c>
      <c r="N1190" s="14">
        <f t="shared" si="245"/>
        <v>26.428901251060566</v>
      </c>
      <c r="O1190" s="1">
        <f t="shared" si="246"/>
        <v>2.8122528930582922</v>
      </c>
      <c r="P1190" s="1">
        <f t="shared" si="247"/>
        <v>1867.7668728663691</v>
      </c>
      <c r="S1190" s="6">
        <f t="shared" si="241"/>
        <v>0.4915005036957617</v>
      </c>
      <c r="T1190" s="6">
        <f t="shared" si="242"/>
        <v>0.50849949630423719</v>
      </c>
      <c r="V1190" s="1">
        <f t="shared" si="248"/>
        <v>129225.24538306831</v>
      </c>
      <c r="W1190" s="7">
        <f t="shared" si="249"/>
        <v>-1.5462075151958287E-2</v>
      </c>
      <c r="X1190" s="7">
        <f t="shared" si="250"/>
        <v>-1.2472757439626041E-2</v>
      </c>
      <c r="Y1190">
        <f>LN(B1190/B1189)</f>
        <v>-3.1619396997936797E-2</v>
      </c>
      <c r="Z1190">
        <f>LN(C1190/C1189)</f>
        <v>4.0721399571564895E-4</v>
      </c>
    </row>
    <row r="1191" spans="1:26" x14ac:dyDescent="0.3">
      <c r="A1191" s="9">
        <v>41929</v>
      </c>
      <c r="B1191" s="1">
        <v>22868.83</v>
      </c>
      <c r="C1191" s="1">
        <v>34.769590000000001</v>
      </c>
      <c r="D1191" s="6">
        <f t="shared" si="252"/>
        <v>2.4990979886828413E-2</v>
      </c>
      <c r="E1191" s="5">
        <f t="shared" si="251"/>
        <v>4.0856972112823797E-4</v>
      </c>
      <c r="G1191" s="25" t="str">
        <f>IF(VLOOKUP(A1191,Aux!B:C,2,FALSE)=0,"",VLOOKUP(A1191,Aux!B:C,2,FALSE))</f>
        <v/>
      </c>
      <c r="H1191" s="25" t="str">
        <f t="shared" si="240"/>
        <v/>
      </c>
      <c r="L1191" s="13">
        <f t="shared" si="243"/>
        <v>129254.4217135042</v>
      </c>
      <c r="M1191" s="14">
        <f t="shared" si="244"/>
        <v>1568.0559681114476</v>
      </c>
      <c r="N1191" s="14">
        <f t="shared" si="245"/>
        <v>26.522289594706987</v>
      </c>
      <c r="O1191" s="1">
        <f t="shared" si="246"/>
        <v>2.8122528930582922</v>
      </c>
      <c r="P1191" s="1">
        <f t="shared" si="247"/>
        <v>1867.7668728663691</v>
      </c>
      <c r="S1191" s="6">
        <f t="shared" si="241"/>
        <v>0.49756853557327085</v>
      </c>
      <c r="T1191" s="6">
        <f t="shared" si="242"/>
        <v>0.50243146442672793</v>
      </c>
      <c r="V1191" s="1">
        <f t="shared" si="248"/>
        <v>130543.3692282745</v>
      </c>
      <c r="W1191" s="7">
        <f t="shared" si="249"/>
        <v>1.24134697843949E-2</v>
      </c>
      <c r="X1191" s="7">
        <f t="shared" si="250"/>
        <v>1.0148532841471058E-2</v>
      </c>
      <c r="Y1191">
        <f>LN(B1191/B1190)</f>
        <v>2.4683812441238996E-2</v>
      </c>
      <c r="Z1191">
        <f>LN(C1191/C1190)</f>
        <v>4.0848627924683703E-4</v>
      </c>
    </row>
    <row r="1192" spans="1:26" x14ac:dyDescent="0.3">
      <c r="A1192" s="11">
        <v>41932</v>
      </c>
      <c r="B1192" s="12">
        <v>22308.9</v>
      </c>
      <c r="C1192" s="12">
        <v>34.783790000000003</v>
      </c>
      <c r="D1192" s="16">
        <f t="shared" si="252"/>
        <v>-2.4484418310862455E-2</v>
      </c>
      <c r="E1192" s="15">
        <f t="shared" si="251"/>
        <v>4.0840286008547722E-4</v>
      </c>
      <c r="G1192" s="25" t="str">
        <f>IF(VLOOKUP(A1192,Aux!B:C,2,FALSE)=0,"",VLOOKUP(A1192,Aux!B:C,2,FALSE))</f>
        <v/>
      </c>
      <c r="H1192" s="25" t="str">
        <f t="shared" si="240"/>
        <v/>
      </c>
      <c r="L1192" s="13">
        <f t="shared" si="243"/>
        <v>127706.27924068877</v>
      </c>
      <c r="M1192" s="14">
        <f t="shared" si="244"/>
        <v>-1574.6647624101304</v>
      </c>
      <c r="N1192" s="14">
        <f t="shared" si="245"/>
        <v>26.522289594706987</v>
      </c>
      <c r="O1192" s="1">
        <f t="shared" si="246"/>
        <v>2.8122528930582922</v>
      </c>
      <c r="P1192" s="1">
        <f t="shared" si="247"/>
        <v>1867.7668728663691</v>
      </c>
      <c r="S1192" s="6">
        <f t="shared" si="241"/>
        <v>0.49127003729945773</v>
      </c>
      <c r="T1192" s="6">
        <f t="shared" si="242"/>
        <v>0.50872996270054105</v>
      </c>
      <c r="V1192" s="1">
        <f t="shared" si="248"/>
        <v>129283.3584127717</v>
      </c>
      <c r="W1192" s="7">
        <f t="shared" si="249"/>
        <v>-1.2049789708806088E-2</v>
      </c>
      <c r="X1192" s="7">
        <f t="shared" si="250"/>
        <v>-9.6989305471643517E-3</v>
      </c>
      <c r="Y1192">
        <f>LN(B1192/B1191)</f>
        <v>-2.4789146018206937E-2</v>
      </c>
      <c r="Z1192">
        <f>LN(C1192/C1191)</f>
        <v>4.0831948633669344E-4</v>
      </c>
    </row>
    <row r="1193" spans="1:26" x14ac:dyDescent="0.3">
      <c r="A1193" s="9">
        <v>41933</v>
      </c>
      <c r="B1193" s="1">
        <v>21562.37</v>
      </c>
      <c r="C1193" s="1">
        <v>34.798000000000002</v>
      </c>
      <c r="D1193" s="6">
        <f t="shared" si="252"/>
        <v>-3.3463326295783413E-2</v>
      </c>
      <c r="E1193" s="5">
        <f t="shared" si="251"/>
        <v>4.0852362551624388E-4</v>
      </c>
      <c r="G1193" s="25" t="str">
        <f>IF(VLOOKUP(A1193,Aux!B:C,2,FALSE)=0,"",VLOOKUP(A1193,Aux!B:C,2,FALSE))</f>
        <v/>
      </c>
      <c r="H1193" s="25" t="str">
        <f t="shared" si="240"/>
        <v/>
      </c>
      <c r="L1193" s="13">
        <f t="shared" si="243"/>
        <v>125633.38905569739</v>
      </c>
      <c r="M1193" s="14">
        <f t="shared" si="244"/>
        <v>-2099.4311522548137</v>
      </c>
      <c r="N1193" s="14">
        <f t="shared" si="245"/>
        <v>26.540967263428307</v>
      </c>
      <c r="O1193" s="1">
        <f t="shared" si="246"/>
        <v>2.8122528930582922</v>
      </c>
      <c r="P1193" s="1">
        <f t="shared" si="247"/>
        <v>1867.7668728663691</v>
      </c>
      <c r="S1193" s="6">
        <f t="shared" si="241"/>
        <v>0.48266498157436594</v>
      </c>
      <c r="T1193" s="6">
        <f t="shared" si="242"/>
        <v>0.5173350184256329</v>
      </c>
      <c r="V1193" s="1">
        <f t="shared" si="248"/>
        <v>127592.87724129058</v>
      </c>
      <c r="W1193" s="7">
        <f t="shared" si="249"/>
        <v>-1.6364878507353482E-2</v>
      </c>
      <c r="X1193" s="7">
        <f t="shared" si="250"/>
        <v>-1.3162023897311415E-2</v>
      </c>
      <c r="Y1193">
        <f>LN(B1193/B1192)</f>
        <v>-3.4036036196715809E-2</v>
      </c>
      <c r="Z1193">
        <f>LN(C1193/C1192)</f>
        <v>4.0844020245936122E-4</v>
      </c>
    </row>
    <row r="1194" spans="1:26" x14ac:dyDescent="0.3">
      <c r="A1194" s="11">
        <v>41934</v>
      </c>
      <c r="B1194" s="12">
        <v>21550.57</v>
      </c>
      <c r="C1194" s="12">
        <v>34.812220000000003</v>
      </c>
      <c r="D1194" s="16">
        <f t="shared" si="252"/>
        <v>-5.4724967617192366E-4</v>
      </c>
      <c r="E1194" s="15">
        <f t="shared" si="251"/>
        <v>4.0864417495267702E-4</v>
      </c>
      <c r="G1194" s="25" t="str">
        <f>IF(VLOOKUP(A1194,Aux!B:C,2,FALSE)=0,"",VLOOKUP(A1194,Aux!B:C,2,FALSE))</f>
        <v/>
      </c>
      <c r="H1194" s="25" t="str">
        <f t="shared" si="240"/>
        <v/>
      </c>
      <c r="L1194" s="13">
        <f t="shared" si="243"/>
        <v>125626.76411649147</v>
      </c>
      <c r="M1194" s="14">
        <f t="shared" si="244"/>
        <v>-33.184584138085803</v>
      </c>
      <c r="N1194" s="14">
        <f t="shared" si="245"/>
        <v>26.5596449321629</v>
      </c>
      <c r="O1194" s="1">
        <f t="shared" si="246"/>
        <v>2.8122528930582922</v>
      </c>
      <c r="P1194" s="1">
        <f t="shared" si="247"/>
        <v>1867.7668728663691</v>
      </c>
      <c r="S1194" s="6">
        <f t="shared" si="241"/>
        <v>0.48242628277328464</v>
      </c>
      <c r="T1194" s="6">
        <f t="shared" si="242"/>
        <v>0.51757371722671419</v>
      </c>
      <c r="V1194" s="1">
        <f t="shared" si="248"/>
        <v>127597.46625212702</v>
      </c>
      <c r="W1194" s="7">
        <f t="shared" si="249"/>
        <v>-5.2733703484745871E-5</v>
      </c>
      <c r="X1194" s="7">
        <f t="shared" si="250"/>
        <v>3.5965395665907168E-5</v>
      </c>
      <c r="Y1194">
        <f>LN(B1194/B1193)</f>
        <v>-5.4739947192890476E-4</v>
      </c>
      <c r="Z1194">
        <f>LN(C1194/C1193)</f>
        <v>4.0856070266135182E-4</v>
      </c>
    </row>
    <row r="1195" spans="1:26" x14ac:dyDescent="0.3">
      <c r="A1195" s="9">
        <v>41935</v>
      </c>
      <c r="B1195" s="1">
        <v>20876.759999999998</v>
      </c>
      <c r="C1195" s="1">
        <v>34.826439999999998</v>
      </c>
      <c r="D1195" s="6">
        <f t="shared" si="252"/>
        <v>-3.1266458381379314E-2</v>
      </c>
      <c r="E1195" s="5">
        <f t="shared" si="251"/>
        <v>4.0847725310233507E-4</v>
      </c>
      <c r="G1195" s="25" t="str">
        <f>IF(VLOOKUP(A1195,Aux!B:C,2,FALSE)=0,"",VLOOKUP(A1195,Aux!B:C,2,FALSE))</f>
        <v/>
      </c>
      <c r="H1195" s="25" t="str">
        <f t="shared" si="240"/>
        <v/>
      </c>
      <c r="L1195" s="13">
        <f t="shared" si="243"/>
        <v>123758.39963955201</v>
      </c>
      <c r="M1195" s="14">
        <f t="shared" si="244"/>
        <v>-1894.9241218716115</v>
      </c>
      <c r="N1195" s="14">
        <f t="shared" si="245"/>
        <v>26.559644932149627</v>
      </c>
      <c r="O1195" s="1">
        <f t="shared" si="246"/>
        <v>2.8122528930582922</v>
      </c>
      <c r="P1195" s="1">
        <f t="shared" si="247"/>
        <v>1867.7668728663691</v>
      </c>
      <c r="S1195" s="6">
        <f t="shared" si="241"/>
        <v>0.47439793079645026</v>
      </c>
      <c r="T1195" s="6">
        <f t="shared" si="242"/>
        <v>0.52560206920354846</v>
      </c>
      <c r="V1195" s="1">
        <f t="shared" si="248"/>
        <v>126074.77503572972</v>
      </c>
      <c r="W1195" s="7">
        <f t="shared" si="249"/>
        <v>-1.4984046412577771E-2</v>
      </c>
      <c r="X1195" s="7">
        <f t="shared" si="250"/>
        <v>-1.2005330162680666E-2</v>
      </c>
      <c r="Y1195">
        <f>LN(B1195/B1194)</f>
        <v>-3.1765687755807723E-2</v>
      </c>
      <c r="Z1195">
        <f>LN(C1195/C1194)</f>
        <v>4.0839384898086874E-4</v>
      </c>
    </row>
    <row r="1196" spans="1:26" x14ac:dyDescent="0.3">
      <c r="A1196" s="11">
        <v>41936</v>
      </c>
      <c r="B1196" s="12">
        <v>21361.75</v>
      </c>
      <c r="C1196" s="12">
        <v>34.84066</v>
      </c>
      <c r="D1196" s="16">
        <f t="shared" si="252"/>
        <v>2.3231095246580402E-2</v>
      </c>
      <c r="E1196" s="15">
        <f t="shared" si="251"/>
        <v>4.083104675642879E-4</v>
      </c>
      <c r="G1196" s="25" t="str">
        <f>IF(VLOOKUP(A1196,Aux!B:C,2,FALSE)=0,"",VLOOKUP(A1196,Aux!B:C,2,FALSE))</f>
        <v/>
      </c>
      <c r="H1196" s="25" t="str">
        <f t="shared" si="240"/>
        <v/>
      </c>
      <c r="L1196" s="13">
        <f t="shared" si="243"/>
        <v>125148.87381508852</v>
      </c>
      <c r="M1196" s="14">
        <f t="shared" si="244"/>
        <v>1363.9145306043456</v>
      </c>
      <c r="N1196" s="14">
        <f t="shared" si="245"/>
        <v>26.5596449321629</v>
      </c>
      <c r="O1196" s="1">
        <f t="shared" si="246"/>
        <v>2.8122528930582922</v>
      </c>
      <c r="P1196" s="1">
        <f t="shared" si="247"/>
        <v>1867.7668728663691</v>
      </c>
      <c r="S1196" s="6">
        <f t="shared" si="241"/>
        <v>0.48002544015737758</v>
      </c>
      <c r="T1196" s="6">
        <f t="shared" si="242"/>
        <v>0.5199745598426212</v>
      </c>
      <c r="V1196" s="1">
        <f t="shared" si="248"/>
        <v>127225.47595437337</v>
      </c>
      <c r="W1196" s="7">
        <f t="shared" si="249"/>
        <v>1.1172744135915579E-2</v>
      </c>
      <c r="X1196" s="7">
        <f t="shared" si="250"/>
        <v>9.0857299196907045E-3</v>
      </c>
      <c r="Y1196">
        <f>LN(B1196/B1195)</f>
        <v>2.2965361014801088E-2</v>
      </c>
      <c r="Z1196">
        <f>LN(C1196/C1195)</f>
        <v>4.0822713152920522E-4</v>
      </c>
    </row>
    <row r="1197" spans="1:26" x14ac:dyDescent="0.3">
      <c r="A1197" s="9">
        <v>41939</v>
      </c>
      <c r="B1197" s="1">
        <v>20816.37</v>
      </c>
      <c r="C1197" s="1">
        <v>34.854900000000001</v>
      </c>
      <c r="D1197" s="6">
        <f t="shared" si="252"/>
        <v>-2.5530679836623937E-2</v>
      </c>
      <c r="E1197" s="5">
        <f t="shared" si="251"/>
        <v>4.0871786010954203E-4</v>
      </c>
      <c r="G1197" s="25" t="str">
        <f>IF(VLOOKUP(A1197,Aux!B:C,2,FALSE)=0,"",VLOOKUP(A1197,Aux!B:C,2,FALSE))</f>
        <v/>
      </c>
      <c r="H1197" s="25" t="str">
        <f t="shared" si="240"/>
        <v/>
      </c>
      <c r="L1197" s="13">
        <f t="shared" si="243"/>
        <v>123641.724332542</v>
      </c>
      <c r="M1197" s="14">
        <f t="shared" si="244"/>
        <v>-1533.7464828161342</v>
      </c>
      <c r="N1197" s="14">
        <f t="shared" si="245"/>
        <v>26.59700026961881</v>
      </c>
      <c r="O1197" s="1">
        <f t="shared" si="246"/>
        <v>2.8122528930582922</v>
      </c>
      <c r="P1197" s="1">
        <f t="shared" si="247"/>
        <v>1867.7668728663691</v>
      </c>
      <c r="S1197" s="6">
        <f t="shared" si="241"/>
        <v>0.47347201821629814</v>
      </c>
      <c r="T1197" s="6">
        <f t="shared" si="242"/>
        <v>0.52652798178370064</v>
      </c>
      <c r="V1197" s="1">
        <f t="shared" si="248"/>
        <v>125999.12198313074</v>
      </c>
      <c r="W1197" s="7">
        <f t="shared" si="249"/>
        <v>-1.2115955592617734E-2</v>
      </c>
      <c r="X1197" s="7">
        <f t="shared" si="250"/>
        <v>-9.6859749729479635E-3</v>
      </c>
      <c r="Y1197">
        <f>LN(B1197/B1196)</f>
        <v>-2.5862243174157529E-2</v>
      </c>
      <c r="Z1197">
        <f>LN(C1197/C1196)</f>
        <v>4.0863435771679385E-4</v>
      </c>
    </row>
    <row r="1198" spans="1:26" x14ac:dyDescent="0.3">
      <c r="A1198" s="11">
        <v>41940</v>
      </c>
      <c r="B1198" s="12">
        <v>21560.48</v>
      </c>
      <c r="C1198" s="12">
        <v>34.869140000000002</v>
      </c>
      <c r="D1198" s="16">
        <f t="shared" si="252"/>
        <v>3.5746386137448516E-2</v>
      </c>
      <c r="E1198" s="15">
        <f t="shared" si="251"/>
        <v>4.0855087806890289E-4</v>
      </c>
      <c r="G1198" s="25" t="str">
        <f>IF(VLOOKUP(A1198,Aux!B:C,2,FALSE)=0,"",VLOOKUP(A1198,Aux!B:C,2,FALSE))</f>
        <v/>
      </c>
      <c r="H1198" s="25" t="str">
        <f t="shared" si="240"/>
        <v/>
      </c>
      <c r="L1198" s="13">
        <f t="shared" si="243"/>
        <v>125760.94683306522</v>
      </c>
      <c r="M1198" s="14">
        <f t="shared" si="244"/>
        <v>2092.6255002536072</v>
      </c>
      <c r="N1198" s="14">
        <f t="shared" si="245"/>
        <v>26.59700026961881</v>
      </c>
      <c r="O1198" s="1">
        <f t="shared" si="246"/>
        <v>2.8122528930582922</v>
      </c>
      <c r="P1198" s="1">
        <f t="shared" si="247"/>
        <v>1867.7668728663691</v>
      </c>
      <c r="S1198" s="6">
        <f t="shared" si="241"/>
        <v>0.48213315645762622</v>
      </c>
      <c r="T1198" s="6">
        <f t="shared" si="242"/>
        <v>0.51786684354237267</v>
      </c>
      <c r="V1198" s="1">
        <f t="shared" si="248"/>
        <v>127747.66654848971</v>
      </c>
      <c r="W1198" s="7">
        <f t="shared" si="249"/>
        <v>1.6994793977629614E-2</v>
      </c>
      <c r="X1198" s="7">
        <f t="shared" si="250"/>
        <v>1.3782024612398396E-2</v>
      </c>
      <c r="Y1198">
        <f>LN(B1198/B1197)</f>
        <v>3.5122312843000388E-2</v>
      </c>
      <c r="Z1198">
        <f>LN(C1198/C1197)</f>
        <v>4.0846744388288393E-4</v>
      </c>
    </row>
    <row r="1199" spans="1:26" x14ac:dyDescent="0.3">
      <c r="A1199" s="9">
        <v>41941</v>
      </c>
      <c r="B1199" s="1">
        <v>21068.37</v>
      </c>
      <c r="C1199" s="1">
        <v>34.883380000000002</v>
      </c>
      <c r="D1199" s="6">
        <f t="shared" si="252"/>
        <v>-2.282463099151788E-2</v>
      </c>
      <c r="E1199" s="5">
        <f t="shared" si="251"/>
        <v>4.0838403241383325E-4</v>
      </c>
      <c r="G1199" s="25" t="str">
        <f>IF(VLOOKUP(A1199,Aux!B:C,2,FALSE)=0,"",VLOOKUP(A1199,Aux!B:C,2,FALSE))</f>
        <v/>
      </c>
      <c r="H1199" s="25" t="str">
        <f t="shared" si="240"/>
        <v/>
      </c>
      <c r="L1199" s="13">
        <f t="shared" si="243"/>
        <v>124403.6060621319</v>
      </c>
      <c r="M1199" s="14">
        <f t="shared" si="244"/>
        <v>-1383.9377712029177</v>
      </c>
      <c r="N1199" s="14">
        <f t="shared" si="245"/>
        <v>26.59700026961881</v>
      </c>
      <c r="O1199" s="1">
        <f t="shared" si="246"/>
        <v>2.8122528930582922</v>
      </c>
      <c r="P1199" s="1">
        <f t="shared" si="247"/>
        <v>1867.7668728663691</v>
      </c>
      <c r="S1199" s="6">
        <f t="shared" si="241"/>
        <v>0.47626902756284273</v>
      </c>
      <c r="T1199" s="6">
        <f t="shared" si="242"/>
        <v>0.52373097243715616</v>
      </c>
      <c r="V1199" s="1">
        <f t="shared" si="248"/>
        <v>126644.20833064166</v>
      </c>
      <c r="W1199" s="7">
        <f t="shared" si="249"/>
        <v>-1.0851690018769988E-2</v>
      </c>
      <c r="X1199" s="7">
        <f t="shared" si="250"/>
        <v>-8.675317472226593E-3</v>
      </c>
      <c r="Y1199">
        <f>LN(B1199/B1198)</f>
        <v>-2.3089145597265888E-2</v>
      </c>
      <c r="Z1199">
        <f>LN(C1199/C1198)</f>
        <v>4.0830066635100828E-4</v>
      </c>
    </row>
    <row r="1200" spans="1:26" x14ac:dyDescent="0.3">
      <c r="A1200" s="11">
        <v>41942</v>
      </c>
      <c r="B1200" s="12">
        <v>21578.7</v>
      </c>
      <c r="C1200" s="12">
        <v>34.897629999999999</v>
      </c>
      <c r="D1200" s="16">
        <f t="shared" si="252"/>
        <v>2.4222566814613655E-2</v>
      </c>
      <c r="E1200" s="15">
        <f t="shared" si="251"/>
        <v>4.0850399244551916E-4</v>
      </c>
      <c r="G1200" s="25" t="str">
        <f>IF(VLOOKUP(A1200,Aux!B:C,2,FALSE)=0,"",VLOOKUP(A1200,Aux!B:C,2,FALSE))</f>
        <v/>
      </c>
      <c r="H1200" s="25" t="str">
        <f t="shared" si="240"/>
        <v/>
      </c>
      <c r="L1200" s="13">
        <f t="shared" si="243"/>
        <v>125865.39875898469</v>
      </c>
      <c r="M1200" s="14">
        <f t="shared" si="244"/>
        <v>1435.1770189144431</v>
      </c>
      <c r="N1200" s="14">
        <f t="shared" si="245"/>
        <v>26.615677938340134</v>
      </c>
      <c r="O1200" s="1">
        <f t="shared" si="246"/>
        <v>2.8122528930582922</v>
      </c>
      <c r="P1200" s="1">
        <f t="shared" si="247"/>
        <v>1867.7668728663691</v>
      </c>
      <c r="S1200" s="6">
        <f t="shared" si="241"/>
        <v>0.48214014416813733</v>
      </c>
      <c r="T1200" s="6">
        <f t="shared" si="242"/>
        <v>0.51785985583186167</v>
      </c>
      <c r="V1200" s="1">
        <f t="shared" si="248"/>
        <v>127853.43662965708</v>
      </c>
      <c r="W1200" s="7">
        <f t="shared" si="249"/>
        <v>1.16819046107533E-2</v>
      </c>
      <c r="X1200" s="7">
        <f t="shared" si="250"/>
        <v>9.5029358658054331E-3</v>
      </c>
      <c r="Y1200">
        <f>LN(B1200/B1199)</f>
        <v>2.393385340503501E-2</v>
      </c>
      <c r="Z1200">
        <f>LN(C1200/C1199)</f>
        <v>4.0842057740574187E-4</v>
      </c>
    </row>
    <row r="1201" spans="1:26" x14ac:dyDescent="0.3">
      <c r="A1201" s="9">
        <v>41943</v>
      </c>
      <c r="B1201" s="1">
        <v>22497.78</v>
      </c>
      <c r="C1201" s="1">
        <v>34.912199999999999</v>
      </c>
      <c r="D1201" s="6">
        <f t="shared" si="252"/>
        <v>4.2592000444882983E-2</v>
      </c>
      <c r="E1201" s="5">
        <f t="shared" si="251"/>
        <v>4.1750686221386779E-4</v>
      </c>
      <c r="G1201" s="25" t="str">
        <f>IF(VLOOKUP(A1201,Aux!B:C,2,FALSE)=0,"",VLOOKUP(A1201,Aux!B:C,2,FALSE))</f>
        <v/>
      </c>
      <c r="H1201" s="25" t="str">
        <f t="shared" si="240"/>
        <v/>
      </c>
      <c r="L1201" s="13">
        <f t="shared" si="243"/>
        <v>128477.29751127437</v>
      </c>
      <c r="M1201" s="14">
        <f t="shared" si="244"/>
        <v>2584.6853889520098</v>
      </c>
      <c r="N1201" s="14">
        <f t="shared" si="245"/>
        <v>27.213363337661285</v>
      </c>
      <c r="O1201" s="1">
        <f t="shared" si="246"/>
        <v>2.8122528930582922</v>
      </c>
      <c r="P1201" s="1">
        <f t="shared" si="247"/>
        <v>1867.7668728663691</v>
      </c>
      <c r="S1201" s="6">
        <f t="shared" si="241"/>
        <v>0.49245624026950635</v>
      </c>
      <c r="T1201" s="6">
        <f t="shared" si="242"/>
        <v>0.50754375973049259</v>
      </c>
      <c r="V1201" s="1">
        <f t="shared" si="248"/>
        <v>130006.38135921168</v>
      </c>
      <c r="W1201" s="7">
        <f t="shared" si="249"/>
        <v>2.0539143529322321E-2</v>
      </c>
      <c r="X1201" s="7">
        <f t="shared" si="250"/>
        <v>1.669895508406307E-2</v>
      </c>
      <c r="Y1201">
        <f>LN(B1201/B1200)</f>
        <v>4.1709920624258427E-2</v>
      </c>
      <c r="Z1201">
        <f>LN(C1201/C1200)</f>
        <v>4.1741973047509229E-4</v>
      </c>
    </row>
    <row r="1202" spans="1:26" x14ac:dyDescent="0.3">
      <c r="A1202" s="11">
        <v>41946</v>
      </c>
      <c r="B1202" s="12">
        <v>22238.69</v>
      </c>
      <c r="C1202" s="12">
        <v>34.926729999999999</v>
      </c>
      <c r="D1202" s="16">
        <f t="shared" si="252"/>
        <v>-1.1516247380852662E-2</v>
      </c>
      <c r="E1202" s="15">
        <f t="shared" si="251"/>
        <v>4.1618689168831935E-4</v>
      </c>
      <c r="G1202" s="25" t="str">
        <f>IF(VLOOKUP(A1202,Aux!B:C,2,FALSE)=0,"",VLOOKUP(A1202,Aux!B:C,2,FALSE))</f>
        <v/>
      </c>
      <c r="H1202" s="25" t="str">
        <f t="shared" si="240"/>
        <v/>
      </c>
      <c r="L1202" s="13">
        <f t="shared" si="243"/>
        <v>127775.80956187464</v>
      </c>
      <c r="M1202" s="14">
        <f t="shared" si="244"/>
        <v>-728.62660206247335</v>
      </c>
      <c r="N1202" s="14">
        <f t="shared" si="245"/>
        <v>27.138652662749461</v>
      </c>
      <c r="O1202" s="1">
        <f t="shared" si="246"/>
        <v>2.8122528930582922</v>
      </c>
      <c r="P1202" s="1">
        <f t="shared" si="247"/>
        <v>1867.7668728663691</v>
      </c>
      <c r="S1202" s="6">
        <f t="shared" si="241"/>
        <v>0.48945743724708313</v>
      </c>
      <c r="T1202" s="6">
        <f t="shared" si="242"/>
        <v>0.51054256275291576</v>
      </c>
      <c r="V1202" s="1">
        <f t="shared" si="248"/>
        <v>129441.1572008607</v>
      </c>
      <c r="W1202" s="7">
        <f t="shared" si="249"/>
        <v>-5.4749751891024455E-3</v>
      </c>
      <c r="X1202" s="7">
        <f t="shared" si="250"/>
        <v>-4.3571433030751595E-3</v>
      </c>
      <c r="Y1202">
        <f>LN(B1202/B1201)</f>
        <v>-1.1583072905990839E-2</v>
      </c>
      <c r="Z1202">
        <f>LN(C1202/C1201)</f>
        <v>4.161003099458706E-4</v>
      </c>
    </row>
    <row r="1203" spans="1:26" x14ac:dyDescent="0.3">
      <c r="A1203" s="9">
        <v>41947</v>
      </c>
      <c r="B1203" s="1">
        <v>22404.45</v>
      </c>
      <c r="C1203" s="1">
        <v>34.941270000000003</v>
      </c>
      <c r="D1203" s="6">
        <f t="shared" si="252"/>
        <v>7.453676453064606E-3</v>
      </c>
      <c r="E1203" s="5">
        <f t="shared" si="251"/>
        <v>4.1630006588078139E-4</v>
      </c>
      <c r="G1203" s="25" t="str">
        <f>IF(VLOOKUP(A1203,Aux!B:C,2,FALSE)=0,"",VLOOKUP(A1203,Aux!B:C,2,FALSE))</f>
        <v/>
      </c>
      <c r="H1203" s="25" t="str">
        <f t="shared" si="240"/>
        <v/>
      </c>
      <c r="L1203" s="13">
        <f t="shared" si="243"/>
        <v>128269.12593175947</v>
      </c>
      <c r="M1203" s="14">
        <f t="shared" si="244"/>
        <v>466.15903955334824</v>
      </c>
      <c r="N1203" s="14">
        <f t="shared" si="245"/>
        <v>27.157330331484051</v>
      </c>
      <c r="O1203" s="1">
        <f t="shared" si="246"/>
        <v>2.8122528930582922</v>
      </c>
      <c r="P1203" s="1">
        <f t="shared" si="247"/>
        <v>1867.7668728663691</v>
      </c>
      <c r="S1203" s="6">
        <f t="shared" si="241"/>
        <v>0.49120923583279297</v>
      </c>
      <c r="T1203" s="6">
        <f t="shared" si="242"/>
        <v>0.50879076416720603</v>
      </c>
      <c r="V1203" s="1">
        <f t="shared" si="248"/>
        <v>129856.09922516685</v>
      </c>
      <c r="W1203" s="7">
        <f t="shared" si="249"/>
        <v>3.8533625306585838E-3</v>
      </c>
      <c r="X1203" s="7">
        <f t="shared" si="250"/>
        <v>3.2005149936656526E-3</v>
      </c>
      <c r="Y1203">
        <f>LN(B1203/B1202)</f>
        <v>7.4260350750122352E-3</v>
      </c>
      <c r="Z1203">
        <f>LN(C1203/C1202)</f>
        <v>4.1621343704991332E-4</v>
      </c>
    </row>
    <row r="1204" spans="1:26" x14ac:dyDescent="0.3">
      <c r="A1204" s="11">
        <v>41948</v>
      </c>
      <c r="B1204" s="12">
        <v>22137.18</v>
      </c>
      <c r="C1204" s="12">
        <v>34.955820000000003</v>
      </c>
      <c r="D1204" s="16">
        <f t="shared" si="252"/>
        <v>-1.1929326540040086E-2</v>
      </c>
      <c r="E1204" s="15">
        <f t="shared" si="251"/>
        <v>4.1641302677319914E-4</v>
      </c>
      <c r="G1204" s="25" t="str">
        <f>IF(VLOOKUP(A1204,Aux!B:C,2,FALSE)=0,"",VLOOKUP(A1204,Aux!B:C,2,FALSE))</f>
        <v/>
      </c>
      <c r="H1204" s="25" t="str">
        <f t="shared" si="240"/>
        <v/>
      </c>
      <c r="L1204" s="13">
        <f t="shared" si="243"/>
        <v>127544.67110903197</v>
      </c>
      <c r="M1204" s="14">
        <f t="shared" si="244"/>
        <v>-751.63083072769098</v>
      </c>
      <c r="N1204" s="14">
        <f t="shared" si="245"/>
        <v>27.176008000205375</v>
      </c>
      <c r="O1204" s="1">
        <f t="shared" si="246"/>
        <v>2.8122528930582922</v>
      </c>
      <c r="P1204" s="1">
        <f t="shared" si="247"/>
        <v>1867.7668728663691</v>
      </c>
      <c r="S1204" s="6">
        <f t="shared" si="241"/>
        <v>0.48810622943182769</v>
      </c>
      <c r="T1204" s="6">
        <f t="shared" si="242"/>
        <v>0.51189377056817131</v>
      </c>
      <c r="V1204" s="1">
        <f t="shared" si="248"/>
        <v>129272.04826332716</v>
      </c>
      <c r="W1204" s="7">
        <f t="shared" si="249"/>
        <v>-5.6639381286533279E-3</v>
      </c>
      <c r="X1204" s="7">
        <f t="shared" si="250"/>
        <v>-4.5078233029946235E-3</v>
      </c>
      <c r="Y1204">
        <f>LN(B1204/B1203)</f>
        <v>-1.2001051950484763E-2</v>
      </c>
      <c r="Z1204">
        <f>LN(C1204/C1203)</f>
        <v>4.16326350929898E-4</v>
      </c>
    </row>
    <row r="1205" spans="1:26" x14ac:dyDescent="0.3">
      <c r="A1205" s="9">
        <v>41949</v>
      </c>
      <c r="B1205" s="1">
        <v>21716.38</v>
      </c>
      <c r="C1205" s="1">
        <v>34.970410000000001</v>
      </c>
      <c r="D1205" s="6">
        <f t="shared" si="252"/>
        <v>-1.9008744564574132E-2</v>
      </c>
      <c r="E1205" s="5">
        <f t="shared" si="251"/>
        <v>4.1738400071866799E-4</v>
      </c>
      <c r="G1205" s="25" t="str">
        <f>IF(VLOOKUP(A1205,Aux!B:C,2,FALSE)=0,"",VLOOKUP(A1205,Aux!B:C,2,FALSE))</f>
        <v/>
      </c>
      <c r="H1205" s="25" t="str">
        <f t="shared" si="240"/>
        <v/>
      </c>
      <c r="L1205" s="13">
        <f t="shared" si="243"/>
        <v>126388.52581030816</v>
      </c>
      <c r="M1205" s="14">
        <f t="shared" si="244"/>
        <v>-1183.3960173989274</v>
      </c>
      <c r="N1205" s="14">
        <f t="shared" si="245"/>
        <v>27.250718675117199</v>
      </c>
      <c r="O1205" s="1">
        <f t="shared" si="246"/>
        <v>2.8122528930582922</v>
      </c>
      <c r="P1205" s="1">
        <f t="shared" si="247"/>
        <v>1867.7668728663691</v>
      </c>
      <c r="S1205" s="6">
        <f t="shared" si="241"/>
        <v>0.48320804511490117</v>
      </c>
      <c r="T1205" s="6">
        <f t="shared" si="242"/>
        <v>0.51679195488509788</v>
      </c>
      <c r="V1205" s="1">
        <f t="shared" si="248"/>
        <v>128333.88770627779</v>
      </c>
      <c r="W1205" s="7">
        <f t="shared" si="249"/>
        <v>-9.1059641005302554E-3</v>
      </c>
      <c r="X1205" s="7">
        <f t="shared" si="250"/>
        <v>-7.2837196174617884E-3</v>
      </c>
      <c r="Y1205">
        <f>LN(B1205/B1204)</f>
        <v>-1.9191733385732764E-2</v>
      </c>
      <c r="Z1205">
        <f>LN(C1205/C1204)</f>
        <v>4.1729692024646133E-4</v>
      </c>
    </row>
    <row r="1206" spans="1:26" x14ac:dyDescent="0.3">
      <c r="A1206" s="11">
        <v>41950</v>
      </c>
      <c r="B1206" s="12">
        <v>21946.15</v>
      </c>
      <c r="C1206" s="12">
        <v>34.985010000000003</v>
      </c>
      <c r="D1206" s="16">
        <f t="shared" si="252"/>
        <v>1.0580492697217503E-2</v>
      </c>
      <c r="E1206" s="15">
        <f t="shared" si="251"/>
        <v>4.1749582003758334E-4</v>
      </c>
      <c r="G1206" s="25" t="str">
        <f>IF(VLOOKUP(A1206,Aux!B:C,2,FALSE)=0,"",VLOOKUP(A1206,Aux!B:C,2,FALSE))</f>
        <v/>
      </c>
      <c r="H1206" s="25" t="str">
        <f t="shared" si="240"/>
        <v/>
      </c>
      <c r="L1206" s="13">
        <f t="shared" si="243"/>
        <v>127061.96655389002</v>
      </c>
      <c r="M1206" s="14">
        <f t="shared" si="244"/>
        <v>646.17134723800507</v>
      </c>
      <c r="N1206" s="14">
        <f t="shared" si="245"/>
        <v>27.269396343851792</v>
      </c>
      <c r="O1206" s="1">
        <f t="shared" si="246"/>
        <v>2.8122528930582922</v>
      </c>
      <c r="P1206" s="1">
        <f t="shared" si="247"/>
        <v>1867.7668728663691</v>
      </c>
      <c r="S1206" s="6">
        <f t="shared" si="241"/>
        <v>0.4857324776475509</v>
      </c>
      <c r="T1206" s="6">
        <f t="shared" si="242"/>
        <v>0.51426752235244821</v>
      </c>
      <c r="V1206" s="1">
        <f t="shared" si="248"/>
        <v>128896.63726761343</v>
      </c>
      <c r="W1206" s="7">
        <f t="shared" si="249"/>
        <v>5.3141923076627899E-3</v>
      </c>
      <c r="X1206" s="7">
        <f t="shared" si="250"/>
        <v>4.3754562892142938E-3</v>
      </c>
      <c r="Y1206">
        <f>LN(B1206/B1205)</f>
        <v>1.0524910995148028E-2</v>
      </c>
      <c r="Z1206">
        <f>LN(C1206/C1205)</f>
        <v>4.174086929070073E-4</v>
      </c>
    </row>
    <row r="1207" spans="1:26" x14ac:dyDescent="0.3">
      <c r="A1207" s="9">
        <v>41953</v>
      </c>
      <c r="B1207" s="1">
        <v>21756.560000000001</v>
      </c>
      <c r="C1207" s="1">
        <v>34.999609999999997</v>
      </c>
      <c r="D1207" s="6">
        <f t="shared" si="252"/>
        <v>-8.6388728774751122E-3</v>
      </c>
      <c r="E1207" s="5">
        <f t="shared" si="251"/>
        <v>4.1732159001806046E-4</v>
      </c>
      <c r="G1207" s="25" t="str">
        <f>IF(VLOOKUP(A1207,Aux!B:C,2,FALSE)=0,"",VLOOKUP(A1207,Aux!B:C,2,FALSE))</f>
        <v/>
      </c>
      <c r="H1207" s="25" t="str">
        <f t="shared" si="240"/>
        <v/>
      </c>
      <c r="L1207" s="13">
        <f t="shared" si="243"/>
        <v>126556.06092423893</v>
      </c>
      <c r="M1207" s="14">
        <f t="shared" si="244"/>
        <v>-533.17502599492207</v>
      </c>
      <c r="N1207" s="14">
        <f t="shared" si="245"/>
        <v>27.269396343838519</v>
      </c>
      <c r="O1207" s="1">
        <f t="shared" si="246"/>
        <v>2.8122528930582922</v>
      </c>
      <c r="P1207" s="1">
        <f t="shared" si="247"/>
        <v>1867.7668728663691</v>
      </c>
      <c r="S1207" s="6">
        <f t="shared" si="241"/>
        <v>0.48346122940428632</v>
      </c>
      <c r="T1207" s="6">
        <f t="shared" si="242"/>
        <v>0.51653877059571274</v>
      </c>
      <c r="V1207" s="1">
        <f t="shared" si="248"/>
        <v>128491.90863965775</v>
      </c>
      <c r="W1207" s="7">
        <f t="shared" si="249"/>
        <v>-3.9895137241637976E-3</v>
      </c>
      <c r="X1207" s="7">
        <f t="shared" si="250"/>
        <v>-3.1448871207804818E-3</v>
      </c>
      <c r="Y1207">
        <f>LN(B1207/B1206)</f>
        <v>-8.6764042485982084E-3</v>
      </c>
      <c r="Z1207">
        <f>LN(C1207/C1206)</f>
        <v>4.1723453558226782E-4</v>
      </c>
    </row>
    <row r="1208" spans="1:26" x14ac:dyDescent="0.3">
      <c r="A1208" s="11">
        <v>41954</v>
      </c>
      <c r="B1208" s="12">
        <v>21661.74</v>
      </c>
      <c r="C1208" s="12">
        <v>35.014229999999998</v>
      </c>
      <c r="D1208" s="16">
        <f t="shared" si="252"/>
        <v>-4.3582257489235277E-3</v>
      </c>
      <c r="E1208" s="15">
        <f t="shared" si="251"/>
        <v>4.1771894029674073E-4</v>
      </c>
      <c r="G1208" s="25" t="str">
        <f>IF(VLOOKUP(A1208,Aux!B:C,2,FALSE)=0,"",VLOOKUP(A1208,Aux!B:C,2,FALSE))</f>
        <v/>
      </c>
      <c r="H1208" s="25" t="str">
        <f t="shared" si="240"/>
        <v/>
      </c>
      <c r="L1208" s="13">
        <f t="shared" si="243"/>
        <v>126316.70985660044</v>
      </c>
      <c r="M1208" s="14">
        <f t="shared" si="244"/>
        <v>-266.65781931978643</v>
      </c>
      <c r="N1208" s="14">
        <f t="shared" si="245"/>
        <v>27.306751681307706</v>
      </c>
      <c r="O1208" s="1">
        <f t="shared" si="246"/>
        <v>2.8122528930582922</v>
      </c>
      <c r="P1208" s="1">
        <f t="shared" si="247"/>
        <v>1867.7668728663691</v>
      </c>
      <c r="S1208" s="6">
        <f t="shared" si="241"/>
        <v>0.48226628965267782</v>
      </c>
      <c r="T1208" s="6">
        <f t="shared" si="242"/>
        <v>0.5177337103473213</v>
      </c>
      <c r="V1208" s="1">
        <f t="shared" si="248"/>
        <v>128305.86245942363</v>
      </c>
      <c r="W1208" s="7">
        <f t="shared" si="249"/>
        <v>-1.8930558508043853E-3</v>
      </c>
      <c r="X1208" s="7">
        <f t="shared" si="250"/>
        <v>-1.4489706198650134E-3</v>
      </c>
      <c r="Y1208">
        <f>LN(B1208/B1207)</f>
        <v>-4.3677504988439463E-3</v>
      </c>
      <c r="Z1208">
        <f>LN(C1208/C1207)</f>
        <v>4.1763172002839283E-4</v>
      </c>
    </row>
    <row r="1209" spans="1:26" x14ac:dyDescent="0.3">
      <c r="A1209" s="9">
        <v>41955</v>
      </c>
      <c r="B1209" s="1">
        <v>21858.5</v>
      </c>
      <c r="C1209" s="1">
        <v>35.028840000000002</v>
      </c>
      <c r="D1209" s="6">
        <f t="shared" si="252"/>
        <v>9.0832961710369808E-3</v>
      </c>
      <c r="E1209" s="5">
        <f t="shared" si="251"/>
        <v>4.1725892587107793E-4</v>
      </c>
      <c r="G1209" s="25" t="str">
        <f>IF(VLOOKUP(A1209,Aux!B:C,2,FALSE)=0,"",VLOOKUP(A1209,Aux!B:C,2,FALSE))</f>
        <v/>
      </c>
      <c r="H1209" s="25" t="str">
        <f t="shared" si="240"/>
        <v/>
      </c>
      <c r="L1209" s="13">
        <f t="shared" si="243"/>
        <v>126897.33680985117</v>
      </c>
      <c r="M1209" s="14">
        <f t="shared" si="244"/>
        <v>553.33887923814507</v>
      </c>
      <c r="N1209" s="14">
        <f t="shared" si="245"/>
        <v>27.288074012586385</v>
      </c>
      <c r="O1209" s="1">
        <f t="shared" si="246"/>
        <v>2.8122528930582922</v>
      </c>
      <c r="P1209" s="1">
        <f t="shared" si="247"/>
        <v>1867.7668728663691</v>
      </c>
      <c r="S1209" s="6">
        <f t="shared" si="241"/>
        <v>0.48442017309651347</v>
      </c>
      <c r="T1209" s="6">
        <f t="shared" si="242"/>
        <v>0.51557982690348569</v>
      </c>
      <c r="V1209" s="1">
        <f t="shared" si="248"/>
        <v>128792.47916738791</v>
      </c>
      <c r="W1209" s="7">
        <f t="shared" si="249"/>
        <v>4.5860644663215664E-3</v>
      </c>
      <c r="X1209" s="7">
        <f t="shared" si="250"/>
        <v>3.7854564597619308E-3</v>
      </c>
      <c r="Y1209">
        <f>LN(B1209/B1208)</f>
        <v>9.0422911564508723E-3</v>
      </c>
      <c r="Z1209">
        <f>LN(C1209/C1208)</f>
        <v>4.1717189757351609E-4</v>
      </c>
    </row>
    <row r="1210" spans="1:26" x14ac:dyDescent="0.3">
      <c r="A1210" s="11">
        <v>41956</v>
      </c>
      <c r="B1210" s="12">
        <v>21409.599999999999</v>
      </c>
      <c r="C1210" s="12">
        <v>35.043460000000003</v>
      </c>
      <c r="D1210" s="16">
        <f t="shared" si="252"/>
        <v>-2.0536633346295519E-2</v>
      </c>
      <c r="E1210" s="15">
        <f t="shared" si="251"/>
        <v>4.1737037252742581E-4</v>
      </c>
      <c r="G1210" s="25" t="str">
        <f>IF(VLOOKUP(A1210,Aux!B:C,2,FALSE)=0,"",VLOOKUP(A1210,Aux!B:C,2,FALSE))</f>
        <v/>
      </c>
      <c r="H1210" s="25" t="str">
        <f t="shared" si="240"/>
        <v/>
      </c>
      <c r="L1210" s="13">
        <f t="shared" si="243"/>
        <v>125662.2232378386</v>
      </c>
      <c r="M1210" s="14">
        <f t="shared" si="244"/>
        <v>-1262.4203236938715</v>
      </c>
      <c r="N1210" s="14">
        <f t="shared" si="245"/>
        <v>27.306751681307706</v>
      </c>
      <c r="O1210" s="1">
        <f t="shared" si="246"/>
        <v>2.8122528930582922</v>
      </c>
      <c r="P1210" s="1">
        <f t="shared" si="247"/>
        <v>1867.7668728663691</v>
      </c>
      <c r="S1210" s="6">
        <f t="shared" si="241"/>
        <v>0.47913531997013881</v>
      </c>
      <c r="T1210" s="6">
        <f t="shared" si="242"/>
        <v>0.52086468002986042</v>
      </c>
      <c r="V1210" s="1">
        <f t="shared" si="248"/>
        <v>127789.55804136914</v>
      </c>
      <c r="W1210" s="7">
        <f t="shared" si="249"/>
        <v>-9.7808486694548492E-3</v>
      </c>
      <c r="X1210" s="7">
        <f t="shared" si="250"/>
        <v>-7.8175872690867503E-3</v>
      </c>
      <c r="Y1210">
        <f>LN(B1210/B1209)</f>
        <v>-2.0750442344205255E-2</v>
      </c>
      <c r="Z1210">
        <f>LN(C1210/C1209)</f>
        <v>4.1728329774094221E-4</v>
      </c>
    </row>
    <row r="1211" spans="1:26" x14ac:dyDescent="0.3">
      <c r="A1211" s="9">
        <v>41957</v>
      </c>
      <c r="B1211" s="1">
        <v>21383.24</v>
      </c>
      <c r="C1211" s="1">
        <v>35.05809</v>
      </c>
      <c r="D1211" s="6">
        <f t="shared" si="252"/>
        <v>-1.2312233764291136E-3</v>
      </c>
      <c r="E1211" s="5">
        <f t="shared" si="251"/>
        <v>4.1748160712429261E-4</v>
      </c>
      <c r="G1211" s="25" t="str">
        <f>IF(VLOOKUP(A1211,Aux!B:C,2,FALSE)=0,"",VLOOKUP(A1211,Aux!B:C,2,FALSE))</f>
        <v/>
      </c>
      <c r="H1211" s="25" t="str">
        <f t="shared" si="240"/>
        <v/>
      </c>
      <c r="L1211" s="13">
        <f t="shared" si="243"/>
        <v>125615.41768092763</v>
      </c>
      <c r="M1211" s="14">
        <f t="shared" si="244"/>
        <v>-74.13098626100799</v>
      </c>
      <c r="N1211" s="14">
        <f t="shared" si="245"/>
        <v>27.325429350029026</v>
      </c>
      <c r="O1211" s="1">
        <f t="shared" si="246"/>
        <v>2.8122528930582922</v>
      </c>
      <c r="P1211" s="1">
        <f t="shared" si="247"/>
        <v>1867.7668728663691</v>
      </c>
      <c r="S1211" s="6">
        <f t="shared" si="241"/>
        <v>0.47872370814948295</v>
      </c>
      <c r="T1211" s="6">
        <f t="shared" si="242"/>
        <v>0.52127629185051616</v>
      </c>
      <c r="V1211" s="1">
        <f t="shared" si="248"/>
        <v>127761.47384720325</v>
      </c>
      <c r="W1211" s="7">
        <f t="shared" si="249"/>
        <v>-3.7254056732758008E-4</v>
      </c>
      <c r="X1211" s="7">
        <f t="shared" si="250"/>
        <v>-2.1979323715811886E-4</v>
      </c>
      <c r="Y1211">
        <f>LN(B1211/B1210)</f>
        <v>-1.2319819546471971E-3</v>
      </c>
      <c r="Z1211">
        <f>LN(C1211/C1210)</f>
        <v>4.1739448592497124E-4</v>
      </c>
    </row>
    <row r="1212" spans="1:26" x14ac:dyDescent="0.3">
      <c r="A1212" s="11">
        <v>41960</v>
      </c>
      <c r="B1212" s="12">
        <v>21173.61</v>
      </c>
      <c r="C1212" s="12">
        <v>35.07273</v>
      </c>
      <c r="D1212" s="16">
        <f t="shared" si="252"/>
        <v>-9.8034722521003204E-3</v>
      </c>
      <c r="E1212" s="15">
        <f t="shared" si="251"/>
        <v>4.1759262983243062E-4</v>
      </c>
      <c r="G1212" s="25" t="str">
        <f>IF(VLOOKUP(A1212,Aux!B:C,2,FALSE)=0,"",VLOOKUP(A1212,Aux!B:C,2,FALSE))</f>
        <v/>
      </c>
      <c r="H1212" s="25" t="str">
        <f t="shared" si="240"/>
        <v/>
      </c>
      <c r="L1212" s="13">
        <f t="shared" si="243"/>
        <v>125053.22921397458</v>
      </c>
      <c r="M1212" s="14">
        <f t="shared" si="244"/>
        <v>-589.53257397181267</v>
      </c>
      <c r="N1212" s="14">
        <f t="shared" si="245"/>
        <v>27.344107018763619</v>
      </c>
      <c r="O1212" s="1">
        <f t="shared" si="246"/>
        <v>2.8122528930582922</v>
      </c>
      <c r="P1212" s="1">
        <f t="shared" si="247"/>
        <v>1867.7668728663691</v>
      </c>
      <c r="S1212" s="6">
        <f t="shared" si="241"/>
        <v>0.47616160216943704</v>
      </c>
      <c r="T1212" s="6">
        <f t="shared" si="242"/>
        <v>0.52383839783056219</v>
      </c>
      <c r="V1212" s="1">
        <f t="shared" si="248"/>
        <v>127310.60172354308</v>
      </c>
      <c r="W1212" s="7">
        <f t="shared" si="249"/>
        <v>-4.4855183646899865E-3</v>
      </c>
      <c r="X1212" s="7">
        <f t="shared" si="250"/>
        <v>-3.5352563955575308E-3</v>
      </c>
      <c r="Y1212">
        <f>LN(B1212/B1211)</f>
        <v>-9.8518426779089646E-3</v>
      </c>
      <c r="Z1212">
        <f>LN(C1212/C1211)</f>
        <v>4.1750546229635488E-4</v>
      </c>
    </row>
    <row r="1213" spans="1:26" x14ac:dyDescent="0.3">
      <c r="A1213" s="9">
        <v>41961</v>
      </c>
      <c r="B1213" s="1">
        <v>21505.74</v>
      </c>
      <c r="C1213" s="1">
        <v>35.08737</v>
      </c>
      <c r="D1213" s="6">
        <f t="shared" si="252"/>
        <v>1.568603558864079E-2</v>
      </c>
      <c r="E1213" s="5">
        <f t="shared" si="251"/>
        <v>4.1741831901886961E-4</v>
      </c>
      <c r="G1213" s="25" t="str">
        <f>IF(VLOOKUP(A1213,Aux!B:C,2,FALSE)=0,"",VLOOKUP(A1213,Aux!B:C,2,FALSE))</f>
        <v/>
      </c>
      <c r="H1213" s="25" t="str">
        <f t="shared" si="240"/>
        <v/>
      </c>
      <c r="L1213" s="13">
        <f t="shared" si="243"/>
        <v>126014.60687436481</v>
      </c>
      <c r="M1213" s="14">
        <f t="shared" si="244"/>
        <v>934.03355337145342</v>
      </c>
      <c r="N1213" s="14">
        <f t="shared" si="245"/>
        <v>27.344107018763619</v>
      </c>
      <c r="O1213" s="1">
        <f t="shared" si="246"/>
        <v>2.8122528930582922</v>
      </c>
      <c r="P1213" s="1">
        <f t="shared" si="247"/>
        <v>1867.7668728663691</v>
      </c>
      <c r="S1213" s="6">
        <f t="shared" si="241"/>
        <v>0.47994102455643833</v>
      </c>
      <c r="T1213" s="6">
        <f t="shared" si="242"/>
        <v>0.52005897544356083</v>
      </c>
      <c r="V1213" s="1">
        <f t="shared" si="248"/>
        <v>128109.58887074914</v>
      </c>
      <c r="W1213" s="7">
        <f t="shared" si="249"/>
        <v>7.6583474340659137E-3</v>
      </c>
      <c r="X1213" s="7">
        <f t="shared" si="250"/>
        <v>6.256277167767668E-3</v>
      </c>
      <c r="Y1213">
        <f>LN(B1213/B1212)</f>
        <v>1.5564281309822937E-2</v>
      </c>
      <c r="Z1213">
        <f>LN(C1213/C1212)</f>
        <v>4.1733122422814121E-4</v>
      </c>
    </row>
    <row r="1214" spans="1:26" x14ac:dyDescent="0.3">
      <c r="A1214" s="11">
        <v>41962</v>
      </c>
      <c r="B1214" s="12">
        <v>22032.36</v>
      </c>
      <c r="C1214" s="12">
        <v>35.10201</v>
      </c>
      <c r="D1214" s="16">
        <f t="shared" si="252"/>
        <v>2.4487415917796795E-2</v>
      </c>
      <c r="E1214" s="15">
        <f t="shared" si="251"/>
        <v>4.1724415366561907E-4</v>
      </c>
      <c r="G1214" s="25" t="str">
        <f>IF(VLOOKUP(A1214,Aux!B:C,2,FALSE)=0,"",VLOOKUP(A1214,Aux!B:C,2,FALSE))</f>
        <v/>
      </c>
      <c r="H1214" s="25" t="str">
        <f t="shared" si="240"/>
        <v/>
      </c>
      <c r="L1214" s="13">
        <f t="shared" si="243"/>
        <v>127522.93959992593</v>
      </c>
      <c r="M1214" s="14">
        <f t="shared" si="244"/>
        <v>1480.988618542355</v>
      </c>
      <c r="N1214" s="14">
        <f t="shared" si="245"/>
        <v>27.344107018763619</v>
      </c>
      <c r="O1214" s="1">
        <f t="shared" si="246"/>
        <v>2.8122528930582922</v>
      </c>
      <c r="P1214" s="1">
        <f t="shared" si="247"/>
        <v>1867.7668728663691</v>
      </c>
      <c r="S1214" s="6">
        <f t="shared" si="241"/>
        <v>0.48587782202393481</v>
      </c>
      <c r="T1214" s="6">
        <f t="shared" si="242"/>
        <v>0.51412217797606441</v>
      </c>
      <c r="V1214" s="1">
        <f t="shared" si="248"/>
        <v>129357.27125125178</v>
      </c>
      <c r="W1214" s="7">
        <f t="shared" si="249"/>
        <v>1.1898439039172698E-2</v>
      </c>
      <c r="X1214" s="7">
        <f t="shared" si="250"/>
        <v>9.6920601490763838E-3</v>
      </c>
      <c r="Y1214">
        <f>LN(B1214/B1213)</f>
        <v>2.4192405476231849E-2</v>
      </c>
      <c r="Z1214">
        <f>LN(C1214/C1213)</f>
        <v>4.1715713152921198E-4</v>
      </c>
    </row>
    <row r="1215" spans="1:26" x14ac:dyDescent="0.3">
      <c r="A1215" s="9">
        <v>41964</v>
      </c>
      <c r="B1215" s="1">
        <v>23080.85</v>
      </c>
      <c r="C1215" s="1">
        <v>35.131320000000002</v>
      </c>
      <c r="D1215" s="6">
        <f t="shared" si="252"/>
        <v>4.7588637803666956E-2</v>
      </c>
      <c r="E1215" s="5">
        <f t="shared" si="251"/>
        <v>8.3499491909444501E-4</v>
      </c>
      <c r="G1215" s="25" t="str">
        <f>IF(VLOOKUP(A1215,Aux!B:C,2,FALSE)=0,"",VLOOKUP(A1215,Aux!B:C,2,FALSE))</f>
        <v/>
      </c>
      <c r="H1215" s="25" t="str">
        <f t="shared" si="240"/>
        <v/>
      </c>
      <c r="L1215" s="13">
        <f t="shared" si="243"/>
        <v>130526.30288281234</v>
      </c>
      <c r="M1215" s="14">
        <f t="shared" si="244"/>
        <v>2948.6190358426829</v>
      </c>
      <c r="N1215" s="14">
        <f t="shared" si="245"/>
        <v>54.744247043717742</v>
      </c>
      <c r="O1215" s="1">
        <f t="shared" si="246"/>
        <v>2.8122528930582922</v>
      </c>
      <c r="P1215" s="1">
        <f t="shared" si="247"/>
        <v>1867.7668728663691</v>
      </c>
      <c r="S1215" s="6">
        <f t="shared" si="241"/>
        <v>0.4972881768130713</v>
      </c>
      <c r="T1215" s="6">
        <f t="shared" si="242"/>
        <v>0.50271182318692775</v>
      </c>
      <c r="V1215" s="1">
        <f t="shared" si="248"/>
        <v>131841.74471007503</v>
      </c>
      <c r="W1215" s="7">
        <f t="shared" si="249"/>
        <v>2.327849426501025E-2</v>
      </c>
      <c r="X1215" s="7">
        <f t="shared" si="250"/>
        <v>1.9024178791929337E-2</v>
      </c>
      <c r="Y1215">
        <f>LN(B1215/B1214)</f>
        <v>4.6490987662540166E-2</v>
      </c>
      <c r="Z1215">
        <f>LN(C1215/C1214)</f>
        <v>8.3464650477295746E-4</v>
      </c>
    </row>
    <row r="1216" spans="1:26" x14ac:dyDescent="0.3">
      <c r="A1216" s="11">
        <v>41967</v>
      </c>
      <c r="B1216" s="12">
        <v>22829.11</v>
      </c>
      <c r="C1216" s="12">
        <v>35.145989999999998</v>
      </c>
      <c r="D1216" s="16">
        <f t="shared" si="252"/>
        <v>-1.0906877346371524E-2</v>
      </c>
      <c r="E1216" s="15">
        <f t="shared" si="251"/>
        <v>4.1757611157211549E-4</v>
      </c>
      <c r="G1216" s="25" t="str">
        <f>IF(VLOOKUP(A1216,Aux!B:C,2,FALSE)=0,"",VLOOKUP(A1216,Aux!B:C,2,FALSE))</f>
        <v/>
      </c>
      <c r="H1216" s="25" t="str">
        <f t="shared" si="240"/>
        <v/>
      </c>
      <c r="L1216" s="13">
        <f t="shared" si="243"/>
        <v>129845.74647953879</v>
      </c>
      <c r="M1216" s="14">
        <f t="shared" si="244"/>
        <v>-707.95654329848878</v>
      </c>
      <c r="N1216" s="14">
        <f t="shared" si="245"/>
        <v>27.400140024940853</v>
      </c>
      <c r="O1216" s="1">
        <f t="shared" si="246"/>
        <v>2.8122528930582922</v>
      </c>
      <c r="P1216" s="1">
        <f t="shared" si="247"/>
        <v>1867.7668728663691</v>
      </c>
      <c r="S1216" s="6">
        <f t="shared" si="241"/>
        <v>0.49444230854002502</v>
      </c>
      <c r="T1216" s="6">
        <f t="shared" si="242"/>
        <v>0.50555769145997398</v>
      </c>
      <c r="V1216" s="1">
        <f t="shared" si="248"/>
        <v>131293.79045737302</v>
      </c>
      <c r="W1216" s="7">
        <f t="shared" si="249"/>
        <v>-5.2275807235885683E-3</v>
      </c>
      <c r="X1216" s="7">
        <f t="shared" si="250"/>
        <v>-4.1648122090805284E-3</v>
      </c>
      <c r="Y1216">
        <f>LN(B1216/B1215)</f>
        <v>-1.0966793396064158E-2</v>
      </c>
      <c r="Z1216">
        <f>LN(C1216/C1215)</f>
        <v>4.174889509309279E-4</v>
      </c>
    </row>
    <row r="1217" spans="1:26" x14ac:dyDescent="0.3">
      <c r="A1217" s="9">
        <v>41968</v>
      </c>
      <c r="B1217" s="1">
        <v>22881.759999999998</v>
      </c>
      <c r="C1217" s="1">
        <v>35.16066</v>
      </c>
      <c r="D1217" s="6">
        <f t="shared" si="252"/>
        <v>2.3062659910964012E-3</v>
      </c>
      <c r="E1217" s="5">
        <f t="shared" si="251"/>
        <v>4.1740181454552605E-4</v>
      </c>
      <c r="G1217" s="25" t="str">
        <f>IF(VLOOKUP(A1217,Aux!B:C,2,FALSE)=0,"",VLOOKUP(A1217,Aux!B:C,2,FALSE))</f>
        <v/>
      </c>
      <c r="H1217" s="25" t="str">
        <f t="shared" si="240"/>
        <v/>
      </c>
      <c r="L1217" s="13">
        <f t="shared" si="243"/>
        <v>130021.21173438327</v>
      </c>
      <c r="M1217" s="14">
        <f t="shared" si="244"/>
        <v>148.06511481951296</v>
      </c>
      <c r="N1217" s="14">
        <f t="shared" si="245"/>
        <v>27.400140024954123</v>
      </c>
      <c r="O1217" s="1">
        <f t="shared" si="246"/>
        <v>2.8122528930582922</v>
      </c>
      <c r="P1217" s="1">
        <f t="shared" si="247"/>
        <v>1867.7668728663691</v>
      </c>
      <c r="S1217" s="6">
        <f t="shared" si="241"/>
        <v>0.49491382905831471</v>
      </c>
      <c r="T1217" s="6">
        <f t="shared" si="242"/>
        <v>0.50508617094168429</v>
      </c>
      <c r="V1217" s="1">
        <f t="shared" si="248"/>
        <v>131448.0745822902</v>
      </c>
      <c r="W1217" s="7">
        <f t="shared" si="249"/>
        <v>1.3504239455141562E-3</v>
      </c>
      <c r="X1217" s="7">
        <f t="shared" si="250"/>
        <v>1.1744161336980329E-3</v>
      </c>
      <c r="Y1217">
        <f>LN(B1217/B1216)</f>
        <v>2.3036106415301513E-3</v>
      </c>
      <c r="Z1217">
        <f>LN(C1217/C1216)</f>
        <v>4.1731472664105658E-4</v>
      </c>
    </row>
    <row r="1218" spans="1:26" x14ac:dyDescent="0.3">
      <c r="A1218" s="11">
        <v>41969</v>
      </c>
      <c r="B1218" s="12">
        <v>22697.08</v>
      </c>
      <c r="C1218" s="12">
        <v>35.175339999999998</v>
      </c>
      <c r="D1218" s="16">
        <f t="shared" si="252"/>
        <v>-8.0710574711034822E-3</v>
      </c>
      <c r="E1218" s="15">
        <f t="shared" si="251"/>
        <v>4.1751207173001958E-4</v>
      </c>
      <c r="G1218" s="25" t="str">
        <f>IF(VLOOKUP(A1218,Aux!B:C,2,FALSE)=0,"",VLOOKUP(A1218,Aux!B:C,2,FALSE))</f>
        <v/>
      </c>
      <c r="H1218" s="25" t="str">
        <f t="shared" si="240"/>
        <v/>
      </c>
      <c r="L1218" s="13">
        <f t="shared" si="243"/>
        <v>129529.26368778694</v>
      </c>
      <c r="M1218" s="14">
        <f t="shared" si="244"/>
        <v>-519.36686428999599</v>
      </c>
      <c r="N1218" s="14">
        <f t="shared" si="245"/>
        <v>27.418817693675443</v>
      </c>
      <c r="O1218" s="1">
        <f t="shared" si="246"/>
        <v>2.8122528930582922</v>
      </c>
      <c r="P1218" s="1">
        <f t="shared" si="247"/>
        <v>1867.7668728663691</v>
      </c>
      <c r="S1218" s="6">
        <f t="shared" si="241"/>
        <v>0.49278384726890023</v>
      </c>
      <c r="T1218" s="6">
        <f t="shared" si="242"/>
        <v>0.50721615273109877</v>
      </c>
      <c r="V1218" s="1">
        <f t="shared" si="248"/>
        <v>131054.85246668418</v>
      </c>
      <c r="W1218" s="7">
        <f t="shared" si="249"/>
        <v>-3.7907742985448713E-3</v>
      </c>
      <c r="X1218" s="7">
        <f t="shared" si="250"/>
        <v>-2.9959468577874853E-3</v>
      </c>
      <c r="Y1218">
        <f>LN(B1218/B1217)</f>
        <v>-8.1038047780774159E-3</v>
      </c>
      <c r="Z1218">
        <f>LN(C1218/C1217)</f>
        <v>4.1742493781712946E-4</v>
      </c>
    </row>
    <row r="1219" spans="1:26" x14ac:dyDescent="0.3">
      <c r="A1219" s="9">
        <v>41970</v>
      </c>
      <c r="B1219" s="1">
        <v>22562.880000000001</v>
      </c>
      <c r="C1219" s="1">
        <v>35.190019999999997</v>
      </c>
      <c r="D1219" s="6">
        <f t="shared" si="252"/>
        <v>-5.9126548437068438E-3</v>
      </c>
      <c r="E1219" s="5">
        <f t="shared" si="251"/>
        <v>4.1733782814890041E-4</v>
      </c>
      <c r="G1219" s="25" t="str">
        <f>IF(VLOOKUP(A1219,Aux!B:C,2,FALSE)=0,"",VLOOKUP(A1219,Aux!B:C,2,FALSE))</f>
        <v/>
      </c>
      <c r="H1219" s="25" t="str">
        <f t="shared" ref="H1219:H1282" si="253">IF(ISNUMBER(G1219),1-G1219,"")</f>
        <v/>
      </c>
      <c r="L1219" s="13">
        <f t="shared" si="243"/>
        <v>129179.27816723219</v>
      </c>
      <c r="M1219" s="14">
        <f t="shared" si="244"/>
        <v>-377.40433824842484</v>
      </c>
      <c r="N1219" s="14">
        <f t="shared" si="245"/>
        <v>27.418817693675443</v>
      </c>
      <c r="O1219" s="1">
        <f t="shared" si="246"/>
        <v>2.8122528930582922</v>
      </c>
      <c r="P1219" s="1">
        <f t="shared" si="247"/>
        <v>1867.7668728663691</v>
      </c>
      <c r="S1219" s="6">
        <f t="shared" ref="S1219:S1282" si="254">O1219*B1219/L1219</f>
        <v>0.49119739215126335</v>
      </c>
      <c r="T1219" s="6">
        <f t="shared" ref="T1219:T1282" si="255">P1219*C1219/L1219</f>
        <v>0.50880260784873577</v>
      </c>
      <c r="V1219" s="1">
        <f t="shared" si="248"/>
        <v>130778.089476878</v>
      </c>
      <c r="W1219" s="7">
        <f t="shared" si="249"/>
        <v>-2.7056372514814133E-3</v>
      </c>
      <c r="X1219" s="7">
        <f t="shared" si="250"/>
        <v>-2.1140433348613139E-3</v>
      </c>
      <c r="Y1219">
        <f>LN(B1219/B1218)</f>
        <v>-5.9302037954784004E-3</v>
      </c>
      <c r="Z1219">
        <f>LN(C1219/C1218)</f>
        <v>4.1725076693928024E-4</v>
      </c>
    </row>
    <row r="1220" spans="1:26" x14ac:dyDescent="0.3">
      <c r="A1220" s="11">
        <v>41971</v>
      </c>
      <c r="B1220" s="12">
        <v>22567.86</v>
      </c>
      <c r="C1220" s="12">
        <v>35.204709999999999</v>
      </c>
      <c r="D1220" s="16">
        <f t="shared" si="252"/>
        <v>2.2071650427601952E-4</v>
      </c>
      <c r="E1220" s="15">
        <f t="shared" si="251"/>
        <v>4.1744790142206334E-4</v>
      </c>
      <c r="G1220" s="25" t="str">
        <f>IF(VLOOKUP(A1220,Aux!B:C,2,FALSE)=0,"",VLOOKUP(A1220,Aux!B:C,2,FALSE))</f>
        <v/>
      </c>
      <c r="H1220" s="25" t="str">
        <f t="shared" si="253"/>
        <v/>
      </c>
      <c r="L1220" s="13">
        <f t="shared" ref="L1220:L1283" si="256">L1219+M1220+N1220</f>
        <v>129220.72068200202</v>
      </c>
      <c r="M1220" s="14">
        <f t="shared" ref="M1220:M1283" si="257">O1219*(B1220-B1219)</f>
        <v>14.005019407429067</v>
      </c>
      <c r="N1220" s="14">
        <f t="shared" ref="N1220:N1283" si="258">P1219*(C1220-C1219)</f>
        <v>27.437495362410036</v>
      </c>
      <c r="O1220" s="1">
        <f t="shared" ref="O1220:O1283" si="259">IF(ISNUMBER(G1220),L1220*G1220/B1220,O1219)</f>
        <v>2.8122528930582922</v>
      </c>
      <c r="P1220" s="1">
        <f t="shared" ref="P1220:P1283" si="260">IF(ISNUMBER(H1220),L1220*H1220/C1220,P1219)</f>
        <v>1867.7668728663691</v>
      </c>
      <c r="S1220" s="6">
        <f t="shared" si="254"/>
        <v>0.49114824031448223</v>
      </c>
      <c r="T1220" s="6">
        <f t="shared" si="255"/>
        <v>0.50885175968551688</v>
      </c>
      <c r="V1220" s="1">
        <f t="shared" ref="V1220:V1283" si="261">$O$2*B1220+$P$2*C1220</f>
        <v>130822.44198693888</v>
      </c>
      <c r="W1220" s="7">
        <f t="shared" ref="W1220:W1283" si="262">LN(L1220/L1219)</f>
        <v>3.2076250239736708E-4</v>
      </c>
      <c r="X1220" s="7">
        <f t="shared" ref="X1220:X1283" si="263">LN(V1220/V1219)</f>
        <v>3.3908578272125997E-4</v>
      </c>
      <c r="Y1220">
        <f>LN(B1220/B1219)</f>
        <v>2.2069214997192161E-4</v>
      </c>
      <c r="Z1220">
        <f>LN(C1220/C1219)</f>
        <v>4.1736079428781296E-4</v>
      </c>
    </row>
    <row r="1221" spans="1:26" x14ac:dyDescent="0.3">
      <c r="A1221" s="9">
        <v>41974</v>
      </c>
      <c r="B1221" s="1">
        <v>21598.42</v>
      </c>
      <c r="C1221" s="1">
        <v>35.219369999999998</v>
      </c>
      <c r="D1221" s="6">
        <f t="shared" si="252"/>
        <v>-4.2956664920821175E-2</v>
      </c>
      <c r="E1221" s="5">
        <f t="shared" ref="E1221:E1284" si="264">C1221/C1220-1</f>
        <v>4.1642155268428738E-4</v>
      </c>
      <c r="G1221" s="25" t="str">
        <f>IF(VLOOKUP(A1221,Aux!B:C,2,FALSE)=0,"",VLOOKUP(A1221,Aux!B:C,2,FALSE))</f>
        <v/>
      </c>
      <c r="H1221" s="25" t="str">
        <f t="shared" si="253"/>
        <v/>
      </c>
      <c r="L1221" s="13">
        <f t="shared" si="256"/>
        <v>126521.7916997118</v>
      </c>
      <c r="M1221" s="14">
        <f t="shared" si="257"/>
        <v>-2726.3104446464372</v>
      </c>
      <c r="N1221" s="14">
        <f t="shared" si="258"/>
        <v>27.381462356219533</v>
      </c>
      <c r="O1221" s="1">
        <f t="shared" si="259"/>
        <v>2.8122528930582922</v>
      </c>
      <c r="P1221" s="1">
        <f t="shared" si="260"/>
        <v>1867.7668728663691</v>
      </c>
      <c r="S1221" s="6">
        <f t="shared" si="254"/>
        <v>0.48007713386362388</v>
      </c>
      <c r="T1221" s="6">
        <f t="shared" si="255"/>
        <v>0.51992286613637528</v>
      </c>
      <c r="V1221" s="1">
        <f t="shared" si="261"/>
        <v>128618.70635763192</v>
      </c>
      <c r="W1221" s="7">
        <f t="shared" si="262"/>
        <v>-2.1107395552893184E-2</v>
      </c>
      <c r="X1221" s="7">
        <f t="shared" si="263"/>
        <v>-1.6988736336602587E-2</v>
      </c>
      <c r="Y1221">
        <f>LN(B1221/B1220)</f>
        <v>-4.3906606339993375E-2</v>
      </c>
      <c r="Z1221">
        <f>LN(C1221/C1220)</f>
        <v>4.1633487329212723E-4</v>
      </c>
    </row>
    <row r="1222" spans="1:26" x14ac:dyDescent="0.3">
      <c r="A1222" s="11">
        <v>41975</v>
      </c>
      <c r="B1222" s="12">
        <v>21342.25</v>
      </c>
      <c r="C1222" s="12">
        <v>35.234029999999997</v>
      </c>
      <c r="D1222" s="16">
        <f t="shared" si="252"/>
        <v>-1.1860589802402122E-2</v>
      </c>
      <c r="E1222" s="15">
        <f t="shared" si="264"/>
        <v>4.1624821795505085E-4</v>
      </c>
      <c r="G1222" s="25" t="str">
        <f>IF(VLOOKUP(A1222,Aux!B:C,2,FALSE)=0,"",VLOOKUP(A1222,Aux!B:C,2,FALSE))</f>
        <v/>
      </c>
      <c r="H1222" s="25" t="str">
        <f t="shared" si="253"/>
        <v/>
      </c>
      <c r="L1222" s="13">
        <f t="shared" si="256"/>
        <v>125828.75833845328</v>
      </c>
      <c r="M1222" s="14">
        <f t="shared" si="257"/>
        <v>-720.41482361473777</v>
      </c>
      <c r="N1222" s="14">
        <f t="shared" si="258"/>
        <v>27.381462356219533</v>
      </c>
      <c r="O1222" s="1">
        <f t="shared" si="259"/>
        <v>2.8122528930582922</v>
      </c>
      <c r="P1222" s="1">
        <f t="shared" si="260"/>
        <v>1867.7668728663691</v>
      </c>
      <c r="S1222" s="6">
        <f t="shared" si="254"/>
        <v>0.4769959196881885</v>
      </c>
      <c r="T1222" s="6">
        <f t="shared" si="255"/>
        <v>0.52300408031181067</v>
      </c>
      <c r="V1222" s="1">
        <f t="shared" si="261"/>
        <v>128060.50956864307</v>
      </c>
      <c r="W1222" s="7">
        <f t="shared" si="262"/>
        <v>-5.4926379474947561E-3</v>
      </c>
      <c r="X1222" s="7">
        <f t="shared" si="263"/>
        <v>-4.3493795703692783E-3</v>
      </c>
      <c r="Y1222">
        <f>LN(B1222/B1221)</f>
        <v>-1.1931487749558852E-2</v>
      </c>
      <c r="Z1222">
        <f>LN(C1222/C1221)</f>
        <v>4.1616161069815287E-4</v>
      </c>
    </row>
    <row r="1223" spans="1:26" x14ac:dyDescent="0.3">
      <c r="A1223" s="9">
        <v>41976</v>
      </c>
      <c r="B1223" s="1">
        <v>21617</v>
      </c>
      <c r="C1223" s="1">
        <v>35.248699999999999</v>
      </c>
      <c r="D1223" s="6">
        <f t="shared" si="252"/>
        <v>1.2873525518630968E-2</v>
      </c>
      <c r="E1223" s="5">
        <f t="shared" si="264"/>
        <v>4.1635884399271461E-4</v>
      </c>
      <c r="G1223" s="25" t="str">
        <f>IF(VLOOKUP(A1223,Aux!B:C,2,FALSE)=0,"",VLOOKUP(A1223,Aux!B:C,2,FALSE))</f>
        <v/>
      </c>
      <c r="H1223" s="25" t="str">
        <f t="shared" si="253"/>
        <v/>
      </c>
      <c r="L1223" s="13">
        <f t="shared" si="256"/>
        <v>126628.824960846</v>
      </c>
      <c r="M1223" s="14">
        <f t="shared" si="257"/>
        <v>772.66648236776575</v>
      </c>
      <c r="N1223" s="14">
        <f t="shared" si="258"/>
        <v>27.400140024954123</v>
      </c>
      <c r="O1223" s="1">
        <f t="shared" si="259"/>
        <v>2.8122528930582922</v>
      </c>
      <c r="P1223" s="1">
        <f t="shared" si="260"/>
        <v>1867.7668728663691</v>
      </c>
      <c r="S1223" s="6">
        <f t="shared" si="254"/>
        <v>0.48008398410107894</v>
      </c>
      <c r="T1223" s="6">
        <f t="shared" si="255"/>
        <v>0.51991601589892023</v>
      </c>
      <c r="V1223" s="1">
        <f t="shared" si="261"/>
        <v>128727.18616265983</v>
      </c>
      <c r="W1223" s="7">
        <f t="shared" si="262"/>
        <v>6.3382473236363321E-3</v>
      </c>
      <c r="X1223" s="7">
        <f t="shared" si="263"/>
        <v>5.1924457673135326E-3</v>
      </c>
      <c r="Y1223">
        <f>LN(B1223/B1222)</f>
        <v>1.2791366058959849E-2</v>
      </c>
      <c r="Z1223">
        <f>LN(C1223/C1222)</f>
        <v>4.1627219070097105E-4</v>
      </c>
    </row>
    <row r="1224" spans="1:26" x14ac:dyDescent="0.3">
      <c r="A1224" s="11">
        <v>41977</v>
      </c>
      <c r="B1224" s="12">
        <v>21258.28</v>
      </c>
      <c r="C1224" s="12">
        <v>35.263419999999996</v>
      </c>
      <c r="D1224" s="16">
        <f t="shared" si="252"/>
        <v>-1.6594347041680169E-2</v>
      </c>
      <c r="E1224" s="15">
        <f t="shared" si="264"/>
        <v>4.1760405348267859E-4</v>
      </c>
      <c r="G1224" s="25" t="str">
        <f>IF(VLOOKUP(A1224,Aux!B:C,2,FALSE)=0,"",VLOOKUP(A1224,Aux!B:C,2,FALSE))</f>
        <v/>
      </c>
      <c r="H1224" s="25" t="str">
        <f t="shared" si="253"/>
        <v/>
      </c>
      <c r="L1224" s="13">
        <f t="shared" si="256"/>
        <v>125647.50713141671</v>
      </c>
      <c r="M1224" s="14">
        <f t="shared" si="257"/>
        <v>-1008.8113577978738</v>
      </c>
      <c r="N1224" s="14">
        <f t="shared" si="258"/>
        <v>27.49352836858727</v>
      </c>
      <c r="O1224" s="1">
        <f t="shared" si="259"/>
        <v>2.8122528930582922</v>
      </c>
      <c r="P1224" s="1">
        <f t="shared" si="260"/>
        <v>1867.7668728663691</v>
      </c>
      <c r="S1224" s="6">
        <f t="shared" si="254"/>
        <v>0.47580458057886144</v>
      </c>
      <c r="T1224" s="6">
        <f t="shared" si="255"/>
        <v>0.52419541942113768</v>
      </c>
      <c r="V1224" s="1">
        <f t="shared" si="261"/>
        <v>127932.53716440046</v>
      </c>
      <c r="W1224" s="7">
        <f t="shared" si="262"/>
        <v>-7.7797450974585363E-3</v>
      </c>
      <c r="X1224" s="7">
        <f t="shared" si="263"/>
        <v>-6.1922574148261054E-3</v>
      </c>
      <c r="Y1224">
        <f>LN(B1224/B1223)</f>
        <v>-1.6733575639367997E-2</v>
      </c>
      <c r="Z1224">
        <f>LN(C1224/C1223)</f>
        <v>4.1751688117809679E-4</v>
      </c>
    </row>
    <row r="1225" spans="1:26" x14ac:dyDescent="0.3">
      <c r="A1225" s="9">
        <v>41978</v>
      </c>
      <c r="B1225" s="1">
        <v>21468.77</v>
      </c>
      <c r="C1225" s="1">
        <v>35.278759999999998</v>
      </c>
      <c r="D1225" s="6">
        <f t="shared" si="252"/>
        <v>9.9015536534470261E-3</v>
      </c>
      <c r="E1225" s="5">
        <f t="shared" si="264"/>
        <v>4.3501169200266254E-4</v>
      </c>
      <c r="G1225" s="25" t="str">
        <f>IF(VLOOKUP(A1225,Aux!B:C,2,FALSE)=0,"",VLOOKUP(A1225,Aux!B:C,2,FALSE))</f>
        <v/>
      </c>
      <c r="H1225" s="25" t="str">
        <f t="shared" si="253"/>
        <v/>
      </c>
      <c r="L1225" s="13">
        <f t="shared" si="256"/>
        <v>126268.10978670634</v>
      </c>
      <c r="M1225" s="14">
        <f t="shared" si="257"/>
        <v>591.95111145984447</v>
      </c>
      <c r="N1225" s="14">
        <f t="shared" si="258"/>
        <v>28.651543829773665</v>
      </c>
      <c r="O1225" s="1">
        <f t="shared" si="259"/>
        <v>2.8122528930582922</v>
      </c>
      <c r="P1225" s="1">
        <f t="shared" si="260"/>
        <v>1867.7668728663691</v>
      </c>
      <c r="S1225" s="6">
        <f t="shared" si="254"/>
        <v>0.47815406950250783</v>
      </c>
      <c r="T1225" s="6">
        <f t="shared" si="255"/>
        <v>0.52184593049749128</v>
      </c>
      <c r="V1225" s="1">
        <f t="shared" si="261"/>
        <v>128452.46256933961</v>
      </c>
      <c r="W1225" s="7">
        <f t="shared" si="262"/>
        <v>4.9270777124936268E-3</v>
      </c>
      <c r="X1225" s="7">
        <f t="shared" si="263"/>
        <v>4.0558232205244174E-3</v>
      </c>
      <c r="Y1225">
        <f>LN(B1225/B1224)</f>
        <v>9.8528544722495549E-3</v>
      </c>
      <c r="Z1225">
        <f>LN(C1225/C1224)</f>
        <v>4.3491710184746113E-4</v>
      </c>
    </row>
    <row r="1226" spans="1:26" x14ac:dyDescent="0.3">
      <c r="A1226" s="11">
        <v>41981</v>
      </c>
      <c r="B1226" s="12">
        <v>20794.32</v>
      </c>
      <c r="C1226" s="12">
        <v>35.294119999999999</v>
      </c>
      <c r="D1226" s="16">
        <f t="shared" si="252"/>
        <v>-3.1415400137036253E-2</v>
      </c>
      <c r="E1226" s="15">
        <f t="shared" si="264"/>
        <v>4.353894524637969E-4</v>
      </c>
      <c r="G1226" s="25" t="str">
        <f>IF(VLOOKUP(A1226,Aux!B:C,2,FALSE)=0,"",VLOOKUP(A1226,Aux!B:C,2,FALSE))</f>
        <v/>
      </c>
      <c r="H1226" s="25" t="str">
        <f t="shared" si="253"/>
        <v/>
      </c>
      <c r="L1226" s="13">
        <f t="shared" si="256"/>
        <v>124400.0747221504</v>
      </c>
      <c r="M1226" s="14">
        <f t="shared" si="257"/>
        <v>-1896.7239637231671</v>
      </c>
      <c r="N1226" s="14">
        <f t="shared" si="258"/>
        <v>28.688899167229579</v>
      </c>
      <c r="O1226" s="1">
        <f t="shared" si="259"/>
        <v>2.8122528930582922</v>
      </c>
      <c r="P1226" s="1">
        <f t="shared" si="260"/>
        <v>1867.7668728663691</v>
      </c>
      <c r="S1226" s="6">
        <f t="shared" si="254"/>
        <v>0.4700872303316011</v>
      </c>
      <c r="T1226" s="6">
        <f t="shared" si="255"/>
        <v>0.52991276966839795</v>
      </c>
      <c r="V1226" s="1">
        <f t="shared" si="261"/>
        <v>126930.84518156112</v>
      </c>
      <c r="W1226" s="7">
        <f t="shared" si="262"/>
        <v>-1.4904720758211247E-2</v>
      </c>
      <c r="X1226" s="7">
        <f t="shared" si="263"/>
        <v>-1.1916482774595821E-2</v>
      </c>
      <c r="Y1226">
        <f>LN(B1226/B1225)</f>
        <v>-3.1919448516894156E-2</v>
      </c>
      <c r="Z1226">
        <f>LN(C1226/C1225)</f>
        <v>4.352946979785432E-4</v>
      </c>
    </row>
    <row r="1227" spans="1:26" x14ac:dyDescent="0.3">
      <c r="A1227" s="9">
        <v>41982</v>
      </c>
      <c r="B1227" s="1">
        <v>20745.66</v>
      </c>
      <c r="C1227" s="1">
        <v>35.309480000000001</v>
      </c>
      <c r="D1227" s="6">
        <f t="shared" si="252"/>
        <v>-2.3400620938794914E-3</v>
      </c>
      <c r="E1227" s="5">
        <f t="shared" si="264"/>
        <v>4.3519997098662166E-4</v>
      </c>
      <c r="G1227" s="25" t="str">
        <f>IF(VLOOKUP(A1227,Aux!B:C,2,FALSE)=0,"",VLOOKUP(A1227,Aux!B:C,2,FALSE))</f>
        <v/>
      </c>
      <c r="H1227" s="25" t="str">
        <f t="shared" si="253"/>
        <v/>
      </c>
      <c r="L1227" s="13">
        <f t="shared" si="256"/>
        <v>124291.91939554141</v>
      </c>
      <c r="M1227" s="14">
        <f t="shared" si="257"/>
        <v>-136.84422577621609</v>
      </c>
      <c r="N1227" s="14">
        <f t="shared" si="258"/>
        <v>28.688899167229579</v>
      </c>
      <c r="O1227" s="1">
        <f t="shared" si="259"/>
        <v>2.8122528930582922</v>
      </c>
      <c r="P1227" s="1">
        <f t="shared" si="260"/>
        <v>1867.7668728663691</v>
      </c>
      <c r="S1227" s="6">
        <f t="shared" si="254"/>
        <v>0.46939529646926131</v>
      </c>
      <c r="T1227" s="6">
        <f t="shared" si="255"/>
        <v>0.53060470353073785</v>
      </c>
      <c r="V1227" s="1">
        <f t="shared" si="261"/>
        <v>126852.94721403398</v>
      </c>
      <c r="W1227" s="7">
        <f t="shared" si="262"/>
        <v>-8.6979344720251059E-4</v>
      </c>
      <c r="X1227" s="7">
        <f t="shared" si="263"/>
        <v>-6.1389239429536697E-4</v>
      </c>
      <c r="Y1227">
        <f>LN(B1227/B1226)</f>
        <v>-2.342804317999513E-3</v>
      </c>
      <c r="Z1227">
        <f>LN(C1227/C1226)</f>
        <v>4.3510529894576531E-4</v>
      </c>
    </row>
    <row r="1228" spans="1:26" x14ac:dyDescent="0.3">
      <c r="A1228" s="11">
        <v>41983</v>
      </c>
      <c r="B1228" s="12">
        <v>20498.75</v>
      </c>
      <c r="C1228" s="12">
        <v>35.324829999999999</v>
      </c>
      <c r="D1228" s="16">
        <f t="shared" si="252"/>
        <v>-1.1901766441752115E-2</v>
      </c>
      <c r="E1228" s="15">
        <f t="shared" si="264"/>
        <v>4.3472744430106403E-4</v>
      </c>
      <c r="G1228" s="25" t="str">
        <f>IF(VLOOKUP(A1228,Aux!B:C,2,FALSE)=0,"",VLOOKUP(A1228,Aux!B:C,2,FALSE))</f>
        <v/>
      </c>
      <c r="H1228" s="25" t="str">
        <f t="shared" si="253"/>
        <v/>
      </c>
      <c r="L1228" s="13">
        <f t="shared" si="256"/>
        <v>123626.21625521488</v>
      </c>
      <c r="M1228" s="14">
        <f t="shared" si="257"/>
        <v>-694.37336182502247</v>
      </c>
      <c r="N1228" s="14">
        <f t="shared" si="258"/>
        <v>28.670221498494985</v>
      </c>
      <c r="O1228" s="1">
        <f t="shared" si="259"/>
        <v>2.8122528930582922</v>
      </c>
      <c r="P1228" s="1">
        <f t="shared" si="260"/>
        <v>1867.7668728663691</v>
      </c>
      <c r="S1228" s="6">
        <f t="shared" si="254"/>
        <v>0.46630618276442592</v>
      </c>
      <c r="T1228" s="6">
        <f t="shared" si="255"/>
        <v>0.53369381723557319</v>
      </c>
      <c r="V1228" s="1">
        <f t="shared" si="261"/>
        <v>126317.6571903601</v>
      </c>
      <c r="W1228" s="7">
        <f t="shared" si="262"/>
        <v>-5.3703593609806506E-3</v>
      </c>
      <c r="X1228" s="7">
        <f t="shared" si="263"/>
        <v>-4.228696476027939E-3</v>
      </c>
      <c r="Y1228">
        <f>LN(B1228/B1227)</f>
        <v>-1.1973159498385269E-2</v>
      </c>
      <c r="Z1228">
        <f>LN(C1228/C1227)</f>
        <v>4.3463297770280669E-4</v>
      </c>
    </row>
    <row r="1229" spans="1:26" x14ac:dyDescent="0.3">
      <c r="A1229" s="9">
        <v>41984</v>
      </c>
      <c r="B1229" s="1">
        <v>20624.14</v>
      </c>
      <c r="C1229" s="1">
        <v>35.340179999999997</v>
      </c>
      <c r="D1229" s="6">
        <f t="shared" si="252"/>
        <v>6.1169583511189174E-3</v>
      </c>
      <c r="E1229" s="5">
        <f t="shared" si="264"/>
        <v>4.345385384727507E-4</v>
      </c>
      <c r="G1229" s="25" t="str">
        <f>IF(VLOOKUP(A1229,Aux!B:C,2,FALSE)=0,"",VLOOKUP(A1229,Aux!B:C,2,FALSE))</f>
        <v/>
      </c>
      <c r="H1229" s="25" t="str">
        <f t="shared" si="253"/>
        <v/>
      </c>
      <c r="L1229" s="13">
        <f t="shared" si="256"/>
        <v>124007.51486697396</v>
      </c>
      <c r="M1229" s="14">
        <f t="shared" si="257"/>
        <v>352.62839026057765</v>
      </c>
      <c r="N1229" s="14">
        <f t="shared" si="258"/>
        <v>28.670221498494985</v>
      </c>
      <c r="O1229" s="1">
        <f t="shared" si="259"/>
        <v>2.8122528930582922</v>
      </c>
      <c r="P1229" s="1">
        <f t="shared" si="260"/>
        <v>1867.7668728663691</v>
      </c>
      <c r="S1229" s="6">
        <f t="shared" si="254"/>
        <v>0.467715988374234</v>
      </c>
      <c r="T1229" s="6">
        <f t="shared" si="255"/>
        <v>0.532284011625765</v>
      </c>
      <c r="V1229" s="1">
        <f t="shared" si="261"/>
        <v>126641.2762898099</v>
      </c>
      <c r="W1229" s="7">
        <f t="shared" si="262"/>
        <v>3.0795393775332959E-3</v>
      </c>
      <c r="X1229" s="7">
        <f t="shared" si="263"/>
        <v>2.5586704652262931E-3</v>
      </c>
      <c r="Y1229">
        <f>LN(B1229/B1228)</f>
        <v>6.0983257061865206E-3</v>
      </c>
      <c r="Z1229">
        <f>LN(C1229/C1228)</f>
        <v>4.3444415394352874E-4</v>
      </c>
    </row>
    <row r="1230" spans="1:26" x14ac:dyDescent="0.3">
      <c r="A1230" s="11">
        <v>41985</v>
      </c>
      <c r="B1230" s="12">
        <v>19880.2</v>
      </c>
      <c r="C1230" s="12">
        <v>35.355559999999997</v>
      </c>
      <c r="D1230" s="16">
        <f t="shared" si="252"/>
        <v>-3.6071322246648774E-2</v>
      </c>
      <c r="E1230" s="15">
        <f t="shared" si="264"/>
        <v>4.3519868885777413E-4</v>
      </c>
      <c r="G1230" s="25" t="str">
        <f>IF(VLOOKUP(A1230,Aux!B:C,2,FALSE)=0,"",VLOOKUP(A1230,Aux!B:C,2,FALSE))</f>
        <v/>
      </c>
      <c r="H1230" s="25" t="str">
        <f t="shared" si="253"/>
        <v/>
      </c>
      <c r="L1230" s="13">
        <f t="shared" si="256"/>
        <v>121944.09370421685</v>
      </c>
      <c r="M1230" s="14">
        <f t="shared" si="257"/>
        <v>-2092.1474172617823</v>
      </c>
      <c r="N1230" s="14">
        <f t="shared" si="258"/>
        <v>28.726254504685492</v>
      </c>
      <c r="O1230" s="1">
        <f t="shared" si="259"/>
        <v>2.8122528930582922</v>
      </c>
      <c r="P1230" s="1">
        <f t="shared" si="260"/>
        <v>1867.7668728663691</v>
      </c>
      <c r="S1230" s="6">
        <f t="shared" si="254"/>
        <v>0.45847361906831036</v>
      </c>
      <c r="T1230" s="6">
        <f t="shared" si="255"/>
        <v>0.5415263809316887</v>
      </c>
      <c r="V1230" s="1">
        <f t="shared" si="261"/>
        <v>124959.38778390744</v>
      </c>
      <c r="W1230" s="7">
        <f t="shared" si="262"/>
        <v>-1.6779476155307962E-2</v>
      </c>
      <c r="X1230" s="7">
        <f t="shared" si="263"/>
        <v>-1.3369706833001612E-2</v>
      </c>
      <c r="Y1230">
        <f>LN(B1230/B1229)</f>
        <v>-3.6737972841708932E-2</v>
      </c>
      <c r="Z1230">
        <f>LN(C1230/C1229)</f>
        <v>4.3510401737465669E-4</v>
      </c>
    </row>
    <row r="1231" spans="1:26" x14ac:dyDescent="0.3">
      <c r="A1231" s="9">
        <v>41988</v>
      </c>
      <c r="B1231" s="1">
        <v>19486.560000000001</v>
      </c>
      <c r="C1231" s="1">
        <v>35.370950000000001</v>
      </c>
      <c r="D1231" s="6">
        <f t="shared" si="252"/>
        <v>-1.9800605627709911E-2</v>
      </c>
      <c r="E1231" s="5">
        <f t="shared" si="264"/>
        <v>4.3529221429405851E-4</v>
      </c>
      <c r="G1231" s="25" t="str">
        <f>IF(VLOOKUP(A1231,Aux!B:C,2,FALSE)=0,"",VLOOKUP(A1231,Aux!B:C,2,FALSE))</f>
        <v/>
      </c>
      <c r="H1231" s="25" t="str">
        <f t="shared" si="253"/>
        <v/>
      </c>
      <c r="L1231" s="13">
        <f t="shared" si="256"/>
        <v>120865.8234075668</v>
      </c>
      <c r="M1231" s="14">
        <f t="shared" si="257"/>
        <v>-1107.0152288234644</v>
      </c>
      <c r="N1231" s="14">
        <f t="shared" si="258"/>
        <v>28.744932173420082</v>
      </c>
      <c r="O1231" s="1">
        <f t="shared" si="259"/>
        <v>2.8122528930582922</v>
      </c>
      <c r="P1231" s="1">
        <f t="shared" si="260"/>
        <v>1867.7668728663691</v>
      </c>
      <c r="S1231" s="6">
        <f t="shared" si="254"/>
        <v>0.4534047193056493</v>
      </c>
      <c r="T1231" s="6">
        <f t="shared" si="255"/>
        <v>0.54659528069434993</v>
      </c>
      <c r="V1231" s="1">
        <f t="shared" si="261"/>
        <v>124085.67600288919</v>
      </c>
      <c r="W1231" s="7">
        <f t="shared" si="262"/>
        <v>-8.8816585223830281E-3</v>
      </c>
      <c r="X1231" s="7">
        <f t="shared" si="263"/>
        <v>-7.0165242566965899E-3</v>
      </c>
      <c r="Y1231">
        <f>LN(B1231/B1230)</f>
        <v>-1.9999264368245739E-2</v>
      </c>
      <c r="Z1231">
        <f>LN(C1231/C1230)</f>
        <v>4.3519750212212991E-4</v>
      </c>
    </row>
    <row r="1232" spans="1:26" x14ac:dyDescent="0.3">
      <c r="A1232" s="11">
        <v>41989</v>
      </c>
      <c r="B1232" s="12">
        <v>19463.37</v>
      </c>
      <c r="C1232" s="12">
        <v>35.386339999999997</v>
      </c>
      <c r="D1232" s="16">
        <f t="shared" si="252"/>
        <v>-1.1900509889894995E-3</v>
      </c>
      <c r="E1232" s="15">
        <f t="shared" si="264"/>
        <v>4.3510281742498158E-4</v>
      </c>
      <c r="G1232" s="25" t="str">
        <f>IF(VLOOKUP(A1232,Aux!B:C,2,FALSE)=0,"",VLOOKUP(A1232,Aux!B:C,2,FALSE))</f>
        <v/>
      </c>
      <c r="H1232" s="25" t="str">
        <f t="shared" si="253"/>
        <v/>
      </c>
      <c r="L1232" s="13">
        <f t="shared" si="256"/>
        <v>120829.35219515018</v>
      </c>
      <c r="M1232" s="14">
        <f t="shared" si="257"/>
        <v>-65.21614459002835</v>
      </c>
      <c r="N1232" s="14">
        <f t="shared" si="258"/>
        <v>28.744932173406813</v>
      </c>
      <c r="O1232" s="1">
        <f t="shared" si="259"/>
        <v>2.8122528930582922</v>
      </c>
      <c r="P1232" s="1">
        <f t="shared" si="260"/>
        <v>1867.7668728663691</v>
      </c>
      <c r="S1232" s="6">
        <f t="shared" si="254"/>
        <v>0.45300183768891339</v>
      </c>
      <c r="T1232" s="6">
        <f t="shared" si="255"/>
        <v>0.54699816231108578</v>
      </c>
      <c r="V1232" s="1">
        <f t="shared" si="261"/>
        <v>124066.60533028125</v>
      </c>
      <c r="W1232" s="7">
        <f t="shared" si="262"/>
        <v>-3.0179512356827355E-4</v>
      </c>
      <c r="X1232" s="7">
        <f t="shared" si="263"/>
        <v>-1.5370136871624304E-4</v>
      </c>
      <c r="Y1232">
        <f>LN(B1232/B1231)</f>
        <v>-1.1907596619614707E-3</v>
      </c>
      <c r="Z1232">
        <f>LN(C1232/C1231)</f>
        <v>4.3500818764224437E-4</v>
      </c>
    </row>
    <row r="1233" spans="1:26" x14ac:dyDescent="0.3">
      <c r="A1233" s="9">
        <v>41990</v>
      </c>
      <c r="B1233" s="1">
        <v>20147.11</v>
      </c>
      <c r="C1233" s="1">
        <v>35.401739999999997</v>
      </c>
      <c r="D1233" s="6">
        <f t="shared" si="252"/>
        <v>3.5129579307180636E-2</v>
      </c>
      <c r="E1233" s="5">
        <f t="shared" si="264"/>
        <v>4.3519618022092033E-4</v>
      </c>
      <c r="G1233" s="25" t="str">
        <f>IF(VLOOKUP(A1233,Aux!B:C,2,FALSE)=0,"",VLOOKUP(A1233,Aux!B:C,2,FALSE))</f>
        <v/>
      </c>
      <c r="H1233" s="25" t="str">
        <f t="shared" si="253"/>
        <v/>
      </c>
      <c r="L1233" s="13">
        <f t="shared" si="256"/>
        <v>122780.96559809199</v>
      </c>
      <c r="M1233" s="14">
        <f t="shared" si="257"/>
        <v>1922.8497930996812</v>
      </c>
      <c r="N1233" s="14">
        <f t="shared" si="258"/>
        <v>28.763609842141406</v>
      </c>
      <c r="O1233" s="1">
        <f t="shared" si="259"/>
        <v>2.8122528930582922</v>
      </c>
      <c r="P1233" s="1">
        <f t="shared" si="260"/>
        <v>1867.7668728663691</v>
      </c>
      <c r="S1233" s="6">
        <f t="shared" si="254"/>
        <v>0.46146215016527059</v>
      </c>
      <c r="T1233" s="6">
        <f t="shared" si="255"/>
        <v>0.53853784983472863</v>
      </c>
      <c r="V1233" s="1">
        <f t="shared" si="261"/>
        <v>125678.46926754164</v>
      </c>
      <c r="W1233" s="7">
        <f t="shared" si="262"/>
        <v>1.602276269256412E-2</v>
      </c>
      <c r="X1233" s="7">
        <f t="shared" si="263"/>
        <v>1.2908253113119246E-2</v>
      </c>
      <c r="Y1233">
        <f>LN(B1233/B1232)</f>
        <v>3.4526616279034361E-2</v>
      </c>
      <c r="Z1233">
        <f>LN(C1233/C1232)</f>
        <v>4.3510150982908029E-4</v>
      </c>
    </row>
    <row r="1234" spans="1:26" x14ac:dyDescent="0.3">
      <c r="A1234" s="11">
        <v>41991</v>
      </c>
      <c r="B1234" s="12">
        <v>20071.57</v>
      </c>
      <c r="C1234" s="12">
        <v>35.417149999999999</v>
      </c>
      <c r="D1234" s="16">
        <f t="shared" si="252"/>
        <v>-3.7494211328573668E-3</v>
      </c>
      <c r="E1234" s="15">
        <f t="shared" si="264"/>
        <v>4.3528933888570265E-4</v>
      </c>
      <c r="G1234" s="25" t="str">
        <f>IF(VLOOKUP(A1234,Aux!B:C,2,FALSE)=0,"",VLOOKUP(A1234,Aux!B:C,2,FALSE))</f>
        <v/>
      </c>
      <c r="H1234" s="25" t="str">
        <f t="shared" si="253"/>
        <v/>
      </c>
      <c r="L1234" s="13">
        <f t="shared" si="256"/>
        <v>122597.31030206125</v>
      </c>
      <c r="M1234" s="14">
        <f t="shared" si="257"/>
        <v>-212.43758354162586</v>
      </c>
      <c r="N1234" s="14">
        <f t="shared" si="258"/>
        <v>28.782287510875996</v>
      </c>
      <c r="O1234" s="1">
        <f t="shared" si="259"/>
        <v>2.8122528930582922</v>
      </c>
      <c r="P1234" s="1">
        <f t="shared" si="260"/>
        <v>1867.7668728663691</v>
      </c>
      <c r="S1234" s="6">
        <f t="shared" si="254"/>
        <v>0.4604206296340988</v>
      </c>
      <c r="T1234" s="6">
        <f t="shared" si="255"/>
        <v>0.53957937036590042</v>
      </c>
      <c r="V1234" s="1">
        <f t="shared" si="261"/>
        <v>125538.67005637015</v>
      </c>
      <c r="W1234" s="7">
        <f t="shared" si="262"/>
        <v>-1.4969159731107514E-3</v>
      </c>
      <c r="X1234" s="7">
        <f t="shared" si="263"/>
        <v>-1.1129752211865229E-3</v>
      </c>
      <c r="Y1234">
        <f>LN(B1234/B1233)</f>
        <v>-3.7564678318156857E-3</v>
      </c>
      <c r="Z1234">
        <f>LN(C1234/C1233)</f>
        <v>4.3519462796486822E-4</v>
      </c>
    </row>
    <row r="1235" spans="1:26" x14ac:dyDescent="0.3">
      <c r="A1235" s="9">
        <v>41992</v>
      </c>
      <c r="B1235" s="1">
        <v>20545.45</v>
      </c>
      <c r="C1235" s="1">
        <v>35.432569999999998</v>
      </c>
      <c r="D1235" s="6">
        <f t="shared" si="252"/>
        <v>2.3609513356454004E-2</v>
      </c>
      <c r="E1235" s="5">
        <f t="shared" si="264"/>
        <v>4.3538229360629011E-4</v>
      </c>
      <c r="G1235" s="25" t="str">
        <f>IF(VLOOKUP(A1235,Aux!B:C,2,FALSE)=0,"",VLOOKUP(A1235,Aux!B:C,2,FALSE))</f>
        <v/>
      </c>
      <c r="H1235" s="25" t="str">
        <f t="shared" si="253"/>
        <v/>
      </c>
      <c r="L1235" s="13">
        <f t="shared" si="256"/>
        <v>123958.78166820332</v>
      </c>
      <c r="M1235" s="14">
        <f t="shared" si="257"/>
        <v>1332.6704009624664</v>
      </c>
      <c r="N1235" s="14">
        <f t="shared" si="258"/>
        <v>28.800965179597316</v>
      </c>
      <c r="O1235" s="1">
        <f t="shared" si="259"/>
        <v>2.8122528930582922</v>
      </c>
      <c r="P1235" s="1">
        <f t="shared" si="260"/>
        <v>1867.7668728663691</v>
      </c>
      <c r="S1235" s="6">
        <f t="shared" si="254"/>
        <v>0.46611462636297751</v>
      </c>
      <c r="T1235" s="6">
        <f t="shared" si="255"/>
        <v>0.5338853736370216</v>
      </c>
      <c r="V1235" s="1">
        <f t="shared" si="261"/>
        <v>126666.42437533769</v>
      </c>
      <c r="W1235" s="7">
        <f t="shared" si="262"/>
        <v>1.1044019991546953E-2</v>
      </c>
      <c r="X1235" s="7">
        <f t="shared" si="263"/>
        <v>8.9432121748321321E-3</v>
      </c>
      <c r="Y1235">
        <f>LN(B1235/B1234)</f>
        <v>2.3335119277945331E-2</v>
      </c>
      <c r="Z1235">
        <f>LN(C1235/C1234)</f>
        <v>4.3528754223654535E-4</v>
      </c>
    </row>
    <row r="1236" spans="1:26" x14ac:dyDescent="0.3">
      <c r="A1236" s="11">
        <v>41995</v>
      </c>
      <c r="B1236" s="12">
        <v>20729.47</v>
      </c>
      <c r="C1236" s="12">
        <v>35.447989999999997</v>
      </c>
      <c r="D1236" s="16">
        <f t="shared" si="252"/>
        <v>8.9567276452937605E-3</v>
      </c>
      <c r="E1236" s="15">
        <f t="shared" si="264"/>
        <v>4.3519281835879831E-4</v>
      </c>
      <c r="G1236" s="25" t="str">
        <f>IF(VLOOKUP(A1236,Aux!B:C,2,FALSE)=0,"",VLOOKUP(A1236,Aux!B:C,2,FALSE))</f>
        <v/>
      </c>
      <c r="H1236" s="25" t="str">
        <f t="shared" si="253"/>
        <v/>
      </c>
      <c r="L1236" s="13">
        <f t="shared" si="256"/>
        <v>124505.09341076351</v>
      </c>
      <c r="M1236" s="14">
        <f t="shared" si="257"/>
        <v>517.51077738058814</v>
      </c>
      <c r="N1236" s="14">
        <f t="shared" si="258"/>
        <v>28.800965179597316</v>
      </c>
      <c r="O1236" s="1">
        <f t="shared" si="259"/>
        <v>2.8122528930582922</v>
      </c>
      <c r="P1236" s="1">
        <f t="shared" si="260"/>
        <v>1867.7668728663691</v>
      </c>
      <c r="S1236" s="6">
        <f t="shared" si="254"/>
        <v>0.46822592057928869</v>
      </c>
      <c r="T1236" s="6">
        <f t="shared" si="255"/>
        <v>0.53177407942071031</v>
      </c>
      <c r="V1236" s="1">
        <f t="shared" si="261"/>
        <v>127125.4615349482</v>
      </c>
      <c r="W1236" s="7">
        <f t="shared" si="262"/>
        <v>4.3975215533974057E-3</v>
      </c>
      <c r="X1236" s="7">
        <f t="shared" si="263"/>
        <v>3.6174336979872264E-3</v>
      </c>
      <c r="Y1236">
        <f>LN(B1236/B1235)</f>
        <v>8.9168540745144867E-3</v>
      </c>
      <c r="Z1236">
        <f>LN(C1236/C1235)</f>
        <v>4.3509814942938572E-4</v>
      </c>
    </row>
    <row r="1237" spans="1:26" x14ac:dyDescent="0.3">
      <c r="A1237" s="9">
        <v>41996</v>
      </c>
      <c r="B1237" s="1">
        <v>21029.14</v>
      </c>
      <c r="C1237" s="1">
        <v>35.463419999999999</v>
      </c>
      <c r="D1237" s="6">
        <f t="shared" si="252"/>
        <v>1.4456230670634618E-2</v>
      </c>
      <c r="E1237" s="5">
        <f t="shared" si="264"/>
        <v>4.3528561139871691E-4</v>
      </c>
      <c r="G1237" s="25" t="str">
        <f>IF(VLOOKUP(A1237,Aux!B:C,2,FALSE)=0,"",VLOOKUP(A1237,Aux!B:C,2,FALSE))</f>
        <v/>
      </c>
      <c r="H1237" s="25" t="str">
        <f t="shared" si="253"/>
        <v/>
      </c>
      <c r="L1237" s="13">
        <f t="shared" si="256"/>
        <v>125376.66087807462</v>
      </c>
      <c r="M1237" s="14">
        <f t="shared" si="257"/>
        <v>842.74782446277345</v>
      </c>
      <c r="N1237" s="14">
        <f t="shared" si="258"/>
        <v>28.81964284833191</v>
      </c>
      <c r="O1237" s="1">
        <f t="shared" si="259"/>
        <v>2.8122528930582922</v>
      </c>
      <c r="P1237" s="1">
        <f t="shared" si="260"/>
        <v>1867.7668728663691</v>
      </c>
      <c r="S1237" s="6">
        <f t="shared" si="254"/>
        <v>0.4716927328367691</v>
      </c>
      <c r="T1237" s="6">
        <f t="shared" si="255"/>
        <v>0.52830726716322995</v>
      </c>
      <c r="V1237" s="1">
        <f t="shared" si="261"/>
        <v>127851.32966134197</v>
      </c>
      <c r="W1237" s="7">
        <f t="shared" si="262"/>
        <v>6.9758674793434627E-3</v>
      </c>
      <c r="X1237" s="7">
        <f t="shared" si="263"/>
        <v>5.6936169278459046E-3</v>
      </c>
      <c r="Y1237">
        <f>LN(B1237/B1236)</f>
        <v>1.435273560795226E-2</v>
      </c>
      <c r="Z1237">
        <f>LN(C1237/C1236)</f>
        <v>4.351909020997049E-4</v>
      </c>
    </row>
    <row r="1238" spans="1:26" x14ac:dyDescent="0.3">
      <c r="A1238" s="11">
        <v>41999</v>
      </c>
      <c r="B1238" s="12">
        <v>20740.650000000001</v>
      </c>
      <c r="C1238" s="12">
        <v>35.494250000000001</v>
      </c>
      <c r="D1238" s="16">
        <f t="shared" si="252"/>
        <v>-1.3718582880707375E-2</v>
      </c>
      <c r="E1238" s="15">
        <f t="shared" si="264"/>
        <v>8.6934649844838674E-4</v>
      </c>
      <c r="G1238" s="25" t="str">
        <f>IF(VLOOKUP(A1238,Aux!B:C,2,FALSE)=0,"",VLOOKUP(A1238,Aux!B:C,2,FALSE))</f>
        <v/>
      </c>
      <c r="H1238" s="25" t="str">
        <f t="shared" si="253"/>
        <v/>
      </c>
      <c r="L1238" s="13">
        <f t="shared" si="256"/>
        <v>124622.93729364671</v>
      </c>
      <c r="M1238" s="14">
        <f t="shared" si="257"/>
        <v>-811.30683711838094</v>
      </c>
      <c r="N1238" s="14">
        <f t="shared" si="258"/>
        <v>57.583252690473316</v>
      </c>
      <c r="O1238" s="1">
        <f t="shared" si="259"/>
        <v>2.8122528930582922</v>
      </c>
      <c r="P1238" s="1">
        <f t="shared" si="260"/>
        <v>1867.7668728663691</v>
      </c>
      <c r="S1238" s="6">
        <f t="shared" si="254"/>
        <v>0.46803545344925068</v>
      </c>
      <c r="T1238" s="6">
        <f t="shared" si="255"/>
        <v>0.53196454655074843</v>
      </c>
      <c r="V1238" s="1">
        <f t="shared" si="261"/>
        <v>127254.74393369605</v>
      </c>
      <c r="W1238" s="7">
        <f t="shared" si="262"/>
        <v>-6.0298166368163292E-3</v>
      </c>
      <c r="X1238" s="7">
        <f t="shared" si="263"/>
        <v>-4.6771666923365847E-3</v>
      </c>
      <c r="Y1238">
        <f>LN(B1238/B1237)</f>
        <v>-1.3813552202123944E-2</v>
      </c>
      <c r="Z1238">
        <f>LN(C1238/C1237)</f>
        <v>8.6896883564524529E-4</v>
      </c>
    </row>
    <row r="1239" spans="1:26" x14ac:dyDescent="0.3">
      <c r="A1239" s="9">
        <v>42002</v>
      </c>
      <c r="B1239" s="1">
        <v>20933.060000000001</v>
      </c>
      <c r="C1239" s="1">
        <v>35.50967</v>
      </c>
      <c r="D1239" s="6">
        <f t="shared" si="252"/>
        <v>9.2769513009476334E-3</v>
      </c>
      <c r="E1239" s="5">
        <f t="shared" si="264"/>
        <v>4.3443656366881633E-4</v>
      </c>
      <c r="G1239" s="25" t="str">
        <f>IF(VLOOKUP(A1239,Aux!B:C,2,FALSE)=0,"",VLOOKUP(A1239,Aux!B:C,2,FALSE))</f>
        <v/>
      </c>
      <c r="H1239" s="25" t="str">
        <f t="shared" si="253"/>
        <v/>
      </c>
      <c r="L1239" s="13">
        <f t="shared" si="256"/>
        <v>125192.84383797966</v>
      </c>
      <c r="M1239" s="14">
        <f t="shared" si="257"/>
        <v>541.10557915334562</v>
      </c>
      <c r="N1239" s="14">
        <f t="shared" si="258"/>
        <v>28.800965179597316</v>
      </c>
      <c r="O1239" s="1">
        <f t="shared" si="259"/>
        <v>2.8122528930582922</v>
      </c>
      <c r="P1239" s="1">
        <f t="shared" si="260"/>
        <v>1867.7668728663691</v>
      </c>
      <c r="S1239" s="6">
        <f t="shared" si="254"/>
        <v>0.47022702529027266</v>
      </c>
      <c r="T1239" s="6">
        <f t="shared" si="255"/>
        <v>0.5297729747097264</v>
      </c>
      <c r="V1239" s="1">
        <f t="shared" si="261"/>
        <v>127733.13711679033</v>
      </c>
      <c r="W1239" s="7">
        <f t="shared" si="262"/>
        <v>4.5626223485258017E-3</v>
      </c>
      <c r="X1239" s="7">
        <f t="shared" si="263"/>
        <v>3.7522861276704646E-3</v>
      </c>
      <c r="Y1239">
        <f>LN(B1239/B1238)</f>
        <v>9.2341846806594033E-3</v>
      </c>
      <c r="Z1239">
        <f>LN(C1239/C1238)</f>
        <v>4.3434222342713481E-4</v>
      </c>
    </row>
    <row r="1240" spans="1:26" x14ac:dyDescent="0.3">
      <c r="A1240" s="11">
        <v>42003</v>
      </c>
      <c r="B1240" s="12">
        <v>20702.53</v>
      </c>
      <c r="C1240" s="12">
        <v>35.525129999999997</v>
      </c>
      <c r="D1240" s="16">
        <f t="shared" si="252"/>
        <v>-1.1012723414541514E-2</v>
      </c>
      <c r="E1240" s="15">
        <f t="shared" si="264"/>
        <v>4.3537436422247389E-4</v>
      </c>
      <c r="G1240" s="25">
        <f>IF(VLOOKUP(A1240,Aux!B:C,2,FALSE)=0,"",VLOOKUP(A1240,Aux!B:C,2,FALSE))</f>
        <v>0.5</v>
      </c>
      <c r="H1240" s="25">
        <f t="shared" si="253"/>
        <v>0.5</v>
      </c>
      <c r="L1240" s="13">
        <f t="shared" si="256"/>
        <v>124573.41085439743</v>
      </c>
      <c r="M1240" s="14">
        <f t="shared" si="257"/>
        <v>-648.30865943673507</v>
      </c>
      <c r="N1240" s="14">
        <f t="shared" si="258"/>
        <v>28.875675854509144</v>
      </c>
      <c r="O1240" s="1">
        <f t="shared" si="259"/>
        <v>3.008651861738576</v>
      </c>
      <c r="P1240" s="1">
        <f t="shared" si="260"/>
        <v>1753.3139337477082</v>
      </c>
      <c r="S1240" s="6">
        <f t="shared" si="254"/>
        <v>0.50000000000000011</v>
      </c>
      <c r="T1240" s="6">
        <f t="shared" si="255"/>
        <v>0.5</v>
      </c>
      <c r="V1240" s="1">
        <f t="shared" si="261"/>
        <v>127235.88241066266</v>
      </c>
      <c r="W1240" s="7">
        <f t="shared" si="262"/>
        <v>-4.9601116397569997E-3</v>
      </c>
      <c r="X1240" s="7">
        <f t="shared" si="263"/>
        <v>-3.9005157370581873E-3</v>
      </c>
      <c r="Y1240">
        <f>LN(B1240/B1239)</f>
        <v>-1.1073812370936693E-2</v>
      </c>
      <c r="Z1240">
        <f>LN(C1240/C1239)</f>
        <v>4.3527961630350861E-4</v>
      </c>
    </row>
    <row r="1241" spans="1:26" x14ac:dyDescent="0.3">
      <c r="A1241" s="9">
        <v>42006</v>
      </c>
      <c r="B1241" s="1">
        <v>20117.09</v>
      </c>
      <c r="C1241" s="1">
        <v>35.556010000000001</v>
      </c>
      <c r="D1241" s="6">
        <f t="shared" si="252"/>
        <v>-2.8278669322058692E-2</v>
      </c>
      <c r="E1241" s="5">
        <f t="shared" si="264"/>
        <v>8.6924382824227209E-4</v>
      </c>
      <c r="G1241" s="25" t="str">
        <f>IF(VLOOKUP(A1241,Aux!B:C,2,FALSE)=0,"",VLOOKUP(A1241,Aux!B:C,2,FALSE))</f>
        <v/>
      </c>
      <c r="H1241" s="25" t="str">
        <f t="shared" si="253"/>
        <v/>
      </c>
      <c r="L1241" s="13">
        <f t="shared" si="256"/>
        <v>122866.16804273533</v>
      </c>
      <c r="M1241" s="14">
        <f t="shared" si="257"/>
        <v>-1761.3851459362279</v>
      </c>
      <c r="N1241" s="14">
        <f t="shared" si="258"/>
        <v>54.142334274135102</v>
      </c>
      <c r="O1241" s="1">
        <f t="shared" si="259"/>
        <v>3.008651861738576</v>
      </c>
      <c r="P1241" s="1">
        <f t="shared" si="260"/>
        <v>1753.3139337477082</v>
      </c>
      <c r="S1241" s="6">
        <f t="shared" si="254"/>
        <v>0.49261176811675744</v>
      </c>
      <c r="T1241" s="6">
        <f t="shared" si="255"/>
        <v>0.50738823188324267</v>
      </c>
      <c r="V1241" s="1">
        <f t="shared" si="261"/>
        <v>125954.33450227327</v>
      </c>
      <c r="W1241" s="7">
        <f t="shared" si="262"/>
        <v>-1.3799489241967781E-2</v>
      </c>
      <c r="X1241" s="7">
        <f t="shared" si="263"/>
        <v>-1.0123288873637087E-2</v>
      </c>
      <c r="Y1241">
        <f>LN(B1241/B1240)</f>
        <v>-2.8686212460485541E-2</v>
      </c>
      <c r="Z1241">
        <f>LN(C1241/C1240)</f>
        <v>8.6886625461232638E-4</v>
      </c>
    </row>
    <row r="1242" spans="1:26" x14ac:dyDescent="0.3">
      <c r="A1242" s="11">
        <v>42009</v>
      </c>
      <c r="B1242" s="12">
        <v>19711.89</v>
      </c>
      <c r="C1242" s="12">
        <v>35.571460000000002</v>
      </c>
      <c r="D1242" s="16">
        <f t="shared" si="252"/>
        <v>-2.0142078203159608E-2</v>
      </c>
      <c r="E1242" s="15">
        <f t="shared" si="264"/>
        <v>4.3452569621837966E-4</v>
      </c>
      <c r="G1242" s="25" t="str">
        <f>IF(VLOOKUP(A1242,Aux!B:C,2,FALSE)=0,"",VLOOKUP(A1242,Aux!B:C,2,FALSE))</f>
        <v/>
      </c>
      <c r="H1242" s="25" t="str">
        <f t="shared" si="253"/>
        <v/>
      </c>
      <c r="L1242" s="13">
        <f t="shared" si="256"/>
        <v>121674.15100863526</v>
      </c>
      <c r="M1242" s="14">
        <f t="shared" si="257"/>
        <v>-1219.1057343764733</v>
      </c>
      <c r="N1242" s="14">
        <f t="shared" si="258"/>
        <v>27.088700276404364</v>
      </c>
      <c r="O1242" s="1">
        <f t="shared" si="259"/>
        <v>3.008651861738576</v>
      </c>
      <c r="P1242" s="1">
        <f t="shared" si="260"/>
        <v>1753.3139337477082</v>
      </c>
      <c r="S1242" s="6">
        <f t="shared" si="254"/>
        <v>0.48741835513343368</v>
      </c>
      <c r="T1242" s="6">
        <f t="shared" si="255"/>
        <v>0.51258164486656643</v>
      </c>
      <c r="V1242" s="1">
        <f t="shared" si="261"/>
        <v>125054.08762483171</v>
      </c>
      <c r="W1242" s="7">
        <f t="shared" si="262"/>
        <v>-9.7491201452175741E-3</v>
      </c>
      <c r="X1242" s="7">
        <f t="shared" si="263"/>
        <v>-7.173071961808837E-3</v>
      </c>
      <c r="Y1242">
        <f>LN(B1242/B1241)</f>
        <v>-2.0347695586136635E-2</v>
      </c>
      <c r="Z1242">
        <f>LN(C1242/C1241)</f>
        <v>4.3443131726710586E-4</v>
      </c>
    </row>
    <row r="1243" spans="1:26" x14ac:dyDescent="0.3">
      <c r="A1243" s="9">
        <v>42010</v>
      </c>
      <c r="B1243" s="1">
        <v>19883.88</v>
      </c>
      <c r="C1243" s="1">
        <v>35.586919999999999</v>
      </c>
      <c r="D1243" s="6">
        <f t="shared" ref="D1243:D1306" si="265">B1243/B1242-1</f>
        <v>8.7251907351351132E-3</v>
      </c>
      <c r="E1243" s="5">
        <f t="shared" si="264"/>
        <v>4.3461808989553319E-4</v>
      </c>
      <c r="G1243" s="25" t="str">
        <f>IF(VLOOKUP(A1243,Aux!B:C,2,FALSE)=0,"",VLOOKUP(A1243,Aux!B:C,2,FALSE))</f>
        <v/>
      </c>
      <c r="H1243" s="25" t="str">
        <f t="shared" si="253"/>
        <v/>
      </c>
      <c r="L1243" s="13">
        <f t="shared" si="256"/>
        <v>122218.71527575141</v>
      </c>
      <c r="M1243" s="14">
        <f t="shared" si="257"/>
        <v>517.45803370042256</v>
      </c>
      <c r="N1243" s="14">
        <f t="shared" si="258"/>
        <v>27.106233415734948</v>
      </c>
      <c r="O1243" s="1">
        <f t="shared" si="259"/>
        <v>3.008651861738576</v>
      </c>
      <c r="P1243" s="1">
        <f t="shared" si="260"/>
        <v>1753.3139337477082</v>
      </c>
      <c r="S1243" s="6">
        <f t="shared" si="254"/>
        <v>0.48948045678283814</v>
      </c>
      <c r="T1243" s="6">
        <f t="shared" si="255"/>
        <v>0.51051954321716198</v>
      </c>
      <c r="V1243" s="1">
        <f t="shared" si="261"/>
        <v>125485.46063892901</v>
      </c>
      <c r="W1243" s="7">
        <f t="shared" si="262"/>
        <v>4.4656096783161374E-3</v>
      </c>
      <c r="X1243" s="7">
        <f t="shared" si="263"/>
        <v>3.4435556650259879E-3</v>
      </c>
      <c r="Y1243">
        <f>LN(B1243/B1242)</f>
        <v>8.6873462328019256E-3</v>
      </c>
      <c r="Z1243">
        <f>LN(C1243/C1242)</f>
        <v>4.3452367081000544E-4</v>
      </c>
    </row>
    <row r="1244" spans="1:26" x14ac:dyDescent="0.3">
      <c r="A1244" s="11">
        <v>42011</v>
      </c>
      <c r="B1244" s="12">
        <v>20464.78</v>
      </c>
      <c r="C1244" s="12">
        <v>35.602379999999997</v>
      </c>
      <c r="D1244" s="16">
        <f t="shared" si="265"/>
        <v>2.921462008420872E-2</v>
      </c>
      <c r="E1244" s="15">
        <f t="shared" si="264"/>
        <v>4.3442927907211271E-4</v>
      </c>
      <c r="G1244" s="25" t="str">
        <f>IF(VLOOKUP(A1244,Aux!B:C,2,FALSE)=0,"",VLOOKUP(A1244,Aux!B:C,2,FALSE))</f>
        <v/>
      </c>
      <c r="H1244" s="25" t="str">
        <f t="shared" si="253"/>
        <v/>
      </c>
      <c r="L1244" s="13">
        <f t="shared" si="256"/>
        <v>123993.54737565108</v>
      </c>
      <c r="M1244" s="14">
        <f t="shared" si="257"/>
        <v>1747.7258664839324</v>
      </c>
      <c r="N1244" s="14">
        <f t="shared" si="258"/>
        <v>27.106233415734948</v>
      </c>
      <c r="O1244" s="1">
        <f t="shared" si="259"/>
        <v>3.008651861738576</v>
      </c>
      <c r="P1244" s="1">
        <f t="shared" si="260"/>
        <v>1753.3139337477082</v>
      </c>
      <c r="S1244" s="6">
        <f t="shared" si="254"/>
        <v>0.49656937598965173</v>
      </c>
      <c r="T1244" s="6">
        <f t="shared" si="255"/>
        <v>0.50343062401034844</v>
      </c>
      <c r="V1244" s="1">
        <f t="shared" si="261"/>
        <v>126860.20332677464</v>
      </c>
      <c r="W1244" s="7">
        <f t="shared" si="262"/>
        <v>1.4417339117726226E-2</v>
      </c>
      <c r="X1244" s="7">
        <f t="shared" si="263"/>
        <v>1.0895818591619918E-2</v>
      </c>
      <c r="Y1244">
        <f>LN(B1244/B1243)</f>
        <v>2.8796006614305956E-2</v>
      </c>
      <c r="Z1244">
        <f>LN(C1244/C1243)</f>
        <v>4.3433494199372557E-4</v>
      </c>
    </row>
    <row r="1245" spans="1:26" x14ac:dyDescent="0.3">
      <c r="A1245" s="9">
        <v>42012</v>
      </c>
      <c r="B1245" s="1">
        <v>20632.89</v>
      </c>
      <c r="C1245" s="1">
        <v>35.61786</v>
      </c>
      <c r="D1245" s="6">
        <f t="shared" si="265"/>
        <v>8.2146008899190992E-3</v>
      </c>
      <c r="E1245" s="5">
        <f t="shared" si="264"/>
        <v>4.3480239242432717E-4</v>
      </c>
      <c r="G1245" s="25" t="str">
        <f>IF(VLOOKUP(A1245,Aux!B:C,2,FALSE)=0,"",VLOOKUP(A1245,Aux!B:C,2,FALSE))</f>
        <v/>
      </c>
      <c r="H1245" s="25" t="str">
        <f t="shared" si="253"/>
        <v/>
      </c>
      <c r="L1245" s="13">
        <f t="shared" si="256"/>
        <v>124526.47313982238</v>
      </c>
      <c r="M1245" s="14">
        <f t="shared" si="257"/>
        <v>505.78446447687378</v>
      </c>
      <c r="N1245" s="14">
        <f t="shared" si="258"/>
        <v>27.141299694421033</v>
      </c>
      <c r="O1245" s="1">
        <f t="shared" si="259"/>
        <v>3.008651861738576</v>
      </c>
      <c r="P1245" s="1">
        <f t="shared" si="260"/>
        <v>1753.3139337477082</v>
      </c>
      <c r="S1245" s="6">
        <f t="shared" si="254"/>
        <v>0.49850591080215495</v>
      </c>
      <c r="T1245" s="6">
        <f t="shared" si="255"/>
        <v>0.50149408919784511</v>
      </c>
      <c r="V1245" s="1">
        <f t="shared" si="261"/>
        <v>127282.66978779808</v>
      </c>
      <c r="W1245" s="7">
        <f t="shared" si="262"/>
        <v>4.2888020043148258E-3</v>
      </c>
      <c r="X1245" s="7">
        <f t="shared" si="263"/>
        <v>3.3246405455405774E-3</v>
      </c>
      <c r="Y1245">
        <f>LN(B1245/B1244)</f>
        <v>8.1810446979289058E-3</v>
      </c>
      <c r="Z1245">
        <f>LN(C1245/C1244)</f>
        <v>4.3470789325541576E-4</v>
      </c>
    </row>
    <row r="1246" spans="1:26" x14ac:dyDescent="0.3">
      <c r="A1246" s="11">
        <v>42013</v>
      </c>
      <c r="B1246" s="12">
        <v>20186.02</v>
      </c>
      <c r="C1246" s="12">
        <v>35.633330000000001</v>
      </c>
      <c r="D1246" s="16">
        <f t="shared" si="265"/>
        <v>-2.1658139019788303E-2</v>
      </c>
      <c r="E1246" s="15">
        <f t="shared" si="264"/>
        <v>4.343326634446143E-4</v>
      </c>
      <c r="G1246" s="25" t="str">
        <f>IF(VLOOKUP(A1246,Aux!B:C,2,FALSE)=0,"",VLOOKUP(A1246,Aux!B:C,2,FALSE))</f>
        <v/>
      </c>
      <c r="H1246" s="25" t="str">
        <f t="shared" si="253"/>
        <v/>
      </c>
      <c r="L1246" s="13">
        <f t="shared" si="256"/>
        <v>123209.12064892234</v>
      </c>
      <c r="M1246" s="14">
        <f t="shared" si="257"/>
        <v>-1344.4762574551144</v>
      </c>
      <c r="N1246" s="14">
        <f t="shared" si="258"/>
        <v>27.123766555077992</v>
      </c>
      <c r="O1246" s="1">
        <f t="shared" si="259"/>
        <v>3.008651861738576</v>
      </c>
      <c r="P1246" s="1">
        <f t="shared" si="260"/>
        <v>1753.3139337477082</v>
      </c>
      <c r="S1246" s="6">
        <f t="shared" si="254"/>
        <v>0.4929237895232339</v>
      </c>
      <c r="T1246" s="6">
        <f t="shared" si="255"/>
        <v>0.50707621047676621</v>
      </c>
      <c r="V1246" s="1">
        <f t="shared" si="261"/>
        <v>126286.33350538136</v>
      </c>
      <c r="W1246" s="7">
        <f t="shared" si="262"/>
        <v>-1.0635249361733155E-2</v>
      </c>
      <c r="X1246" s="7">
        <f t="shared" si="263"/>
        <v>-7.8585426215958768E-3</v>
      </c>
      <c r="Y1246">
        <f>LN(B1246/B1245)</f>
        <v>-2.1896118921563096E-2</v>
      </c>
      <c r="Z1246">
        <f>LN(C1246/C1245)</f>
        <v>4.3423836831599509E-4</v>
      </c>
    </row>
    <row r="1247" spans="1:26" x14ac:dyDescent="0.3">
      <c r="A1247" s="9">
        <v>42016</v>
      </c>
      <c r="B1247" s="1">
        <v>19931.07</v>
      </c>
      <c r="C1247" s="1">
        <v>35.648820000000001</v>
      </c>
      <c r="D1247" s="6">
        <f t="shared" si="265"/>
        <v>-1.2630028108562286E-2</v>
      </c>
      <c r="E1247" s="5">
        <f t="shared" si="264"/>
        <v>4.3470537275069887E-4</v>
      </c>
      <c r="G1247" s="25" t="str">
        <f>IF(VLOOKUP(A1247,Aux!B:C,2,FALSE)=0,"",VLOOKUP(A1247,Aux!B:C,2,FALSE))</f>
        <v/>
      </c>
      <c r="H1247" s="25" t="str">
        <f t="shared" si="253"/>
        <v/>
      </c>
      <c r="L1247" s="13">
        <f t="shared" si="256"/>
        <v>122469.22368960585</v>
      </c>
      <c r="M1247" s="14">
        <f t="shared" si="257"/>
        <v>-767.05579215025216</v>
      </c>
      <c r="N1247" s="14">
        <f t="shared" si="258"/>
        <v>27.158832833751617</v>
      </c>
      <c r="O1247" s="1">
        <f t="shared" si="259"/>
        <v>3.008651861738576</v>
      </c>
      <c r="P1247" s="1">
        <f t="shared" si="260"/>
        <v>1753.3139337477082</v>
      </c>
      <c r="S1247" s="6">
        <f t="shared" si="254"/>
        <v>0.48963853166835464</v>
      </c>
      <c r="T1247" s="6">
        <f t="shared" si="255"/>
        <v>0.51036146833164542</v>
      </c>
      <c r="V1247" s="1">
        <f t="shared" si="261"/>
        <v>125732.80811901137</v>
      </c>
      <c r="W1247" s="7">
        <f t="shared" si="262"/>
        <v>-6.0233163674509385E-3</v>
      </c>
      <c r="X1247" s="7">
        <f t="shared" si="263"/>
        <v>-4.3927320192833222E-3</v>
      </c>
      <c r="Y1247">
        <f>LN(B1247/B1246)</f>
        <v>-1.2710464910633922E-2</v>
      </c>
      <c r="Z1247">
        <f>LN(C1247/C1246)</f>
        <v>4.3461091574313745E-4</v>
      </c>
    </row>
    <row r="1248" spans="1:26" x14ac:dyDescent="0.3">
      <c r="A1248" s="11">
        <v>42017</v>
      </c>
      <c r="B1248" s="12">
        <v>19877.25</v>
      </c>
      <c r="C1248" s="12">
        <v>35.66431</v>
      </c>
      <c r="D1248" s="16">
        <f t="shared" si="265"/>
        <v>-2.7003066067200487E-3</v>
      </c>
      <c r="E1248" s="15">
        <f t="shared" si="264"/>
        <v>4.3451648609971194E-4</v>
      </c>
      <c r="G1248" s="25" t="str">
        <f>IF(VLOOKUP(A1248,Aux!B:C,2,FALSE)=0,"",VLOOKUP(A1248,Aux!B:C,2,FALSE))</f>
        <v/>
      </c>
      <c r="H1248" s="25" t="str">
        <f t="shared" si="253"/>
        <v/>
      </c>
      <c r="L1248" s="13">
        <f t="shared" si="256"/>
        <v>122334.45687924082</v>
      </c>
      <c r="M1248" s="14">
        <f t="shared" si="257"/>
        <v>-161.92564319876928</v>
      </c>
      <c r="N1248" s="14">
        <f t="shared" si="258"/>
        <v>27.158832833751617</v>
      </c>
      <c r="O1248" s="1">
        <f t="shared" si="259"/>
        <v>3.008651861738576</v>
      </c>
      <c r="P1248" s="1">
        <f t="shared" si="260"/>
        <v>1753.3139337477082</v>
      </c>
      <c r="S1248" s="6">
        <f t="shared" si="254"/>
        <v>0.48885429946999109</v>
      </c>
      <c r="T1248" s="6">
        <f t="shared" si="255"/>
        <v>0.51114570053000896</v>
      </c>
      <c r="V1248" s="1">
        <f t="shared" si="261"/>
        <v>125643.29667820648</v>
      </c>
      <c r="W1248" s="7">
        <f t="shared" si="262"/>
        <v>-1.1010195897876117E-3</v>
      </c>
      <c r="X1248" s="7">
        <f t="shared" si="263"/>
        <v>-7.1217146641970011E-4</v>
      </c>
      <c r="Y1248">
        <f>LN(B1248/B1247)</f>
        <v>-2.7039590111614534E-3</v>
      </c>
      <c r="Z1248">
        <f>LN(C1248/C1247)</f>
        <v>4.3442211114869079E-4</v>
      </c>
    </row>
    <row r="1249" spans="1:26" x14ac:dyDescent="0.3">
      <c r="A1249" s="9">
        <v>42018</v>
      </c>
      <c r="B1249" s="1">
        <v>19740.88</v>
      </c>
      <c r="C1249" s="1">
        <v>35.679810000000003</v>
      </c>
      <c r="D1249" s="6">
        <f t="shared" si="265"/>
        <v>-6.8606069753108789E-3</v>
      </c>
      <c r="E1249" s="5">
        <f t="shared" si="264"/>
        <v>4.3460815588480806E-4</v>
      </c>
      <c r="G1249" s="25" t="str">
        <f>IF(VLOOKUP(A1249,Aux!B:C,2,FALSE)=0,"",VLOOKUP(A1249,Aux!B:C,2,FALSE))</f>
        <v/>
      </c>
      <c r="H1249" s="25" t="str">
        <f t="shared" si="253"/>
        <v/>
      </c>
      <c r="L1249" s="13">
        <f t="shared" si="256"/>
        <v>121951.34339082862</v>
      </c>
      <c r="M1249" s="14">
        <f t="shared" si="257"/>
        <v>-410.28985438528656</v>
      </c>
      <c r="N1249" s="14">
        <f t="shared" si="258"/>
        <v>27.176365973094661</v>
      </c>
      <c r="O1249" s="1">
        <f t="shared" si="259"/>
        <v>3.008651861738576</v>
      </c>
      <c r="P1249" s="1">
        <f t="shared" si="260"/>
        <v>1753.3139337477082</v>
      </c>
      <c r="S1249" s="6">
        <f t="shared" si="254"/>
        <v>0.48702567526471807</v>
      </c>
      <c r="T1249" s="6">
        <f t="shared" si="255"/>
        <v>0.51297432473528215</v>
      </c>
      <c r="V1249" s="1">
        <f t="shared" si="261"/>
        <v>125363.36187111172</v>
      </c>
      <c r="W1249" s="7">
        <f t="shared" si="262"/>
        <v>-3.1366031270480378E-3</v>
      </c>
      <c r="X1249" s="7">
        <f t="shared" si="263"/>
        <v>-2.2304979857645998E-3</v>
      </c>
      <c r="Y1249">
        <f>LN(B1249/B1248)</f>
        <v>-6.8842491344356591E-3</v>
      </c>
      <c r="Z1249">
        <f>LN(C1249/C1248)</f>
        <v>4.3451374111485609E-4</v>
      </c>
    </row>
    <row r="1250" spans="1:26" x14ac:dyDescent="0.3">
      <c r="A1250" s="11">
        <v>42019</v>
      </c>
      <c r="B1250" s="12">
        <v>19873.400000000001</v>
      </c>
      <c r="C1250" s="12">
        <v>35.695309999999999</v>
      </c>
      <c r="D1250" s="16">
        <f t="shared" si="265"/>
        <v>6.7129732818396182E-3</v>
      </c>
      <c r="E1250" s="15">
        <f t="shared" si="264"/>
        <v>4.3441935369048501E-4</v>
      </c>
      <c r="G1250" s="25" t="str">
        <f>IF(VLOOKUP(A1250,Aux!B:C,2,FALSE)=0,"",VLOOKUP(A1250,Aux!B:C,2,FALSE))</f>
        <v/>
      </c>
      <c r="H1250" s="25" t="str">
        <f t="shared" si="253"/>
        <v/>
      </c>
      <c r="L1250" s="13">
        <f t="shared" si="256"/>
        <v>122377.2263015193</v>
      </c>
      <c r="M1250" s="14">
        <f t="shared" si="257"/>
        <v>398.70654471759741</v>
      </c>
      <c r="N1250" s="14">
        <f t="shared" si="258"/>
        <v>27.176365973082202</v>
      </c>
      <c r="O1250" s="1">
        <f t="shared" si="259"/>
        <v>3.008651861738576</v>
      </c>
      <c r="P1250" s="1">
        <f t="shared" si="260"/>
        <v>1753.3139337477082</v>
      </c>
      <c r="S1250" s="6">
        <f t="shared" si="254"/>
        <v>0.48858879806408151</v>
      </c>
      <c r="T1250" s="6">
        <f t="shared" si="255"/>
        <v>0.5114112019359186</v>
      </c>
      <c r="V1250" s="1">
        <f t="shared" si="261"/>
        <v>125703.7656998395</v>
      </c>
      <c r="W1250" s="7">
        <f t="shared" si="262"/>
        <v>3.4861526226671472E-3</v>
      </c>
      <c r="X1250" s="7">
        <f t="shared" si="263"/>
        <v>2.711657560318873E-3</v>
      </c>
      <c r="Y1250">
        <f>LN(B1250/B1249)</f>
        <v>6.6905416095506785E-3</v>
      </c>
      <c r="Z1250">
        <f>LN(C1250/C1249)</f>
        <v>4.3432502092205266E-4</v>
      </c>
    </row>
    <row r="1251" spans="1:26" x14ac:dyDescent="0.3">
      <c r="A1251" s="9">
        <v>42020</v>
      </c>
      <c r="B1251" s="1">
        <v>20276.72</v>
      </c>
      <c r="C1251" s="1">
        <v>35.710819999999998</v>
      </c>
      <c r="D1251" s="6">
        <f t="shared" si="265"/>
        <v>2.0294463956846753E-2</v>
      </c>
      <c r="E1251" s="5">
        <f t="shared" si="264"/>
        <v>4.34510864312454E-4</v>
      </c>
      <c r="G1251" s="25" t="str">
        <f>IF(VLOOKUP(A1251,Aux!B:C,2,FALSE)=0,"",VLOOKUP(A1251,Aux!B:C,2,FALSE))</f>
        <v/>
      </c>
      <c r="H1251" s="25" t="str">
        <f t="shared" si="253"/>
        <v/>
      </c>
      <c r="L1251" s="13">
        <f t="shared" si="256"/>
        <v>123617.86966950812</v>
      </c>
      <c r="M1251" s="14">
        <f t="shared" si="257"/>
        <v>1213.4494688764016</v>
      </c>
      <c r="N1251" s="14">
        <f t="shared" si="258"/>
        <v>27.193899112425246</v>
      </c>
      <c r="O1251" s="1">
        <f t="shared" si="259"/>
        <v>3.008651861738576</v>
      </c>
      <c r="P1251" s="1">
        <f t="shared" si="260"/>
        <v>1753.3139337477082</v>
      </c>
      <c r="S1251" s="6">
        <f t="shared" si="254"/>
        <v>0.49350139701525375</v>
      </c>
      <c r="T1251" s="6">
        <f t="shared" si="255"/>
        <v>0.50649860298474647</v>
      </c>
      <c r="V1251" s="1">
        <f t="shared" si="261"/>
        <v>126668.93697252657</v>
      </c>
      <c r="W1251" s="7">
        <f t="shared" si="262"/>
        <v>1.0086818048666672E-2</v>
      </c>
      <c r="X1251" s="7">
        <f t="shared" si="263"/>
        <v>7.6488143766978512E-3</v>
      </c>
      <c r="Y1251">
        <f>LN(B1251/B1250)</f>
        <v>2.0091275786966865E-2</v>
      </c>
      <c r="Z1251">
        <f>LN(C1251/C1250)</f>
        <v>4.3441649180311535E-4</v>
      </c>
    </row>
    <row r="1252" spans="1:26" x14ac:dyDescent="0.3">
      <c r="A1252" s="11">
        <v>42023</v>
      </c>
      <c r="B1252" s="12">
        <v>19781.990000000002</v>
      </c>
      <c r="C1252" s="12">
        <v>35.72634</v>
      </c>
      <c r="D1252" s="16">
        <f t="shared" si="265"/>
        <v>-2.4398916590059883E-2</v>
      </c>
      <c r="E1252" s="15">
        <f t="shared" si="264"/>
        <v>4.3460217379509558E-4</v>
      </c>
      <c r="G1252" s="25" t="str">
        <f>IF(VLOOKUP(A1252,Aux!B:C,2,FALSE)=0,"",VLOOKUP(A1252,Aux!B:C,2,FALSE))</f>
        <v/>
      </c>
      <c r="H1252" s="25" t="str">
        <f t="shared" si="253"/>
        <v/>
      </c>
      <c r="L1252" s="13">
        <f t="shared" si="256"/>
        <v>122156.61076620196</v>
      </c>
      <c r="M1252" s="14">
        <f t="shared" si="257"/>
        <v>-1488.4703355579245</v>
      </c>
      <c r="N1252" s="14">
        <f t="shared" si="258"/>
        <v>27.211432251768287</v>
      </c>
      <c r="O1252" s="1">
        <f t="shared" si="259"/>
        <v>3.008651861738576</v>
      </c>
      <c r="P1252" s="1">
        <f t="shared" si="260"/>
        <v>1753.3139337477082</v>
      </c>
      <c r="S1252" s="6">
        <f t="shared" si="254"/>
        <v>0.48721981290316685</v>
      </c>
      <c r="T1252" s="6">
        <f t="shared" si="255"/>
        <v>0.51278018709683337</v>
      </c>
      <c r="V1252" s="1">
        <f t="shared" si="261"/>
        <v>125562.29785258119</v>
      </c>
      <c r="W1252" s="7">
        <f t="shared" si="262"/>
        <v>-1.1891194881084121E-2</v>
      </c>
      <c r="X1252" s="7">
        <f t="shared" si="263"/>
        <v>-8.7748547198006691E-3</v>
      </c>
      <c r="Y1252">
        <f>LN(B1252/B1251)</f>
        <v>-2.4701502134694762E-2</v>
      </c>
      <c r="Z1252">
        <f>LN(C1252/C1251)</f>
        <v>4.345077616238613E-4</v>
      </c>
    </row>
    <row r="1253" spans="1:26" x14ac:dyDescent="0.3">
      <c r="A1253" s="9">
        <v>42024</v>
      </c>
      <c r="B1253" s="1">
        <v>19820.84</v>
      </c>
      <c r="C1253" s="1">
        <v>35.741860000000003</v>
      </c>
      <c r="D1253" s="6">
        <f t="shared" si="265"/>
        <v>1.9639075745159218E-3</v>
      </c>
      <c r="E1253" s="5">
        <f t="shared" si="264"/>
        <v>4.3441337679706038E-4</v>
      </c>
      <c r="G1253" s="25" t="str">
        <f>IF(VLOOKUP(A1253,Aux!B:C,2,FALSE)=0,"",VLOOKUP(A1253,Aux!B:C,2,FALSE))</f>
        <v/>
      </c>
      <c r="H1253" s="25" t="str">
        <f t="shared" si="253"/>
        <v/>
      </c>
      <c r="L1253" s="13">
        <f t="shared" si="256"/>
        <v>122300.70832328228</v>
      </c>
      <c r="M1253" s="14">
        <f t="shared" si="257"/>
        <v>116.88612482853929</v>
      </c>
      <c r="N1253" s="14">
        <f t="shared" si="258"/>
        <v>27.211432251768287</v>
      </c>
      <c r="O1253" s="1">
        <f t="shared" si="259"/>
        <v>3.008651861738576</v>
      </c>
      <c r="P1253" s="1">
        <f t="shared" si="260"/>
        <v>1753.3139337477082</v>
      </c>
      <c r="S1253" s="6">
        <f t="shared" si="254"/>
        <v>0.48760148640831674</v>
      </c>
      <c r="T1253" s="6">
        <f t="shared" si="255"/>
        <v>0.51239851359168342</v>
      </c>
      <c r="V1253" s="1">
        <f t="shared" si="261"/>
        <v>125686.64645736406</v>
      </c>
      <c r="W1253" s="7">
        <f t="shared" si="262"/>
        <v>1.1789180565874404E-3</v>
      </c>
      <c r="X1253" s="7">
        <f t="shared" si="263"/>
        <v>9.8984387996021907E-4</v>
      </c>
      <c r="Y1253">
        <f>LN(B1253/B1252)</f>
        <v>1.9619816292087708E-3</v>
      </c>
      <c r="Z1253">
        <f>LN(C1253/C1252)</f>
        <v>4.3431904662396089E-4</v>
      </c>
    </row>
    <row r="1254" spans="1:26" x14ac:dyDescent="0.3">
      <c r="A1254" s="11">
        <v>42025</v>
      </c>
      <c r="B1254" s="12">
        <v>20350.16</v>
      </c>
      <c r="C1254" s="12">
        <v>35.757399999999997</v>
      </c>
      <c r="D1254" s="16">
        <f t="shared" si="265"/>
        <v>2.6705225409215716E-2</v>
      </c>
      <c r="E1254" s="15">
        <f t="shared" si="264"/>
        <v>4.3478431172849774E-4</v>
      </c>
      <c r="G1254" s="25" t="str">
        <f>IF(VLOOKUP(A1254,Aux!B:C,2,FALSE)=0,"",VLOOKUP(A1254,Aux!B:C,2,FALSE))</f>
        <v/>
      </c>
      <c r="H1254" s="25" t="str">
        <f t="shared" si="253"/>
        <v/>
      </c>
      <c r="L1254" s="13">
        <f t="shared" si="256"/>
        <v>123920.49442526816</v>
      </c>
      <c r="M1254" s="14">
        <f t="shared" si="257"/>
        <v>1592.5396034554622</v>
      </c>
      <c r="N1254" s="14">
        <f t="shared" si="258"/>
        <v>27.246498530429456</v>
      </c>
      <c r="O1254" s="1">
        <f t="shared" si="259"/>
        <v>3.008651861738576</v>
      </c>
      <c r="P1254" s="1">
        <f t="shared" si="260"/>
        <v>1753.3139337477082</v>
      </c>
      <c r="S1254" s="6">
        <f t="shared" si="254"/>
        <v>0.49407926473051117</v>
      </c>
      <c r="T1254" s="6">
        <f t="shared" si="255"/>
        <v>0.50592073526948911</v>
      </c>
      <c r="V1254" s="1">
        <f t="shared" si="261"/>
        <v>126942.57125152856</v>
      </c>
      <c r="W1254" s="7">
        <f t="shared" si="262"/>
        <v>1.3157351612270459E-2</v>
      </c>
      <c r="X1254" s="7">
        <f t="shared" si="263"/>
        <v>9.9429127986322662E-3</v>
      </c>
      <c r="Y1254">
        <f>LN(B1254/B1253)</f>
        <v>2.6354864828887357E-2</v>
      </c>
      <c r="Z1254">
        <f>LN(C1254/C1253)</f>
        <v>4.3468982041753608E-4</v>
      </c>
    </row>
    <row r="1255" spans="1:26" x14ac:dyDescent="0.3">
      <c r="A1255" s="9">
        <v>42026</v>
      </c>
      <c r="B1255" s="1">
        <v>20435.34</v>
      </c>
      <c r="C1255" s="1">
        <v>35.772930000000002</v>
      </c>
      <c r="D1255" s="6">
        <f t="shared" si="265"/>
        <v>4.1857164759393495E-3</v>
      </c>
      <c r="E1255" s="5">
        <f t="shared" si="264"/>
        <v>4.3431569409424498E-4</v>
      </c>
      <c r="G1255" s="25" t="str">
        <f>IF(VLOOKUP(A1255,Aux!B:C,2,FALSE)=0,"",VLOOKUP(A1255,Aux!B:C,2,FALSE))</f>
        <v/>
      </c>
      <c r="H1255" s="25" t="str">
        <f t="shared" si="253"/>
        <v/>
      </c>
      <c r="L1255" s="13">
        <f t="shared" si="256"/>
        <v>124204.00035624216</v>
      </c>
      <c r="M1255" s="14">
        <f t="shared" si="257"/>
        <v>256.27696558289279</v>
      </c>
      <c r="N1255" s="14">
        <f t="shared" si="258"/>
        <v>27.228965391111331</v>
      </c>
      <c r="O1255" s="1">
        <f t="shared" si="259"/>
        <v>3.008651861738576</v>
      </c>
      <c r="P1255" s="1">
        <f t="shared" si="260"/>
        <v>1753.3139337477082</v>
      </c>
      <c r="S1255" s="6">
        <f t="shared" si="254"/>
        <v>0.49501484299954618</v>
      </c>
      <c r="T1255" s="6">
        <f t="shared" si="255"/>
        <v>0.5049851570004541</v>
      </c>
      <c r="V1255" s="1">
        <f t="shared" si="261"/>
        <v>127173.82715826813</v>
      </c>
      <c r="W1255" s="7">
        <f t="shared" si="262"/>
        <v>2.2851919928211632E-3</v>
      </c>
      <c r="X1255" s="7">
        <f t="shared" si="263"/>
        <v>1.8200790820790602E-3</v>
      </c>
      <c r="Y1255">
        <f>LN(B1255/B1254)</f>
        <v>4.176980733141945E-3</v>
      </c>
      <c r="Z1255">
        <f>LN(C1255/C1254)</f>
        <v>4.3422140633262525E-4</v>
      </c>
    </row>
    <row r="1256" spans="1:26" x14ac:dyDescent="0.3">
      <c r="A1256" s="11">
        <v>42027</v>
      </c>
      <c r="B1256" s="12">
        <v>20181.64</v>
      </c>
      <c r="C1256" s="12">
        <v>35.789140000000003</v>
      </c>
      <c r="D1256" s="16">
        <f t="shared" si="265"/>
        <v>-1.2414767750377531E-2</v>
      </c>
      <c r="E1256" s="15">
        <f t="shared" si="264"/>
        <v>4.5313593267315433E-4</v>
      </c>
      <c r="G1256" s="25" t="str">
        <f>IF(VLOOKUP(A1256,Aux!B:C,2,FALSE)=0,"",VLOOKUP(A1256,Aux!B:C,2,FALSE))</f>
        <v/>
      </c>
      <c r="H1256" s="25" t="str">
        <f t="shared" si="253"/>
        <v/>
      </c>
      <c r="L1256" s="13">
        <f t="shared" si="256"/>
        <v>123469.12659778513</v>
      </c>
      <c r="M1256" s="14">
        <f t="shared" si="257"/>
        <v>-763.29497732307891</v>
      </c>
      <c r="N1256" s="14">
        <f t="shared" si="258"/>
        <v>28.421218866052008</v>
      </c>
      <c r="O1256" s="1">
        <f t="shared" si="259"/>
        <v>3.008651861738576</v>
      </c>
      <c r="P1256" s="1">
        <f t="shared" si="260"/>
        <v>1753.3139337477082</v>
      </c>
      <c r="S1256" s="6">
        <f t="shared" si="254"/>
        <v>0.49177904170925707</v>
      </c>
      <c r="T1256" s="6">
        <f t="shared" si="255"/>
        <v>0.50822095829074332</v>
      </c>
      <c r="V1256" s="1">
        <f t="shared" si="261"/>
        <v>126624.79630099569</v>
      </c>
      <c r="W1256" s="7">
        <f t="shared" si="262"/>
        <v>-5.9342402145480203E-3</v>
      </c>
      <c r="X1256" s="7">
        <f t="shared" si="263"/>
        <v>-4.3265145115354096E-3</v>
      </c>
      <c r="Y1256">
        <f>LN(B1256/B1255)</f>
        <v>-1.2492474792593952E-2</v>
      </c>
      <c r="Z1256">
        <f>LN(C1256/C1255)</f>
        <v>4.5303329759034E-4</v>
      </c>
    </row>
    <row r="1257" spans="1:26" x14ac:dyDescent="0.3">
      <c r="A1257" s="9">
        <v>42030</v>
      </c>
      <c r="B1257" s="1">
        <v>20096.060000000001</v>
      </c>
      <c r="C1257" s="1">
        <v>35.805340000000001</v>
      </c>
      <c r="D1257" s="6">
        <f t="shared" si="265"/>
        <v>-4.2404878889921171E-3</v>
      </c>
      <c r="E1257" s="5">
        <f t="shared" si="264"/>
        <v>4.526512791309667E-4</v>
      </c>
      <c r="G1257" s="25" t="str">
        <f>IF(VLOOKUP(A1257,Aux!B:C,2,FALSE)=0,"",VLOOKUP(A1257,Aux!B:C,2,FALSE))</f>
        <v/>
      </c>
      <c r="H1257" s="25" t="str">
        <f t="shared" si="253"/>
        <v/>
      </c>
      <c r="L1257" s="13">
        <f t="shared" si="256"/>
        <v>123240.04985718425</v>
      </c>
      <c r="M1257" s="14">
        <f t="shared" si="257"/>
        <v>-257.48042632758165</v>
      </c>
      <c r="N1257" s="14">
        <f t="shared" si="258"/>
        <v>28.403685726708968</v>
      </c>
      <c r="O1257" s="1">
        <f t="shared" si="259"/>
        <v>3.008651861738576</v>
      </c>
      <c r="P1257" s="1">
        <f t="shared" si="260"/>
        <v>1753.3139337477082</v>
      </c>
      <c r="S1257" s="6">
        <f t="shared" si="254"/>
        <v>0.49060389380462027</v>
      </c>
      <c r="T1257" s="6">
        <f t="shared" si="255"/>
        <v>0.50939610619538012</v>
      </c>
      <c r="V1257" s="1">
        <f t="shared" si="261"/>
        <v>126463.60179326768</v>
      </c>
      <c r="W1257" s="7">
        <f t="shared" si="262"/>
        <v>-1.8570594716152253E-3</v>
      </c>
      <c r="X1257" s="7">
        <f t="shared" si="263"/>
        <v>-1.2738199833592992E-3</v>
      </c>
      <c r="Y1257">
        <f>LN(B1257/B1256)</f>
        <v>-4.249504255984797E-3</v>
      </c>
      <c r="Z1257">
        <f>LN(C1257/C1256)</f>
        <v>4.5254886344527913E-4</v>
      </c>
    </row>
    <row r="1258" spans="1:26" x14ac:dyDescent="0.3">
      <c r="A1258" s="11">
        <v>42031</v>
      </c>
      <c r="B1258" s="12">
        <v>20100.97</v>
      </c>
      <c r="C1258" s="12">
        <v>35.821550000000002</v>
      </c>
      <c r="D1258" s="16">
        <f t="shared" si="265"/>
        <v>2.4432649982131238E-4</v>
      </c>
      <c r="E1258" s="15">
        <f t="shared" si="264"/>
        <v>4.5272576660360109E-4</v>
      </c>
      <c r="G1258" s="25" t="str">
        <f>IF(VLOOKUP(A1258,Aux!B:C,2,FALSE)=0,"",VLOOKUP(A1258,Aux!B:C,2,FALSE))</f>
        <v/>
      </c>
      <c r="H1258" s="25" t="str">
        <f t="shared" si="253"/>
        <v/>
      </c>
      <c r="L1258" s="13">
        <f t="shared" si="256"/>
        <v>123283.24355669144</v>
      </c>
      <c r="M1258" s="14">
        <f t="shared" si="257"/>
        <v>14.772480641135971</v>
      </c>
      <c r="N1258" s="14">
        <f t="shared" si="258"/>
        <v>28.421218866052008</v>
      </c>
      <c r="O1258" s="1">
        <f t="shared" si="259"/>
        <v>3.008651861738576</v>
      </c>
      <c r="P1258" s="1">
        <f t="shared" si="260"/>
        <v>1753.3139337477082</v>
      </c>
      <c r="S1258" s="6">
        <f t="shared" si="254"/>
        <v>0.49055183063415408</v>
      </c>
      <c r="T1258" s="6">
        <f t="shared" si="255"/>
        <v>0.50944816936584636</v>
      </c>
      <c r="V1258" s="1">
        <f t="shared" si="261"/>
        <v>126511.19325222145</v>
      </c>
      <c r="W1258" s="7">
        <f t="shared" si="262"/>
        <v>3.5042286958813129E-4</v>
      </c>
      <c r="X1258" s="7">
        <f t="shared" si="263"/>
        <v>3.7625455537307421E-4</v>
      </c>
      <c r="Y1258">
        <f>LN(B1258/B1257)</f>
        <v>2.4429665696289003E-4</v>
      </c>
      <c r="Z1258">
        <f>LN(C1258/C1257)</f>
        <v>4.5262331721354718E-4</v>
      </c>
    </row>
    <row r="1259" spans="1:26" x14ac:dyDescent="0.3">
      <c r="A1259" s="9">
        <v>42032</v>
      </c>
      <c r="B1259" s="1">
        <v>19772.87</v>
      </c>
      <c r="C1259" s="1">
        <v>35.837760000000003</v>
      </c>
      <c r="D1259" s="6">
        <f t="shared" si="265"/>
        <v>-1.6322595377238125E-2</v>
      </c>
      <c r="E1259" s="5">
        <f t="shared" si="264"/>
        <v>4.5252089873271117E-4</v>
      </c>
      <c r="G1259" s="25" t="str">
        <f>IF(VLOOKUP(A1259,Aux!B:C,2,FALSE)=0,"",VLOOKUP(A1259,Aux!B:C,2,FALSE))</f>
        <v/>
      </c>
      <c r="H1259" s="25" t="str">
        <f t="shared" si="253"/>
        <v/>
      </c>
      <c r="L1259" s="13">
        <f t="shared" si="256"/>
        <v>122324.52609972104</v>
      </c>
      <c r="M1259" s="14">
        <f t="shared" si="257"/>
        <v>-987.13867583643332</v>
      </c>
      <c r="N1259" s="14">
        <f t="shared" si="258"/>
        <v>28.421218866052008</v>
      </c>
      <c r="O1259" s="1">
        <f t="shared" si="259"/>
        <v>3.008651861738576</v>
      </c>
      <c r="P1259" s="1">
        <f t="shared" si="260"/>
        <v>1753.3139337477082</v>
      </c>
      <c r="S1259" s="6">
        <f t="shared" si="254"/>
        <v>0.48632669207251072</v>
      </c>
      <c r="T1259" s="6">
        <f t="shared" si="255"/>
        <v>0.51367330792748978</v>
      </c>
      <c r="V1259" s="1">
        <f t="shared" si="261"/>
        <v>125790.51899242308</v>
      </c>
      <c r="W1259" s="7">
        <f t="shared" si="262"/>
        <v>-7.8069380920250042E-3</v>
      </c>
      <c r="X1259" s="7">
        <f t="shared" si="263"/>
        <v>-5.712812754168281E-3</v>
      </c>
      <c r="Y1259">
        <f>LN(B1259/B1258)</f>
        <v>-1.6457276511963548E-2</v>
      </c>
      <c r="Z1259">
        <f>LN(C1259/C1258)</f>
        <v>4.5241854202868388E-4</v>
      </c>
    </row>
    <row r="1260" spans="1:26" x14ac:dyDescent="0.3">
      <c r="A1260" s="11">
        <v>42033</v>
      </c>
      <c r="B1260" s="12">
        <v>19814.060000000001</v>
      </c>
      <c r="C1260" s="12">
        <v>35.85398</v>
      </c>
      <c r="D1260" s="16">
        <f t="shared" si="265"/>
        <v>2.0831573767492451E-3</v>
      </c>
      <c r="E1260" s="15">
        <f t="shared" si="264"/>
        <v>4.5259525148888535E-4</v>
      </c>
      <c r="G1260" s="25" t="str">
        <f>IF(VLOOKUP(A1260,Aux!B:C,2,FALSE)=0,"",VLOOKUP(A1260,Aux!B:C,2,FALSE))</f>
        <v/>
      </c>
      <c r="H1260" s="25" t="str">
        <f t="shared" si="253"/>
        <v/>
      </c>
      <c r="L1260" s="13">
        <f t="shared" si="256"/>
        <v>122476.89122191144</v>
      </c>
      <c r="M1260" s="14">
        <f t="shared" si="257"/>
        <v>123.92637018501895</v>
      </c>
      <c r="N1260" s="14">
        <f t="shared" si="258"/>
        <v>28.438752005382593</v>
      </c>
      <c r="O1260" s="1">
        <f t="shared" si="259"/>
        <v>3.008651861738576</v>
      </c>
      <c r="P1260" s="1">
        <f t="shared" si="260"/>
        <v>1753.3139337477082</v>
      </c>
      <c r="S1260" s="6">
        <f t="shared" si="254"/>
        <v>0.486733521016533</v>
      </c>
      <c r="T1260" s="6">
        <f t="shared" si="255"/>
        <v>0.51326647898346767</v>
      </c>
      <c r="V1260" s="1">
        <f t="shared" si="261"/>
        <v>125921.83205178264</v>
      </c>
      <c r="W1260" s="7">
        <f t="shared" si="262"/>
        <v>1.2448060434625337E-3</v>
      </c>
      <c r="X1260" s="7">
        <f t="shared" si="263"/>
        <v>1.0433581882419824E-3</v>
      </c>
      <c r="Y1260">
        <f>LN(B1260/B1259)</f>
        <v>2.0809906130391672E-3</v>
      </c>
      <c r="Z1260">
        <f>LN(C1260/C1259)</f>
        <v>4.5249286115113904E-4</v>
      </c>
    </row>
    <row r="1261" spans="1:26" x14ac:dyDescent="0.3">
      <c r="A1261" s="9">
        <v>42034</v>
      </c>
      <c r="B1261" s="1">
        <v>19485.080000000002</v>
      </c>
      <c r="C1261" s="1">
        <v>35.87021</v>
      </c>
      <c r="D1261" s="6">
        <f t="shared" si="265"/>
        <v>-1.6603361451413723E-2</v>
      </c>
      <c r="E1261" s="5">
        <f t="shared" si="264"/>
        <v>4.5266941076005374E-4</v>
      </c>
      <c r="G1261" s="25" t="str">
        <f>IF(VLOOKUP(A1261,Aux!B:C,2,FALSE)=0,"",VLOOKUP(A1261,Aux!B:C,2,FALSE))</f>
        <v/>
      </c>
      <c r="H1261" s="25" t="str">
        <f t="shared" si="253"/>
        <v/>
      </c>
      <c r="L1261" s="13">
        <f t="shared" si="256"/>
        <v>121515.56121758142</v>
      </c>
      <c r="M1261" s="14">
        <f t="shared" si="257"/>
        <v>-989.78628947475545</v>
      </c>
      <c r="N1261" s="14">
        <f t="shared" si="258"/>
        <v>28.456285144725637</v>
      </c>
      <c r="O1261" s="1">
        <f t="shared" si="259"/>
        <v>3.008651861738576</v>
      </c>
      <c r="P1261" s="1">
        <f t="shared" si="260"/>
        <v>1753.3139337477082</v>
      </c>
      <c r="S1261" s="6">
        <f t="shared" si="254"/>
        <v>0.48243880562058533</v>
      </c>
      <c r="T1261" s="6">
        <f t="shared" si="255"/>
        <v>0.51756119437941517</v>
      </c>
      <c r="V1261" s="1">
        <f t="shared" si="261"/>
        <v>125199.17234385095</v>
      </c>
      <c r="W1261" s="7">
        <f t="shared" si="262"/>
        <v>-7.8800386585420358E-3</v>
      </c>
      <c r="X1261" s="7">
        <f t="shared" si="263"/>
        <v>-5.7554859224056027E-3</v>
      </c>
      <c r="Y1261">
        <f>LN(B1261/B1260)</f>
        <v>-1.6742742203564656E-2</v>
      </c>
      <c r="Z1261">
        <f>LN(C1261/C1260)</f>
        <v>4.5256698687061025E-4</v>
      </c>
    </row>
    <row r="1262" spans="1:26" x14ac:dyDescent="0.3">
      <c r="A1262" s="11">
        <v>42037</v>
      </c>
      <c r="B1262" s="12">
        <v>19770.16</v>
      </c>
      <c r="C1262" s="12">
        <v>35.886449999999996</v>
      </c>
      <c r="D1262" s="16">
        <f t="shared" si="265"/>
        <v>1.4630681526583311E-2</v>
      </c>
      <c r="E1262" s="15">
        <f t="shared" si="264"/>
        <v>4.5274337674627851E-4</v>
      </c>
      <c r="G1262" s="25" t="str">
        <f>IF(VLOOKUP(A1262,Aux!B:C,2,FALSE)=0,"",VLOOKUP(A1262,Aux!B:C,2,FALSE))</f>
        <v/>
      </c>
      <c r="H1262" s="25" t="str">
        <f t="shared" si="253"/>
        <v/>
      </c>
      <c r="L1262" s="13">
        <f t="shared" si="256"/>
        <v>122401.74150860989</v>
      </c>
      <c r="M1262" s="14">
        <f t="shared" si="257"/>
        <v>857.70647274442751</v>
      </c>
      <c r="N1262" s="14">
        <f t="shared" si="258"/>
        <v>28.473818284056218</v>
      </c>
      <c r="O1262" s="1">
        <f t="shared" si="259"/>
        <v>3.008651861738576</v>
      </c>
      <c r="P1262" s="1">
        <f t="shared" si="260"/>
        <v>1753.3139337477082</v>
      </c>
      <c r="S1262" s="6">
        <f t="shared" si="254"/>
        <v>0.48595328757381712</v>
      </c>
      <c r="T1262" s="6">
        <f t="shared" si="255"/>
        <v>0.51404671242618349</v>
      </c>
      <c r="V1262" s="1">
        <f t="shared" si="261"/>
        <v>125893.19290717758</v>
      </c>
      <c r="W1262" s="7">
        <f t="shared" si="262"/>
        <v>7.2662675440698559E-3</v>
      </c>
      <c r="X1262" s="7">
        <f t="shared" si="263"/>
        <v>5.5280241596836199E-3</v>
      </c>
      <c r="Y1262">
        <f>LN(B1262/B1261)</f>
        <v>1.4524685715490647E-2</v>
      </c>
      <c r="Z1262">
        <f>LN(C1262/C1261)</f>
        <v>4.526409193871121E-4</v>
      </c>
    </row>
    <row r="1263" spans="1:26" x14ac:dyDescent="0.3">
      <c r="A1263" s="9">
        <v>42038</v>
      </c>
      <c r="B1263" s="1">
        <v>20270.11</v>
      </c>
      <c r="C1263" s="1">
        <v>35.90269</v>
      </c>
      <c r="D1263" s="6">
        <f t="shared" si="265"/>
        <v>2.5288110971281919E-2</v>
      </c>
      <c r="E1263" s="5">
        <f t="shared" si="264"/>
        <v>4.5253849294102366E-4</v>
      </c>
      <c r="G1263" s="25" t="str">
        <f>IF(VLOOKUP(A1263,Aux!B:C,2,FALSE)=0,"",VLOOKUP(A1263,Aux!B:C,2,FALSE))</f>
        <v/>
      </c>
      <c r="H1263" s="25" t="str">
        <f t="shared" si="253"/>
        <v/>
      </c>
      <c r="L1263" s="13">
        <f t="shared" si="256"/>
        <v>123934.39082517017</v>
      </c>
      <c r="M1263" s="14">
        <f t="shared" si="257"/>
        <v>1504.1754982762034</v>
      </c>
      <c r="N1263" s="14">
        <f t="shared" si="258"/>
        <v>28.473818284068678</v>
      </c>
      <c r="O1263" s="1">
        <f t="shared" si="259"/>
        <v>3.008651861738576</v>
      </c>
      <c r="P1263" s="1">
        <f t="shared" si="260"/>
        <v>1753.3139337477082</v>
      </c>
      <c r="S1263" s="6">
        <f t="shared" si="254"/>
        <v>0.49208055797180694</v>
      </c>
      <c r="T1263" s="6">
        <f t="shared" si="255"/>
        <v>0.50791944202819361</v>
      </c>
      <c r="V1263" s="1">
        <f t="shared" si="261"/>
        <v>127082.92607669707</v>
      </c>
      <c r="W1263" s="7">
        <f t="shared" si="262"/>
        <v>1.2443721341776062E-2</v>
      </c>
      <c r="X1263" s="7">
        <f t="shared" si="263"/>
        <v>9.4059624742790192E-3</v>
      </c>
      <c r="Y1263">
        <f>LN(B1263/B1262)</f>
        <v>2.4973656968121732E-2</v>
      </c>
      <c r="Z1263">
        <f>LN(C1263/C1262)</f>
        <v>4.52436128278696E-4</v>
      </c>
    </row>
    <row r="1264" spans="1:26" x14ac:dyDescent="0.3">
      <c r="A1264" s="11">
        <v>42039</v>
      </c>
      <c r="B1264" s="12">
        <v>20389.080000000002</v>
      </c>
      <c r="C1264" s="12">
        <v>35.918959999999998</v>
      </c>
      <c r="D1264" s="16">
        <f t="shared" si="265"/>
        <v>5.8692330727361242E-3</v>
      </c>
      <c r="E1264" s="15">
        <f t="shared" si="264"/>
        <v>4.531693864722186E-4</v>
      </c>
      <c r="G1264" s="25" t="str">
        <f>IF(VLOOKUP(A1264,Aux!B:C,2,FALSE)=0,"",VLOOKUP(A1264,Aux!B:C,2,FALSE))</f>
        <v/>
      </c>
      <c r="H1264" s="25" t="str">
        <f t="shared" si="253"/>
        <v/>
      </c>
      <c r="L1264" s="13">
        <f t="shared" si="256"/>
        <v>124320.85655486328</v>
      </c>
      <c r="M1264" s="14">
        <f t="shared" si="257"/>
        <v>357.9393119910419</v>
      </c>
      <c r="N1264" s="14">
        <f t="shared" si="258"/>
        <v>28.526417702072887</v>
      </c>
      <c r="O1264" s="1">
        <f t="shared" si="259"/>
        <v>3.008651861738576</v>
      </c>
      <c r="P1264" s="1">
        <f t="shared" si="260"/>
        <v>1753.3139337477082</v>
      </c>
      <c r="S1264" s="6">
        <f t="shared" si="254"/>
        <v>0.49343002615225373</v>
      </c>
      <c r="T1264" s="6">
        <f t="shared" si="255"/>
        <v>0.50656997384774682</v>
      </c>
      <c r="V1264" s="1">
        <f t="shared" si="261"/>
        <v>127393.79217343868</v>
      </c>
      <c r="W1264" s="7">
        <f t="shared" si="262"/>
        <v>3.1134571853699577E-3</v>
      </c>
      <c r="X1264" s="7">
        <f t="shared" si="263"/>
        <v>2.4431802917968316E-3</v>
      </c>
      <c r="Y1264">
        <f>LN(B1264/B1263)</f>
        <v>5.8520762232720331E-3</v>
      </c>
      <c r="Z1264">
        <f>LN(C1264/C1263)</f>
        <v>4.5306673623659281E-4</v>
      </c>
    </row>
    <row r="1265" spans="1:26" x14ac:dyDescent="0.3">
      <c r="A1265" s="9">
        <v>42040</v>
      </c>
      <c r="B1265" s="1">
        <v>20386.8</v>
      </c>
      <c r="C1265" s="1">
        <v>35.935229999999997</v>
      </c>
      <c r="D1265" s="6">
        <f t="shared" si="265"/>
        <v>-1.1182456491432013E-4</v>
      </c>
      <c r="E1265" s="5">
        <f t="shared" si="264"/>
        <v>4.5296411700102013E-4</v>
      </c>
      <c r="G1265" s="25" t="str">
        <f>IF(VLOOKUP(A1265,Aux!B:C,2,FALSE)=0,"",VLOOKUP(A1265,Aux!B:C,2,FALSE))</f>
        <v/>
      </c>
      <c r="H1265" s="25" t="str">
        <f t="shared" si="253"/>
        <v/>
      </c>
      <c r="L1265" s="13">
        <f t="shared" si="256"/>
        <v>124342.52324632058</v>
      </c>
      <c r="M1265" s="14">
        <f t="shared" si="257"/>
        <v>-6.8597262447713963</v>
      </c>
      <c r="N1265" s="14">
        <f t="shared" si="258"/>
        <v>28.526417702072887</v>
      </c>
      <c r="O1265" s="1">
        <f t="shared" si="259"/>
        <v>3.008651861738576</v>
      </c>
      <c r="P1265" s="1">
        <f t="shared" si="260"/>
        <v>1753.3139337477082</v>
      </c>
      <c r="S1265" s="6">
        <f t="shared" si="254"/>
        <v>0.49328887795999443</v>
      </c>
      <c r="T1265" s="6">
        <f t="shared" si="255"/>
        <v>0.50671112204000612</v>
      </c>
      <c r="V1265" s="1">
        <f t="shared" si="261"/>
        <v>127424.93027883256</v>
      </c>
      <c r="W1265" s="7">
        <f t="shared" si="262"/>
        <v>1.7426523784438484E-4</v>
      </c>
      <c r="X1265" s="7">
        <f t="shared" si="263"/>
        <v>2.4439417362435729E-4</v>
      </c>
      <c r="Y1265">
        <f>LN(B1265/B1264)</f>
        <v>-1.1183081774713049E-4</v>
      </c>
      <c r="Z1265">
        <f>LN(C1265/C1264)</f>
        <v>4.5286155972405041E-4</v>
      </c>
    </row>
    <row r="1266" spans="1:26" x14ac:dyDescent="0.3">
      <c r="A1266" s="11">
        <v>42041</v>
      </c>
      <c r="B1266" s="12">
        <v>20216.04</v>
      </c>
      <c r="C1266" s="12">
        <v>35.951509999999999</v>
      </c>
      <c r="D1266" s="16">
        <f t="shared" si="265"/>
        <v>-8.3760080051797914E-3</v>
      </c>
      <c r="E1266" s="15">
        <f t="shared" si="264"/>
        <v>4.5303731185253326E-4</v>
      </c>
      <c r="G1266" s="25" t="str">
        <f>IF(VLOOKUP(A1266,Aux!B:C,2,FALSE)=0,"",VLOOKUP(A1266,Aux!B:C,2,FALSE))</f>
        <v/>
      </c>
      <c r="H1266" s="25" t="str">
        <f t="shared" si="253"/>
        <v/>
      </c>
      <c r="L1266" s="13">
        <f t="shared" si="256"/>
        <v>123857.30980525151</v>
      </c>
      <c r="M1266" s="14">
        <f t="shared" si="257"/>
        <v>-513.75739191047444</v>
      </c>
      <c r="N1266" s="14">
        <f t="shared" si="258"/>
        <v>28.543950841415931</v>
      </c>
      <c r="O1266" s="1">
        <f t="shared" si="259"/>
        <v>3.008651861738576</v>
      </c>
      <c r="P1266" s="1">
        <f t="shared" si="260"/>
        <v>1753.3139337477082</v>
      </c>
      <c r="S1266" s="6">
        <f t="shared" si="254"/>
        <v>0.49107336885176434</v>
      </c>
      <c r="T1266" s="6">
        <f t="shared" si="255"/>
        <v>0.50892663114823633</v>
      </c>
      <c r="V1266" s="1">
        <f t="shared" si="261"/>
        <v>127067.40150208915</v>
      </c>
      <c r="W1266" s="7">
        <f t="shared" si="262"/>
        <v>-3.9098661205925695E-3</v>
      </c>
      <c r="X1266" s="7">
        <f t="shared" si="263"/>
        <v>-2.8097429062422675E-3</v>
      </c>
      <c r="Y1266">
        <f>LN(B1266/B1265)</f>
        <v>-8.4112838790091193E-3</v>
      </c>
      <c r="Z1266">
        <f>LN(C1266/C1265)</f>
        <v>4.5293472143325699E-4</v>
      </c>
    </row>
    <row r="1267" spans="1:26" x14ac:dyDescent="0.3">
      <c r="A1267" s="9">
        <v>42044</v>
      </c>
      <c r="B1267" s="1">
        <v>20449.37</v>
      </c>
      <c r="C1267" s="1">
        <v>35.967799999999997</v>
      </c>
      <c r="D1267" s="6">
        <f t="shared" si="265"/>
        <v>1.1541825204144818E-2</v>
      </c>
      <c r="E1267" s="5">
        <f t="shared" si="264"/>
        <v>4.5311031442074601E-4</v>
      </c>
      <c r="G1267" s="25" t="str">
        <f>IF(VLOOKUP(A1267,Aux!B:C,2,FALSE)=0,"",VLOOKUP(A1267,Aux!B:C,2,FALSE))</f>
        <v/>
      </c>
      <c r="H1267" s="25" t="str">
        <f t="shared" si="253"/>
        <v/>
      </c>
      <c r="L1267" s="13">
        <f t="shared" si="256"/>
        <v>124587.88002813172</v>
      </c>
      <c r="M1267" s="14">
        <f t="shared" si="257"/>
        <v>702.00873889945626</v>
      </c>
      <c r="N1267" s="14">
        <f t="shared" si="258"/>
        <v>28.561483980746516</v>
      </c>
      <c r="O1267" s="1">
        <f t="shared" si="259"/>
        <v>3.008651861738576</v>
      </c>
      <c r="P1267" s="1">
        <f t="shared" si="260"/>
        <v>1753.3139337477082</v>
      </c>
      <c r="S1267" s="6">
        <f t="shared" si="254"/>
        <v>0.49382841338971928</v>
      </c>
      <c r="T1267" s="6">
        <f t="shared" si="255"/>
        <v>0.50617158661028128</v>
      </c>
      <c r="V1267" s="1">
        <f t="shared" si="261"/>
        <v>127642.14486181417</v>
      </c>
      <c r="W1267" s="7">
        <f t="shared" si="262"/>
        <v>5.8811549470114428E-3</v>
      </c>
      <c r="X1267" s="7">
        <f t="shared" si="263"/>
        <v>4.5129390978419937E-3</v>
      </c>
      <c r="Y1267">
        <f>LN(B1267/B1266)</f>
        <v>1.1475726453581239E-2</v>
      </c>
      <c r="Z1267">
        <f>LN(C1267/C1266)</f>
        <v>4.5300769094089668E-4</v>
      </c>
    </row>
    <row r="1268" spans="1:26" x14ac:dyDescent="0.3">
      <c r="A1268" s="11">
        <v>42045</v>
      </c>
      <c r="B1268" s="12">
        <v>20120.55</v>
      </c>
      <c r="C1268" s="12">
        <v>35.984090000000002</v>
      </c>
      <c r="D1268" s="16">
        <f t="shared" si="265"/>
        <v>-1.607971296915256E-2</v>
      </c>
      <c r="E1268" s="15">
        <f t="shared" si="264"/>
        <v>4.5290509844941873E-4</v>
      </c>
      <c r="G1268" s="25" t="str">
        <f>IF(VLOOKUP(A1268,Aux!B:C,2,FALSE)=0,"",VLOOKUP(A1268,Aux!B:C,2,FALSE))</f>
        <v/>
      </c>
      <c r="H1268" s="25" t="str">
        <f t="shared" si="253"/>
        <v/>
      </c>
      <c r="L1268" s="13">
        <f t="shared" si="256"/>
        <v>123627.1366069356</v>
      </c>
      <c r="M1268" s="14">
        <f t="shared" si="257"/>
        <v>-989.3049051768777</v>
      </c>
      <c r="N1268" s="14">
        <f t="shared" si="258"/>
        <v>28.561483980758972</v>
      </c>
      <c r="O1268" s="1">
        <f t="shared" si="259"/>
        <v>3.008651861738576</v>
      </c>
      <c r="P1268" s="1">
        <f t="shared" si="260"/>
        <v>1753.3139337477082</v>
      </c>
      <c r="S1268" s="6">
        <f t="shared" si="254"/>
        <v>0.48966377348990542</v>
      </c>
      <c r="T1268" s="6">
        <f t="shared" si="255"/>
        <v>0.51033622651009525</v>
      </c>
      <c r="V1268" s="1">
        <f t="shared" si="261"/>
        <v>126919.98850742701</v>
      </c>
      <c r="W1268" s="7">
        <f t="shared" si="262"/>
        <v>-7.7412578182748677E-3</v>
      </c>
      <c r="X1268" s="7">
        <f t="shared" si="263"/>
        <v>-5.6737290977632053E-3</v>
      </c>
      <c r="Y1268">
        <f>LN(B1268/B1267)</f>
        <v>-1.6210394326291643E-2</v>
      </c>
      <c r="Z1268">
        <f>LN(C1268/C1267)</f>
        <v>4.5280256789189137E-4</v>
      </c>
    </row>
    <row r="1269" spans="1:26" x14ac:dyDescent="0.3">
      <c r="A1269" s="9">
        <v>42046</v>
      </c>
      <c r="B1269" s="1">
        <v>19990.93</v>
      </c>
      <c r="C1269" s="1">
        <v>36.000390000000003</v>
      </c>
      <c r="D1269" s="6">
        <f t="shared" si="265"/>
        <v>-6.4421698214014445E-3</v>
      </c>
      <c r="E1269" s="5">
        <f t="shared" si="264"/>
        <v>4.5297796887466824E-4</v>
      </c>
      <c r="G1269" s="25" t="str">
        <f>IF(VLOOKUP(A1269,Aux!B:C,2,FALSE)=0,"",VLOOKUP(A1269,Aux!B:C,2,FALSE))</f>
        <v/>
      </c>
      <c r="H1269" s="25" t="str">
        <f t="shared" si="253"/>
        <v/>
      </c>
      <c r="L1269" s="13">
        <f t="shared" si="256"/>
        <v>123265.73416973714</v>
      </c>
      <c r="M1269" s="14">
        <f t="shared" si="257"/>
        <v>-389.98145431855119</v>
      </c>
      <c r="N1269" s="14">
        <f t="shared" si="258"/>
        <v>28.579017120089556</v>
      </c>
      <c r="O1269" s="1">
        <f t="shared" si="259"/>
        <v>3.008651861738576</v>
      </c>
      <c r="P1269" s="1">
        <f t="shared" si="260"/>
        <v>1753.3139337477082</v>
      </c>
      <c r="S1269" s="6">
        <f t="shared" si="254"/>
        <v>0.48793567139724936</v>
      </c>
      <c r="T1269" s="6">
        <f t="shared" si="255"/>
        <v>0.5120643286027512</v>
      </c>
      <c r="V1269" s="1">
        <f t="shared" si="261"/>
        <v>126657.41589241772</v>
      </c>
      <c r="W1269" s="7">
        <f t="shared" si="262"/>
        <v>-2.9276073803974137E-3</v>
      </c>
      <c r="X1269" s="7">
        <f t="shared" si="263"/>
        <v>-2.0709472082078668E-3</v>
      </c>
      <c r="Y1269">
        <f>LN(B1269/B1268)</f>
        <v>-6.4630101502464836E-3</v>
      </c>
      <c r="Z1269">
        <f>LN(C1269/C1268)</f>
        <v>4.5287540532604176E-4</v>
      </c>
    </row>
    <row r="1270" spans="1:26" x14ac:dyDescent="0.3">
      <c r="A1270" s="11">
        <v>42047</v>
      </c>
      <c r="B1270" s="12">
        <v>20491.34</v>
      </c>
      <c r="C1270" s="12">
        <v>36.0167</v>
      </c>
      <c r="D1270" s="16">
        <f t="shared" si="265"/>
        <v>2.5031851944856909E-2</v>
      </c>
      <c r="E1270" s="15">
        <f t="shared" si="264"/>
        <v>4.5305064750689183E-4</v>
      </c>
      <c r="G1270" s="25" t="str">
        <f>IF(VLOOKUP(A1270,Aux!B:C,2,FALSE)=0,"",VLOOKUP(A1270,Aux!B:C,2,FALSE))</f>
        <v/>
      </c>
      <c r="H1270" s="25" t="str">
        <f t="shared" si="253"/>
        <v/>
      </c>
      <c r="L1270" s="13">
        <f t="shared" si="256"/>
        <v>124799.89019812917</v>
      </c>
      <c r="M1270" s="14">
        <f t="shared" si="257"/>
        <v>1505.5594781326004</v>
      </c>
      <c r="N1270" s="14">
        <f t="shared" si="258"/>
        <v>28.596550259420141</v>
      </c>
      <c r="O1270" s="1">
        <f t="shared" si="259"/>
        <v>3.008651861738576</v>
      </c>
      <c r="P1270" s="1">
        <f t="shared" si="260"/>
        <v>1753.3139337477082</v>
      </c>
      <c r="S1270" s="6">
        <f t="shared" si="254"/>
        <v>0.49400130194539504</v>
      </c>
      <c r="T1270" s="6">
        <f t="shared" si="255"/>
        <v>0.50599869805460551</v>
      </c>
      <c r="V1270" s="1">
        <f t="shared" si="261"/>
        <v>127848.36689730038</v>
      </c>
      <c r="W1270" s="7">
        <f t="shared" si="262"/>
        <v>1.2369110730993E-2</v>
      </c>
      <c r="X1270" s="7">
        <f t="shared" si="263"/>
        <v>9.3589991146853149E-3</v>
      </c>
      <c r="Y1270">
        <f>LN(B1270/B1269)</f>
        <v>2.4723687175704653E-2</v>
      </c>
      <c r="Z1270">
        <f>LN(C1270/C1269)</f>
        <v>4.5294805104871354E-4</v>
      </c>
    </row>
    <row r="1271" spans="1:26" x14ac:dyDescent="0.3">
      <c r="A1271" s="9">
        <v>42048</v>
      </c>
      <c r="B1271" s="1">
        <v>20909.3</v>
      </c>
      <c r="C1271" s="1">
        <v>36.03302</v>
      </c>
      <c r="D1271" s="6">
        <f t="shared" si="265"/>
        <v>2.0396909133321595E-2</v>
      </c>
      <c r="E1271" s="5">
        <f t="shared" si="264"/>
        <v>4.5312313454592967E-4</v>
      </c>
      <c r="G1271" s="25" t="str">
        <f>IF(VLOOKUP(A1271,Aux!B:C,2,FALSE)=0,"",VLOOKUP(A1271,Aux!B:C,2,FALSE))</f>
        <v/>
      </c>
      <c r="H1271" s="25" t="str">
        <f t="shared" si="253"/>
        <v/>
      </c>
      <c r="L1271" s="13">
        <f t="shared" si="256"/>
        <v>126086.00041366018</v>
      </c>
      <c r="M1271" s="14">
        <f t="shared" si="257"/>
        <v>1257.4961321322526</v>
      </c>
      <c r="N1271" s="14">
        <f t="shared" si="258"/>
        <v>28.614083398763185</v>
      </c>
      <c r="O1271" s="1">
        <f t="shared" si="259"/>
        <v>3.008651861738576</v>
      </c>
      <c r="P1271" s="1">
        <f t="shared" si="260"/>
        <v>1753.3139337477082</v>
      </c>
      <c r="S1271" s="6">
        <f t="shared" si="254"/>
        <v>0.49893568014101947</v>
      </c>
      <c r="T1271" s="6">
        <f t="shared" si="255"/>
        <v>0.50106431985898114</v>
      </c>
      <c r="V1271" s="1">
        <f t="shared" si="261"/>
        <v>128849.12523939123</v>
      </c>
      <c r="W1271" s="7">
        <f t="shared" si="262"/>
        <v>1.0252640978264419E-2</v>
      </c>
      <c r="X1271" s="7">
        <f t="shared" si="263"/>
        <v>7.7972200194424647E-3</v>
      </c>
      <c r="Y1271">
        <f>LN(B1271/B1270)</f>
        <v>2.0191678207354201E-2</v>
      </c>
      <c r="Z1271">
        <f>LN(C1271/C1270)</f>
        <v>4.5302050525969817E-4</v>
      </c>
    </row>
    <row r="1272" spans="1:26" x14ac:dyDescent="0.3">
      <c r="A1272" s="11">
        <v>42053</v>
      </c>
      <c r="B1272" s="12">
        <v>21179.17</v>
      </c>
      <c r="C1272" s="12">
        <v>36.049340000000001</v>
      </c>
      <c r="D1272" s="16">
        <f t="shared" si="265"/>
        <v>1.2906697019986257E-2</v>
      </c>
      <c r="E1272" s="15">
        <f t="shared" si="264"/>
        <v>4.5291790696433409E-4</v>
      </c>
      <c r="G1272" s="25" t="str">
        <f>IF(VLOOKUP(A1272,Aux!B:C,2,FALSE)=0,"",VLOOKUP(A1272,Aux!B:C,2,FALSE))</f>
        <v/>
      </c>
      <c r="H1272" s="25" t="str">
        <f t="shared" si="253"/>
        <v/>
      </c>
      <c r="L1272" s="13">
        <f t="shared" si="256"/>
        <v>126926.55937498632</v>
      </c>
      <c r="M1272" s="14">
        <f t="shared" si="257"/>
        <v>811.94487792738641</v>
      </c>
      <c r="N1272" s="14">
        <f t="shared" si="258"/>
        <v>28.614083398763185</v>
      </c>
      <c r="O1272" s="1">
        <f t="shared" si="259"/>
        <v>3.008651861738576</v>
      </c>
      <c r="P1272" s="1">
        <f t="shared" si="260"/>
        <v>1753.3139337477082</v>
      </c>
      <c r="S1272" s="6">
        <f t="shared" si="254"/>
        <v>0.50202849241602754</v>
      </c>
      <c r="T1272" s="6">
        <f t="shared" si="255"/>
        <v>0.49797150758397307</v>
      </c>
      <c r="V1272" s="1">
        <f t="shared" si="261"/>
        <v>129508.23477126614</v>
      </c>
      <c r="W1272" s="7">
        <f t="shared" si="262"/>
        <v>6.6444294660587761E-3</v>
      </c>
      <c r="X1272" s="7">
        <f t="shared" si="263"/>
        <v>5.1023199940351113E-3</v>
      </c>
      <c r="Y1272">
        <f>LN(B1272/B1271)</f>
        <v>1.2824115417443254E-2</v>
      </c>
      <c r="Z1272">
        <f>LN(C1272/C1271)</f>
        <v>4.528153706083092E-4</v>
      </c>
    </row>
    <row r="1273" spans="1:26" x14ac:dyDescent="0.3">
      <c r="A1273" s="9">
        <v>42054</v>
      </c>
      <c r="B1273" s="1">
        <v>21199.11</v>
      </c>
      <c r="C1273" s="1">
        <v>36.065669999999997</v>
      </c>
      <c r="D1273" s="6">
        <f t="shared" si="265"/>
        <v>9.4149109714880552E-4</v>
      </c>
      <c r="E1273" s="5">
        <f t="shared" si="264"/>
        <v>4.5299026278966537E-4</v>
      </c>
      <c r="G1273" s="25" t="str">
        <f>IF(VLOOKUP(A1273,Aux!B:C,2,FALSE)=0,"",VLOOKUP(A1273,Aux!B:C,2,FALSE))</f>
        <v/>
      </c>
      <c r="H1273" s="25" t="str">
        <f t="shared" si="253"/>
        <v/>
      </c>
      <c r="L1273" s="13">
        <f t="shared" si="256"/>
        <v>127015.1835096475</v>
      </c>
      <c r="M1273" s="14">
        <f t="shared" si="257"/>
        <v>59.992518123074213</v>
      </c>
      <c r="N1273" s="14">
        <f t="shared" si="258"/>
        <v>28.63161653809377</v>
      </c>
      <c r="O1273" s="1">
        <f t="shared" si="259"/>
        <v>3.008651861738576</v>
      </c>
      <c r="P1273" s="1">
        <f t="shared" si="260"/>
        <v>1753.3139337477082</v>
      </c>
      <c r="S1273" s="6">
        <f t="shared" si="254"/>
        <v>0.50215053040376367</v>
      </c>
      <c r="T1273" s="6">
        <f t="shared" si="255"/>
        <v>0.49784946959623694</v>
      </c>
      <c r="V1273" s="1">
        <f t="shared" si="261"/>
        <v>129590.7694218675</v>
      </c>
      <c r="W1273" s="7">
        <f t="shared" si="262"/>
        <v>6.9798794993295311E-4</v>
      </c>
      <c r="X1273" s="7">
        <f t="shared" si="263"/>
        <v>6.3708969974633691E-4</v>
      </c>
      <c r="Y1273">
        <f>LN(B1273/B1272)</f>
        <v>9.4104817239047732E-4</v>
      </c>
      <c r="Z1273">
        <f>LN(C1273/C1272)</f>
        <v>4.5288769367461218E-4</v>
      </c>
    </row>
    <row r="1274" spans="1:26" x14ac:dyDescent="0.3">
      <c r="A1274" s="11">
        <v>42055</v>
      </c>
      <c r="B1274" s="12">
        <v>21161.08</v>
      </c>
      <c r="C1274" s="12">
        <v>36.082009999999997</v>
      </c>
      <c r="D1274" s="16">
        <f t="shared" si="265"/>
        <v>-1.7939432362962249E-3</v>
      </c>
      <c r="E1274" s="15">
        <f t="shared" si="264"/>
        <v>4.530624275107531E-4</v>
      </c>
      <c r="G1274" s="25" t="str">
        <f>IF(VLOOKUP(A1274,Aux!B:C,2,FALSE)=0,"",VLOOKUP(A1274,Aux!B:C,2,FALSE))</f>
        <v/>
      </c>
      <c r="H1274" s="25" t="str">
        <f t="shared" si="253"/>
        <v/>
      </c>
      <c r="L1274" s="13">
        <f t="shared" si="256"/>
        <v>126929.41362902302</v>
      </c>
      <c r="M1274" s="14">
        <f t="shared" si="257"/>
        <v>-114.41903030191455</v>
      </c>
      <c r="N1274" s="14">
        <f t="shared" si="258"/>
        <v>28.64914967743681</v>
      </c>
      <c r="O1274" s="1">
        <f t="shared" si="259"/>
        <v>3.008651861738576</v>
      </c>
      <c r="P1274" s="1">
        <f t="shared" si="260"/>
        <v>1753.3139337477082</v>
      </c>
      <c r="S1274" s="6">
        <f t="shared" si="254"/>
        <v>0.50158840979504327</v>
      </c>
      <c r="T1274" s="6">
        <f t="shared" si="255"/>
        <v>0.49841159020495723</v>
      </c>
      <c r="V1274" s="1">
        <f t="shared" si="261"/>
        <v>129539.58762599202</v>
      </c>
      <c r="W1274" s="7">
        <f t="shared" si="262"/>
        <v>-6.755007576636806E-4</v>
      </c>
      <c r="X1274" s="7">
        <f t="shared" si="263"/>
        <v>-3.9502740724118207E-4</v>
      </c>
      <c r="Y1274">
        <f>LN(B1274/B1273)</f>
        <v>-1.7955542794987711E-3</v>
      </c>
      <c r="Z1274">
        <f>LN(C1274/C1273)</f>
        <v>4.5295982571798391E-4</v>
      </c>
    </row>
    <row r="1275" spans="1:26" x14ac:dyDescent="0.3">
      <c r="A1275" s="9">
        <v>42058</v>
      </c>
      <c r="B1275" s="1">
        <v>21188.26</v>
      </c>
      <c r="C1275" s="1">
        <v>36.098350000000003</v>
      </c>
      <c r="D1275" s="6">
        <f t="shared" si="265"/>
        <v>1.2844334977231142E-3</v>
      </c>
      <c r="E1275" s="5">
        <f t="shared" si="264"/>
        <v>4.5285725490362694E-4</v>
      </c>
      <c r="G1275" s="25" t="str">
        <f>IF(VLOOKUP(A1275,Aux!B:C,2,FALSE)=0,"",VLOOKUP(A1275,Aux!B:C,2,FALSE))</f>
        <v/>
      </c>
      <c r="H1275" s="25" t="str">
        <f t="shared" si="253"/>
        <v/>
      </c>
      <c r="L1275" s="13">
        <f t="shared" si="256"/>
        <v>127039.83793630252</v>
      </c>
      <c r="M1275" s="14">
        <f t="shared" si="257"/>
        <v>81.77515760204443</v>
      </c>
      <c r="N1275" s="14">
        <f t="shared" si="258"/>
        <v>28.64914967744927</v>
      </c>
      <c r="O1275" s="1">
        <f t="shared" si="259"/>
        <v>3.008651861738576</v>
      </c>
      <c r="P1275" s="1">
        <f t="shared" si="260"/>
        <v>1753.3139337477082</v>
      </c>
      <c r="S1275" s="6">
        <f t="shared" si="254"/>
        <v>0.50179612105585447</v>
      </c>
      <c r="T1275" s="6">
        <f t="shared" si="255"/>
        <v>0.49820387894414608</v>
      </c>
      <c r="V1275" s="1">
        <f t="shared" si="261"/>
        <v>129638.84758117456</v>
      </c>
      <c r="W1275" s="7">
        <f t="shared" si="262"/>
        <v>8.6958805884822991E-4</v>
      </c>
      <c r="X1275" s="7">
        <f t="shared" si="263"/>
        <v>7.6595847919317067E-4</v>
      </c>
      <c r="Y1275">
        <f>LN(B1275/B1274)</f>
        <v>1.2836093186780393E-3</v>
      </c>
      <c r="Z1275">
        <f>LN(C1275/C1274)</f>
        <v>4.5275474600373257E-4</v>
      </c>
    </row>
    <row r="1276" spans="1:26" x14ac:dyDescent="0.3">
      <c r="A1276" s="11">
        <v>42059</v>
      </c>
      <c r="B1276" s="12">
        <v>21427.62</v>
      </c>
      <c r="C1276" s="12">
        <v>36.114699999999999</v>
      </c>
      <c r="D1276" s="16">
        <f t="shared" si="265"/>
        <v>1.1296821919308142E-2</v>
      </c>
      <c r="E1276" s="15">
        <f t="shared" si="264"/>
        <v>4.5292928901163876E-4</v>
      </c>
      <c r="G1276" s="25" t="str">
        <f>IF(VLOOKUP(A1276,Aux!B:C,2,FALSE)=0,"",VLOOKUP(A1276,Aux!B:C,2,FALSE))</f>
        <v/>
      </c>
      <c r="H1276" s="25" t="str">
        <f t="shared" si="253"/>
        <v/>
      </c>
      <c r="L1276" s="13">
        <f t="shared" si="256"/>
        <v>127788.65552874503</v>
      </c>
      <c r="M1276" s="14">
        <f t="shared" si="257"/>
        <v>720.15090962574732</v>
      </c>
      <c r="N1276" s="14">
        <f t="shared" si="258"/>
        <v>28.666682816767395</v>
      </c>
      <c r="O1276" s="1">
        <f t="shared" si="259"/>
        <v>3.008651861738576</v>
      </c>
      <c r="P1276" s="1">
        <f t="shared" si="260"/>
        <v>1753.3139337477082</v>
      </c>
      <c r="S1276" s="6">
        <f t="shared" si="254"/>
        <v>0.50449117364041074</v>
      </c>
      <c r="T1276" s="6">
        <f t="shared" si="255"/>
        <v>0.49550882635958982</v>
      </c>
      <c r="V1276" s="1">
        <f t="shared" si="261"/>
        <v>130227.6365897778</v>
      </c>
      <c r="W1276" s="7">
        <f t="shared" si="262"/>
        <v>5.8770488149675277E-3</v>
      </c>
      <c r="X1276" s="7">
        <f t="shared" si="263"/>
        <v>4.5314809873473307E-3</v>
      </c>
      <c r="Y1276">
        <f>LN(B1276/B1275)</f>
        <v>1.1233489351395039E-2</v>
      </c>
      <c r="Z1276">
        <f>LN(C1276/C1275)</f>
        <v>4.5282674750274989E-4</v>
      </c>
    </row>
    <row r="1277" spans="1:26" x14ac:dyDescent="0.3">
      <c r="A1277" s="9">
        <v>42060</v>
      </c>
      <c r="B1277" s="1">
        <v>21410.86</v>
      </c>
      <c r="C1277" s="1">
        <v>36.131070000000001</v>
      </c>
      <c r="D1277" s="6">
        <f t="shared" si="265"/>
        <v>-7.821680615951454E-4</v>
      </c>
      <c r="E1277" s="5">
        <f t="shared" si="264"/>
        <v>4.5327802806061079E-4</v>
      </c>
      <c r="G1277" s="25" t="str">
        <f>IF(VLOOKUP(A1277,Aux!B:C,2,FALSE)=0,"",VLOOKUP(A1277,Aux!B:C,2,FALSE))</f>
        <v/>
      </c>
      <c r="H1277" s="25" t="str">
        <f t="shared" si="253"/>
        <v/>
      </c>
      <c r="L1277" s="13">
        <f t="shared" si="256"/>
        <v>127766.93227263776</v>
      </c>
      <c r="M1277" s="14">
        <f t="shared" si="257"/>
        <v>-50.425005202733715</v>
      </c>
      <c r="N1277" s="14">
        <f t="shared" si="258"/>
        <v>28.701749095453479</v>
      </c>
      <c r="O1277" s="1">
        <f t="shared" si="259"/>
        <v>3.008651861738576</v>
      </c>
      <c r="P1277" s="1">
        <f t="shared" si="260"/>
        <v>1753.3139337477082</v>
      </c>
      <c r="S1277" s="6">
        <f t="shared" si="254"/>
        <v>0.50418228452855773</v>
      </c>
      <c r="T1277" s="6">
        <f t="shared" si="255"/>
        <v>0.49581771547144282</v>
      </c>
      <c r="V1277" s="1">
        <f t="shared" si="261"/>
        <v>130225.59254190477</v>
      </c>
      <c r="W1277" s="7">
        <f t="shared" si="262"/>
        <v>-1.7000807023234419E-4</v>
      </c>
      <c r="X1277" s="7">
        <f t="shared" si="263"/>
        <v>-1.5696083937117165E-5</v>
      </c>
      <c r="Y1277">
        <f>LN(B1277/B1276)</f>
        <v>-7.8247411463378295E-4</v>
      </c>
      <c r="Z1277">
        <f>LN(C1277/C1276)</f>
        <v>4.5317532860834767E-4</v>
      </c>
    </row>
    <row r="1278" spans="1:26" x14ac:dyDescent="0.3">
      <c r="A1278" s="11">
        <v>42061</v>
      </c>
      <c r="B1278" s="12">
        <v>21405.86</v>
      </c>
      <c r="C1278" s="12">
        <v>36.14743</v>
      </c>
      <c r="D1278" s="16">
        <f t="shared" si="265"/>
        <v>-2.3352635064632921E-4</v>
      </c>
      <c r="E1278" s="15">
        <f t="shared" si="264"/>
        <v>4.5279589007463095E-4</v>
      </c>
      <c r="G1278" s="25" t="str">
        <f>IF(VLOOKUP(A1278,Aux!B:C,2,FALSE)=0,"",VLOOKUP(A1278,Aux!B:C,2,FALSE))</f>
        <v/>
      </c>
      <c r="H1278" s="25" t="str">
        <f t="shared" si="253"/>
        <v/>
      </c>
      <c r="L1278" s="13">
        <f t="shared" si="256"/>
        <v>127780.57322928518</v>
      </c>
      <c r="M1278" s="14">
        <f t="shared" si="257"/>
        <v>-15.04325930869288</v>
      </c>
      <c r="N1278" s="14">
        <f t="shared" si="258"/>
        <v>28.684215956110439</v>
      </c>
      <c r="O1278" s="1">
        <f t="shared" si="259"/>
        <v>3.008651861738576</v>
      </c>
      <c r="P1278" s="1">
        <f t="shared" si="260"/>
        <v>1753.3139337477082</v>
      </c>
      <c r="S1278" s="6">
        <f t="shared" si="254"/>
        <v>0.50401073428863974</v>
      </c>
      <c r="T1278" s="6">
        <f t="shared" si="255"/>
        <v>0.49598926571136082</v>
      </c>
      <c r="V1278" s="1">
        <f t="shared" si="261"/>
        <v>130250.6568540741</v>
      </c>
      <c r="W1278" s="7">
        <f t="shared" si="262"/>
        <v>1.0675867591490988E-4</v>
      </c>
      <c r="X1278" s="7">
        <f t="shared" si="263"/>
        <v>1.9244988596692837E-4</v>
      </c>
      <c r="Y1278">
        <f>LN(B1278/B1277)</f>
        <v>-2.3355362217038127E-4</v>
      </c>
      <c r="Z1278">
        <f>LN(C1278/C1277)</f>
        <v>4.5269340894978446E-4</v>
      </c>
    </row>
    <row r="1279" spans="1:26" x14ac:dyDescent="0.3">
      <c r="A1279" s="9">
        <v>42062</v>
      </c>
      <c r="B1279" s="1">
        <v>21302.1</v>
      </c>
      <c r="C1279" s="1">
        <v>36.163809999999998</v>
      </c>
      <c r="D1279" s="6">
        <f t="shared" si="265"/>
        <v>-4.8472707940723225E-3</v>
      </c>
      <c r="E1279" s="5">
        <f t="shared" si="264"/>
        <v>4.5314424842923806E-4</v>
      </c>
      <c r="G1279" s="25" t="str">
        <f>IF(VLOOKUP(A1279,Aux!B:C,2,FALSE)=0,"",VLOOKUP(A1279,Aux!B:C,2,FALSE))</f>
        <v/>
      </c>
      <c r="H1279" s="25" t="str">
        <f t="shared" si="253"/>
        <v/>
      </c>
      <c r="L1279" s="13">
        <f t="shared" si="256"/>
        <v>127497.11479434597</v>
      </c>
      <c r="M1279" s="14">
        <f t="shared" si="257"/>
        <v>-312.1777171740008</v>
      </c>
      <c r="N1279" s="14">
        <f t="shared" si="258"/>
        <v>28.719282234784064</v>
      </c>
      <c r="O1279" s="1">
        <f t="shared" si="259"/>
        <v>3.008651861738576</v>
      </c>
      <c r="P1279" s="1">
        <f t="shared" si="260"/>
        <v>1753.3139337477082</v>
      </c>
      <c r="S1279" s="6">
        <f t="shared" si="254"/>
        <v>0.50268276993812799</v>
      </c>
      <c r="T1279" s="6">
        <f t="shared" si="255"/>
        <v>0.49731723006187234</v>
      </c>
      <c r="V1279" s="1">
        <f t="shared" si="261"/>
        <v>130047.92313424937</v>
      </c>
      <c r="W1279" s="7">
        <f t="shared" si="262"/>
        <v>-2.2207859498616319E-3</v>
      </c>
      <c r="X1279" s="7">
        <f t="shared" si="263"/>
        <v>-1.5577016273170612E-3</v>
      </c>
      <c r="Y1279">
        <f>LN(B1279/B1278)</f>
        <v>-4.8590569135811713E-3</v>
      </c>
      <c r="Z1279">
        <f>LN(C1279/C1278)</f>
        <v>4.5304160957992804E-4</v>
      </c>
    </row>
    <row r="1280" spans="1:26" x14ac:dyDescent="0.3">
      <c r="A1280" s="11">
        <v>42065</v>
      </c>
      <c r="B1280" s="12">
        <v>21090.98</v>
      </c>
      <c r="C1280" s="12">
        <v>36.180190000000003</v>
      </c>
      <c r="D1280" s="16">
        <f t="shared" si="265"/>
        <v>-9.91075997202151E-3</v>
      </c>
      <c r="E1280" s="15">
        <f t="shared" si="264"/>
        <v>4.5293900172582724E-4</v>
      </c>
      <c r="G1280" s="25" t="str">
        <f>IF(VLOOKUP(A1280,Aux!B:C,2,FALSE)=0,"",VLOOKUP(A1280,Aux!B:C,2,FALSE))</f>
        <v/>
      </c>
      <c r="H1280" s="25" t="str">
        <f t="shared" si="253"/>
        <v/>
      </c>
      <c r="L1280" s="13">
        <f t="shared" si="256"/>
        <v>126890.64749553052</v>
      </c>
      <c r="M1280" s="14">
        <f t="shared" si="257"/>
        <v>-635.18658105024508</v>
      </c>
      <c r="N1280" s="14">
        <f t="shared" si="258"/>
        <v>28.719282234796523</v>
      </c>
      <c r="O1280" s="1">
        <f t="shared" si="259"/>
        <v>3.008651861738576</v>
      </c>
      <c r="P1280" s="1">
        <f t="shared" si="260"/>
        <v>1753.3139337477082</v>
      </c>
      <c r="S1280" s="6">
        <f t="shared" si="254"/>
        <v>0.50007953695031915</v>
      </c>
      <c r="T1280" s="6">
        <f t="shared" si="255"/>
        <v>0.49992046304968135</v>
      </c>
      <c r="V1280" s="1">
        <f t="shared" si="261"/>
        <v>129597.50613895175</v>
      </c>
      <c r="W1280" s="7">
        <f t="shared" si="262"/>
        <v>-4.7680630729220368E-3</v>
      </c>
      <c r="X1280" s="7">
        <f t="shared" si="263"/>
        <v>-3.4694810409359334E-3</v>
      </c>
      <c r="Y1280">
        <f>LN(B1280/B1279)</f>
        <v>-9.9601984735946149E-3</v>
      </c>
      <c r="Z1280">
        <f>LN(C1280/C1279)</f>
        <v>4.5283645581971013E-4</v>
      </c>
    </row>
    <row r="1281" spans="1:26" x14ac:dyDescent="0.3">
      <c r="A1281" s="9">
        <v>42066</v>
      </c>
      <c r="B1281" s="1">
        <v>21208.54</v>
      </c>
      <c r="C1281" s="1">
        <v>36.196579999999997</v>
      </c>
      <c r="D1281" s="6">
        <f t="shared" si="265"/>
        <v>5.5739467772479845E-3</v>
      </c>
      <c r="E1281" s="5">
        <f t="shared" si="264"/>
        <v>4.5301033521361056E-4</v>
      </c>
      <c r="G1281" s="25" t="str">
        <f>IF(VLOOKUP(A1281,Aux!B:C,2,FALSE)=0,"",VLOOKUP(A1281,Aux!B:C,2,FALSE))</f>
        <v/>
      </c>
      <c r="H1281" s="25" t="str">
        <f t="shared" si="253"/>
        <v/>
      </c>
      <c r="L1281" s="13">
        <f t="shared" si="256"/>
        <v>127273.08142377062</v>
      </c>
      <c r="M1281" s="14">
        <f t="shared" si="257"/>
        <v>353.69711286599096</v>
      </c>
      <c r="N1281" s="14">
        <f t="shared" si="258"/>
        <v>28.736815374114649</v>
      </c>
      <c r="O1281" s="1">
        <f t="shared" si="259"/>
        <v>3.008651861738576</v>
      </c>
      <c r="P1281" s="1">
        <f t="shared" si="260"/>
        <v>1753.3139337477082</v>
      </c>
      <c r="S1281" s="6">
        <f t="shared" si="254"/>
        <v>0.50135592414311991</v>
      </c>
      <c r="T1281" s="6">
        <f t="shared" si="255"/>
        <v>0.49864407585688059</v>
      </c>
      <c r="V1281" s="1">
        <f t="shared" si="261"/>
        <v>129905.38777226667</v>
      </c>
      <c r="W1281" s="7">
        <f t="shared" si="262"/>
        <v>3.0093532108841745E-3</v>
      </c>
      <c r="X1281" s="7">
        <f t="shared" si="263"/>
        <v>2.3728581453101817E-3</v>
      </c>
      <c r="Y1281">
        <f>LN(B1281/B1280)</f>
        <v>5.5584698210952455E-3</v>
      </c>
      <c r="Z1281">
        <f>LN(C1281/C1280)</f>
        <v>4.5290775700986051E-4</v>
      </c>
    </row>
    <row r="1282" spans="1:26" x14ac:dyDescent="0.3">
      <c r="A1282" s="11">
        <v>42067</v>
      </c>
      <c r="B1282" s="12">
        <v>20880.310000000001</v>
      </c>
      <c r="C1282" s="12">
        <v>36.212980000000002</v>
      </c>
      <c r="D1282" s="16">
        <f t="shared" si="265"/>
        <v>-1.5476312843788365E-2</v>
      </c>
      <c r="E1282" s="15">
        <f t="shared" si="264"/>
        <v>4.5308147896849782E-4</v>
      </c>
      <c r="G1282" s="25" t="str">
        <f>IF(VLOOKUP(A1282,Aux!B:C,2,FALSE)=0,"",VLOOKUP(A1282,Aux!B:C,2,FALSE))</f>
        <v/>
      </c>
      <c r="H1282" s="25" t="str">
        <f t="shared" si="253"/>
        <v/>
      </c>
      <c r="L1282" s="13">
        <f t="shared" si="256"/>
        <v>126314.30597170563</v>
      </c>
      <c r="M1282" s="14">
        <f t="shared" si="257"/>
        <v>-987.5298005784515</v>
      </c>
      <c r="N1282" s="14">
        <f t="shared" si="258"/>
        <v>28.754348513470148</v>
      </c>
      <c r="O1282" s="1">
        <f t="shared" si="259"/>
        <v>3.008651861738576</v>
      </c>
      <c r="P1282" s="1">
        <f t="shared" si="260"/>
        <v>1753.3139337477082</v>
      </c>
      <c r="S1282" s="6">
        <f t="shared" si="254"/>
        <v>0.49734337747341639</v>
      </c>
      <c r="T1282" s="6">
        <f t="shared" si="255"/>
        <v>0.50265662252658416</v>
      </c>
      <c r="V1282" s="1">
        <f t="shared" si="261"/>
        <v>129184.83865308858</v>
      </c>
      <c r="W1282" s="7">
        <f t="shared" si="262"/>
        <v>-7.5617327064816933E-3</v>
      </c>
      <c r="X1282" s="7">
        <f t="shared" si="263"/>
        <v>-5.562162546950084E-3</v>
      </c>
      <c r="Y1282">
        <f>LN(B1282/B1281)</f>
        <v>-1.5597321104827132E-2</v>
      </c>
      <c r="Z1282">
        <f>LN(C1282/C1281)</f>
        <v>4.5297886854795647E-4</v>
      </c>
    </row>
    <row r="1283" spans="1:26" x14ac:dyDescent="0.3">
      <c r="A1283" s="9">
        <v>42068</v>
      </c>
      <c r="B1283" s="1">
        <v>20845.740000000002</v>
      </c>
      <c r="C1283" s="1">
        <v>36.229379999999999</v>
      </c>
      <c r="D1283" s="6">
        <f t="shared" si="265"/>
        <v>-1.6556267603305974E-3</v>
      </c>
      <c r="E1283" s="5">
        <f t="shared" si="264"/>
        <v>4.5287628910961608E-4</v>
      </c>
      <c r="G1283" s="25" t="str">
        <f>IF(VLOOKUP(A1283,Aux!B:C,2,FALSE)=0,"",VLOOKUP(A1283,Aux!B:C,2,FALSE))</f>
        <v/>
      </c>
      <c r="H1283" s="25" t="str">
        <f t="shared" ref="H1283:H1346" si="266">IF(ISNUMBER(G1283),1-G1283,"")</f>
        <v/>
      </c>
      <c r="L1283" s="13">
        <f t="shared" si="256"/>
        <v>126239.05122535878</v>
      </c>
      <c r="M1283" s="14">
        <f t="shared" si="257"/>
        <v>-104.0090948603017</v>
      </c>
      <c r="N1283" s="14">
        <f t="shared" si="258"/>
        <v>28.754348513457693</v>
      </c>
      <c r="O1283" s="1">
        <f t="shared" si="259"/>
        <v>3.008651861738576</v>
      </c>
      <c r="P1283" s="1">
        <f t="shared" si="260"/>
        <v>1753.3139337477082</v>
      </c>
      <c r="S1283" s="6">
        <f t="shared" ref="S1283:S1346" si="267">O1283*B1283/L1283</f>
        <v>0.49681595236609055</v>
      </c>
      <c r="T1283" s="6">
        <f t="shared" ref="T1283:T1346" si="268">P1283*C1283/L1283</f>
        <v>0.50318404763391</v>
      </c>
      <c r="V1283" s="1">
        <f t="shared" si="261"/>
        <v>129141.77342619222</v>
      </c>
      <c r="W1283" s="7">
        <f t="shared" si="262"/>
        <v>-5.9595128260680227E-4</v>
      </c>
      <c r="X1283" s="7">
        <f t="shared" si="263"/>
        <v>-3.3341688607830817E-4</v>
      </c>
      <c r="Y1283">
        <f>LN(B1283/B1282)</f>
        <v>-1.6569988249424115E-3</v>
      </c>
      <c r="Z1283">
        <f>LN(C1283/C1282)</f>
        <v>4.5277377159366419E-4</v>
      </c>
    </row>
    <row r="1284" spans="1:26" x14ac:dyDescent="0.3">
      <c r="A1284" s="11">
        <v>42069</v>
      </c>
      <c r="B1284" s="12">
        <v>20686.93</v>
      </c>
      <c r="C1284" s="12">
        <v>36.246450000000003</v>
      </c>
      <c r="D1284" s="16">
        <f t="shared" si="265"/>
        <v>-7.6183431243026511E-3</v>
      </c>
      <c r="E1284" s="15">
        <f t="shared" si="264"/>
        <v>4.7116456312545907E-4</v>
      </c>
      <c r="G1284" s="25" t="str">
        <f>IF(VLOOKUP(A1284,Aux!B:C,2,FALSE)=0,"",VLOOKUP(A1284,Aux!B:C,2,FALSE))</f>
        <v/>
      </c>
      <c r="H1284" s="25" t="str">
        <f t="shared" si="266"/>
        <v/>
      </c>
      <c r="L1284" s="13">
        <f t="shared" ref="L1284:L1347" si="269">L1283+M1284+N1284</f>
        <v>125791.17629204516</v>
      </c>
      <c r="M1284" s="14">
        <f t="shared" ref="M1284:M1347" si="270">O1283*(B1284-B1283)</f>
        <v>-477.80400216270721</v>
      </c>
      <c r="N1284" s="14">
        <f t="shared" ref="N1284:N1347" si="271">P1283*(C1284-C1283)</f>
        <v>29.929068849080245</v>
      </c>
      <c r="O1284" s="1">
        <f t="shared" ref="O1284:O1347" si="272">IF(ISNUMBER(G1284),L1284*G1284/B1284,O1283)</f>
        <v>3.008651861738576</v>
      </c>
      <c r="P1284" s="1">
        <f t="shared" ref="P1284:P1347" si="273">IF(ISNUMBER(H1284),L1284*H1284/C1284,P1283)</f>
        <v>1753.3139337477082</v>
      </c>
      <c r="S1284" s="6">
        <f t="shared" si="267"/>
        <v>0.49478645714907388</v>
      </c>
      <c r="T1284" s="6">
        <f t="shared" si="268"/>
        <v>0.50521354285092657</v>
      </c>
      <c r="V1284" s="1">
        <f t="shared" ref="V1284:V1347" si="274">$O$2*B1284+$P$2*C1284</f>
        <v>128813.58105210665</v>
      </c>
      <c r="W1284" s="7">
        <f t="shared" ref="W1284:W1347" si="275">LN(L1284/L1283)</f>
        <v>-3.5541403837553143E-3</v>
      </c>
      <c r="X1284" s="7">
        <f t="shared" ref="X1284:X1347" si="276">LN(V1284/V1283)</f>
        <v>-2.5445686276354068E-3</v>
      </c>
      <c r="Y1284">
        <f>LN(B1284/B1283)</f>
        <v>-7.6475109349750121E-3</v>
      </c>
      <c r="Z1284">
        <f>LN(C1284/C1283)</f>
        <v>4.7105359995592715E-4</v>
      </c>
    </row>
    <row r="1285" spans="1:26" x14ac:dyDescent="0.3">
      <c r="A1285" s="9">
        <v>42072</v>
      </c>
      <c r="B1285" s="1">
        <v>20374.830000000002</v>
      </c>
      <c r="C1285" s="1">
        <v>36.26352</v>
      </c>
      <c r="D1285" s="6">
        <f t="shared" si="265"/>
        <v>-1.5086820519042643E-2</v>
      </c>
      <c r="E1285" s="5">
        <f t="shared" ref="E1285:E1348" si="277">C1285/C1284-1</f>
        <v>4.7094267162717252E-4</v>
      </c>
      <c r="G1285" s="25" t="str">
        <f>IF(VLOOKUP(A1285,Aux!B:C,2,FALSE)=0,"",VLOOKUP(A1285,Aux!B:C,2,FALSE))</f>
        <v/>
      </c>
      <c r="H1285" s="25" t="str">
        <f t="shared" si="266"/>
        <v/>
      </c>
      <c r="L1285" s="13">
        <f t="shared" si="269"/>
        <v>124882.10511484563</v>
      </c>
      <c r="M1285" s="14">
        <f t="shared" si="270"/>
        <v>-939.00024604860516</v>
      </c>
      <c r="N1285" s="14">
        <f t="shared" si="271"/>
        <v>29.929068849067786</v>
      </c>
      <c r="O1285" s="1">
        <f t="shared" si="272"/>
        <v>3.008651861738576</v>
      </c>
      <c r="P1285" s="1">
        <f t="shared" si="273"/>
        <v>1753.3139337477082</v>
      </c>
      <c r="S1285" s="6">
        <f t="shared" si="267"/>
        <v>0.49086912937392285</v>
      </c>
      <c r="T1285" s="6">
        <f t="shared" si="268"/>
        <v>0.50913087062607754</v>
      </c>
      <c r="V1285" s="1">
        <f t="shared" si="274"/>
        <v>128131.74328590816</v>
      </c>
      <c r="W1285" s="7">
        <f t="shared" si="275"/>
        <v>-7.2530678769248836E-3</v>
      </c>
      <c r="X1285" s="7">
        <f t="shared" si="276"/>
        <v>-5.3072720307781526E-3</v>
      </c>
      <c r="Y1285">
        <f>LN(B1285/B1284)</f>
        <v>-1.5201784353767152E-2</v>
      </c>
      <c r="Z1285">
        <f>LN(C1285/C1284)</f>
        <v>4.7083181293122088E-4</v>
      </c>
    </row>
    <row r="1286" spans="1:26" x14ac:dyDescent="0.3">
      <c r="A1286" s="11">
        <v>42073</v>
      </c>
      <c r="B1286" s="12">
        <v>20022.13</v>
      </c>
      <c r="C1286" s="12">
        <v>36.2806</v>
      </c>
      <c r="D1286" s="16">
        <f t="shared" si="265"/>
        <v>-1.7310573879634861E-2</v>
      </c>
      <c r="E1286" s="15">
        <f t="shared" si="277"/>
        <v>4.7099674824724325E-4</v>
      </c>
      <c r="G1286" s="25" t="str">
        <f>IF(VLOOKUP(A1286,Aux!B:C,2,FALSE)=0,"",VLOOKUP(A1286,Aux!B:C,2,FALSE))</f>
        <v/>
      </c>
      <c r="H1286" s="25" t="str">
        <f t="shared" si="266"/>
        <v/>
      </c>
      <c r="L1286" s="13">
        <f t="shared" si="269"/>
        <v>123850.90020519885</v>
      </c>
      <c r="M1286" s="14">
        <f t="shared" si="270"/>
        <v>-1061.1515116351979</v>
      </c>
      <c r="N1286" s="14">
        <f t="shared" si="271"/>
        <v>29.94660198841083</v>
      </c>
      <c r="O1286" s="1">
        <f t="shared" si="272"/>
        <v>3.008651861738576</v>
      </c>
      <c r="P1286" s="1">
        <f t="shared" si="273"/>
        <v>1753.3139337477082</v>
      </c>
      <c r="S1286" s="6">
        <f t="shared" si="267"/>
        <v>0.48638821841961177</v>
      </c>
      <c r="T1286" s="6">
        <f t="shared" si="268"/>
        <v>0.51361178158038867</v>
      </c>
      <c r="V1286" s="1">
        <f t="shared" si="274"/>
        <v>127356.26227083869</v>
      </c>
      <c r="W1286" s="7">
        <f t="shared" si="275"/>
        <v>-8.2917087458265031E-3</v>
      </c>
      <c r="X1286" s="7">
        <f t="shared" si="276"/>
        <v>-6.0706051142889314E-3</v>
      </c>
      <c r="Y1286">
        <f>LN(B1286/B1285)</f>
        <v>-1.7462153699766753E-2</v>
      </c>
      <c r="Z1286">
        <f>LN(C1286/C1285)</f>
        <v>4.7088586409483078E-4</v>
      </c>
    </row>
    <row r="1287" spans="1:26" x14ac:dyDescent="0.3">
      <c r="A1287" s="9">
        <v>42074</v>
      </c>
      <c r="B1287" s="1">
        <v>20269</v>
      </c>
      <c r="C1287" s="1">
        <v>36.297690000000003</v>
      </c>
      <c r="D1287" s="6">
        <f t="shared" si="265"/>
        <v>1.2329857013214873E-2</v>
      </c>
      <c r="E1287" s="5">
        <f t="shared" si="277"/>
        <v>4.7105064414609821E-4</v>
      </c>
      <c r="G1287" s="25" t="str">
        <f>IF(VLOOKUP(A1287,Aux!B:C,2,FALSE)=0,"",VLOOKUP(A1287,Aux!B:C,2,FALSE))</f>
        <v/>
      </c>
      <c r="H1287" s="25" t="str">
        <f t="shared" si="266"/>
        <v/>
      </c>
      <c r="L1287" s="13">
        <f t="shared" si="269"/>
        <v>124623.61022543401</v>
      </c>
      <c r="M1287" s="14">
        <f t="shared" si="270"/>
        <v>742.7458851073992</v>
      </c>
      <c r="N1287" s="14">
        <f t="shared" si="271"/>
        <v>29.96413512775387</v>
      </c>
      <c r="O1287" s="1">
        <f t="shared" si="272"/>
        <v>3.008651861738576</v>
      </c>
      <c r="P1287" s="1">
        <f t="shared" si="273"/>
        <v>1753.3139337477082</v>
      </c>
      <c r="S1287" s="6">
        <f t="shared" si="267"/>
        <v>0.48933235424063742</v>
      </c>
      <c r="T1287" s="6">
        <f t="shared" si="268"/>
        <v>0.51066764575936296</v>
      </c>
      <c r="V1287" s="1">
        <f t="shared" si="274"/>
        <v>127964.03259016469</v>
      </c>
      <c r="W1287" s="7">
        <f t="shared" si="275"/>
        <v>6.2196521474865551E-3</v>
      </c>
      <c r="X1287" s="7">
        <f t="shared" si="276"/>
        <v>4.7608551260696109E-3</v>
      </c>
      <c r="Y1287">
        <f>LN(B1287/B1286)</f>
        <v>1.2254463421757612E-2</v>
      </c>
      <c r="Z1287">
        <f>LN(C1287/C1286)</f>
        <v>4.7093973461939214E-4</v>
      </c>
    </row>
    <row r="1288" spans="1:26" x14ac:dyDescent="0.3">
      <c r="A1288" s="11">
        <v>42075</v>
      </c>
      <c r="B1288" s="12">
        <v>20284.32</v>
      </c>
      <c r="C1288" s="12">
        <v>36.314790000000002</v>
      </c>
      <c r="D1288" s="16">
        <f t="shared" si="265"/>
        <v>7.5583403226597845E-4</v>
      </c>
      <c r="E1288" s="15">
        <f t="shared" si="277"/>
        <v>4.7110435953356955E-4</v>
      </c>
      <c r="G1288" s="25" t="str">
        <f>IF(VLOOKUP(A1288,Aux!B:C,2,FALSE)=0,"",VLOOKUP(A1288,Aux!B:C,2,FALSE))</f>
        <v/>
      </c>
      <c r="H1288" s="25" t="str">
        <f t="shared" si="266"/>
        <v/>
      </c>
      <c r="L1288" s="13">
        <f t="shared" si="269"/>
        <v>124699.68444022292</v>
      </c>
      <c r="M1288" s="14">
        <f t="shared" si="270"/>
        <v>46.092546521834109</v>
      </c>
      <c r="N1288" s="14">
        <f t="shared" si="271"/>
        <v>29.981668267084455</v>
      </c>
      <c r="O1288" s="1">
        <f t="shared" si="272"/>
        <v>3.008651861738576</v>
      </c>
      <c r="P1288" s="1">
        <f t="shared" si="273"/>
        <v>1753.3139337477082</v>
      </c>
      <c r="S1288" s="6">
        <f t="shared" si="267"/>
        <v>0.48940346085122727</v>
      </c>
      <c r="T1288" s="6">
        <f t="shared" si="268"/>
        <v>0.51059653914877312</v>
      </c>
      <c r="V1288" s="1">
        <f t="shared" si="274"/>
        <v>128037.63133115292</v>
      </c>
      <c r="W1288" s="7">
        <f t="shared" si="275"/>
        <v>6.102455629087548E-4</v>
      </c>
      <c r="X1288" s="7">
        <f t="shared" si="276"/>
        <v>5.749864425769357E-4</v>
      </c>
      <c r="Y1288">
        <f>LN(B1288/B1287)</f>
        <v>7.5554853357450661E-4</v>
      </c>
      <c r="Z1288">
        <f>LN(C1288/C1287)</f>
        <v>4.7099342471466752E-4</v>
      </c>
    </row>
    <row r="1289" spans="1:26" x14ac:dyDescent="0.3">
      <c r="A1289" s="9">
        <v>42076</v>
      </c>
      <c r="B1289" s="1">
        <v>20162.75</v>
      </c>
      <c r="C1289" s="1">
        <v>36.331890000000001</v>
      </c>
      <c r="D1289" s="6">
        <f t="shared" si="265"/>
        <v>-5.9932992577518274E-3</v>
      </c>
      <c r="E1289" s="5">
        <f t="shared" si="277"/>
        <v>4.7088252472327063E-4</v>
      </c>
      <c r="G1289" s="25" t="str">
        <f>IF(VLOOKUP(A1289,Aux!B:C,2,FALSE)=0,"",VLOOKUP(A1289,Aux!B:C,2,FALSE))</f>
        <v/>
      </c>
      <c r="H1289" s="25" t="str">
        <f t="shared" si="266"/>
        <v/>
      </c>
      <c r="L1289" s="13">
        <f t="shared" si="269"/>
        <v>124363.90430165843</v>
      </c>
      <c r="M1289" s="14">
        <f t="shared" si="270"/>
        <v>-365.76180683155781</v>
      </c>
      <c r="N1289" s="14">
        <f t="shared" si="271"/>
        <v>29.981668267084455</v>
      </c>
      <c r="O1289" s="1">
        <f t="shared" si="272"/>
        <v>3.008651861738576</v>
      </c>
      <c r="P1289" s="1">
        <f t="shared" si="273"/>
        <v>1753.3139337477082</v>
      </c>
      <c r="S1289" s="6">
        <f t="shared" si="267"/>
        <v>0.48778377991515431</v>
      </c>
      <c r="T1289" s="6">
        <f t="shared" si="268"/>
        <v>0.51221622008484624</v>
      </c>
      <c r="V1289" s="1">
        <f t="shared" si="274"/>
        <v>127795.42005370336</v>
      </c>
      <c r="W1289" s="7">
        <f t="shared" si="275"/>
        <v>-2.6963422770445791E-3</v>
      </c>
      <c r="X1289" s="7">
        <f t="shared" si="276"/>
        <v>-1.8935110104562267E-3</v>
      </c>
      <c r="Y1289">
        <f>LN(B1289/B1288)</f>
        <v>-6.0113311589002514E-3</v>
      </c>
      <c r="Z1289">
        <f>LN(C1289/C1288)</f>
        <v>4.7077169433792194E-4</v>
      </c>
    </row>
    <row r="1290" spans="1:26" x14ac:dyDescent="0.3">
      <c r="A1290" s="11">
        <v>42079</v>
      </c>
      <c r="B1290" s="12">
        <v>20249.32</v>
      </c>
      <c r="C1290" s="12">
        <v>36.34901</v>
      </c>
      <c r="D1290" s="16">
        <f t="shared" si="265"/>
        <v>4.2935611461729639E-3</v>
      </c>
      <c r="E1290" s="15">
        <f t="shared" si="277"/>
        <v>4.7121137931438462E-4</v>
      </c>
      <c r="G1290" s="25" t="str">
        <f>IF(VLOOKUP(A1290,Aux!B:C,2,FALSE)=0,"",VLOOKUP(A1290,Aux!B:C,2,FALSE))</f>
        <v/>
      </c>
      <c r="H1290" s="25" t="str">
        <f t="shared" si="266"/>
        <v/>
      </c>
      <c r="L1290" s="13">
        <f t="shared" si="269"/>
        <v>124654.3800278749</v>
      </c>
      <c r="M1290" s="14">
        <f t="shared" si="270"/>
        <v>260.45899167070763</v>
      </c>
      <c r="N1290" s="14">
        <f t="shared" si="271"/>
        <v>30.016734545758084</v>
      </c>
      <c r="O1290" s="1">
        <f t="shared" si="272"/>
        <v>3.008651861738576</v>
      </c>
      <c r="P1290" s="1">
        <f t="shared" si="273"/>
        <v>1753.3139337477082</v>
      </c>
      <c r="S1290" s="6">
        <f t="shared" si="267"/>
        <v>0.48873657149726069</v>
      </c>
      <c r="T1290" s="6">
        <f t="shared" si="268"/>
        <v>0.51126342850273987</v>
      </c>
      <c r="V1290" s="1">
        <f t="shared" si="274"/>
        <v>128033.43977967917</v>
      </c>
      <c r="W1290" s="7">
        <f t="shared" si="275"/>
        <v>2.33296810912664E-3</v>
      </c>
      <c r="X1290" s="7">
        <f t="shared" si="276"/>
        <v>1.8607736031736519E-3</v>
      </c>
      <c r="Y1290">
        <f>LN(B1290/B1289)</f>
        <v>4.2843701113036529E-3</v>
      </c>
      <c r="Z1290">
        <f>LN(C1290/C1289)</f>
        <v>4.7110039409601679E-4</v>
      </c>
    </row>
    <row r="1291" spans="1:26" x14ac:dyDescent="0.3">
      <c r="A1291" s="9">
        <v>42080</v>
      </c>
      <c r="B1291" s="1">
        <v>20794.2</v>
      </c>
      <c r="C1291" s="1">
        <v>36.366129999999998</v>
      </c>
      <c r="D1291" s="6">
        <f t="shared" si="265"/>
        <v>2.6908557917006748E-2</v>
      </c>
      <c r="E1291" s="5">
        <f t="shared" si="277"/>
        <v>4.7098944372891971E-4</v>
      </c>
      <c r="G1291" s="25" t="str">
        <f>IF(VLOOKUP(A1291,Aux!B:C,2,FALSE)=0,"",VLOOKUP(A1291,Aux!B:C,2,FALSE))</f>
        <v/>
      </c>
      <c r="H1291" s="25" t="str">
        <f t="shared" si="266"/>
        <v/>
      </c>
      <c r="L1291" s="13">
        <f t="shared" si="269"/>
        <v>126323.75098884477</v>
      </c>
      <c r="M1291" s="14">
        <f t="shared" si="270"/>
        <v>1639.3542264241185</v>
      </c>
      <c r="N1291" s="14">
        <f t="shared" si="271"/>
        <v>30.016734545758084</v>
      </c>
      <c r="O1291" s="1">
        <f t="shared" si="272"/>
        <v>3.008651861738576</v>
      </c>
      <c r="P1291" s="1">
        <f t="shared" si="273"/>
        <v>1753.3139337477082</v>
      </c>
      <c r="S1291" s="6">
        <f t="shared" si="267"/>
        <v>0.49525531068887418</v>
      </c>
      <c r="T1291" s="6">
        <f t="shared" si="268"/>
        <v>0.50474468931112637</v>
      </c>
      <c r="V1291" s="1">
        <f t="shared" si="274"/>
        <v>129328.79670742457</v>
      </c>
      <c r="W1291" s="7">
        <f t="shared" si="275"/>
        <v>1.3303115881731102E-2</v>
      </c>
      <c r="X1291" s="7">
        <f t="shared" si="276"/>
        <v>1.006649525653049E-2</v>
      </c>
      <c r="Y1291">
        <f>LN(B1291/B1290)</f>
        <v>2.6552888926803318E-2</v>
      </c>
      <c r="Z1291">
        <f>LN(C1291/C1290)</f>
        <v>4.7087856301526531E-4</v>
      </c>
    </row>
    <row r="1292" spans="1:26" x14ac:dyDescent="0.3">
      <c r="A1292" s="11">
        <v>42081</v>
      </c>
      <c r="B1292" s="12">
        <v>21296.35</v>
      </c>
      <c r="C1292" s="12">
        <v>36.38326</v>
      </c>
      <c r="D1292" s="16">
        <f t="shared" si="265"/>
        <v>2.4148560656336748E-2</v>
      </c>
      <c r="E1292" s="15">
        <f t="shared" si="277"/>
        <v>4.7104269824704836E-4</v>
      </c>
      <c r="G1292" s="25" t="str">
        <f>IF(VLOOKUP(A1292,Aux!B:C,2,FALSE)=0,"",VLOOKUP(A1292,Aux!B:C,2,FALSE))</f>
        <v/>
      </c>
      <c r="H1292" s="25" t="str">
        <f t="shared" si="266"/>
        <v/>
      </c>
      <c r="L1292" s="13">
        <f t="shared" si="269"/>
        <v>127864.57978890189</v>
      </c>
      <c r="M1292" s="14">
        <f t="shared" si="270"/>
        <v>1510.7945323720194</v>
      </c>
      <c r="N1292" s="14">
        <f t="shared" si="271"/>
        <v>30.034267685101124</v>
      </c>
      <c r="O1292" s="1">
        <f t="shared" si="272"/>
        <v>3.008651861738576</v>
      </c>
      <c r="P1292" s="1">
        <f t="shared" si="273"/>
        <v>1753.3139337477082</v>
      </c>
      <c r="S1292" s="6">
        <f t="shared" si="267"/>
        <v>0.50110283224265995</v>
      </c>
      <c r="T1292" s="6">
        <f t="shared" si="268"/>
        <v>0.49889716775734055</v>
      </c>
      <c r="V1292" s="1">
        <f t="shared" si="274"/>
        <v>130525.5964017912</v>
      </c>
      <c r="W1292" s="7">
        <f t="shared" si="275"/>
        <v>1.2123669629626067E-2</v>
      </c>
      <c r="X1292" s="7">
        <f t="shared" si="276"/>
        <v>9.2113752040072737E-3</v>
      </c>
      <c r="Y1292">
        <f>LN(B1292/B1291)</f>
        <v>2.3861594860363489E-2</v>
      </c>
      <c r="Z1292">
        <f>LN(C1292/C1291)</f>
        <v>4.7093179246146934E-4</v>
      </c>
    </row>
    <row r="1293" spans="1:26" x14ac:dyDescent="0.3">
      <c r="A1293" s="9">
        <v>42082</v>
      </c>
      <c r="B1293" s="1">
        <v>21082.17</v>
      </c>
      <c r="C1293" s="1">
        <v>36.400399999999998</v>
      </c>
      <c r="D1293" s="6">
        <f t="shared" si="265"/>
        <v>-1.0057122464647739E-2</v>
      </c>
      <c r="E1293" s="5">
        <f t="shared" si="277"/>
        <v>4.7109577316595264E-4</v>
      </c>
      <c r="G1293" s="25" t="str">
        <f>IF(VLOOKUP(A1293,Aux!B:C,2,FALSE)=0,"",VLOOKUP(A1293,Aux!B:C,2,FALSE))</f>
        <v/>
      </c>
      <c r="H1293" s="25" t="str">
        <f t="shared" si="266"/>
        <v/>
      </c>
      <c r="L1293" s="13">
        <f t="shared" si="269"/>
        <v>127250.23853397914</v>
      </c>
      <c r="M1293" s="14">
        <f t="shared" si="270"/>
        <v>-644.39305574716911</v>
      </c>
      <c r="N1293" s="14">
        <f t="shared" si="271"/>
        <v>30.051800824431709</v>
      </c>
      <c r="O1293" s="1">
        <f t="shared" si="272"/>
        <v>3.008651861738576</v>
      </c>
      <c r="P1293" s="1">
        <f t="shared" si="273"/>
        <v>1753.3139337477082</v>
      </c>
      <c r="S1293" s="6">
        <f t="shared" si="267"/>
        <v>0.4984580834640398</v>
      </c>
      <c r="T1293" s="6">
        <f t="shared" si="268"/>
        <v>0.50154191653596092</v>
      </c>
      <c r="V1293" s="1">
        <f t="shared" si="274"/>
        <v>130069.82010012495</v>
      </c>
      <c r="W1293" s="7">
        <f t="shared" si="275"/>
        <v>-4.8162035155245525E-3</v>
      </c>
      <c r="X1293" s="7">
        <f t="shared" si="276"/>
        <v>-3.4979645652627686E-3</v>
      </c>
      <c r="Y1293">
        <f>LN(B1293/B1292)</f>
        <v>-1.0108036977419414E-2</v>
      </c>
      <c r="Z1293">
        <f>LN(C1293/C1292)</f>
        <v>4.7098484239018422E-4</v>
      </c>
    </row>
    <row r="1294" spans="1:26" x14ac:dyDescent="0.3">
      <c r="A1294" s="11">
        <v>42083</v>
      </c>
      <c r="B1294" s="12">
        <v>21471.9</v>
      </c>
      <c r="C1294" s="12">
        <v>36.417540000000002</v>
      </c>
      <c r="D1294" s="16">
        <f t="shared" si="265"/>
        <v>1.8486237422428609E-2</v>
      </c>
      <c r="E1294" s="15">
        <f t="shared" si="277"/>
        <v>4.7087394644029779E-4</v>
      </c>
      <c r="G1294" s="25" t="str">
        <f>IF(VLOOKUP(A1294,Aux!B:C,2,FALSE)=0,"",VLOOKUP(A1294,Aux!B:C,2,FALSE))</f>
        <v/>
      </c>
      <c r="H1294" s="25" t="str">
        <f t="shared" si="266"/>
        <v/>
      </c>
      <c r="L1294" s="13">
        <f t="shared" si="269"/>
        <v>128452.85222487897</v>
      </c>
      <c r="M1294" s="14">
        <f t="shared" si="270"/>
        <v>1172.5618900753848</v>
      </c>
      <c r="N1294" s="14">
        <f t="shared" si="271"/>
        <v>30.051800824444168</v>
      </c>
      <c r="O1294" s="1">
        <f t="shared" si="272"/>
        <v>3.008651861738576</v>
      </c>
      <c r="P1294" s="1">
        <f t="shared" si="273"/>
        <v>1753.3139337477082</v>
      </c>
      <c r="S1294" s="6">
        <f t="shared" si="267"/>
        <v>0.50291971560871584</v>
      </c>
      <c r="T1294" s="6">
        <f t="shared" si="268"/>
        <v>0.49708028439128477</v>
      </c>
      <c r="V1294" s="1">
        <f t="shared" si="274"/>
        <v>131007.28529334356</v>
      </c>
      <c r="W1294" s="7">
        <f t="shared" si="275"/>
        <v>9.406398292819005E-3</v>
      </c>
      <c r="X1294" s="7">
        <f t="shared" si="276"/>
        <v>7.1815506068502039E-3</v>
      </c>
      <c r="Y1294">
        <f>LN(B1294/B1293)</f>
        <v>1.8317443998855716E-2</v>
      </c>
      <c r="Z1294">
        <f>LN(C1294/C1293)</f>
        <v>4.707631200923747E-4</v>
      </c>
    </row>
    <row r="1295" spans="1:26" x14ac:dyDescent="0.3">
      <c r="A1295" s="9">
        <v>42086</v>
      </c>
      <c r="B1295" s="1">
        <v>21441.14</v>
      </c>
      <c r="C1295" s="1">
        <v>36.434699999999999</v>
      </c>
      <c r="D1295" s="6">
        <f t="shared" si="265"/>
        <v>-1.4325700101063266E-3</v>
      </c>
      <c r="E1295" s="5">
        <f t="shared" si="277"/>
        <v>4.7120151443502678E-4</v>
      </c>
      <c r="G1295" s="25" t="str">
        <f>IF(VLOOKUP(A1295,Aux!B:C,2,FALSE)=0,"",VLOOKUP(A1295,Aux!B:C,2,FALSE))</f>
        <v/>
      </c>
      <c r="H1295" s="25" t="str">
        <f t="shared" si="266"/>
        <v/>
      </c>
      <c r="L1295" s="13">
        <f t="shared" si="269"/>
        <v>128390.39296071499</v>
      </c>
      <c r="M1295" s="14">
        <f t="shared" si="270"/>
        <v>-92.546131267084732</v>
      </c>
      <c r="N1295" s="14">
        <f t="shared" si="271"/>
        <v>30.086867103105334</v>
      </c>
      <c r="O1295" s="1">
        <f t="shared" si="272"/>
        <v>3.008651861738576</v>
      </c>
      <c r="P1295" s="1">
        <f t="shared" si="273"/>
        <v>1753.3139337477082</v>
      </c>
      <c r="S1295" s="6">
        <f t="shared" si="267"/>
        <v>0.50244355742828783</v>
      </c>
      <c r="T1295" s="6">
        <f t="shared" si="268"/>
        <v>0.49755644257171278</v>
      </c>
      <c r="V1295" s="1">
        <f t="shared" si="274"/>
        <v>130974.71009039247</v>
      </c>
      <c r="W1295" s="7">
        <f t="shared" si="275"/>
        <v>-4.8636097359733629E-4</v>
      </c>
      <c r="X1295" s="7">
        <f t="shared" si="276"/>
        <v>-2.4868276212075237E-4</v>
      </c>
      <c r="Y1295">
        <f>LN(B1295/B1294)</f>
        <v>-1.4335971195779333E-3</v>
      </c>
      <c r="Z1295">
        <f>LN(C1295/C1294)</f>
        <v>4.7109053386286436E-4</v>
      </c>
    </row>
    <row r="1296" spans="1:26" x14ac:dyDescent="0.3">
      <c r="A1296" s="11">
        <v>42087</v>
      </c>
      <c r="B1296" s="12">
        <v>21293.94</v>
      </c>
      <c r="C1296" s="12">
        <v>36.45187</v>
      </c>
      <c r="D1296" s="16">
        <f t="shared" si="265"/>
        <v>-6.8653066021676645E-3</v>
      </c>
      <c r="E1296" s="15">
        <f t="shared" si="277"/>
        <v>4.7125405176928759E-4</v>
      </c>
      <c r="G1296" s="25" t="str">
        <f>IF(VLOOKUP(A1296,Aux!B:C,2,FALSE)=0,"",VLOOKUP(A1296,Aux!B:C,2,FALSE))</f>
        <v/>
      </c>
      <c r="H1296" s="25" t="str">
        <f t="shared" si="266"/>
        <v/>
      </c>
      <c r="L1296" s="13">
        <f t="shared" si="269"/>
        <v>127977.62380690951</v>
      </c>
      <c r="M1296" s="14">
        <f t="shared" si="270"/>
        <v>-442.87355404792061</v>
      </c>
      <c r="N1296" s="14">
        <f t="shared" si="271"/>
        <v>30.104400242448378</v>
      </c>
      <c r="O1296" s="1">
        <f t="shared" si="272"/>
        <v>3.008651861738576</v>
      </c>
      <c r="P1296" s="1">
        <f t="shared" si="273"/>
        <v>1753.3139337477082</v>
      </c>
      <c r="S1296" s="6">
        <f t="shared" si="267"/>
        <v>0.50060354551832686</v>
      </c>
      <c r="T1296" s="6">
        <f t="shared" si="268"/>
        <v>0.49939645448167391</v>
      </c>
      <c r="V1296" s="1">
        <f t="shared" si="274"/>
        <v>130673.52610567299</v>
      </c>
      <c r="W1296" s="7">
        <f t="shared" si="275"/>
        <v>-3.2201326490367468E-3</v>
      </c>
      <c r="X1296" s="7">
        <f t="shared" si="276"/>
        <v>-2.3022063677935003E-3</v>
      </c>
      <c r="Y1296">
        <f>LN(B1296/B1295)</f>
        <v>-6.8889812375113818E-3</v>
      </c>
      <c r="Z1296">
        <f>LN(C1296/C1295)</f>
        <v>4.7114304645173432E-4</v>
      </c>
    </row>
    <row r="1297" spans="1:26" x14ac:dyDescent="0.3">
      <c r="A1297" s="9">
        <v>42088</v>
      </c>
      <c r="B1297" s="1">
        <v>21428.75</v>
      </c>
      <c r="C1297" s="1">
        <v>36.469050000000003</v>
      </c>
      <c r="D1297" s="6">
        <f t="shared" si="265"/>
        <v>6.3309091694632169E-3</v>
      </c>
      <c r="E1297" s="5">
        <f t="shared" si="277"/>
        <v>4.7130641034343057E-4</v>
      </c>
      <c r="G1297" s="25" t="str">
        <f>IF(VLOOKUP(A1297,Aux!B:C,2,FALSE)=0,"",VLOOKUP(A1297,Aux!B:C,2,FALSE))</f>
        <v/>
      </c>
      <c r="H1297" s="25" t="str">
        <f t="shared" si="266"/>
        <v/>
      </c>
      <c r="L1297" s="13">
        <f t="shared" si="269"/>
        <v>128413.34209777229</v>
      </c>
      <c r="M1297" s="14">
        <f t="shared" si="270"/>
        <v>405.5963574809814</v>
      </c>
      <c r="N1297" s="14">
        <f t="shared" si="271"/>
        <v>30.121933381791418</v>
      </c>
      <c r="O1297" s="1">
        <f t="shared" si="272"/>
        <v>3.008651861738576</v>
      </c>
      <c r="P1297" s="1">
        <f t="shared" si="273"/>
        <v>1753.3139337477082</v>
      </c>
      <c r="S1297" s="6">
        <f t="shared" si="267"/>
        <v>0.50206347353799585</v>
      </c>
      <c r="T1297" s="6">
        <f t="shared" si="268"/>
        <v>0.49793652646200476</v>
      </c>
      <c r="V1297" s="1">
        <f t="shared" si="274"/>
        <v>131022.97142704076</v>
      </c>
      <c r="W1297" s="7">
        <f t="shared" si="275"/>
        <v>3.3988616469865442E-3</v>
      </c>
      <c r="X1297" s="7">
        <f t="shared" si="276"/>
        <v>2.6706167820737194E-3</v>
      </c>
      <c r="Y1297">
        <f>LN(B1297/B1296)</f>
        <v>6.3109531462344094E-3</v>
      </c>
      <c r="Z1297">
        <f>LN(C1297/C1296)</f>
        <v>4.7119538036194001E-4</v>
      </c>
    </row>
    <row r="1298" spans="1:26" x14ac:dyDescent="0.3">
      <c r="A1298" s="11">
        <v>42089</v>
      </c>
      <c r="B1298" s="12">
        <v>20932.2</v>
      </c>
      <c r="C1298" s="12">
        <v>36.486240000000002</v>
      </c>
      <c r="D1298" s="16">
        <f t="shared" si="265"/>
        <v>-2.317214023216474E-2</v>
      </c>
      <c r="E1298" s="15">
        <f t="shared" si="277"/>
        <v>4.7135859036639971E-4</v>
      </c>
      <c r="G1298" s="25" t="str">
        <f>IF(VLOOKUP(A1298,Aux!B:C,2,FALSE)=0,"",VLOOKUP(A1298,Aux!B:C,2,FALSE))</f>
        <v/>
      </c>
      <c r="H1298" s="25" t="str">
        <f t="shared" si="266"/>
        <v/>
      </c>
      <c r="L1298" s="13">
        <f t="shared" si="269"/>
        <v>126949.53548234713</v>
      </c>
      <c r="M1298" s="14">
        <f t="shared" si="270"/>
        <v>-1493.9460819462877</v>
      </c>
      <c r="N1298" s="14">
        <f t="shared" si="271"/>
        <v>30.139466521122003</v>
      </c>
      <c r="O1298" s="1">
        <f t="shared" si="272"/>
        <v>3.008651861738576</v>
      </c>
      <c r="P1298" s="1">
        <f t="shared" si="273"/>
        <v>1753.3139337477082</v>
      </c>
      <c r="S1298" s="6">
        <f t="shared" si="267"/>
        <v>0.49608454462632939</v>
      </c>
      <c r="T1298" s="6">
        <f t="shared" si="268"/>
        <v>0.50391545537367122</v>
      </c>
      <c r="V1298" s="1">
        <f t="shared" si="274"/>
        <v>129915.86951464214</v>
      </c>
      <c r="W1298" s="7">
        <f t="shared" si="275"/>
        <v>-1.1464647192230063E-2</v>
      </c>
      <c r="X1298" s="7">
        <f t="shared" si="276"/>
        <v>-8.4855788542059826E-3</v>
      </c>
      <c r="Y1298">
        <f>LN(B1298/B1297)</f>
        <v>-2.3444835126528587E-2</v>
      </c>
      <c r="Z1298">
        <f>LN(C1298/C1297)</f>
        <v>4.7124753580235501E-4</v>
      </c>
    </row>
    <row r="1299" spans="1:26" x14ac:dyDescent="0.3">
      <c r="A1299" s="9">
        <v>42090</v>
      </c>
      <c r="B1299" s="1">
        <v>20760.07</v>
      </c>
      <c r="C1299" s="1">
        <v>36.503439999999998</v>
      </c>
      <c r="D1299" s="6">
        <f t="shared" si="265"/>
        <v>-8.2232159065936949E-3</v>
      </c>
      <c r="E1299" s="5">
        <f t="shared" si="277"/>
        <v>4.7141059204780511E-4</v>
      </c>
      <c r="G1299" s="25" t="str">
        <f>IF(VLOOKUP(A1299,Aux!B:C,2,FALSE)=0,"",VLOOKUP(A1299,Aux!B:C,2,FALSE))</f>
        <v/>
      </c>
      <c r="H1299" s="25" t="str">
        <f t="shared" si="266"/>
        <v/>
      </c>
      <c r="L1299" s="13">
        <f t="shared" si="269"/>
        <v>126461.81323704652</v>
      </c>
      <c r="M1299" s="14">
        <f t="shared" si="270"/>
        <v>-517.87924496106416</v>
      </c>
      <c r="N1299" s="14">
        <f t="shared" si="271"/>
        <v>30.156999660452588</v>
      </c>
      <c r="O1299" s="1">
        <f t="shared" si="272"/>
        <v>3.008651861738576</v>
      </c>
      <c r="P1299" s="1">
        <f t="shared" si="273"/>
        <v>1753.3139337477082</v>
      </c>
      <c r="S1299" s="6">
        <f t="shared" si="267"/>
        <v>0.49390263872181916</v>
      </c>
      <c r="T1299" s="6">
        <f t="shared" si="268"/>
        <v>0.5060973612781815</v>
      </c>
      <c r="V1299" s="1">
        <f t="shared" si="274"/>
        <v>129557.23826184044</v>
      </c>
      <c r="W1299" s="7">
        <f t="shared" si="275"/>
        <v>-3.8492581328467678E-3</v>
      </c>
      <c r="X1299" s="7">
        <f t="shared" si="276"/>
        <v>-2.764305590239248E-3</v>
      </c>
      <c r="Y1299">
        <f>LN(B1299/B1298)</f>
        <v>-8.2572130520432389E-3</v>
      </c>
      <c r="Z1299">
        <f>LN(C1299/C1298)</f>
        <v>4.7129951298251861E-4</v>
      </c>
    </row>
    <row r="1300" spans="1:26" x14ac:dyDescent="0.3">
      <c r="A1300" s="11">
        <v>42093</v>
      </c>
      <c r="B1300" s="12">
        <v>21217.5</v>
      </c>
      <c r="C1300" s="12">
        <v>36.520650000000003</v>
      </c>
      <c r="D1300" s="16">
        <f t="shared" si="265"/>
        <v>2.2034126089170325E-2</v>
      </c>
      <c r="E1300" s="15">
        <f t="shared" si="277"/>
        <v>4.7146241559725688E-4</v>
      </c>
      <c r="G1300" s="25" t="str">
        <f>IF(VLOOKUP(A1300,Aux!B:C,2,FALSE)=0,"",VLOOKUP(A1300,Aux!B:C,2,FALSE))</f>
        <v/>
      </c>
      <c r="H1300" s="25" t="str">
        <f t="shared" si="266"/>
        <v/>
      </c>
      <c r="L1300" s="13">
        <f t="shared" si="269"/>
        <v>127868.2353909614</v>
      </c>
      <c r="M1300" s="14">
        <f t="shared" si="270"/>
        <v>1376.2476211150777</v>
      </c>
      <c r="N1300" s="14">
        <f t="shared" si="271"/>
        <v>30.174532799808087</v>
      </c>
      <c r="O1300" s="1">
        <f t="shared" si="272"/>
        <v>3.008651861738576</v>
      </c>
      <c r="P1300" s="1">
        <f t="shared" si="273"/>
        <v>1753.3139337477082</v>
      </c>
      <c r="S1300" s="6">
        <f t="shared" si="267"/>
        <v>0.49923321989434916</v>
      </c>
      <c r="T1300" s="6">
        <f t="shared" si="268"/>
        <v>0.50076678010565145</v>
      </c>
      <c r="V1300" s="1">
        <f t="shared" si="274"/>
        <v>130651.04632249003</v>
      </c>
      <c r="W1300" s="7">
        <f t="shared" si="275"/>
        <v>1.1059931752834882E-2</v>
      </c>
      <c r="X1300" s="7">
        <f t="shared" si="276"/>
        <v>8.407222737322799E-3</v>
      </c>
      <c r="Y1300">
        <f>LN(B1300/B1299)</f>
        <v>2.1794882700713038E-2</v>
      </c>
      <c r="Z1300">
        <f>LN(C1300/C1299)</f>
        <v>4.7135131211196985E-4</v>
      </c>
    </row>
    <row r="1301" spans="1:26" x14ac:dyDescent="0.3">
      <c r="A1301" s="9">
        <v>42094</v>
      </c>
      <c r="B1301" s="1">
        <v>21194.720000000001</v>
      </c>
      <c r="C1301" s="1">
        <v>36.537849999999999</v>
      </c>
      <c r="D1301" s="6">
        <f t="shared" si="265"/>
        <v>-1.0736420407682079E-3</v>
      </c>
      <c r="E1301" s="5">
        <f t="shared" si="277"/>
        <v>4.7096642584398829E-4</v>
      </c>
      <c r="G1301" s="25" t="str">
        <f>IF(VLOOKUP(A1301,Aux!B:C,2,FALSE)=0,"",VLOOKUP(A1301,Aux!B:C,2,FALSE))</f>
        <v/>
      </c>
      <c r="H1301" s="25" t="str">
        <f t="shared" si="266"/>
        <v/>
      </c>
      <c r="L1301" s="13">
        <f t="shared" si="269"/>
        <v>127829.85530121146</v>
      </c>
      <c r="M1301" s="14">
        <f t="shared" si="270"/>
        <v>-68.537089410401265</v>
      </c>
      <c r="N1301" s="14">
        <f t="shared" si="271"/>
        <v>30.156999660452588</v>
      </c>
      <c r="O1301" s="1">
        <f t="shared" si="272"/>
        <v>3.008651861738576</v>
      </c>
      <c r="P1301" s="1">
        <f t="shared" si="273"/>
        <v>1753.3139337477082</v>
      </c>
      <c r="S1301" s="6">
        <f t="shared" si="267"/>
        <v>0.49884695274644114</v>
      </c>
      <c r="T1301" s="6">
        <f t="shared" si="268"/>
        <v>0.50115304725355947</v>
      </c>
      <c r="V1301" s="1">
        <f t="shared" si="274"/>
        <v>130636.97074397928</v>
      </c>
      <c r="W1301" s="7">
        <f t="shared" si="275"/>
        <v>-3.0019848747630124E-4</v>
      </c>
      <c r="X1301" s="7">
        <f t="shared" si="276"/>
        <v>-1.0773994676363843E-4</v>
      </c>
      <c r="Y1301">
        <f>LN(B1301/B1300)</f>
        <v>-1.0742188072481776E-3</v>
      </c>
      <c r="Z1301">
        <f>LN(C1301/C1300)</f>
        <v>4.7085555596614633E-4</v>
      </c>
    </row>
    <row r="1302" spans="1:26" x14ac:dyDescent="0.3">
      <c r="A1302" s="11">
        <v>42095</v>
      </c>
      <c r="B1302" s="12">
        <v>21656.06</v>
      </c>
      <c r="C1302" s="12">
        <v>36.555059999999997</v>
      </c>
      <c r="D1302" s="16">
        <f t="shared" si="265"/>
        <v>2.1766741905531184E-2</v>
      </c>
      <c r="E1302" s="15">
        <f t="shared" si="277"/>
        <v>4.7101840967656017E-4</v>
      </c>
      <c r="G1302" s="25" t="str">
        <f>IF(VLOOKUP(A1302,Aux!B:C,2,FALSE)=0,"",VLOOKUP(A1302,Aux!B:C,2,FALSE))</f>
        <v/>
      </c>
      <c r="H1302" s="25" t="str">
        <f t="shared" si="266"/>
        <v/>
      </c>
      <c r="L1302" s="13">
        <f t="shared" si="269"/>
        <v>129248.04128390572</v>
      </c>
      <c r="M1302" s="14">
        <f t="shared" si="270"/>
        <v>1388.0114498944752</v>
      </c>
      <c r="N1302" s="14">
        <f t="shared" si="271"/>
        <v>30.174532799795632</v>
      </c>
      <c r="O1302" s="1">
        <f t="shared" si="272"/>
        <v>3.008651861738576</v>
      </c>
      <c r="P1302" s="1">
        <f t="shared" si="273"/>
        <v>1753.3139337477082</v>
      </c>
      <c r="S1302" s="6">
        <f t="shared" si="267"/>
        <v>0.50411243829840258</v>
      </c>
      <c r="T1302" s="6">
        <f t="shared" si="268"/>
        <v>0.49588756170159803</v>
      </c>
      <c r="V1302" s="1">
        <f t="shared" si="274"/>
        <v>131739.79931140138</v>
      </c>
      <c r="W1302" s="7">
        <f t="shared" si="275"/>
        <v>1.1033234580540455E-2</v>
      </c>
      <c r="X1302" s="7">
        <f t="shared" si="276"/>
        <v>8.4064992632704311E-3</v>
      </c>
      <c r="Y1302">
        <f>LN(B1302/B1301)</f>
        <v>2.1533228848469619E-2</v>
      </c>
      <c r="Z1302">
        <f>LN(C1302/C1301)</f>
        <v>4.7090751532625358E-4</v>
      </c>
    </row>
    <row r="1303" spans="1:26" x14ac:dyDescent="0.3">
      <c r="A1303" s="9">
        <v>42096</v>
      </c>
      <c r="B1303" s="1">
        <v>21969.07</v>
      </c>
      <c r="C1303" s="1">
        <v>36.572279999999999</v>
      </c>
      <c r="D1303" s="6">
        <f t="shared" si="265"/>
        <v>1.4453691022281889E-2</v>
      </c>
      <c r="E1303" s="5">
        <f t="shared" si="277"/>
        <v>4.7107021572401209E-4</v>
      </c>
      <c r="G1303" s="25" t="str">
        <f>IF(VLOOKUP(A1303,Aux!B:C,2,FALSE)=0,"",VLOOKUP(A1303,Aux!B:C,2,FALSE))</f>
        <v/>
      </c>
      <c r="H1303" s="25" t="str">
        <f t="shared" si="266"/>
        <v/>
      </c>
      <c r="L1303" s="13">
        <f t="shared" si="269"/>
        <v>130219.97146908764</v>
      </c>
      <c r="M1303" s="14">
        <f t="shared" si="270"/>
        <v>941.73811924278687</v>
      </c>
      <c r="N1303" s="14">
        <f t="shared" si="271"/>
        <v>30.192065939138672</v>
      </c>
      <c r="O1303" s="1">
        <f t="shared" si="272"/>
        <v>3.008651861738576</v>
      </c>
      <c r="P1303" s="1">
        <f t="shared" si="273"/>
        <v>1753.3139337477082</v>
      </c>
      <c r="S1303" s="6">
        <f t="shared" si="267"/>
        <v>0.50758176806892974</v>
      </c>
      <c r="T1303" s="6">
        <f t="shared" si="268"/>
        <v>0.49241823193107087</v>
      </c>
      <c r="V1303" s="1">
        <f t="shared" si="274"/>
        <v>132500.44775153694</v>
      </c>
      <c r="W1303" s="7">
        <f t="shared" si="275"/>
        <v>7.4917499137593874E-3</v>
      </c>
      <c r="X1303" s="7">
        <f t="shared" si="276"/>
        <v>5.7572648348092597E-3</v>
      </c>
      <c r="Y1303">
        <f>LN(B1303/B1302)</f>
        <v>1.4350232147029154E-2</v>
      </c>
      <c r="Z1303">
        <f>LN(C1303/C1302)</f>
        <v>4.7095929698225093E-4</v>
      </c>
    </row>
    <row r="1304" spans="1:26" x14ac:dyDescent="0.3">
      <c r="A1304" s="11">
        <v>42100</v>
      </c>
      <c r="B1304" s="12">
        <v>22228.6</v>
      </c>
      <c r="C1304" s="12">
        <v>36.589509999999997</v>
      </c>
      <c r="D1304" s="16">
        <f t="shared" si="265"/>
        <v>1.1813426785931336E-2</v>
      </c>
      <c r="E1304" s="15">
        <f t="shared" si="277"/>
        <v>4.7112184419439984E-4</v>
      </c>
      <c r="G1304" s="25" t="str">
        <f>IF(VLOOKUP(A1304,Aux!B:C,2,FALSE)=0,"",VLOOKUP(A1304,Aux!B:C,2,FALSE))</f>
        <v/>
      </c>
      <c r="H1304" s="25" t="str">
        <f t="shared" si="266"/>
        <v/>
      </c>
      <c r="L1304" s="13">
        <f t="shared" si="269"/>
        <v>131031.01648584312</v>
      </c>
      <c r="M1304" s="14">
        <f t="shared" si="270"/>
        <v>780.8354176770091</v>
      </c>
      <c r="N1304" s="14">
        <f t="shared" si="271"/>
        <v>30.209599078469257</v>
      </c>
      <c r="O1304" s="1">
        <f t="shared" si="272"/>
        <v>3.008651861738576</v>
      </c>
      <c r="P1304" s="1">
        <f t="shared" si="273"/>
        <v>1753.3139337477082</v>
      </c>
      <c r="S1304" s="6">
        <f t="shared" si="267"/>
        <v>0.51039914493121374</v>
      </c>
      <c r="T1304" s="6">
        <f t="shared" si="268"/>
        <v>0.48960085506878687</v>
      </c>
      <c r="V1304" s="1">
        <f t="shared" si="274"/>
        <v>133137.7383322567</v>
      </c>
      <c r="W1304" s="7">
        <f t="shared" si="275"/>
        <v>6.2089535328414035E-3</v>
      </c>
      <c r="X1304" s="7">
        <f t="shared" si="276"/>
        <v>4.7981942113978718E-3</v>
      </c>
      <c r="Y1304">
        <f>LN(B1304/B1303)</f>
        <v>1.1744192985250033E-2</v>
      </c>
      <c r="Z1304">
        <f>LN(C1304/C1303)</f>
        <v>4.7101090114212387E-4</v>
      </c>
    </row>
    <row r="1305" spans="1:26" x14ac:dyDescent="0.3">
      <c r="A1305" s="9">
        <v>42101</v>
      </c>
      <c r="B1305" s="1">
        <v>22216.41</v>
      </c>
      <c r="C1305" s="1">
        <v>36.606740000000002</v>
      </c>
      <c r="D1305" s="6">
        <f t="shared" si="265"/>
        <v>-5.4839261132044737E-4</v>
      </c>
      <c r="E1305" s="5">
        <f t="shared" si="277"/>
        <v>4.7089999292171392E-4</v>
      </c>
      <c r="G1305" s="25" t="str">
        <f>IF(VLOOKUP(A1305,Aux!B:C,2,FALSE)=0,"",VLOOKUP(A1305,Aux!B:C,2,FALSE))</f>
        <v/>
      </c>
      <c r="H1305" s="25" t="str">
        <f t="shared" si="266"/>
        <v/>
      </c>
      <c r="L1305" s="13">
        <f t="shared" si="269"/>
        <v>131024.55061872702</v>
      </c>
      <c r="M1305" s="14">
        <f t="shared" si="270"/>
        <v>-36.675466194589305</v>
      </c>
      <c r="N1305" s="14">
        <f t="shared" si="271"/>
        <v>30.209599078481716</v>
      </c>
      <c r="O1305" s="1">
        <f t="shared" si="272"/>
        <v>3.008651861738576</v>
      </c>
      <c r="P1305" s="1">
        <f t="shared" si="273"/>
        <v>1753.3139337477082</v>
      </c>
      <c r="S1305" s="6">
        <f t="shared" si="267"/>
        <v>0.51014441943900879</v>
      </c>
      <c r="T1305" s="6">
        <f t="shared" si="268"/>
        <v>0.48985558056099182</v>
      </c>
      <c r="V1305" s="1">
        <f t="shared" si="274"/>
        <v>133148.16136816001</v>
      </c>
      <c r="W1305" s="7">
        <f t="shared" si="275"/>
        <v>-4.9347298276166834E-5</v>
      </c>
      <c r="X1305" s="7">
        <f t="shared" si="276"/>
        <v>7.8284549954413279E-5</v>
      </c>
      <c r="Y1305">
        <f>LN(B1305/B1304)</f>
        <v>-5.4854303354466094E-4</v>
      </c>
      <c r="Z1305">
        <f>LN(C1305/C1304)</f>
        <v>4.7078915431461485E-4</v>
      </c>
    </row>
    <row r="1306" spans="1:26" x14ac:dyDescent="0.3">
      <c r="A1306" s="11">
        <v>42102</v>
      </c>
      <c r="B1306" s="12">
        <v>22199.82</v>
      </c>
      <c r="C1306" s="12">
        <v>36.623989999999999</v>
      </c>
      <c r="D1306" s="16">
        <f t="shared" si="265"/>
        <v>-7.4674531123619659E-4</v>
      </c>
      <c r="E1306" s="15">
        <f t="shared" si="277"/>
        <v>4.7122469796545552E-4</v>
      </c>
      <c r="G1306" s="25" t="str">
        <f>IF(VLOOKUP(A1306,Aux!B:C,2,FALSE)=0,"",VLOOKUP(A1306,Aux!B:C,2,FALSE))</f>
        <v/>
      </c>
      <c r="H1306" s="25" t="str">
        <f t="shared" si="266"/>
        <v/>
      </c>
      <c r="L1306" s="13">
        <f t="shared" si="269"/>
        <v>131004.88174969792</v>
      </c>
      <c r="M1306" s="14">
        <f t="shared" si="270"/>
        <v>-49.913534386243413</v>
      </c>
      <c r="N1306" s="14">
        <f t="shared" si="271"/>
        <v>30.244665357142885</v>
      </c>
      <c r="O1306" s="1">
        <f t="shared" si="272"/>
        <v>3.008651861738576</v>
      </c>
      <c r="P1306" s="1">
        <f t="shared" si="273"/>
        <v>1753.3139337477082</v>
      </c>
      <c r="S1306" s="6">
        <f t="shared" si="267"/>
        <v>0.5098400065798715</v>
      </c>
      <c r="T1306" s="6">
        <f t="shared" si="268"/>
        <v>0.49015999342012917</v>
      </c>
      <c r="V1306" s="1">
        <f t="shared" si="274"/>
        <v>133148.47819279972</v>
      </c>
      <c r="W1306" s="7">
        <f t="shared" si="275"/>
        <v>-1.5012717379316322E-4</v>
      </c>
      <c r="X1306" s="7">
        <f t="shared" si="276"/>
        <v>2.3794865774190617E-6</v>
      </c>
      <c r="Y1306">
        <f>LN(B1306/B1305)</f>
        <v>-7.4702426439607794E-4</v>
      </c>
      <c r="Z1306">
        <f>LN(C1306/C1305)</f>
        <v>4.7111370647405498E-4</v>
      </c>
    </row>
    <row r="1307" spans="1:26" x14ac:dyDescent="0.3">
      <c r="A1307" s="9">
        <v>42103</v>
      </c>
      <c r="B1307" s="1">
        <v>22238.93</v>
      </c>
      <c r="C1307" s="1">
        <v>36.641240000000003</v>
      </c>
      <c r="D1307" s="6">
        <f t="shared" ref="D1307:D1370" si="278">B1307/B1306-1</f>
        <v>1.7617259959765708E-3</v>
      </c>
      <c r="E1307" s="5">
        <f t="shared" si="277"/>
        <v>4.7100274983713497E-4</v>
      </c>
      <c r="G1307" s="25" t="str">
        <f>IF(VLOOKUP(A1307,Aux!B:C,2,FALSE)=0,"",VLOOKUP(A1307,Aux!B:C,2,FALSE))</f>
        <v/>
      </c>
      <c r="H1307" s="25" t="str">
        <f t="shared" si="266"/>
        <v/>
      </c>
      <c r="L1307" s="13">
        <f t="shared" si="269"/>
        <v>131152.79478936768</v>
      </c>
      <c r="M1307" s="14">
        <f t="shared" si="270"/>
        <v>117.66837431259746</v>
      </c>
      <c r="N1307" s="14">
        <f t="shared" si="271"/>
        <v>30.244665357155341</v>
      </c>
      <c r="O1307" s="1">
        <f t="shared" si="272"/>
        <v>3.008651861738576</v>
      </c>
      <c r="P1307" s="1">
        <f t="shared" si="273"/>
        <v>1753.3139337477082</v>
      </c>
      <c r="S1307" s="6">
        <f t="shared" si="267"/>
        <v>0.51016219864037604</v>
      </c>
      <c r="T1307" s="6">
        <f t="shared" si="268"/>
        <v>0.48983780135962451</v>
      </c>
      <c r="V1307" s="1">
        <f t="shared" si="274"/>
        <v>133277.29686583584</v>
      </c>
      <c r="W1307" s="7">
        <f t="shared" si="275"/>
        <v>1.1284281835107542E-3</v>
      </c>
      <c r="X1307" s="7">
        <f t="shared" si="276"/>
        <v>9.6701366859962095E-4</v>
      </c>
      <c r="Y1307">
        <f>LN(B1307/B1306)</f>
        <v>1.7601759769396617E-3</v>
      </c>
      <c r="Z1307">
        <f>LN(C1307/C1306)</f>
        <v>4.708918628593059E-4</v>
      </c>
    </row>
    <row r="1308" spans="1:26" x14ac:dyDescent="0.3">
      <c r="A1308" s="11">
        <v>42104</v>
      </c>
      <c r="B1308" s="12">
        <v>22386.68</v>
      </c>
      <c r="C1308" s="12">
        <v>36.658499999999997</v>
      </c>
      <c r="D1308" s="16">
        <f t="shared" si="278"/>
        <v>6.6437548928837131E-3</v>
      </c>
      <c r="E1308" s="15">
        <f t="shared" si="277"/>
        <v>4.7105392721413786E-4</v>
      </c>
      <c r="G1308" s="25" t="str">
        <f>IF(VLOOKUP(A1308,Aux!B:C,2,FALSE)=0,"",VLOOKUP(A1308,Aux!B:C,2,FALSE))</f>
        <v/>
      </c>
      <c r="H1308" s="25" t="str">
        <f t="shared" si="266"/>
        <v/>
      </c>
      <c r="L1308" s="13">
        <f t="shared" si="269"/>
        <v>131627.58530043601</v>
      </c>
      <c r="M1308" s="14">
        <f t="shared" si="270"/>
        <v>444.52831257187461</v>
      </c>
      <c r="N1308" s="14">
        <f t="shared" si="271"/>
        <v>30.26219849647347</v>
      </c>
      <c r="O1308" s="1">
        <f t="shared" si="272"/>
        <v>3.008651861738576</v>
      </c>
      <c r="P1308" s="1">
        <f t="shared" si="273"/>
        <v>1753.3139337477082</v>
      </c>
      <c r="S1308" s="6">
        <f t="shared" si="267"/>
        <v>0.51169917237646567</v>
      </c>
      <c r="T1308" s="6">
        <f t="shared" si="268"/>
        <v>0.48830082762353499</v>
      </c>
      <c r="V1308" s="1">
        <f t="shared" si="274"/>
        <v>133656.77419044412</v>
      </c>
      <c r="W1308" s="7">
        <f t="shared" si="275"/>
        <v>3.6135957148710493E-3</v>
      </c>
      <c r="X1308" s="7">
        <f t="shared" si="276"/>
        <v>2.8432307554192328E-3</v>
      </c>
      <c r="Y1308">
        <f>LN(B1308/B1307)</f>
        <v>6.621782419473192E-3</v>
      </c>
      <c r="Z1308">
        <f>LN(C1308/C1307)</f>
        <v>4.7094301614166318E-4</v>
      </c>
    </row>
    <row r="1309" spans="1:26" x14ac:dyDescent="0.3">
      <c r="A1309" s="9">
        <v>42107</v>
      </c>
      <c r="B1309" s="1">
        <v>22392.77</v>
      </c>
      <c r="C1309" s="1">
        <v>36.675759999999997</v>
      </c>
      <c r="D1309" s="6">
        <f t="shared" si="278"/>
        <v>2.7203676471909688E-4</v>
      </c>
      <c r="E1309" s="5">
        <f t="shared" si="277"/>
        <v>4.7083213988563521E-4</v>
      </c>
      <c r="G1309" s="25" t="str">
        <f>IF(VLOOKUP(A1309,Aux!B:C,2,FALSE)=0,"",VLOOKUP(A1309,Aux!B:C,2,FALSE))</f>
        <v/>
      </c>
      <c r="H1309" s="25" t="str">
        <f t="shared" si="266"/>
        <v/>
      </c>
      <c r="L1309" s="13">
        <f t="shared" si="269"/>
        <v>131676.17018877048</v>
      </c>
      <c r="M1309" s="14">
        <f t="shared" si="270"/>
        <v>18.322689837988367</v>
      </c>
      <c r="N1309" s="14">
        <f t="shared" si="271"/>
        <v>30.262198496485926</v>
      </c>
      <c r="O1309" s="1">
        <f t="shared" si="272"/>
        <v>3.008651861738576</v>
      </c>
      <c r="P1309" s="1">
        <f t="shared" si="273"/>
        <v>1753.3139337477082</v>
      </c>
      <c r="S1309" s="6">
        <f t="shared" si="267"/>
        <v>0.51164951906939127</v>
      </c>
      <c r="T1309" s="6">
        <f t="shared" si="268"/>
        <v>0.4883504809306094</v>
      </c>
      <c r="V1309" s="1">
        <f t="shared" si="274"/>
        <v>133709.43693975909</v>
      </c>
      <c r="W1309" s="7">
        <f t="shared" si="275"/>
        <v>3.6904060707825995E-4</v>
      </c>
      <c r="X1309" s="7">
        <f t="shared" si="276"/>
        <v>3.9393721273453162E-4</v>
      </c>
      <c r="Y1309">
        <f>LN(B1309/B1308)</f>
        <v>2.7199976942765167E-4</v>
      </c>
      <c r="Z1309">
        <f>LN(C1309/C1308)</f>
        <v>4.7072133321319137E-4</v>
      </c>
    </row>
    <row r="1310" spans="1:26" x14ac:dyDescent="0.3">
      <c r="A1310" s="11">
        <v>42108</v>
      </c>
      <c r="B1310" s="12">
        <v>22303.83</v>
      </c>
      <c r="C1310" s="12">
        <v>36.693040000000003</v>
      </c>
      <c r="D1310" s="16">
        <f t="shared" si="278"/>
        <v>-3.9718176893701607E-3</v>
      </c>
      <c r="E1310" s="15">
        <f t="shared" si="277"/>
        <v>4.7115588061452662E-4</v>
      </c>
      <c r="G1310" s="25" t="str">
        <f>IF(VLOOKUP(A1310,Aux!B:C,2,FALSE)=0,"",VLOOKUP(A1310,Aux!B:C,2,FALSE))</f>
        <v/>
      </c>
      <c r="H1310" s="25" t="str">
        <f t="shared" si="266"/>
        <v/>
      </c>
      <c r="L1310" s="13">
        <f t="shared" si="269"/>
        <v>131438.87795696262</v>
      </c>
      <c r="M1310" s="14">
        <f t="shared" si="270"/>
        <v>-267.58949658302504</v>
      </c>
      <c r="N1310" s="14">
        <f t="shared" si="271"/>
        <v>30.29726477517201</v>
      </c>
      <c r="O1310" s="1">
        <f t="shared" si="272"/>
        <v>3.008651861738576</v>
      </c>
      <c r="P1310" s="1">
        <f t="shared" si="273"/>
        <v>1753.3139337477082</v>
      </c>
      <c r="S1310" s="6">
        <f t="shared" si="267"/>
        <v>0.51053737445455749</v>
      </c>
      <c r="T1310" s="6">
        <f t="shared" si="268"/>
        <v>0.48946262554544329</v>
      </c>
      <c r="V1310" s="1">
        <f t="shared" si="274"/>
        <v>133542.90689755609</v>
      </c>
      <c r="W1310" s="7">
        <f t="shared" si="275"/>
        <v>-1.8037151262445255E-3</v>
      </c>
      <c r="X1310" s="7">
        <f t="shared" si="276"/>
        <v>-1.2462383780451887E-3</v>
      </c>
      <c r="Y1310">
        <f>LN(B1310/B1309)</f>
        <v>-3.9797263052484778E-3</v>
      </c>
      <c r="Z1310">
        <f>LN(C1310/C1309)</f>
        <v>4.7104492153392192E-4</v>
      </c>
    </row>
    <row r="1311" spans="1:26" x14ac:dyDescent="0.3">
      <c r="A1311" s="9">
        <v>42109</v>
      </c>
      <c r="B1311" s="1">
        <v>22647</v>
      </c>
      <c r="C1311" s="1">
        <v>36.710320000000003</v>
      </c>
      <c r="D1311" s="6">
        <f t="shared" si="278"/>
        <v>1.5386146684224E-2</v>
      </c>
      <c r="E1311" s="5">
        <f t="shared" si="277"/>
        <v>4.7093399729214447E-4</v>
      </c>
      <c r="G1311" s="25" t="str">
        <f>IF(VLOOKUP(A1311,Aux!B:C,2,FALSE)=0,"",VLOOKUP(A1311,Aux!B:C,2,FALSE))</f>
        <v/>
      </c>
      <c r="H1311" s="25" t="str">
        <f t="shared" si="266"/>
        <v/>
      </c>
      <c r="L1311" s="13">
        <f t="shared" si="269"/>
        <v>132501.65428113061</v>
      </c>
      <c r="M1311" s="14">
        <f t="shared" si="270"/>
        <v>1032.4790593928219</v>
      </c>
      <c r="N1311" s="14">
        <f t="shared" si="271"/>
        <v>30.297264775159555</v>
      </c>
      <c r="O1311" s="1">
        <f t="shared" si="272"/>
        <v>3.008651861738576</v>
      </c>
      <c r="P1311" s="1">
        <f t="shared" si="273"/>
        <v>1753.3139337477082</v>
      </c>
      <c r="S1311" s="6">
        <f t="shared" si="267"/>
        <v>0.51423462659738906</v>
      </c>
      <c r="T1311" s="6">
        <f t="shared" si="268"/>
        <v>0.48576537340261167</v>
      </c>
      <c r="V1311" s="1">
        <f t="shared" si="274"/>
        <v>134373.26974064182</v>
      </c>
      <c r="W1311" s="7">
        <f t="shared" si="275"/>
        <v>8.0531933380425871E-3</v>
      </c>
      <c r="X1311" s="7">
        <f t="shared" si="276"/>
        <v>6.1986962662265834E-3</v>
      </c>
      <c r="Y1311">
        <f>LN(B1311/B1310)</f>
        <v>1.526898022775065E-2</v>
      </c>
      <c r="Z1311">
        <f>LN(C1311/C1310)</f>
        <v>4.7082314267934679E-4</v>
      </c>
    </row>
    <row r="1312" spans="1:26" x14ac:dyDescent="0.3">
      <c r="A1312" s="11">
        <v>42110</v>
      </c>
      <c r="B1312" s="12">
        <v>22549.31</v>
      </c>
      <c r="C1312" s="12">
        <v>36.727609999999999</v>
      </c>
      <c r="D1312" s="16">
        <f t="shared" si="278"/>
        <v>-4.3135956197287717E-3</v>
      </c>
      <c r="E1312" s="15">
        <f t="shared" si="277"/>
        <v>4.7098472582085549E-4</v>
      </c>
      <c r="G1312" s="25" t="str">
        <f>IF(VLOOKUP(A1312,Aux!B:C,2,FALSE)=0,"",VLOOKUP(A1312,Aux!B:C,2,FALSE))</f>
        <v/>
      </c>
      <c r="H1312" s="25" t="str">
        <f t="shared" si="266"/>
        <v/>
      </c>
      <c r="L1312" s="13">
        <f t="shared" si="269"/>
        <v>132238.05387867187</v>
      </c>
      <c r="M1312" s="14">
        <f t="shared" si="270"/>
        <v>-293.91520037323755</v>
      </c>
      <c r="N1312" s="14">
        <f t="shared" si="271"/>
        <v>30.314797914490139</v>
      </c>
      <c r="O1312" s="1">
        <f t="shared" si="272"/>
        <v>3.008651861738576</v>
      </c>
      <c r="P1312" s="1">
        <f t="shared" si="273"/>
        <v>1753.3139337477082</v>
      </c>
      <c r="S1312" s="6">
        <f t="shared" si="267"/>
        <v>0.51303706854810582</v>
      </c>
      <c r="T1312" s="6">
        <f t="shared" si="268"/>
        <v>0.48696293145189484</v>
      </c>
      <c r="V1312" s="1">
        <f t="shared" si="274"/>
        <v>134186.57551368678</v>
      </c>
      <c r="W1312" s="7">
        <f t="shared" si="275"/>
        <v>-1.9913936704337816E-3</v>
      </c>
      <c r="X1312" s="7">
        <f t="shared" si="276"/>
        <v>-1.3903363464639342E-3</v>
      </c>
      <c r="Y1312">
        <f>LN(B1312/B1311)</f>
        <v>-4.3229260146819201E-3</v>
      </c>
      <c r="Z1312">
        <f>LN(C1312/C1311)</f>
        <v>4.7087384732822876E-4</v>
      </c>
    </row>
    <row r="1313" spans="1:26" x14ac:dyDescent="0.3">
      <c r="A1313" s="9">
        <v>42111</v>
      </c>
      <c r="B1313" s="1">
        <v>22267.45</v>
      </c>
      <c r="C1313" s="1">
        <v>36.74492</v>
      </c>
      <c r="D1313" s="6">
        <f t="shared" si="278"/>
        <v>-1.2499717286249545E-2</v>
      </c>
      <c r="E1313" s="5">
        <f t="shared" si="277"/>
        <v>4.7130755309154893E-4</v>
      </c>
      <c r="G1313" s="25" t="str">
        <f>IF(VLOOKUP(A1313,Aux!B:C,2,FALSE)=0,"",VLOOKUP(A1313,Aux!B:C,2,FALSE))</f>
        <v/>
      </c>
      <c r="H1313" s="25" t="str">
        <f t="shared" si="266"/>
        <v/>
      </c>
      <c r="L1313" s="13">
        <f t="shared" si="269"/>
        <v>131420.3851291154</v>
      </c>
      <c r="M1313" s="14">
        <f t="shared" si="270"/>
        <v>-848.01861374963676</v>
      </c>
      <c r="N1313" s="14">
        <f t="shared" si="271"/>
        <v>30.349864193176224</v>
      </c>
      <c r="O1313" s="1">
        <f t="shared" si="272"/>
        <v>3.008651861738576</v>
      </c>
      <c r="P1313" s="1">
        <f t="shared" si="273"/>
        <v>1753.3139337477082</v>
      </c>
      <c r="S1313" s="6">
        <f t="shared" si="267"/>
        <v>0.50977635496084317</v>
      </c>
      <c r="T1313" s="6">
        <f t="shared" si="268"/>
        <v>0.4902236450391575</v>
      </c>
      <c r="V1313" s="1">
        <f t="shared" si="274"/>
        <v>133575.03939707993</v>
      </c>
      <c r="W1313" s="7">
        <f t="shared" si="275"/>
        <v>-6.2025048317381499E-3</v>
      </c>
      <c r="X1313" s="7">
        <f t="shared" si="276"/>
        <v>-4.5677733165444051E-3</v>
      </c>
      <c r="Y1313">
        <f>LN(B1313/B1312)</f>
        <v>-1.2578495914495577E-2</v>
      </c>
      <c r="Z1313">
        <f>LN(C1313/C1312)</f>
        <v>4.7119652257172695E-4</v>
      </c>
    </row>
    <row r="1314" spans="1:26" x14ac:dyDescent="0.3">
      <c r="A1314" s="11">
        <v>42114</v>
      </c>
      <c r="B1314" s="12">
        <v>22191.13</v>
      </c>
      <c r="C1314" s="12">
        <v>36.762219999999999</v>
      </c>
      <c r="D1314" s="16">
        <f t="shared" si="278"/>
        <v>-3.4274243346229527E-3</v>
      </c>
      <c r="E1314" s="15">
        <f t="shared" si="277"/>
        <v>4.7081338046184307E-4</v>
      </c>
      <c r="G1314" s="25" t="str">
        <f>IF(VLOOKUP(A1314,Aux!B:C,2,FALSE)=0,"",VLOOKUP(A1314,Aux!B:C,2,FALSE))</f>
        <v/>
      </c>
      <c r="H1314" s="25" t="str">
        <f t="shared" si="266"/>
        <v/>
      </c>
      <c r="L1314" s="13">
        <f t="shared" si="269"/>
        <v>131221.09715008133</v>
      </c>
      <c r="M1314" s="14">
        <f t="shared" si="270"/>
        <v>-229.62031008788725</v>
      </c>
      <c r="N1314" s="14">
        <f t="shared" si="271"/>
        <v>30.33233105383318</v>
      </c>
      <c r="O1314" s="1">
        <f t="shared" si="272"/>
        <v>3.008651861738576</v>
      </c>
      <c r="P1314" s="1">
        <f t="shared" si="273"/>
        <v>1753.3139337477082</v>
      </c>
      <c r="S1314" s="6">
        <f t="shared" si="267"/>
        <v>0.50880068859827687</v>
      </c>
      <c r="T1314" s="6">
        <f t="shared" si="268"/>
        <v>0.49119931140172396</v>
      </c>
      <c r="V1314" s="1">
        <f t="shared" si="274"/>
        <v>133437.66887897614</v>
      </c>
      <c r="W1314" s="7">
        <f t="shared" si="275"/>
        <v>-1.5175669551624766E-3</v>
      </c>
      <c r="X1314" s="7">
        <f t="shared" si="276"/>
        <v>-1.0289437615948079E-3</v>
      </c>
      <c r="Y1314">
        <f>LN(B1314/B1313)</f>
        <v>-3.433311408924636E-3</v>
      </c>
      <c r="Z1314">
        <f>LN(C1314/C1313)</f>
        <v>4.7070258261760643E-4</v>
      </c>
    </row>
    <row r="1315" spans="1:26" x14ac:dyDescent="0.3">
      <c r="A1315" s="9">
        <v>42116</v>
      </c>
      <c r="B1315" s="1">
        <v>22507.53</v>
      </c>
      <c r="C1315" s="1">
        <v>36.779539999999997</v>
      </c>
      <c r="D1315" s="6">
        <f t="shared" si="278"/>
        <v>1.4257949009356397E-2</v>
      </c>
      <c r="E1315" s="5">
        <f t="shared" si="277"/>
        <v>4.7113585632208022E-4</v>
      </c>
      <c r="G1315" s="25" t="str">
        <f>IF(VLOOKUP(A1315,Aux!B:C,2,FALSE)=0,"",VLOOKUP(A1315,Aux!B:C,2,FALSE))</f>
        <v/>
      </c>
      <c r="H1315" s="25" t="str">
        <f t="shared" si="266"/>
        <v/>
      </c>
      <c r="L1315" s="13">
        <f t="shared" si="269"/>
        <v>132203.4019964679</v>
      </c>
      <c r="M1315" s="14">
        <f t="shared" si="270"/>
        <v>951.93744905407891</v>
      </c>
      <c r="N1315" s="14">
        <f t="shared" si="271"/>
        <v>30.367397332506805</v>
      </c>
      <c r="O1315" s="1">
        <f t="shared" si="272"/>
        <v>3.008651861738576</v>
      </c>
      <c r="P1315" s="1">
        <f t="shared" si="273"/>
        <v>1753.3139337477082</v>
      </c>
      <c r="S1315" s="6">
        <f t="shared" si="267"/>
        <v>0.51222072212215897</v>
      </c>
      <c r="T1315" s="6">
        <f t="shared" si="268"/>
        <v>0.48777927787784209</v>
      </c>
      <c r="V1315" s="1">
        <f t="shared" si="274"/>
        <v>134206.36188094065</v>
      </c>
      <c r="W1315" s="7">
        <f t="shared" si="275"/>
        <v>7.4579957649123065E-3</v>
      </c>
      <c r="X1315" s="7">
        <f t="shared" si="276"/>
        <v>5.7441603565040987E-3</v>
      </c>
      <c r="Y1315">
        <f>LN(B1315/B1314)</f>
        <v>1.4157260401148244E-2</v>
      </c>
      <c r="Z1315">
        <f>LN(C1315/C1314)</f>
        <v>4.7102490667139531E-4</v>
      </c>
    </row>
    <row r="1316" spans="1:26" x14ac:dyDescent="0.3">
      <c r="A1316" s="11">
        <v>42117</v>
      </c>
      <c r="B1316" s="12">
        <v>22913.43</v>
      </c>
      <c r="C1316" s="12">
        <v>36.796860000000002</v>
      </c>
      <c r="D1316" s="16">
        <f t="shared" si="278"/>
        <v>1.803396463316953E-2</v>
      </c>
      <c r="E1316" s="15">
        <f t="shared" si="277"/>
        <v>4.7091399185550387E-4</v>
      </c>
      <c r="G1316" s="25" t="str">
        <f>IF(VLOOKUP(A1316,Aux!B:C,2,FALSE)=0,"",VLOOKUP(A1316,Aux!B:C,2,FALSE))</f>
        <v/>
      </c>
      <c r="H1316" s="25" t="str">
        <f t="shared" si="266"/>
        <v/>
      </c>
      <c r="L1316" s="13">
        <f t="shared" si="269"/>
        <v>133454.9811844801</v>
      </c>
      <c r="M1316" s="14">
        <f t="shared" si="270"/>
        <v>1221.2117906796923</v>
      </c>
      <c r="N1316" s="14">
        <f t="shared" si="271"/>
        <v>30.367397332519264</v>
      </c>
      <c r="O1316" s="1">
        <f t="shared" si="272"/>
        <v>3.008651861738576</v>
      </c>
      <c r="P1316" s="1">
        <f t="shared" si="273"/>
        <v>1753.3139337477082</v>
      </c>
      <c r="S1316" s="6">
        <f t="shared" si="267"/>
        <v>0.51656770857447487</v>
      </c>
      <c r="T1316" s="6">
        <f t="shared" si="268"/>
        <v>0.48343229142552618</v>
      </c>
      <c r="V1316" s="1">
        <f t="shared" si="274"/>
        <v>135181.53451363195</v>
      </c>
      <c r="W1316" s="7">
        <f t="shared" si="275"/>
        <v>9.4225405805582786E-3</v>
      </c>
      <c r="X1316" s="7">
        <f t="shared" si="276"/>
        <v>7.2399458576981298E-3</v>
      </c>
      <c r="Y1316">
        <f>LN(B1316/B1315)</f>
        <v>1.7873281651496785E-2</v>
      </c>
      <c r="Z1316">
        <f>LN(C1316/C1315)</f>
        <v>4.7080314665931181E-4</v>
      </c>
    </row>
    <row r="1317" spans="1:26" x14ac:dyDescent="0.3">
      <c r="A1317" s="9">
        <v>42118</v>
      </c>
      <c r="B1317" s="1">
        <v>23242.73</v>
      </c>
      <c r="C1317" s="1">
        <v>36.814189999999996</v>
      </c>
      <c r="D1317" s="6">
        <f t="shared" si="278"/>
        <v>1.437148432164026E-2</v>
      </c>
      <c r="E1317" s="5">
        <f t="shared" si="277"/>
        <v>4.7096409856695054E-4</v>
      </c>
      <c r="G1317" s="25" t="str">
        <f>IF(VLOOKUP(A1317,Aux!B:C,2,FALSE)=0,"",VLOOKUP(A1317,Aux!B:C,2,FALSE))</f>
        <v/>
      </c>
      <c r="H1317" s="25" t="str">
        <f t="shared" si="266"/>
        <v/>
      </c>
      <c r="L1317" s="13">
        <f t="shared" si="269"/>
        <v>134476.11517302244</v>
      </c>
      <c r="M1317" s="14">
        <f t="shared" si="270"/>
        <v>990.74905807051084</v>
      </c>
      <c r="N1317" s="14">
        <f t="shared" si="271"/>
        <v>30.384930471837389</v>
      </c>
      <c r="O1317" s="1">
        <f t="shared" si="272"/>
        <v>3.008651861738576</v>
      </c>
      <c r="P1317" s="1">
        <f t="shared" si="273"/>
        <v>1753.3139337477082</v>
      </c>
      <c r="S1317" s="6">
        <f t="shared" si="267"/>
        <v>0.52001266393227674</v>
      </c>
      <c r="T1317" s="6">
        <f t="shared" si="268"/>
        <v>0.47998733606772442</v>
      </c>
      <c r="V1317" s="1">
        <f t="shared" si="274"/>
        <v>135980.01063816552</v>
      </c>
      <c r="W1317" s="7">
        <f t="shared" si="275"/>
        <v>7.6223995384870893E-3</v>
      </c>
      <c r="X1317" s="7">
        <f t="shared" si="276"/>
        <v>5.8893190917073826E-3</v>
      </c>
      <c r="Y1317">
        <f>LN(B1317/B1316)</f>
        <v>1.4269193424042405E-2</v>
      </c>
      <c r="Z1317">
        <f>LN(C1317/C1316)</f>
        <v>4.7085322978465926E-4</v>
      </c>
    </row>
    <row r="1318" spans="1:26" x14ac:dyDescent="0.3">
      <c r="A1318" s="11">
        <v>42121</v>
      </c>
      <c r="B1318" s="12">
        <v>22838.66</v>
      </c>
      <c r="C1318" s="12">
        <v>36.831539999999997</v>
      </c>
      <c r="D1318" s="16">
        <f t="shared" si="278"/>
        <v>-1.738479085718414E-2</v>
      </c>
      <c r="E1318" s="15">
        <f t="shared" si="277"/>
        <v>4.7128566457654841E-4</v>
      </c>
      <c r="G1318" s="25" t="str">
        <f>IF(VLOOKUP(A1318,Aux!B:C,2,FALSE)=0,"",VLOOKUP(A1318,Aux!B:C,2,FALSE))</f>
        <v/>
      </c>
      <c r="H1318" s="25" t="str">
        <f t="shared" si="266"/>
        <v/>
      </c>
      <c r="L1318" s="13">
        <f t="shared" si="269"/>
        <v>133290.82921200024</v>
      </c>
      <c r="M1318" s="14">
        <f t="shared" si="270"/>
        <v>-1215.7059577727055</v>
      </c>
      <c r="N1318" s="14">
        <f t="shared" si="271"/>
        <v>30.419996750523474</v>
      </c>
      <c r="O1318" s="1">
        <f t="shared" si="272"/>
        <v>3.008651861738576</v>
      </c>
      <c r="P1318" s="1">
        <f t="shared" si="273"/>
        <v>1753.3139337477082</v>
      </c>
      <c r="S1318" s="6">
        <f t="shared" si="267"/>
        <v>0.51551616367638309</v>
      </c>
      <c r="T1318" s="6">
        <f t="shared" si="268"/>
        <v>0.48448383632361808</v>
      </c>
      <c r="V1318" s="1">
        <f t="shared" si="274"/>
        <v>135086.62126192846</v>
      </c>
      <c r="W1318" s="7">
        <f t="shared" si="275"/>
        <v>-8.8531742071306478E-3</v>
      </c>
      <c r="X1318" s="7">
        <f t="shared" si="276"/>
        <v>-6.5916826782198732E-3</v>
      </c>
      <c r="Y1318">
        <f>LN(B1318/B1317)</f>
        <v>-1.7537680899217561E-2</v>
      </c>
      <c r="Z1318">
        <f>LN(C1318/C1317)</f>
        <v>4.711746443678497E-4</v>
      </c>
    </row>
    <row r="1319" spans="1:26" x14ac:dyDescent="0.3">
      <c r="A1319" s="9">
        <v>42122</v>
      </c>
      <c r="B1319" s="1">
        <v>22922.89</v>
      </c>
      <c r="C1319" s="1">
        <v>36.8489</v>
      </c>
      <c r="D1319" s="6">
        <f t="shared" si="278"/>
        <v>3.6880447451821396E-3</v>
      </c>
      <c r="E1319" s="5">
        <f t="shared" si="277"/>
        <v>4.7133516545883047E-4</v>
      </c>
      <c r="G1319" s="25" t="str">
        <f>IF(VLOOKUP(A1319,Aux!B:C,2,FALSE)=0,"",VLOOKUP(A1319,Aux!B:C,2,FALSE))</f>
        <v/>
      </c>
      <c r="H1319" s="25" t="str">
        <f t="shared" si="266"/>
        <v/>
      </c>
      <c r="L1319" s="13">
        <f t="shared" si="269"/>
        <v>133574.68548820436</v>
      </c>
      <c r="M1319" s="14">
        <f t="shared" si="270"/>
        <v>253.41874631423894</v>
      </c>
      <c r="N1319" s="14">
        <f t="shared" si="271"/>
        <v>30.437529889866518</v>
      </c>
      <c r="O1319" s="1">
        <f t="shared" si="272"/>
        <v>3.008651861738576</v>
      </c>
      <c r="P1319" s="1">
        <f t="shared" si="273"/>
        <v>1753.3139337477082</v>
      </c>
      <c r="S1319" s="6">
        <f t="shared" si="267"/>
        <v>0.51631785935231633</v>
      </c>
      <c r="T1319" s="6">
        <f t="shared" si="268"/>
        <v>0.48368214064768483</v>
      </c>
      <c r="V1319" s="1">
        <f t="shared" si="274"/>
        <v>135319.77943784141</v>
      </c>
      <c r="W1319" s="7">
        <f t="shared" si="275"/>
        <v>2.1273365618162728E-3</v>
      </c>
      <c r="X1319" s="7">
        <f t="shared" si="276"/>
        <v>1.7245023275495113E-3</v>
      </c>
      <c r="Y1319">
        <f>LN(B1319/B1318)</f>
        <v>3.6812605832397256E-3</v>
      </c>
      <c r="Z1319">
        <f>LN(C1319/C1318)</f>
        <v>4.7122412193084103E-4</v>
      </c>
    </row>
    <row r="1320" spans="1:26" x14ac:dyDescent="0.3">
      <c r="A1320" s="11">
        <v>42123</v>
      </c>
      <c r="B1320" s="12">
        <v>22787.9</v>
      </c>
      <c r="C1320" s="12">
        <v>36.866280000000003</v>
      </c>
      <c r="D1320" s="16">
        <f t="shared" si="278"/>
        <v>-5.8888735233645351E-3</v>
      </c>
      <c r="E1320" s="15">
        <f t="shared" si="277"/>
        <v>4.7165587032460543E-4</v>
      </c>
      <c r="G1320" s="25" t="str">
        <f>IF(VLOOKUP(A1320,Aux!B:C,2,FALSE)=0,"",VLOOKUP(A1320,Aux!B:C,2,FALSE))</f>
        <v/>
      </c>
      <c r="H1320" s="25" t="str">
        <f t="shared" si="266"/>
        <v/>
      </c>
      <c r="L1320" s="13">
        <f t="shared" si="269"/>
        <v>133199.02016955681</v>
      </c>
      <c r="M1320" s="14">
        <f t="shared" si="270"/>
        <v>-406.13791481608422</v>
      </c>
      <c r="N1320" s="14">
        <f t="shared" si="271"/>
        <v>30.472596168540143</v>
      </c>
      <c r="O1320" s="1">
        <f t="shared" si="272"/>
        <v>3.008651861738576</v>
      </c>
      <c r="P1320" s="1">
        <f t="shared" si="273"/>
        <v>1753.3139337477082</v>
      </c>
      <c r="S1320" s="6">
        <f t="shared" si="267"/>
        <v>0.51472494071530994</v>
      </c>
      <c r="T1320" s="6">
        <f t="shared" si="268"/>
        <v>0.48527505928469122</v>
      </c>
      <c r="V1320" s="1">
        <f t="shared" si="274"/>
        <v>135047.23414804696</v>
      </c>
      <c r="W1320" s="7">
        <f t="shared" si="275"/>
        <v>-2.8163612754309991E-3</v>
      </c>
      <c r="X1320" s="7">
        <f t="shared" si="276"/>
        <v>-2.0161141590309462E-3</v>
      </c>
      <c r="Y1320">
        <f>LN(B1320/B1319)</f>
        <v>-5.9062813142143336E-3</v>
      </c>
      <c r="Z1320">
        <f>LN(C1320/C1319)</f>
        <v>4.7154467565697087E-4</v>
      </c>
    </row>
    <row r="1321" spans="1:26" x14ac:dyDescent="0.3">
      <c r="A1321" s="9">
        <v>42124</v>
      </c>
      <c r="B1321" s="1">
        <v>23126.62</v>
      </c>
      <c r="C1321" s="1">
        <v>36.883670000000002</v>
      </c>
      <c r="D1321" s="6">
        <f t="shared" si="278"/>
        <v>1.4864028716994326E-2</v>
      </c>
      <c r="E1321" s="5">
        <f t="shared" si="277"/>
        <v>4.7170476652369508E-4</v>
      </c>
      <c r="G1321" s="25" t="str">
        <f>IF(VLOOKUP(A1321,Aux!B:C,2,FALSE)=0,"",VLOOKUP(A1321,Aux!B:C,2,FALSE))</f>
        <v/>
      </c>
      <c r="H1321" s="25" t="str">
        <f t="shared" si="266"/>
        <v/>
      </c>
      <c r="L1321" s="13">
        <f t="shared" si="269"/>
        <v>134248.60085747277</v>
      </c>
      <c r="M1321" s="14">
        <f t="shared" si="270"/>
        <v>1019.090558608083</v>
      </c>
      <c r="N1321" s="14">
        <f t="shared" si="271"/>
        <v>30.490129307870728</v>
      </c>
      <c r="O1321" s="1">
        <f t="shared" si="272"/>
        <v>3.008651861738576</v>
      </c>
      <c r="P1321" s="1">
        <f t="shared" si="273"/>
        <v>1753.3139337477082</v>
      </c>
      <c r="S1321" s="6">
        <f t="shared" si="267"/>
        <v>0.51829179503026079</v>
      </c>
      <c r="T1321" s="6">
        <f t="shared" si="268"/>
        <v>0.48170820496974021</v>
      </c>
      <c r="V1321" s="1">
        <f t="shared" si="274"/>
        <v>135867.57677004157</v>
      </c>
      <c r="W1321" s="7">
        <f t="shared" si="275"/>
        <v>7.8489094215750382E-3</v>
      </c>
      <c r="X1321" s="7">
        <f t="shared" si="276"/>
        <v>6.0561113398464612E-3</v>
      </c>
      <c r="Y1321">
        <f>LN(B1321/B1320)</f>
        <v>1.47546416648819E-2</v>
      </c>
      <c r="Z1321">
        <f>LN(C1321/C1320)</f>
        <v>4.7159354880355915E-4</v>
      </c>
    </row>
    <row r="1322" spans="1:26" x14ac:dyDescent="0.3">
      <c r="A1322" s="11">
        <v>42128</v>
      </c>
      <c r="B1322" s="12">
        <v>23572.79</v>
      </c>
      <c r="C1322" s="12">
        <v>36.901710000000001</v>
      </c>
      <c r="D1322" s="16">
        <f t="shared" si="278"/>
        <v>1.9292486320958258E-2</v>
      </c>
      <c r="E1322" s="15">
        <f t="shared" si="277"/>
        <v>4.8910534119839255E-4</v>
      </c>
      <c r="G1322" s="25" t="str">
        <f>IF(VLOOKUP(A1322,Aux!B:C,2,FALSE)=0,"",VLOOKUP(A1322,Aux!B:C,2,FALSE))</f>
        <v/>
      </c>
      <c r="H1322" s="25" t="str">
        <f t="shared" si="266"/>
        <v/>
      </c>
      <c r="L1322" s="13">
        <f t="shared" si="269"/>
        <v>135622.60084198948</v>
      </c>
      <c r="M1322" s="14">
        <f t="shared" si="270"/>
        <v>1342.3702011519063</v>
      </c>
      <c r="N1322" s="14">
        <f t="shared" si="271"/>
        <v>31.629783364807196</v>
      </c>
      <c r="O1322" s="1">
        <f t="shared" si="272"/>
        <v>3.008651861738576</v>
      </c>
      <c r="P1322" s="1">
        <f t="shared" si="273"/>
        <v>1753.3139337477082</v>
      </c>
      <c r="S1322" s="6">
        <f t="shared" si="267"/>
        <v>0.52293878807487493</v>
      </c>
      <c r="T1322" s="6">
        <f t="shared" si="268"/>
        <v>0.47706121192512618</v>
      </c>
      <c r="V1322" s="1">
        <f t="shared" si="274"/>
        <v>136937.26443675728</v>
      </c>
      <c r="W1322" s="7">
        <f t="shared" si="275"/>
        <v>1.0182723077543759E-2</v>
      </c>
      <c r="X1322" s="7">
        <f t="shared" si="276"/>
        <v>7.8421859679378425E-3</v>
      </c>
      <c r="Y1322">
        <f>LN(B1322/B1321)</f>
        <v>1.9108745754248018E-2</v>
      </c>
      <c r="Z1322">
        <f>LN(C1322/C1321)</f>
        <v>4.8898576816861449E-4</v>
      </c>
    </row>
    <row r="1323" spans="1:26" x14ac:dyDescent="0.3">
      <c r="A1323" s="9">
        <v>42129</v>
      </c>
      <c r="B1323" s="1">
        <v>23847.65</v>
      </c>
      <c r="C1323" s="1">
        <v>36.919750000000001</v>
      </c>
      <c r="D1323" s="6">
        <f t="shared" si="278"/>
        <v>1.1660053816285654E-2</v>
      </c>
      <c r="E1323" s="5">
        <f t="shared" si="277"/>
        <v>4.8886623411226182E-4</v>
      </c>
      <c r="G1323" s="25" t="str">
        <f>IF(VLOOKUP(A1323,Aux!B:C,2,FALSE)=0,"",VLOOKUP(A1323,Aux!B:C,2,FALSE))</f>
        <v/>
      </c>
      <c r="H1323" s="25" t="str">
        <f t="shared" si="266"/>
        <v/>
      </c>
      <c r="L1323" s="13">
        <f t="shared" si="269"/>
        <v>136481.18867607173</v>
      </c>
      <c r="M1323" s="14">
        <f t="shared" si="270"/>
        <v>826.95805071746679</v>
      </c>
      <c r="N1323" s="14">
        <f t="shared" si="271"/>
        <v>31.629783364807196</v>
      </c>
      <c r="O1323" s="1">
        <f t="shared" si="272"/>
        <v>3.008651861738576</v>
      </c>
      <c r="P1323" s="1">
        <f t="shared" si="273"/>
        <v>1753.3139337477082</v>
      </c>
      <c r="S1323" s="6">
        <f t="shared" si="267"/>
        <v>0.52570817463263519</v>
      </c>
      <c r="T1323" s="6">
        <f t="shared" si="268"/>
        <v>0.47429182536736608</v>
      </c>
      <c r="V1323" s="1">
        <f t="shared" si="274"/>
        <v>137611.73394101713</v>
      </c>
      <c r="W1323" s="7">
        <f t="shared" si="275"/>
        <v>6.3107587372287664E-3</v>
      </c>
      <c r="X1323" s="7">
        <f t="shared" si="276"/>
        <v>4.9133004679069005E-3</v>
      </c>
      <c r="Y1323">
        <f>LN(B1323/B1322)</f>
        <v>1.1592599231825844E-2</v>
      </c>
      <c r="Z1323">
        <f>LN(C1323/C1322)</f>
        <v>4.8874677794530624E-4</v>
      </c>
    </row>
    <row r="1324" spans="1:26" x14ac:dyDescent="0.3">
      <c r="A1324" s="11">
        <v>42130</v>
      </c>
      <c r="B1324" s="12">
        <v>23503.42</v>
      </c>
      <c r="C1324" s="12">
        <v>36.937829999999998</v>
      </c>
      <c r="D1324" s="16">
        <f t="shared" si="278"/>
        <v>-1.4434545961551914E-2</v>
      </c>
      <c r="E1324" s="15">
        <f t="shared" si="277"/>
        <v>4.8971079164950027E-4</v>
      </c>
      <c r="G1324" s="25" t="str">
        <f>IF(VLOOKUP(A1324,Aux!B:C,2,FALSE)=0,"",VLOOKUP(A1324,Aux!B:C,2,FALSE))</f>
        <v/>
      </c>
      <c r="H1324" s="25" t="str">
        <f t="shared" si="266"/>
        <v/>
      </c>
      <c r="L1324" s="13">
        <f t="shared" si="269"/>
        <v>135477.22036162761</v>
      </c>
      <c r="M1324" s="14">
        <f t="shared" si="270"/>
        <v>-1035.6682303662797</v>
      </c>
      <c r="N1324" s="14">
        <f t="shared" si="271"/>
        <v>31.69991592215445</v>
      </c>
      <c r="O1324" s="1">
        <f t="shared" si="272"/>
        <v>3.008651861738576</v>
      </c>
      <c r="P1324" s="1">
        <f t="shared" si="273"/>
        <v>1753.3139337477082</v>
      </c>
      <c r="S1324" s="6">
        <f t="shared" si="267"/>
        <v>0.52195939768670152</v>
      </c>
      <c r="T1324" s="6">
        <f t="shared" si="268"/>
        <v>0.47804060231329981</v>
      </c>
      <c r="V1324" s="1">
        <f t="shared" si="274"/>
        <v>136858.03064469135</v>
      </c>
      <c r="W1324" s="7">
        <f t="shared" si="275"/>
        <v>-7.3832824567387064E-3</v>
      </c>
      <c r="X1324" s="7">
        <f t="shared" si="276"/>
        <v>-5.4920817377180631E-3</v>
      </c>
      <c r="Y1324">
        <f>LN(B1324/B1323)</f>
        <v>-1.4539737508681216E-2</v>
      </c>
      <c r="Z1324">
        <f>LN(C1324/C1323)</f>
        <v>4.8959092245233428E-4</v>
      </c>
    </row>
    <row r="1325" spans="1:26" x14ac:dyDescent="0.3">
      <c r="A1325" s="9">
        <v>42131</v>
      </c>
      <c r="B1325" s="1">
        <v>23440.01</v>
      </c>
      <c r="C1325" s="1">
        <v>36.955910000000003</v>
      </c>
      <c r="D1325" s="6">
        <f t="shared" si="278"/>
        <v>-2.6979052410245341E-3</v>
      </c>
      <c r="E1325" s="5">
        <f t="shared" si="277"/>
        <v>4.8947109237351683E-4</v>
      </c>
      <c r="G1325" s="25" t="str">
        <f>IF(VLOOKUP(A1325,Aux!B:C,2,FALSE)=0,"",VLOOKUP(A1325,Aux!B:C,2,FALSE))</f>
        <v/>
      </c>
      <c r="H1325" s="25" t="str">
        <f t="shared" si="266"/>
        <v/>
      </c>
      <c r="L1325" s="13">
        <f t="shared" si="269"/>
        <v>135318.14166299693</v>
      </c>
      <c r="M1325" s="14">
        <f t="shared" si="270"/>
        <v>-190.77861455284267</v>
      </c>
      <c r="N1325" s="14">
        <f t="shared" si="271"/>
        <v>31.699915922166909</v>
      </c>
      <c r="O1325" s="1">
        <f t="shared" si="272"/>
        <v>3.008651861738576</v>
      </c>
      <c r="P1325" s="1">
        <f t="shared" si="273"/>
        <v>1753.3139337477082</v>
      </c>
      <c r="S1325" s="6">
        <f t="shared" si="267"/>
        <v>0.52116315564918425</v>
      </c>
      <c r="T1325" s="6">
        <f t="shared" si="268"/>
        <v>0.47883684435081708</v>
      </c>
      <c r="V1325" s="1">
        <f t="shared" si="274"/>
        <v>136752.18891150175</v>
      </c>
      <c r="W1325" s="7">
        <f t="shared" si="275"/>
        <v>-1.174899863428433E-3</v>
      </c>
      <c r="X1325" s="7">
        <f t="shared" si="276"/>
        <v>-7.7366802044658435E-4</v>
      </c>
      <c r="Y1325">
        <f>LN(B1325/B1324)</f>
        <v>-2.7015511463838525E-3</v>
      </c>
      <c r="Z1325">
        <f>LN(C1325/C1324)</f>
        <v>4.893513404735175E-4</v>
      </c>
    </row>
    <row r="1326" spans="1:26" x14ac:dyDescent="0.3">
      <c r="A1326" s="11">
        <v>42132</v>
      </c>
      <c r="B1326" s="12">
        <v>23550.720000000001</v>
      </c>
      <c r="C1326" s="12">
        <v>36.97401</v>
      </c>
      <c r="D1326" s="16">
        <f t="shared" si="278"/>
        <v>4.7231208519109558E-3</v>
      </c>
      <c r="E1326" s="15">
        <f t="shared" si="277"/>
        <v>4.8977281306283871E-4</v>
      </c>
      <c r="G1326" s="25" t="str">
        <f>IF(VLOOKUP(A1326,Aux!B:C,2,FALSE)=0,"",VLOOKUP(A1326,Aux!B:C,2,FALSE))</f>
        <v/>
      </c>
      <c r="H1326" s="25" t="str">
        <f t="shared" si="266"/>
        <v/>
      </c>
      <c r="L1326" s="13">
        <f t="shared" si="269"/>
        <v>135682.96449281086</v>
      </c>
      <c r="M1326" s="14">
        <f t="shared" si="270"/>
        <v>333.08784761308607</v>
      </c>
      <c r="N1326" s="14">
        <f t="shared" si="271"/>
        <v>31.734982200828078</v>
      </c>
      <c r="O1326" s="1">
        <f t="shared" si="272"/>
        <v>3.008651861738576</v>
      </c>
      <c r="P1326" s="1">
        <f t="shared" si="273"/>
        <v>1753.3139337477082</v>
      </c>
      <c r="S1326" s="6">
        <f t="shared" si="267"/>
        <v>0.52221675608390916</v>
      </c>
      <c r="T1326" s="6">
        <f t="shared" si="268"/>
        <v>0.477783243916092</v>
      </c>
      <c r="V1326" s="1">
        <f t="shared" si="274"/>
        <v>137048.09285171158</v>
      </c>
      <c r="W1326" s="7">
        <f t="shared" si="275"/>
        <v>2.6924100449223711E-3</v>
      </c>
      <c r="X1326" s="7">
        <f t="shared" si="276"/>
        <v>2.1614591008248195E-3</v>
      </c>
      <c r="Y1326">
        <f>LN(B1326/B1325)</f>
        <v>4.7120019136009487E-3</v>
      </c>
      <c r="Z1326">
        <f>LN(C1326/C1325)</f>
        <v>4.8965291350606239E-4</v>
      </c>
    </row>
    <row r="1327" spans="1:26" x14ac:dyDescent="0.3">
      <c r="A1327" s="9">
        <v>42135</v>
      </c>
      <c r="B1327" s="1">
        <v>23573.4</v>
      </c>
      <c r="C1327" s="1">
        <v>36.99212</v>
      </c>
      <c r="D1327" s="6">
        <f t="shared" si="278"/>
        <v>9.6302788195012923E-4</v>
      </c>
      <c r="E1327" s="5">
        <f t="shared" si="277"/>
        <v>4.8980351333272054E-4</v>
      </c>
      <c r="G1327" s="25" t="str">
        <f>IF(VLOOKUP(A1327,Aux!B:C,2,FALSE)=0,"",VLOOKUP(A1327,Aux!B:C,2,FALSE))</f>
        <v/>
      </c>
      <c r="H1327" s="25" t="str">
        <f t="shared" si="266"/>
        <v/>
      </c>
      <c r="L1327" s="13">
        <f t="shared" si="269"/>
        <v>135782.95323237526</v>
      </c>
      <c r="M1327" s="14">
        <f t="shared" si="270"/>
        <v>68.236224224231776</v>
      </c>
      <c r="N1327" s="14">
        <f t="shared" si="271"/>
        <v>31.752515340171119</v>
      </c>
      <c r="O1327" s="1">
        <f t="shared" si="272"/>
        <v>3.008651861738576</v>
      </c>
      <c r="P1327" s="1">
        <f t="shared" si="273"/>
        <v>1753.3139337477082</v>
      </c>
      <c r="S1327" s="6">
        <f t="shared" si="267"/>
        <v>0.52233474165295612</v>
      </c>
      <c r="T1327" s="6">
        <f t="shared" si="268"/>
        <v>0.4776652583470451</v>
      </c>
      <c r="V1327" s="1">
        <f t="shared" si="274"/>
        <v>137140.93087394012</v>
      </c>
      <c r="W1327" s="7">
        <f t="shared" si="275"/>
        <v>7.3665780900951069E-4</v>
      </c>
      <c r="X1327" s="7">
        <f t="shared" si="276"/>
        <v>6.7718265680244568E-4</v>
      </c>
      <c r="Y1327">
        <f>LN(B1327/B1326)</f>
        <v>9.6256446809586649E-4</v>
      </c>
      <c r="Z1327">
        <f>LN(C1327/C1326)</f>
        <v>4.8968359874667657E-4</v>
      </c>
    </row>
    <row r="1328" spans="1:26" x14ac:dyDescent="0.3">
      <c r="A1328" s="11">
        <v>42136</v>
      </c>
      <c r="B1328" s="12">
        <v>23415.49</v>
      </c>
      <c r="C1328" s="12">
        <v>37.01023</v>
      </c>
      <c r="D1328" s="16">
        <f t="shared" si="278"/>
        <v>-6.6986518703283648E-3</v>
      </c>
      <c r="E1328" s="15">
        <f t="shared" si="277"/>
        <v>4.8956372330111186E-4</v>
      </c>
      <c r="G1328" s="25" t="str">
        <f>IF(VLOOKUP(A1328,Aux!B:C,2,FALSE)=0,"",VLOOKUP(A1328,Aux!B:C,2,FALSE))</f>
        <v/>
      </c>
      <c r="H1328" s="25" t="str">
        <f t="shared" si="266"/>
        <v/>
      </c>
      <c r="L1328" s="13">
        <f t="shared" si="269"/>
        <v>135339.60953222829</v>
      </c>
      <c r="M1328" s="14">
        <f t="shared" si="270"/>
        <v>-475.09621548713812</v>
      </c>
      <c r="N1328" s="14">
        <f t="shared" si="271"/>
        <v>31.752515340171119</v>
      </c>
      <c r="O1328" s="1">
        <f t="shared" si="272"/>
        <v>3.008651861738576</v>
      </c>
      <c r="P1328" s="1">
        <f t="shared" si="273"/>
        <v>1753.3139337477082</v>
      </c>
      <c r="S1328" s="6">
        <f t="shared" si="267"/>
        <v>0.52053539850981345</v>
      </c>
      <c r="T1328" s="6">
        <f t="shared" si="268"/>
        <v>0.47946460149018771</v>
      </c>
      <c r="V1328" s="1">
        <f t="shared" si="274"/>
        <v>136817.14144909667</v>
      </c>
      <c r="W1328" s="7">
        <f t="shared" si="275"/>
        <v>-3.2704330527368267E-3</v>
      </c>
      <c r="X1328" s="7">
        <f t="shared" si="276"/>
        <v>-2.3637892679145758E-3</v>
      </c>
      <c r="Y1328">
        <f>LN(B1328/B1327)</f>
        <v>-6.7211885386816196E-3</v>
      </c>
      <c r="Z1328">
        <f>LN(C1328/C1327)</f>
        <v>4.8944392607884707E-4</v>
      </c>
    </row>
    <row r="1329" spans="1:26" x14ac:dyDescent="0.3">
      <c r="A1329" s="9">
        <v>42137</v>
      </c>
      <c r="B1329" s="1">
        <v>23246.44</v>
      </c>
      <c r="C1329" s="1">
        <v>37.028350000000003</v>
      </c>
      <c r="D1329" s="6">
        <f t="shared" si="278"/>
        <v>-7.2195798593154281E-3</v>
      </c>
      <c r="E1329" s="5">
        <f t="shared" si="277"/>
        <v>4.8959436350437535E-4</v>
      </c>
      <c r="G1329" s="25" t="str">
        <f>IF(VLOOKUP(A1329,Aux!B:C,2,FALSE)=0,"",VLOOKUP(A1329,Aux!B:C,2,FALSE))</f>
        <v/>
      </c>
      <c r="H1329" s="25" t="str">
        <f t="shared" si="266"/>
        <v/>
      </c>
      <c r="L1329" s="13">
        <f t="shared" si="269"/>
        <v>134862.76698348089</v>
      </c>
      <c r="M1329" s="14">
        <f t="shared" si="270"/>
        <v>-508.61259722691506</v>
      </c>
      <c r="N1329" s="14">
        <f t="shared" si="271"/>
        <v>31.770048479514163</v>
      </c>
      <c r="O1329" s="1">
        <f t="shared" si="272"/>
        <v>3.008651861738576</v>
      </c>
      <c r="P1329" s="1">
        <f t="shared" si="273"/>
        <v>1753.3139337477082</v>
      </c>
      <c r="S1329" s="6">
        <f t="shared" si="267"/>
        <v>0.51860455297762786</v>
      </c>
      <c r="T1329" s="6">
        <f t="shared" si="268"/>
        <v>0.48139544702237336</v>
      </c>
      <c r="V1329" s="1">
        <f t="shared" si="274"/>
        <v>136467.67402589857</v>
      </c>
      <c r="W1329" s="7">
        <f t="shared" si="275"/>
        <v>-3.5295251649546055E-3</v>
      </c>
      <c r="X1329" s="7">
        <f t="shared" si="276"/>
        <v>-2.55753407359262E-3</v>
      </c>
      <c r="Y1329">
        <f>LN(B1329/B1328)</f>
        <v>-7.2457671429015207E-3</v>
      </c>
      <c r="Z1329">
        <f>LN(C1329/C1328)</f>
        <v>4.8947455128864966E-4</v>
      </c>
    </row>
    <row r="1330" spans="1:26" x14ac:dyDescent="0.3">
      <c r="A1330" s="11">
        <v>42138</v>
      </c>
      <c r="B1330" s="12">
        <v>23383.69</v>
      </c>
      <c r="C1330" s="12">
        <v>37.046489999999999</v>
      </c>
      <c r="D1330" s="16">
        <f t="shared" si="278"/>
        <v>5.9041298366544481E-3</v>
      </c>
      <c r="E1330" s="15">
        <f t="shared" si="277"/>
        <v>4.8989490484974141E-4</v>
      </c>
      <c r="G1330" s="25" t="str">
        <f>IF(VLOOKUP(A1330,Aux!B:C,2,FALSE)=0,"",VLOOKUP(A1330,Aux!B:C,2,FALSE))</f>
        <v/>
      </c>
      <c r="H1330" s="25" t="str">
        <f t="shared" si="266"/>
        <v/>
      </c>
      <c r="L1330" s="13">
        <f t="shared" si="269"/>
        <v>135307.50956626268</v>
      </c>
      <c r="M1330" s="14">
        <f t="shared" si="270"/>
        <v>412.93746802361954</v>
      </c>
      <c r="N1330" s="14">
        <f t="shared" si="271"/>
        <v>31.805114758175332</v>
      </c>
      <c r="O1330" s="1">
        <f t="shared" si="272"/>
        <v>3.008651861738576</v>
      </c>
      <c r="P1330" s="1">
        <f t="shared" si="273"/>
        <v>1753.3139337477082</v>
      </c>
      <c r="S1330" s="6">
        <f t="shared" si="267"/>
        <v>0.51995179482898046</v>
      </c>
      <c r="T1330" s="6">
        <f t="shared" si="268"/>
        <v>0.48004820517102081</v>
      </c>
      <c r="V1330" s="1">
        <f t="shared" si="274"/>
        <v>136824.896159781</v>
      </c>
      <c r="W1330" s="7">
        <f t="shared" si="275"/>
        <v>3.2923161658486881E-3</v>
      </c>
      <c r="X1330" s="7">
        <f t="shared" si="276"/>
        <v>2.6142118468921081E-3</v>
      </c>
      <c r="Y1330">
        <f>LN(B1330/B1329)</f>
        <v>5.8867687632620817E-3</v>
      </c>
      <c r="Z1330">
        <f>LN(C1330/C1329)</f>
        <v>4.897749455175539E-4</v>
      </c>
    </row>
    <row r="1331" spans="1:26" x14ac:dyDescent="0.3">
      <c r="A1331" s="9">
        <v>42139</v>
      </c>
      <c r="B1331" s="1">
        <v>23634.58</v>
      </c>
      <c r="C1331" s="1">
        <v>37.064619999999998</v>
      </c>
      <c r="D1331" s="6">
        <f t="shared" si="278"/>
        <v>1.0729273266965267E-2</v>
      </c>
      <c r="E1331" s="5">
        <f t="shared" si="277"/>
        <v>4.8938509424245602E-4</v>
      </c>
      <c r="G1331" s="25" t="str">
        <f>IF(VLOOKUP(A1331,Aux!B:C,2,FALSE)=0,"",VLOOKUP(A1331,Aux!B:C,2,FALSE))</f>
        <v/>
      </c>
      <c r="H1331" s="25" t="str">
        <f t="shared" si="266"/>
        <v/>
      </c>
      <c r="L1331" s="13">
        <f t="shared" si="269"/>
        <v>136094.13781347312</v>
      </c>
      <c r="M1331" s="14">
        <f t="shared" si="270"/>
        <v>754.84066559160055</v>
      </c>
      <c r="N1331" s="14">
        <f t="shared" si="271"/>
        <v>31.787581618844747</v>
      </c>
      <c r="O1331" s="1">
        <f t="shared" si="272"/>
        <v>3.008651861738576</v>
      </c>
      <c r="P1331" s="1">
        <f t="shared" si="273"/>
        <v>1753.3139337477082</v>
      </c>
      <c r="S1331" s="6">
        <f t="shared" si="267"/>
        <v>0.52249291748237014</v>
      </c>
      <c r="T1331" s="6">
        <f t="shared" si="268"/>
        <v>0.47750708251763119</v>
      </c>
      <c r="V1331" s="1">
        <f t="shared" si="274"/>
        <v>137444.26737748733</v>
      </c>
      <c r="W1331" s="7">
        <f t="shared" si="275"/>
        <v>5.7967993750359771E-3</v>
      </c>
      <c r="X1331" s="7">
        <f t="shared" si="276"/>
        <v>4.5165286727750055E-3</v>
      </c>
      <c r="Y1331">
        <f>LN(B1331/B1330)</f>
        <v>1.0672123038073557E-2</v>
      </c>
      <c r="Z1331">
        <f>LN(C1331/C1330)</f>
        <v>4.8926538441176816E-4</v>
      </c>
    </row>
    <row r="1332" spans="1:26" x14ac:dyDescent="0.3">
      <c r="A1332" s="11">
        <v>42142</v>
      </c>
      <c r="B1332" s="12">
        <v>23228.29</v>
      </c>
      <c r="C1332" s="12">
        <v>37.08278</v>
      </c>
      <c r="D1332" s="16">
        <f t="shared" si="278"/>
        <v>-1.7190489528479125E-2</v>
      </c>
      <c r="E1332" s="15">
        <f t="shared" si="277"/>
        <v>4.8995511083083088E-4</v>
      </c>
      <c r="G1332" s="25" t="str">
        <f>IF(VLOOKUP(A1332,Aux!B:C,2,FALSE)=0,"",VLOOKUP(A1332,Aux!B:C,2,FALSE))</f>
        <v/>
      </c>
      <c r="H1332" s="25" t="str">
        <f t="shared" si="266"/>
        <v/>
      </c>
      <c r="L1332" s="13">
        <f t="shared" si="269"/>
        <v>134903.5928296042</v>
      </c>
      <c r="M1332" s="14">
        <f t="shared" si="270"/>
        <v>-1222.3851649057688</v>
      </c>
      <c r="N1332" s="14">
        <f t="shared" si="271"/>
        <v>31.840181036861416</v>
      </c>
      <c r="O1332" s="1">
        <f t="shared" si="272"/>
        <v>3.008651861738576</v>
      </c>
      <c r="P1332" s="1">
        <f t="shared" si="273"/>
        <v>1753.3139337477082</v>
      </c>
      <c r="S1332" s="6">
        <f t="shared" si="267"/>
        <v>0.51804282219359321</v>
      </c>
      <c r="T1332" s="6">
        <f t="shared" si="268"/>
        <v>0.48195717780640812</v>
      </c>
      <c r="V1332" s="1">
        <f t="shared" si="274"/>
        <v>136547.56846088805</v>
      </c>
      <c r="W1332" s="7">
        <f t="shared" si="275"/>
        <v>-8.786439948099278E-3</v>
      </c>
      <c r="X1332" s="7">
        <f t="shared" si="276"/>
        <v>-6.5454659647199605E-3</v>
      </c>
      <c r="Y1332">
        <f>LN(B1332/B1331)</f>
        <v>-1.7339961467484632E-2</v>
      </c>
      <c r="Z1332">
        <f>LN(C1332/C1331)</f>
        <v>4.898351220166716E-4</v>
      </c>
    </row>
    <row r="1333" spans="1:26" x14ac:dyDescent="0.3">
      <c r="A1333" s="9">
        <v>42143</v>
      </c>
      <c r="B1333" s="1">
        <v>22966.89</v>
      </c>
      <c r="C1333" s="1">
        <v>37.100929999999998</v>
      </c>
      <c r="D1333" s="6">
        <f t="shared" si="278"/>
        <v>-1.1253518877196833E-2</v>
      </c>
      <c r="E1333" s="5">
        <f t="shared" si="277"/>
        <v>4.8944550543406073E-4</v>
      </c>
      <c r="G1333" s="25" t="str">
        <f>IF(VLOOKUP(A1333,Aux!B:C,2,FALSE)=0,"",VLOOKUP(A1333,Aux!B:C,2,FALSE))</f>
        <v/>
      </c>
      <c r="H1333" s="25" t="str">
        <f t="shared" si="266"/>
        <v/>
      </c>
      <c r="L1333" s="13">
        <f t="shared" si="269"/>
        <v>134148.95388084324</v>
      </c>
      <c r="M1333" s="14">
        <f t="shared" si="270"/>
        <v>-786.46159665846812</v>
      </c>
      <c r="N1333" s="14">
        <f t="shared" si="271"/>
        <v>31.822647897518372</v>
      </c>
      <c r="O1333" s="1">
        <f t="shared" si="272"/>
        <v>3.008651861738576</v>
      </c>
      <c r="P1333" s="1">
        <f t="shared" si="273"/>
        <v>1753.3139337477082</v>
      </c>
      <c r="S1333" s="6">
        <f t="shared" si="267"/>
        <v>0.51509441078625229</v>
      </c>
      <c r="T1333" s="6">
        <f t="shared" si="268"/>
        <v>0.48490558921374916</v>
      </c>
      <c r="V1333" s="1">
        <f t="shared" si="274"/>
        <v>135985.11347124347</v>
      </c>
      <c r="W1333" s="7">
        <f t="shared" si="275"/>
        <v>-5.6096174289316965E-3</v>
      </c>
      <c r="X1333" s="7">
        <f t="shared" si="276"/>
        <v>-4.1276208358877837E-3</v>
      </c>
      <c r="Y1333">
        <f>LN(B1333/B1332)</f>
        <v>-1.1317318821596851E-2</v>
      </c>
      <c r="Z1333">
        <f>LN(C1333/C1332)</f>
        <v>4.8932576605167444E-4</v>
      </c>
    </row>
    <row r="1334" spans="1:26" x14ac:dyDescent="0.3">
      <c r="A1334" s="11">
        <v>42144</v>
      </c>
      <c r="B1334" s="12">
        <v>22731.24</v>
      </c>
      <c r="C1334" s="12">
        <v>37.119100000000003</v>
      </c>
      <c r="D1334" s="16">
        <f t="shared" si="278"/>
        <v>-1.0260422721578677E-2</v>
      </c>
      <c r="E1334" s="15">
        <f t="shared" si="277"/>
        <v>4.8974513576904855E-4</v>
      </c>
      <c r="G1334" s="25" t="str">
        <f>IF(VLOOKUP(A1334,Aux!B:C,2,FALSE)=0,"",VLOOKUP(A1334,Aux!B:C,2,FALSE))</f>
        <v/>
      </c>
      <c r="H1334" s="25" t="str">
        <f t="shared" si="266"/>
        <v/>
      </c>
      <c r="L1334" s="13">
        <f t="shared" si="269"/>
        <v>133471.82278380077</v>
      </c>
      <c r="M1334" s="14">
        <f t="shared" si="270"/>
        <v>-708.98881121868885</v>
      </c>
      <c r="N1334" s="14">
        <f t="shared" si="271"/>
        <v>31.857714176204457</v>
      </c>
      <c r="O1334" s="1">
        <f t="shared" si="272"/>
        <v>3.008651861738576</v>
      </c>
      <c r="P1334" s="1">
        <f t="shared" si="273"/>
        <v>1753.3139337477082</v>
      </c>
      <c r="S1334" s="6">
        <f t="shared" si="267"/>
        <v>0.51239569610438263</v>
      </c>
      <c r="T1334" s="6">
        <f t="shared" si="268"/>
        <v>0.48760430389561876</v>
      </c>
      <c r="V1334" s="1">
        <f t="shared" si="274"/>
        <v>135482.10937498798</v>
      </c>
      <c r="W1334" s="7">
        <f t="shared" si="275"/>
        <v>-5.0603884380895879E-3</v>
      </c>
      <c r="X1334" s="7">
        <f t="shared" si="276"/>
        <v>-3.705822505073448E-3</v>
      </c>
      <c r="Y1334">
        <f>LN(B1334/B1333)</f>
        <v>-1.0313423712197265E-2</v>
      </c>
      <c r="Z1334">
        <f>LN(C1334/C1333)</f>
        <v>4.8962524976083966E-4</v>
      </c>
    </row>
    <row r="1335" spans="1:26" x14ac:dyDescent="0.3">
      <c r="A1335" s="9">
        <v>42145</v>
      </c>
      <c r="B1335" s="1">
        <v>22810.06</v>
      </c>
      <c r="C1335" s="1">
        <v>37.137279999999997</v>
      </c>
      <c r="D1335" s="6">
        <f t="shared" si="278"/>
        <v>3.467474717613328E-3</v>
      </c>
      <c r="E1335" s="5">
        <f t="shared" si="277"/>
        <v>4.8977480596223977E-4</v>
      </c>
      <c r="G1335" s="25" t="str">
        <f>IF(VLOOKUP(A1335,Aux!B:C,2,FALSE)=0,"",VLOOKUP(A1335,Aux!B:C,2,FALSE))</f>
        <v/>
      </c>
      <c r="H1335" s="25" t="str">
        <f t="shared" si="266"/>
        <v/>
      </c>
      <c r="L1335" s="13">
        <f t="shared" si="269"/>
        <v>133740.83997085853</v>
      </c>
      <c r="M1335" s="14">
        <f t="shared" si="270"/>
        <v>237.14193974223369</v>
      </c>
      <c r="N1335" s="14">
        <f t="shared" si="271"/>
        <v>31.875247315522582</v>
      </c>
      <c r="O1335" s="1">
        <f t="shared" si="272"/>
        <v>3.008651861738576</v>
      </c>
      <c r="P1335" s="1">
        <f t="shared" si="273"/>
        <v>1753.3139337477082</v>
      </c>
      <c r="S1335" s="6">
        <f t="shared" si="267"/>
        <v>0.51313816707239324</v>
      </c>
      <c r="T1335" s="6">
        <f t="shared" si="268"/>
        <v>0.48686183292760798</v>
      </c>
      <c r="V1335" s="1">
        <f t="shared" si="274"/>
        <v>135704.62094027654</v>
      </c>
      <c r="W1335" s="7">
        <f t="shared" si="275"/>
        <v>2.0135069586312104E-3</v>
      </c>
      <c r="X1335" s="7">
        <f t="shared" si="276"/>
        <v>1.6410214095969259E-3</v>
      </c>
      <c r="Y1335">
        <f>LN(B1335/B1334)</f>
        <v>3.4614768880373431E-3</v>
      </c>
      <c r="Z1335">
        <f>LN(C1335/C1334)</f>
        <v>4.8965490542987134E-4</v>
      </c>
    </row>
    <row r="1336" spans="1:26" x14ac:dyDescent="0.3">
      <c r="A1336" s="11">
        <v>42146</v>
      </c>
      <c r="B1336" s="12">
        <v>22520.63</v>
      </c>
      <c r="C1336" s="12">
        <v>37.155459999999998</v>
      </c>
      <c r="D1336" s="16">
        <f t="shared" si="278"/>
        <v>-1.2688699635160949E-2</v>
      </c>
      <c r="E1336" s="15">
        <f t="shared" si="277"/>
        <v>4.8953504403126402E-4</v>
      </c>
      <c r="G1336" s="25" t="str">
        <f>IF(VLOOKUP(A1336,Aux!B:C,2,FALSE)=0,"",VLOOKUP(A1336,Aux!B:C,2,FALSE))</f>
        <v/>
      </c>
      <c r="H1336" s="25" t="str">
        <f t="shared" si="266"/>
        <v/>
      </c>
      <c r="L1336" s="13">
        <f t="shared" si="269"/>
        <v>132901.92110983108</v>
      </c>
      <c r="M1336" s="14">
        <f t="shared" si="270"/>
        <v>-870.79410834299688</v>
      </c>
      <c r="N1336" s="14">
        <f t="shared" si="271"/>
        <v>31.875247315535042</v>
      </c>
      <c r="O1336" s="1">
        <f t="shared" si="272"/>
        <v>3.008651861738576</v>
      </c>
      <c r="P1336" s="1">
        <f t="shared" si="273"/>
        <v>1753.3139337477082</v>
      </c>
      <c r="S1336" s="6">
        <f t="shared" si="267"/>
        <v>0.50982510118142677</v>
      </c>
      <c r="T1336" s="6">
        <f t="shared" si="268"/>
        <v>0.49017489881857451</v>
      </c>
      <c r="V1336" s="1">
        <f t="shared" si="274"/>
        <v>135077.56687411116</v>
      </c>
      <c r="W1336" s="7">
        <f t="shared" si="275"/>
        <v>-6.2924763134485171E-3</v>
      </c>
      <c r="X1336" s="7">
        <f t="shared" si="276"/>
        <v>-4.6314360046782214E-3</v>
      </c>
      <c r="Y1336">
        <f>LN(B1336/B1335)</f>
        <v>-1.2769888704681343E-2</v>
      </c>
      <c r="Z1336">
        <f>LN(C1336/C1335)</f>
        <v>4.8941526084204825E-4</v>
      </c>
    </row>
    <row r="1337" spans="1:26" x14ac:dyDescent="0.3">
      <c r="A1337" s="9">
        <v>42149</v>
      </c>
      <c r="B1337" s="1">
        <v>22616.98</v>
      </c>
      <c r="C1337" s="1">
        <v>37.173659999999998</v>
      </c>
      <c r="D1337" s="6">
        <f t="shared" si="278"/>
        <v>4.2782994969501331E-3</v>
      </c>
      <c r="E1337" s="5">
        <f t="shared" si="277"/>
        <v>4.8983379562517193E-4</v>
      </c>
      <c r="G1337" s="25" t="str">
        <f>IF(VLOOKUP(A1337,Aux!B:C,2,FALSE)=0,"",VLOOKUP(A1337,Aux!B:C,2,FALSE))</f>
        <v/>
      </c>
      <c r="H1337" s="25" t="str">
        <f t="shared" si="266"/>
        <v/>
      </c>
      <c r="L1337" s="13">
        <f t="shared" si="269"/>
        <v>133223.71503030381</v>
      </c>
      <c r="M1337" s="14">
        <f t="shared" si="270"/>
        <v>289.88360687850741</v>
      </c>
      <c r="N1337" s="14">
        <f t="shared" si="271"/>
        <v>31.91031359420867</v>
      </c>
      <c r="O1337" s="1">
        <f t="shared" si="272"/>
        <v>3.008651861738576</v>
      </c>
      <c r="P1337" s="1">
        <f t="shared" si="273"/>
        <v>1753.3139337477082</v>
      </c>
      <c r="S1337" s="6">
        <f t="shared" si="267"/>
        <v>0.51076956507650206</v>
      </c>
      <c r="T1337" s="6">
        <f t="shared" si="268"/>
        <v>0.48923043492349905</v>
      </c>
      <c r="V1337" s="1">
        <f t="shared" si="274"/>
        <v>135340.56550525164</v>
      </c>
      <c r="W1337" s="7">
        <f t="shared" si="275"/>
        <v>2.4183621087666418E-3</v>
      </c>
      <c r="X1337" s="7">
        <f t="shared" si="276"/>
        <v>1.9451263252803113E-3</v>
      </c>
      <c r="Y1337">
        <f>LN(B1337/B1336)</f>
        <v>4.2691735932978321E-3</v>
      </c>
      <c r="Z1337">
        <f>LN(C1337/C1336)</f>
        <v>4.8971386621355804E-4</v>
      </c>
    </row>
    <row r="1338" spans="1:26" x14ac:dyDescent="0.3">
      <c r="A1338" s="11">
        <v>42150</v>
      </c>
      <c r="B1338" s="12">
        <v>22205.5</v>
      </c>
      <c r="C1338" s="12">
        <v>37.191859999999998</v>
      </c>
      <c r="D1338" s="16">
        <f t="shared" si="278"/>
        <v>-1.8193410437644664E-2</v>
      </c>
      <c r="E1338" s="15">
        <f t="shared" si="277"/>
        <v>4.8959397594972032E-4</v>
      </c>
      <c r="G1338" s="25" t="str">
        <f>IF(VLOOKUP(A1338,Aux!B:C,2,FALSE)=0,"",VLOOKUP(A1338,Aux!B:C,2,FALSE))</f>
        <v/>
      </c>
      <c r="H1338" s="25" t="str">
        <f t="shared" si="266"/>
        <v/>
      </c>
      <c r="L1338" s="13">
        <f t="shared" si="269"/>
        <v>132017.62527582984</v>
      </c>
      <c r="M1338" s="14">
        <f t="shared" si="270"/>
        <v>-1238.0000680681881</v>
      </c>
      <c r="N1338" s="14">
        <f t="shared" si="271"/>
        <v>31.91031359420867</v>
      </c>
      <c r="O1338" s="1">
        <f t="shared" si="272"/>
        <v>3.008651861738576</v>
      </c>
      <c r="P1338" s="1">
        <f t="shared" si="273"/>
        <v>1753.3139337477082</v>
      </c>
      <c r="S1338" s="6">
        <f t="shared" si="267"/>
        <v>0.50605832953175733</v>
      </c>
      <c r="T1338" s="6">
        <f t="shared" si="268"/>
        <v>0.49394167046824383</v>
      </c>
      <c r="V1338" s="1">
        <f t="shared" si="274"/>
        <v>134431.98256240366</v>
      </c>
      <c r="W1338" s="7">
        <f t="shared" si="275"/>
        <v>-9.0943445373401332E-3</v>
      </c>
      <c r="X1338" s="7">
        <f t="shared" si="276"/>
        <v>-6.7359439259241545E-3</v>
      </c>
      <c r="Y1338">
        <f>LN(B1338/B1337)</f>
        <v>-1.8360945665129524E-2</v>
      </c>
      <c r="Z1338">
        <f>LN(C1338/C1337)</f>
        <v>4.8947416392364619E-4</v>
      </c>
    </row>
    <row r="1339" spans="1:26" x14ac:dyDescent="0.3">
      <c r="A1339" s="9">
        <v>42151</v>
      </c>
      <c r="B1339" s="1">
        <v>22447.87</v>
      </c>
      <c r="C1339" s="1">
        <v>37.210070000000002</v>
      </c>
      <c r="D1339" s="6">
        <f t="shared" si="278"/>
        <v>1.091486343473469E-2</v>
      </c>
      <c r="E1339" s="5">
        <f t="shared" si="277"/>
        <v>4.8962326702683967E-4</v>
      </c>
      <c r="G1339" s="25" t="str">
        <f>IF(VLOOKUP(A1339,Aux!B:C,2,FALSE)=0,"",VLOOKUP(A1339,Aux!B:C,2,FALSE))</f>
        <v/>
      </c>
      <c r="H1339" s="25" t="str">
        <f t="shared" si="266"/>
        <v/>
      </c>
      <c r="L1339" s="13">
        <f t="shared" si="269"/>
        <v>132778.76007429295</v>
      </c>
      <c r="M1339" s="14">
        <f t="shared" si="270"/>
        <v>729.20695172957562</v>
      </c>
      <c r="N1339" s="14">
        <f t="shared" si="271"/>
        <v>31.927846733551711</v>
      </c>
      <c r="O1339" s="1">
        <f t="shared" si="272"/>
        <v>3.008651861738576</v>
      </c>
      <c r="P1339" s="1">
        <f t="shared" si="273"/>
        <v>1753.3139337477082</v>
      </c>
      <c r="S1339" s="6">
        <f t="shared" si="267"/>
        <v>0.50864931883515452</v>
      </c>
      <c r="T1339" s="6">
        <f t="shared" si="268"/>
        <v>0.49135068116484665</v>
      </c>
      <c r="V1339" s="1">
        <f t="shared" si="274"/>
        <v>135031.87681267571</v>
      </c>
      <c r="W1339" s="7">
        <f t="shared" si="275"/>
        <v>5.7488465614759171E-3</v>
      </c>
      <c r="X1339" s="7">
        <f t="shared" si="276"/>
        <v>4.4525098299299211E-3</v>
      </c>
      <c r="Y1339">
        <f>LN(B1339/B1338)</f>
        <v>1.0855726239964041E-2</v>
      </c>
      <c r="Z1339">
        <f>LN(C1339/C1338)</f>
        <v>4.895034406666198E-4</v>
      </c>
    </row>
    <row r="1340" spans="1:26" x14ac:dyDescent="0.3">
      <c r="A1340" s="11">
        <v>42152</v>
      </c>
      <c r="B1340" s="12">
        <v>22333.9</v>
      </c>
      <c r="C1340" s="12">
        <v>37.228290000000001</v>
      </c>
      <c r="D1340" s="16">
        <f t="shared" si="278"/>
        <v>-5.0770964015738329E-3</v>
      </c>
      <c r="E1340" s="15">
        <f t="shared" si="277"/>
        <v>4.8965239785903059E-4</v>
      </c>
      <c r="G1340" s="25" t="str">
        <f>IF(VLOOKUP(A1340,Aux!B:C,2,FALSE)=0,"",VLOOKUP(A1340,Aux!B:C,2,FALSE))</f>
        <v/>
      </c>
      <c r="H1340" s="25" t="str">
        <f t="shared" si="266"/>
        <v/>
      </c>
      <c r="L1340" s="13">
        <f t="shared" si="269"/>
        <v>132467.80940148351</v>
      </c>
      <c r="M1340" s="14">
        <f t="shared" si="270"/>
        <v>-342.89605268233805</v>
      </c>
      <c r="N1340" s="14">
        <f t="shared" si="271"/>
        <v>31.945379872882295</v>
      </c>
      <c r="O1340" s="1">
        <f t="shared" si="272"/>
        <v>3.008651861738576</v>
      </c>
      <c r="P1340" s="1">
        <f t="shared" si="273"/>
        <v>1753.3139337477082</v>
      </c>
      <c r="S1340" s="6">
        <f t="shared" si="267"/>
        <v>0.50725478226358189</v>
      </c>
      <c r="T1340" s="6">
        <f t="shared" si="268"/>
        <v>0.49274521773641922</v>
      </c>
      <c r="V1340" s="1">
        <f t="shared" si="274"/>
        <v>134809.70458943245</v>
      </c>
      <c r="W1340" s="7">
        <f t="shared" si="275"/>
        <v>-2.3446170547746902E-3</v>
      </c>
      <c r="X1340" s="7">
        <f t="shared" si="276"/>
        <v>-1.6466867136779226E-3</v>
      </c>
      <c r="Y1340">
        <f>LN(B1340/B1339)</f>
        <v>-5.0900286462478078E-3</v>
      </c>
      <c r="Z1340">
        <f>LN(C1340/C1339)</f>
        <v>4.8953255724223379E-4</v>
      </c>
    </row>
    <row r="1341" spans="1:26" x14ac:dyDescent="0.3">
      <c r="A1341" s="9">
        <v>42153</v>
      </c>
      <c r="B1341" s="1">
        <v>21861.23</v>
      </c>
      <c r="C1341" s="1">
        <v>37.246519999999997</v>
      </c>
      <c r="D1341" s="6">
        <f t="shared" si="278"/>
        <v>-2.1163791366487827E-2</v>
      </c>
      <c r="E1341" s="5">
        <f t="shared" si="277"/>
        <v>4.8968136865790157E-4</v>
      </c>
      <c r="G1341" s="25" t="str">
        <f>IF(VLOOKUP(A1341,Aux!B:C,2,FALSE)=0,"",VLOOKUP(A1341,Aux!B:C,2,FALSE))</f>
        <v/>
      </c>
      <c r="H1341" s="25" t="str">
        <f t="shared" si="266"/>
        <v/>
      </c>
      <c r="L1341" s="13">
        <f t="shared" si="269"/>
        <v>131077.67283900775</v>
      </c>
      <c r="M1341" s="14">
        <f t="shared" si="270"/>
        <v>-1422.0994754879785</v>
      </c>
      <c r="N1341" s="14">
        <f t="shared" si="271"/>
        <v>31.96291301221288</v>
      </c>
      <c r="O1341" s="1">
        <f t="shared" si="272"/>
        <v>3.008651861738576</v>
      </c>
      <c r="P1341" s="1">
        <f t="shared" si="273"/>
        <v>1753.3139337477082</v>
      </c>
      <c r="S1341" s="6">
        <f t="shared" si="267"/>
        <v>0.50178515467068696</v>
      </c>
      <c r="T1341" s="6">
        <f t="shared" si="268"/>
        <v>0.49821484532931415</v>
      </c>
      <c r="V1341" s="1">
        <f t="shared" si="274"/>
        <v>133760.02129012064</v>
      </c>
      <c r="W1341" s="7">
        <f t="shared" si="275"/>
        <v>-1.0549598069050602E-2</v>
      </c>
      <c r="X1341" s="7">
        <f t="shared" si="276"/>
        <v>-7.8168798871282811E-3</v>
      </c>
      <c r="Y1341">
        <f>LN(B1341/B1340)</f>
        <v>-2.1390955215216466E-2</v>
      </c>
      <c r="Z1341">
        <f>LN(C1341/C1340)</f>
        <v>4.8956151386200699E-4</v>
      </c>
    </row>
    <row r="1342" spans="1:26" x14ac:dyDescent="0.3">
      <c r="A1342" s="11">
        <v>42156</v>
      </c>
      <c r="B1342" s="12">
        <v>21980.89</v>
      </c>
      <c r="C1342" s="12">
        <v>37.264760000000003</v>
      </c>
      <c r="D1342" s="16">
        <f t="shared" si="278"/>
        <v>5.4736169922735556E-3</v>
      </c>
      <c r="E1342" s="15">
        <f t="shared" si="277"/>
        <v>4.8971017963572727E-4</v>
      </c>
      <c r="G1342" s="25" t="str">
        <f>IF(VLOOKUP(A1342,Aux!B:C,2,FALSE)=0,"",VLOOKUP(A1342,Aux!B:C,2,FALSE))</f>
        <v/>
      </c>
      <c r="H1342" s="25" t="str">
        <f t="shared" si="266"/>
        <v/>
      </c>
      <c r="L1342" s="13">
        <f t="shared" si="269"/>
        <v>131469.66856693497</v>
      </c>
      <c r="M1342" s="14">
        <f t="shared" si="270"/>
        <v>360.01528177563756</v>
      </c>
      <c r="N1342" s="14">
        <f t="shared" si="271"/>
        <v>31.98044615156838</v>
      </c>
      <c r="O1342" s="1">
        <f t="shared" si="272"/>
        <v>3.008651861738576</v>
      </c>
      <c r="P1342" s="1">
        <f t="shared" si="273"/>
        <v>1753.3139337477082</v>
      </c>
      <c r="S1342" s="6">
        <f t="shared" si="267"/>
        <v>0.50302740047983552</v>
      </c>
      <c r="T1342" s="6">
        <f t="shared" si="268"/>
        <v>0.49697259952016543</v>
      </c>
      <c r="V1342" s="1">
        <f t="shared" si="274"/>
        <v>134076.88639194774</v>
      </c>
      <c r="W1342" s="7">
        <f t="shared" si="275"/>
        <v>2.9860977994014396E-3</v>
      </c>
      <c r="X1342" s="7">
        <f t="shared" si="276"/>
        <v>2.3661059440909537E-3</v>
      </c>
      <c r="Y1342">
        <f>LN(B1342/B1341)</f>
        <v>5.4586911914246391E-3</v>
      </c>
      <c r="Z1342">
        <f>LN(C1342/C1341)</f>
        <v>4.8959031073812418E-4</v>
      </c>
    </row>
    <row r="1343" spans="1:26" x14ac:dyDescent="0.3">
      <c r="A1343" s="9">
        <v>42157</v>
      </c>
      <c r="B1343" s="1">
        <v>22457.66</v>
      </c>
      <c r="C1343" s="1">
        <v>37.283000000000001</v>
      </c>
      <c r="D1343" s="6">
        <f t="shared" si="278"/>
        <v>2.1690204536759072E-2</v>
      </c>
      <c r="E1343" s="5">
        <f t="shared" si="277"/>
        <v>4.8947048095837609E-4</v>
      </c>
      <c r="G1343" s="25" t="str">
        <f>IF(VLOOKUP(A1343,Aux!B:C,2,FALSE)=0,"",VLOOKUP(A1343,Aux!B:C,2,FALSE))</f>
        <v/>
      </c>
      <c r="H1343" s="25" t="str">
        <f t="shared" si="266"/>
        <v/>
      </c>
      <c r="L1343" s="13">
        <f t="shared" si="269"/>
        <v>132936.08396120762</v>
      </c>
      <c r="M1343" s="14">
        <f t="shared" si="270"/>
        <v>1434.4349481211023</v>
      </c>
      <c r="N1343" s="14">
        <f t="shared" si="271"/>
        <v>31.98044615155592</v>
      </c>
      <c r="O1343" s="1">
        <f t="shared" si="272"/>
        <v>3.008651861738576</v>
      </c>
      <c r="P1343" s="1">
        <f t="shared" si="273"/>
        <v>1753.3139337477082</v>
      </c>
      <c r="S1343" s="6">
        <f t="shared" si="267"/>
        <v>0.50826892560645087</v>
      </c>
      <c r="T1343" s="6">
        <f t="shared" si="268"/>
        <v>0.49173107439355013</v>
      </c>
      <c r="V1343" s="1">
        <f t="shared" si="274"/>
        <v>135217.6167555495</v>
      </c>
      <c r="W1343" s="7">
        <f t="shared" si="275"/>
        <v>1.1092273263241356E-2</v>
      </c>
      <c r="X1343" s="7">
        <f t="shared" si="276"/>
        <v>8.472042119698181E-3</v>
      </c>
      <c r="Y1343">
        <f>LN(B1343/B1342)</f>
        <v>2.1458319152974289E-2</v>
      </c>
      <c r="Z1343">
        <f>LN(C1343/C1342)</f>
        <v>4.8935072935750023E-4</v>
      </c>
    </row>
    <row r="1344" spans="1:26" x14ac:dyDescent="0.3">
      <c r="A1344" s="11">
        <v>42158</v>
      </c>
      <c r="B1344" s="12">
        <v>22179.24</v>
      </c>
      <c r="C1344" s="12">
        <v>37.301259999999999</v>
      </c>
      <c r="D1344" s="16">
        <f t="shared" si="278"/>
        <v>-1.2397551659433681E-2</v>
      </c>
      <c r="E1344" s="15">
        <f t="shared" si="277"/>
        <v>4.8976745433559898E-4</v>
      </c>
      <c r="G1344" s="25" t="str">
        <f>IF(VLOOKUP(A1344,Aux!B:C,2,FALSE)=0,"",VLOOKUP(A1344,Aux!B:C,2,FALSE))</f>
        <v/>
      </c>
      <c r="H1344" s="25" t="str">
        <f t="shared" si="266"/>
        <v/>
      </c>
      <c r="L1344" s="13">
        <f t="shared" si="269"/>
        <v>132130.4306222926</v>
      </c>
      <c r="M1344" s="14">
        <f t="shared" si="270"/>
        <v>-837.6688513452491</v>
      </c>
      <c r="N1344" s="14">
        <f t="shared" si="271"/>
        <v>32.015512430229549</v>
      </c>
      <c r="O1344" s="1">
        <f t="shared" si="272"/>
        <v>3.008651861738576</v>
      </c>
      <c r="P1344" s="1">
        <f t="shared" si="273"/>
        <v>1753.3139337477082</v>
      </c>
      <c r="S1344" s="6">
        <f t="shared" si="267"/>
        <v>0.50502833755760346</v>
      </c>
      <c r="T1344" s="6">
        <f t="shared" si="268"/>
        <v>0.49497166244239754</v>
      </c>
      <c r="V1344" s="1">
        <f t="shared" si="274"/>
        <v>134616.14211511292</v>
      </c>
      <c r="W1344" s="7">
        <f t="shared" si="275"/>
        <v>-6.0788954887021933E-3</v>
      </c>
      <c r="X1344" s="7">
        <f t="shared" si="276"/>
        <v>-4.45811998571022E-3</v>
      </c>
      <c r="Y1344">
        <f>LN(B1344/B1343)</f>
        <v>-1.2475042433012668E-2</v>
      </c>
      <c r="Z1344">
        <f>LN(C1344/C1343)</f>
        <v>4.8964755740208235E-4</v>
      </c>
    </row>
    <row r="1345" spans="1:26" x14ac:dyDescent="0.3">
      <c r="A1345" s="9">
        <v>42160</v>
      </c>
      <c r="B1345" s="1">
        <v>21983.69</v>
      </c>
      <c r="C1345" s="1">
        <v>37.31953</v>
      </c>
      <c r="D1345" s="6">
        <f t="shared" si="278"/>
        <v>-8.8168034612549073E-3</v>
      </c>
      <c r="E1345" s="5">
        <f t="shared" si="277"/>
        <v>4.897957870593217E-4</v>
      </c>
      <c r="G1345" s="25" t="str">
        <f>IF(VLOOKUP(A1345,Aux!B:C,2,FALSE)=0,"",VLOOKUP(A1345,Aux!B:C,2,FALSE))</f>
        <v/>
      </c>
      <c r="H1345" s="25" t="str">
        <f t="shared" si="266"/>
        <v/>
      </c>
      <c r="L1345" s="13">
        <f t="shared" si="269"/>
        <v>131574.12179629918</v>
      </c>
      <c r="M1345" s="14">
        <f t="shared" si="270"/>
        <v>-588.34187156298731</v>
      </c>
      <c r="N1345" s="14">
        <f t="shared" si="271"/>
        <v>32.033045569572593</v>
      </c>
      <c r="O1345" s="1">
        <f t="shared" si="272"/>
        <v>3.008651861738576</v>
      </c>
      <c r="P1345" s="1">
        <f t="shared" si="273"/>
        <v>1753.3139337477082</v>
      </c>
      <c r="S1345" s="6">
        <f t="shared" si="267"/>
        <v>0.50269208673710553</v>
      </c>
      <c r="T1345" s="6">
        <f t="shared" si="268"/>
        <v>0.49730791326289558</v>
      </c>
      <c r="V1345" s="1">
        <f t="shared" si="274"/>
        <v>134205.87383480906</v>
      </c>
      <c r="W1345" s="7">
        <f t="shared" si="275"/>
        <v>-4.2191888320046497E-3</v>
      </c>
      <c r="X1345" s="7">
        <f t="shared" si="276"/>
        <v>-3.0523437404220088E-3</v>
      </c>
      <c r="Y1345">
        <f>LN(B1345/B1344)</f>
        <v>-8.8559014554288051E-3</v>
      </c>
      <c r="Z1345">
        <f>LN(C1345/C1344)</f>
        <v>4.8967587625575108E-4</v>
      </c>
    </row>
    <row r="1346" spans="1:26" x14ac:dyDescent="0.3">
      <c r="A1346" s="11">
        <v>42163</v>
      </c>
      <c r="B1346" s="12">
        <v>21914.61</v>
      </c>
      <c r="C1346" s="12">
        <v>37.338470000000001</v>
      </c>
      <c r="D1346" s="16">
        <f t="shared" si="278"/>
        <v>-3.1423296089054809E-3</v>
      </c>
      <c r="E1346" s="15">
        <f t="shared" si="277"/>
        <v>5.0750907098784381E-4</v>
      </c>
      <c r="G1346" s="25" t="str">
        <f>IF(VLOOKUP(A1346,Aux!B:C,2,FALSE)=0,"",VLOOKUP(A1346,Aux!B:C,2,FALSE))</f>
        <v/>
      </c>
      <c r="H1346" s="25" t="str">
        <f t="shared" si="266"/>
        <v/>
      </c>
      <c r="L1346" s="13">
        <f t="shared" si="269"/>
        <v>131399.49189159548</v>
      </c>
      <c r="M1346" s="14">
        <f t="shared" si="270"/>
        <v>-207.83767060889514</v>
      </c>
      <c r="N1346" s="14">
        <f t="shared" si="271"/>
        <v>33.207765905182683</v>
      </c>
      <c r="O1346" s="1">
        <f t="shared" si="272"/>
        <v>3.008651861738576</v>
      </c>
      <c r="P1346" s="1">
        <f t="shared" si="273"/>
        <v>1753.3139337477082</v>
      </c>
      <c r="S1346" s="6">
        <f t="shared" si="267"/>
        <v>0.50177844089511292</v>
      </c>
      <c r="T1346" s="6">
        <f t="shared" si="268"/>
        <v>0.49822155910488808</v>
      </c>
      <c r="V1346" s="1">
        <f t="shared" si="274"/>
        <v>134088.87514719871</v>
      </c>
      <c r="W1346" s="7">
        <f t="shared" si="275"/>
        <v>-1.3281175090064121E-3</v>
      </c>
      <c r="X1346" s="7">
        <f t="shared" si="276"/>
        <v>-8.7216537387151225E-4</v>
      </c>
      <c r="Y1346">
        <f>LN(B1346/B1345)</f>
        <v>-3.1472770937282742E-3</v>
      </c>
      <c r="Z1346">
        <f>LN(C1346/C1345)</f>
        <v>5.0738033181496665E-4</v>
      </c>
    </row>
    <row r="1347" spans="1:26" x14ac:dyDescent="0.3">
      <c r="A1347" s="9">
        <v>42164</v>
      </c>
      <c r="B1347" s="1">
        <v>21918.25</v>
      </c>
      <c r="C1347" s="1">
        <v>37.357419999999998</v>
      </c>
      <c r="D1347" s="6">
        <f t="shared" si="278"/>
        <v>1.6609923699295592E-4</v>
      </c>
      <c r="E1347" s="5">
        <f t="shared" si="277"/>
        <v>5.0751945647475871E-4</v>
      </c>
      <c r="G1347" s="25" t="str">
        <f>IF(VLOOKUP(A1347,Aux!B:C,2,FALSE)=0,"",VLOOKUP(A1347,Aux!B:C,2,FALSE))</f>
        <v/>
      </c>
      <c r="H1347" s="25" t="str">
        <f t="shared" ref="H1347:H1410" si="279">IF(ISNUMBER(G1347),1-G1347,"")</f>
        <v/>
      </c>
      <c r="L1347" s="13">
        <f t="shared" si="269"/>
        <v>131443.6686834167</v>
      </c>
      <c r="M1347" s="14">
        <f t="shared" si="270"/>
        <v>10.951492776726665</v>
      </c>
      <c r="N1347" s="14">
        <f t="shared" si="271"/>
        <v>33.225299044513271</v>
      </c>
      <c r="O1347" s="1">
        <f t="shared" si="272"/>
        <v>3.008651861738576</v>
      </c>
      <c r="P1347" s="1">
        <f t="shared" si="273"/>
        <v>1753.3139337477082</v>
      </c>
      <c r="S1347" s="6">
        <f t="shared" ref="S1347:S1410" si="280">O1347*B1347/L1347</f>
        <v>0.50169311560664975</v>
      </c>
      <c r="T1347" s="6">
        <f t="shared" ref="T1347:T1410" si="281">P1347*C1347/L1347</f>
        <v>0.49830688439335136</v>
      </c>
      <c r="V1347" s="1">
        <f t="shared" si="274"/>
        <v>134139.66641467216</v>
      </c>
      <c r="W1347" s="7">
        <f t="shared" si="275"/>
        <v>3.3614564777393035E-4</v>
      </c>
      <c r="X1347" s="7">
        <f t="shared" si="276"/>
        <v>3.7871635721370038E-4</v>
      </c>
      <c r="Y1347">
        <f>LN(B1347/B1346)</f>
        <v>1.6608544404200239E-4</v>
      </c>
      <c r="Z1347">
        <f>LN(C1347/C1346)</f>
        <v>5.0739071203377247E-4</v>
      </c>
    </row>
    <row r="1348" spans="1:26" x14ac:dyDescent="0.3">
      <c r="A1348" s="11">
        <v>42165</v>
      </c>
      <c r="B1348" s="12">
        <v>22324.83</v>
      </c>
      <c r="C1348" s="12">
        <v>37.376379999999997</v>
      </c>
      <c r="D1348" s="16">
        <f t="shared" si="278"/>
        <v>1.8549838604815738E-2</v>
      </c>
      <c r="E1348" s="15">
        <f t="shared" si="277"/>
        <v>5.075296955732167E-4</v>
      </c>
      <c r="G1348" s="25" t="str">
        <f>IF(VLOOKUP(A1348,Aux!B:C,2,FALSE)=0,"",VLOOKUP(A1348,Aux!B:C,2,FALSE))</f>
        <v/>
      </c>
      <c r="H1348" s="25" t="str">
        <f t="shared" si="279"/>
        <v/>
      </c>
      <c r="L1348" s="13">
        <f t="shared" ref="L1348:L1411" si="282">L1347+M1348+N1348</f>
        <v>132700.16918954626</v>
      </c>
      <c r="M1348" s="14">
        <f t="shared" ref="M1348:M1411" si="283">O1347*(B1348-B1347)</f>
        <v>1223.2576739456754</v>
      </c>
      <c r="N1348" s="14">
        <f t="shared" ref="N1348:N1411" si="284">P1347*(C1348-C1347)</f>
        <v>33.242832183856315</v>
      </c>
      <c r="O1348" s="1">
        <f t="shared" ref="O1348:O1411" si="285">IF(ISNUMBER(G1348),L1348*G1348/B1348,O1347)</f>
        <v>3.008651861738576</v>
      </c>
      <c r="P1348" s="1">
        <f t="shared" ref="P1348:P1411" si="286">IF(ISNUMBER(H1348),L1348*H1348/C1348,P1347)</f>
        <v>1753.3139337477082</v>
      </c>
      <c r="S1348" s="6">
        <f t="shared" si="280"/>
        <v>0.50616093221822722</v>
      </c>
      <c r="T1348" s="6">
        <f t="shared" si="281"/>
        <v>0.49383906778177361</v>
      </c>
      <c r="V1348" s="1">
        <f t="shared" ref="V1348:V1411" si="287">$O$2*B1348+$P$2*C1348</f>
        <v>135120.07672838683</v>
      </c>
      <c r="W1348" s="7">
        <f t="shared" ref="W1348:W1411" si="288">LN(L1348/L1347)</f>
        <v>9.5138315071177423E-3</v>
      </c>
      <c r="X1348" s="7">
        <f t="shared" ref="X1348:X1411" si="289">LN(V1348/V1347)</f>
        <v>7.2822965290958563E-3</v>
      </c>
      <c r="Y1348">
        <f>LN(B1348/B1347)</f>
        <v>1.8379888825588324E-2</v>
      </c>
      <c r="Z1348">
        <f>LN(C1348/C1347)</f>
        <v>5.0740094593827246E-4</v>
      </c>
    </row>
    <row r="1349" spans="1:26" x14ac:dyDescent="0.3">
      <c r="A1349" s="9">
        <v>42166</v>
      </c>
      <c r="B1349" s="1">
        <v>22246.14</v>
      </c>
      <c r="C1349" s="1">
        <v>37.395350000000001</v>
      </c>
      <c r="D1349" s="6">
        <f t="shared" si="278"/>
        <v>-3.5247748807046841E-3</v>
      </c>
      <c r="E1349" s="5">
        <f t="shared" ref="E1349:E1412" si="290">C1349/C1348-1</f>
        <v>5.0753978849749082E-4</v>
      </c>
      <c r="G1349" s="25" t="str">
        <f>IF(VLOOKUP(A1349,Aux!B:C,2,FALSE)=0,"",VLOOKUP(A1349,Aux!B:C,2,FALSE))</f>
        <v/>
      </c>
      <c r="H1349" s="25" t="str">
        <f t="shared" si="279"/>
        <v/>
      </c>
      <c r="L1349" s="13">
        <f t="shared" si="282"/>
        <v>132496.67873986924</v>
      </c>
      <c r="M1349" s="14">
        <f t="shared" si="283"/>
        <v>-236.75081500021554</v>
      </c>
      <c r="N1349" s="14">
        <f t="shared" si="284"/>
        <v>33.260365323199352</v>
      </c>
      <c r="O1349" s="1">
        <f t="shared" si="285"/>
        <v>3.008651861738576</v>
      </c>
      <c r="P1349" s="1">
        <f t="shared" si="286"/>
        <v>1753.3139337477082</v>
      </c>
      <c r="S1349" s="6">
        <f t="shared" si="280"/>
        <v>0.50515145861808686</v>
      </c>
      <c r="T1349" s="6">
        <f t="shared" si="281"/>
        <v>0.49484854138191414</v>
      </c>
      <c r="V1349" s="1">
        <f t="shared" si="287"/>
        <v>134980.97454859072</v>
      </c>
      <c r="W1349" s="7">
        <f t="shared" si="288"/>
        <v>-1.5346373171680771E-3</v>
      </c>
      <c r="X1349" s="7">
        <f t="shared" si="289"/>
        <v>-1.0300011157771752E-3</v>
      </c>
      <c r="Y1349">
        <f>LN(B1349/B1348)</f>
        <v>-3.5310015356951282E-3</v>
      </c>
      <c r="Z1349">
        <f>LN(C1349/C1348)</f>
        <v>5.0741103374263535E-4</v>
      </c>
    </row>
    <row r="1350" spans="1:26" x14ac:dyDescent="0.3">
      <c r="A1350" s="11">
        <v>42167</v>
      </c>
      <c r="B1350" s="12">
        <v>22109.67</v>
      </c>
      <c r="C1350" s="12">
        <v>37.41433</v>
      </c>
      <c r="D1350" s="16">
        <f t="shared" si="278"/>
        <v>-6.1345473866477596E-3</v>
      </c>
      <c r="E1350" s="15">
        <f t="shared" si="290"/>
        <v>5.0754973546163207E-4</v>
      </c>
      <c r="G1350" s="25" t="str">
        <f>IF(VLOOKUP(A1350,Aux!B:C,2,FALSE)=0,"",VLOOKUP(A1350,Aux!B:C,2,FALSE))</f>
        <v/>
      </c>
      <c r="H1350" s="25" t="str">
        <f t="shared" si="279"/>
        <v/>
      </c>
      <c r="L1350" s="13">
        <f t="shared" si="282"/>
        <v>132119.3659187603</v>
      </c>
      <c r="M1350" s="14">
        <f t="shared" si="283"/>
        <v>-410.59071957146699</v>
      </c>
      <c r="N1350" s="14">
        <f t="shared" si="284"/>
        <v>33.27789846252994</v>
      </c>
      <c r="O1350" s="1">
        <f t="shared" si="285"/>
        <v>3.008651861738576</v>
      </c>
      <c r="P1350" s="1">
        <f t="shared" si="286"/>
        <v>1753.3139337477082</v>
      </c>
      <c r="S1350" s="6">
        <f t="shared" si="280"/>
        <v>0.50348636890089693</v>
      </c>
      <c r="T1350" s="6">
        <f t="shared" si="281"/>
        <v>0.49651363109910401</v>
      </c>
      <c r="V1350" s="1">
        <f t="shared" si="287"/>
        <v>134708.594258964</v>
      </c>
      <c r="W1350" s="7">
        <f t="shared" si="288"/>
        <v>-2.8517777696208551E-3</v>
      </c>
      <c r="X1350" s="7">
        <f t="shared" si="289"/>
        <v>-2.0199548944017094E-3</v>
      </c>
      <c r="Y1350">
        <f>LN(B1350/B1349)</f>
        <v>-6.1534410314040859E-3</v>
      </c>
      <c r="Z1350">
        <f>LN(C1350/C1349)</f>
        <v>5.0742097566080818E-4</v>
      </c>
    </row>
    <row r="1351" spans="1:26" x14ac:dyDescent="0.3">
      <c r="A1351" s="9">
        <v>42170</v>
      </c>
      <c r="B1351" s="1">
        <v>22022.58</v>
      </c>
      <c r="C1351" s="1">
        <v>37.433320000000002</v>
      </c>
      <c r="D1351" s="6">
        <f t="shared" si="278"/>
        <v>-3.939000446410823E-3</v>
      </c>
      <c r="E1351" s="5">
        <f t="shared" si="290"/>
        <v>5.0755953668035758E-4</v>
      </c>
      <c r="G1351" s="25" t="str">
        <f>IF(VLOOKUP(A1351,Aux!B:C,2,FALSE)=0,"",VLOOKUP(A1351,Aux!B:C,2,FALSE))</f>
        <v/>
      </c>
      <c r="H1351" s="25" t="str">
        <f t="shared" si="279"/>
        <v/>
      </c>
      <c r="L1351" s="13">
        <f t="shared" si="282"/>
        <v>131890.63785972339</v>
      </c>
      <c r="M1351" s="14">
        <f t="shared" si="283"/>
        <v>-262.02349063880206</v>
      </c>
      <c r="N1351" s="14">
        <f t="shared" si="284"/>
        <v>33.295431601872984</v>
      </c>
      <c r="O1351" s="1">
        <f t="shared" si="285"/>
        <v>3.008651861738576</v>
      </c>
      <c r="P1351" s="1">
        <f t="shared" si="286"/>
        <v>1753.3139337477082</v>
      </c>
      <c r="S1351" s="6">
        <f t="shared" si="280"/>
        <v>0.50237285521173913</v>
      </c>
      <c r="T1351" s="6">
        <f t="shared" si="281"/>
        <v>0.4976271447882617</v>
      </c>
      <c r="V1351" s="1">
        <f t="shared" si="287"/>
        <v>134550.15772798355</v>
      </c>
      <c r="W1351" s="7">
        <f t="shared" si="288"/>
        <v>-1.7327231013204284E-3</v>
      </c>
      <c r="X1351" s="7">
        <f t="shared" si="289"/>
        <v>-1.176834907662143E-3</v>
      </c>
      <c r="Y1351">
        <f>LN(B1351/B1350)</f>
        <v>-3.9467787411925394E-3</v>
      </c>
      <c r="Z1351">
        <f>LN(C1351/C1350)</f>
        <v>5.0743077190740324E-4</v>
      </c>
    </row>
    <row r="1352" spans="1:26" x14ac:dyDescent="0.3">
      <c r="A1352" s="11">
        <v>42171</v>
      </c>
      <c r="B1352" s="12">
        <v>22244.83</v>
      </c>
      <c r="C1352" s="12">
        <v>37.45232</v>
      </c>
      <c r="D1352" s="16">
        <f t="shared" si="278"/>
        <v>1.0091914752949016E-2</v>
      </c>
      <c r="E1352" s="15">
        <f t="shared" si="290"/>
        <v>5.0756919236660814E-4</v>
      </c>
      <c r="G1352" s="25" t="str">
        <f>IF(VLOOKUP(A1352,Aux!B:C,2,FALSE)=0,"",VLOOKUP(A1352,Aux!B:C,2,FALSE))</f>
        <v/>
      </c>
      <c r="H1352" s="25" t="str">
        <f t="shared" si="279"/>
        <v/>
      </c>
      <c r="L1352" s="13">
        <f t="shared" si="282"/>
        <v>132592.62370073597</v>
      </c>
      <c r="M1352" s="14">
        <f t="shared" si="283"/>
        <v>668.67287627139854</v>
      </c>
      <c r="N1352" s="14">
        <f t="shared" si="284"/>
        <v>33.312964741203565</v>
      </c>
      <c r="O1352" s="1">
        <f t="shared" si="285"/>
        <v>3.008651861738576</v>
      </c>
      <c r="P1352" s="1">
        <f t="shared" si="286"/>
        <v>1753.3139337477082</v>
      </c>
      <c r="S1352" s="6">
        <f t="shared" si="280"/>
        <v>0.5047562023104204</v>
      </c>
      <c r="T1352" s="6">
        <f t="shared" si="281"/>
        <v>0.4952437976895806</v>
      </c>
      <c r="V1352" s="1">
        <f t="shared" si="287"/>
        <v>135105.40176909877</v>
      </c>
      <c r="W1352" s="7">
        <f t="shared" si="288"/>
        <v>5.3083698778974946E-3</v>
      </c>
      <c r="X1352" s="7">
        <f t="shared" si="289"/>
        <v>4.1181782186676718E-3</v>
      </c>
      <c r="Y1352">
        <f>LN(B1352/B1351)</f>
        <v>1.0041331418381164E-2</v>
      </c>
      <c r="Z1352">
        <f>LN(C1352/C1351)</f>
        <v>5.0744042269525787E-4</v>
      </c>
    </row>
    <row r="1353" spans="1:26" x14ac:dyDescent="0.3">
      <c r="A1353" s="9">
        <v>42172</v>
      </c>
      <c r="B1353" s="1">
        <v>22075.81</v>
      </c>
      <c r="C1353" s="1">
        <v>37.471319999999999</v>
      </c>
      <c r="D1353" s="6">
        <f t="shared" si="278"/>
        <v>-7.598170001748783E-3</v>
      </c>
      <c r="E1353" s="5">
        <f t="shared" si="290"/>
        <v>5.0731169657836084E-4</v>
      </c>
      <c r="G1353" s="25" t="str">
        <f>IF(VLOOKUP(A1353,Aux!B:C,2,FALSE)=0,"",VLOOKUP(A1353,Aux!B:C,2,FALSE))</f>
        <v/>
      </c>
      <c r="H1353" s="25" t="str">
        <f t="shared" si="279"/>
        <v/>
      </c>
      <c r="L1353" s="13">
        <f t="shared" si="282"/>
        <v>132117.41432780612</v>
      </c>
      <c r="M1353" s="14">
        <f t="shared" si="283"/>
        <v>-508.52233767105542</v>
      </c>
      <c r="N1353" s="14">
        <f t="shared" si="284"/>
        <v>33.312964741203565</v>
      </c>
      <c r="O1353" s="1">
        <f t="shared" si="285"/>
        <v>3.008651861738576</v>
      </c>
      <c r="P1353" s="1">
        <f t="shared" si="286"/>
        <v>1753.3139337477082</v>
      </c>
      <c r="S1353" s="6">
        <f t="shared" si="280"/>
        <v>0.50272272730899425</v>
      </c>
      <c r="T1353" s="6">
        <f t="shared" si="281"/>
        <v>0.4972772726910068</v>
      </c>
      <c r="V1353" s="1">
        <f t="shared" si="287"/>
        <v>134757.97223351619</v>
      </c>
      <c r="W1353" s="7">
        <f t="shared" si="288"/>
        <v>-3.5904183080225993E-3</v>
      </c>
      <c r="X1353" s="7">
        <f t="shared" si="289"/>
        <v>-2.574856471858259E-3</v>
      </c>
      <c r="Y1353">
        <f>LN(B1353/B1352)</f>
        <v>-7.6271831534431983E-3</v>
      </c>
      <c r="Z1353">
        <f>LN(C1353/C1352)</f>
        <v>5.0718305750451734E-4</v>
      </c>
    </row>
    <row r="1354" spans="1:26" x14ac:dyDescent="0.3">
      <c r="A1354" s="11">
        <v>42173</v>
      </c>
      <c r="B1354" s="12">
        <v>22449.79</v>
      </c>
      <c r="C1354" s="12">
        <v>37.490340000000003</v>
      </c>
      <c r="D1354" s="16">
        <f t="shared" si="278"/>
        <v>1.6940714746140673E-2</v>
      </c>
      <c r="E1354" s="15">
        <f t="shared" si="290"/>
        <v>5.07588203458198E-4</v>
      </c>
      <c r="G1354" s="25" t="str">
        <f>IF(VLOOKUP(A1354,Aux!B:C,2,FALSE)=0,"",VLOOKUP(A1354,Aux!B:C,2,FALSE))</f>
        <v/>
      </c>
      <c r="H1354" s="25" t="str">
        <f t="shared" si="279"/>
        <v/>
      </c>
      <c r="L1354" s="13">
        <f t="shared" si="282"/>
        <v>133275.93798207899</v>
      </c>
      <c r="M1354" s="14">
        <f t="shared" si="283"/>
        <v>1125.1756232529913</v>
      </c>
      <c r="N1354" s="14">
        <f t="shared" si="284"/>
        <v>33.348031019889653</v>
      </c>
      <c r="O1354" s="1">
        <f t="shared" si="285"/>
        <v>3.008651861738576</v>
      </c>
      <c r="P1354" s="1">
        <f t="shared" si="286"/>
        <v>1753.3139337477082</v>
      </c>
      <c r="S1354" s="6">
        <f t="shared" si="280"/>
        <v>0.50679517624721093</v>
      </c>
      <c r="T1354" s="6">
        <f t="shared" si="281"/>
        <v>0.49320482375279018</v>
      </c>
      <c r="V1354" s="1">
        <f t="shared" si="287"/>
        <v>135663.3074348245</v>
      </c>
      <c r="W1354" s="7">
        <f t="shared" si="288"/>
        <v>8.7306709318957995E-3</v>
      </c>
      <c r="X1354" s="7">
        <f t="shared" si="289"/>
        <v>6.6957643632449037E-3</v>
      </c>
      <c r="Y1354">
        <f>LN(B1354/B1353)</f>
        <v>1.6798821115664553E-2</v>
      </c>
      <c r="Z1354">
        <f>LN(C1354/C1353)</f>
        <v>5.0745942414211806E-4</v>
      </c>
    </row>
    <row r="1355" spans="1:26" x14ac:dyDescent="0.3">
      <c r="A1355" s="9">
        <v>42174</v>
      </c>
      <c r="B1355" s="1">
        <v>22271.23</v>
      </c>
      <c r="C1355" s="1">
        <v>37.509369999999997</v>
      </c>
      <c r="D1355" s="6">
        <f t="shared" si="278"/>
        <v>-7.9537492332890647E-3</v>
      </c>
      <c r="E1355" s="5">
        <f t="shared" si="290"/>
        <v>5.0759742376293993E-4</v>
      </c>
      <c r="G1355" s="25" t="str">
        <f>IF(VLOOKUP(A1355,Aux!B:C,2,FALSE)=0,"",VLOOKUP(A1355,Aux!B:C,2,FALSE))</f>
        <v/>
      </c>
      <c r="H1355" s="25" t="str">
        <f t="shared" si="279"/>
        <v/>
      </c>
      <c r="L1355" s="13">
        <f t="shared" si="282"/>
        <v>132772.07866980616</v>
      </c>
      <c r="M1355" s="14">
        <f t="shared" si="283"/>
        <v>-537.22487643204408</v>
      </c>
      <c r="N1355" s="14">
        <f t="shared" si="284"/>
        <v>33.365564159207779</v>
      </c>
      <c r="O1355" s="1">
        <f t="shared" si="285"/>
        <v>3.008651861738576</v>
      </c>
      <c r="P1355" s="1">
        <f t="shared" si="286"/>
        <v>1753.3139337477082</v>
      </c>
      <c r="S1355" s="6">
        <f t="shared" si="280"/>
        <v>0.50467220423164183</v>
      </c>
      <c r="T1355" s="6">
        <f t="shared" si="281"/>
        <v>0.49532779576835922</v>
      </c>
      <c r="V1355" s="1">
        <f t="shared" si="287"/>
        <v>135293.93589950475</v>
      </c>
      <c r="W1355" s="7">
        <f t="shared" si="288"/>
        <v>-3.7877366726295795E-3</v>
      </c>
      <c r="X1355" s="7">
        <f t="shared" si="289"/>
        <v>-2.7264210366229756E-3</v>
      </c>
      <c r="Y1355">
        <f>LN(B1355/B1354)</f>
        <v>-7.9855490273527691E-3</v>
      </c>
      <c r="Z1355">
        <f>LN(C1355/C1354)</f>
        <v>5.0746863976907394E-4</v>
      </c>
    </row>
    <row r="1356" spans="1:26" x14ac:dyDescent="0.3">
      <c r="A1356" s="11">
        <v>42177</v>
      </c>
      <c r="B1356" s="12">
        <v>22330.93</v>
      </c>
      <c r="C1356" s="12">
        <v>37.528399999999998</v>
      </c>
      <c r="D1356" s="16">
        <f t="shared" si="278"/>
        <v>2.6805883644505091E-3</v>
      </c>
      <c r="E1356" s="15">
        <f t="shared" si="290"/>
        <v>5.0733989933715584E-4</v>
      </c>
      <c r="G1356" s="25" t="str">
        <f>IF(VLOOKUP(A1356,Aux!B:C,2,FALSE)=0,"",VLOOKUP(A1356,Aux!B:C,2,FALSE))</f>
        <v/>
      </c>
      <c r="H1356" s="25" t="str">
        <f t="shared" si="279"/>
        <v/>
      </c>
      <c r="L1356" s="13">
        <f t="shared" si="282"/>
        <v>132985.06075011118</v>
      </c>
      <c r="M1356" s="14">
        <f t="shared" si="283"/>
        <v>179.61651614579517</v>
      </c>
      <c r="N1356" s="14">
        <f t="shared" si="284"/>
        <v>33.365564159220234</v>
      </c>
      <c r="O1356" s="1">
        <f t="shared" si="285"/>
        <v>3.008651861738576</v>
      </c>
      <c r="P1356" s="1">
        <f t="shared" si="286"/>
        <v>1753.3139337477082</v>
      </c>
      <c r="S1356" s="6">
        <f t="shared" si="280"/>
        <v>0.50521459884205566</v>
      </c>
      <c r="T1356" s="6">
        <f t="shared" si="281"/>
        <v>0.49478540115794534</v>
      </c>
      <c r="V1356" s="1">
        <f t="shared" si="287"/>
        <v>135474.23851856441</v>
      </c>
      <c r="W1356" s="7">
        <f t="shared" si="288"/>
        <v>1.6028327695512847E-3</v>
      </c>
      <c r="X1356" s="7">
        <f t="shared" si="289"/>
        <v>1.3317861014996201E-3</v>
      </c>
      <c r="Y1356">
        <f>LN(B1356/B1355)</f>
        <v>2.6770019950843982E-3</v>
      </c>
      <c r="Z1356">
        <f>LN(C1356/C1355)</f>
        <v>5.0721124596258031E-4</v>
      </c>
    </row>
    <row r="1357" spans="1:26" x14ac:dyDescent="0.3">
      <c r="A1357" s="9">
        <v>42178</v>
      </c>
      <c r="B1357" s="1">
        <v>22298.58</v>
      </c>
      <c r="C1357" s="1">
        <v>37.547449999999998</v>
      </c>
      <c r="D1357" s="6">
        <f t="shared" si="278"/>
        <v>-1.4486633561611173E-3</v>
      </c>
      <c r="E1357" s="5">
        <f t="shared" si="290"/>
        <v>5.0761556581147005E-4</v>
      </c>
      <c r="G1357" s="25" t="str">
        <f>IF(VLOOKUP(A1357,Aux!B:C,2,FALSE)=0,"",VLOOKUP(A1357,Aux!B:C,2,FALSE))</f>
        <v/>
      </c>
      <c r="H1357" s="25" t="str">
        <f t="shared" si="279"/>
        <v/>
      </c>
      <c r="L1357" s="13">
        <f t="shared" si="282"/>
        <v>132921.13149282182</v>
      </c>
      <c r="M1357" s="14">
        <f t="shared" si="283"/>
        <v>-97.329887727238557</v>
      </c>
      <c r="N1357" s="14">
        <f t="shared" si="284"/>
        <v>33.400630437893859</v>
      </c>
      <c r="O1357" s="1">
        <f t="shared" si="285"/>
        <v>3.008651861738576</v>
      </c>
      <c r="P1357" s="1">
        <f t="shared" si="286"/>
        <v>1753.3139337477082</v>
      </c>
      <c r="S1357" s="6">
        <f t="shared" si="280"/>
        <v>0.50472534711118966</v>
      </c>
      <c r="T1357" s="6">
        <f t="shared" si="281"/>
        <v>0.49527465288881145</v>
      </c>
      <c r="V1357" s="1">
        <f t="shared" si="287"/>
        <v>135442.22331034706</v>
      </c>
      <c r="W1357" s="7">
        <f t="shared" si="288"/>
        <v>-4.8084069033416002E-4</v>
      </c>
      <c r="X1357" s="7">
        <f t="shared" si="289"/>
        <v>-2.3634745670493958E-4</v>
      </c>
      <c r="Y1357">
        <f>LN(B1357/B1356)</f>
        <v>-1.4497136834238237E-3</v>
      </c>
      <c r="Z1357">
        <f>LN(C1357/C1356)</f>
        <v>5.0748677261325454E-4</v>
      </c>
    </row>
    <row r="1358" spans="1:26" x14ac:dyDescent="0.3">
      <c r="A1358" s="11">
        <v>42179</v>
      </c>
      <c r="B1358" s="12">
        <v>22311.09</v>
      </c>
      <c r="C1358" s="12">
        <v>37.566510000000001</v>
      </c>
      <c r="D1358" s="16">
        <f t="shared" si="278"/>
        <v>5.610222713732238E-4</v>
      </c>
      <c r="E1358" s="15">
        <f t="shared" si="290"/>
        <v>5.0762435265250261E-4</v>
      </c>
      <c r="G1358" s="25" t="str">
        <f>IF(VLOOKUP(A1358,Aux!B:C,2,FALSE)=0,"",VLOOKUP(A1358,Aux!B:C,2,FALSE))</f>
        <v/>
      </c>
      <c r="H1358" s="25" t="str">
        <f t="shared" si="279"/>
        <v/>
      </c>
      <c r="L1358" s="13">
        <f t="shared" si="282"/>
        <v>132992.18789118942</v>
      </c>
      <c r="M1358" s="14">
        <f t="shared" si="283"/>
        <v>37.638234790344768</v>
      </c>
      <c r="N1358" s="14">
        <f t="shared" si="284"/>
        <v>33.418163577236903</v>
      </c>
      <c r="O1358" s="1">
        <f t="shared" si="285"/>
        <v>3.008651861738576</v>
      </c>
      <c r="P1358" s="1">
        <f t="shared" si="286"/>
        <v>1753.3139337477082</v>
      </c>
      <c r="S1358" s="6">
        <f t="shared" si="280"/>
        <v>0.5047386882666961</v>
      </c>
      <c r="T1358" s="6">
        <f t="shared" si="281"/>
        <v>0.4952613117333049</v>
      </c>
      <c r="V1358" s="1">
        <f t="shared" si="287"/>
        <v>135513.72406266557</v>
      </c>
      <c r="W1358" s="7">
        <f t="shared" si="288"/>
        <v>5.3443280106055247E-4</v>
      </c>
      <c r="X1358" s="7">
        <f t="shared" si="289"/>
        <v>5.2776663270447219E-4</v>
      </c>
      <c r="Y1358">
        <f>LN(B1358/B1357)</f>
        <v>5.6086495721381678E-4</v>
      </c>
      <c r="Z1358">
        <f>LN(C1358/C1357)</f>
        <v>5.0749555499617429E-4</v>
      </c>
    </row>
    <row r="1359" spans="1:26" x14ac:dyDescent="0.3">
      <c r="A1359" s="9">
        <v>42180</v>
      </c>
      <c r="B1359" s="1">
        <v>22059.09</v>
      </c>
      <c r="C1359" s="1">
        <v>37.58558</v>
      </c>
      <c r="D1359" s="6">
        <f t="shared" si="278"/>
        <v>-1.1294831404471961E-2</v>
      </c>
      <c r="E1359" s="5">
        <f t="shared" si="290"/>
        <v>5.0763299545253382E-4</v>
      </c>
      <c r="G1359" s="25" t="str">
        <f>IF(VLOOKUP(A1359,Aux!B:C,2,FALSE)=0,"",VLOOKUP(A1359,Aux!B:C,2,FALSE))</f>
        <v/>
      </c>
      <c r="H1359" s="25" t="str">
        <f t="shared" si="279"/>
        <v/>
      </c>
      <c r="L1359" s="13">
        <f t="shared" si="282"/>
        <v>132267.44331874786</v>
      </c>
      <c r="M1359" s="14">
        <f t="shared" si="283"/>
        <v>-758.18026915812118</v>
      </c>
      <c r="N1359" s="14">
        <f t="shared" si="284"/>
        <v>33.435696716567492</v>
      </c>
      <c r="O1359" s="1">
        <f t="shared" si="285"/>
        <v>3.008651861738576</v>
      </c>
      <c r="P1359" s="1">
        <f t="shared" si="286"/>
        <v>1753.3139337477082</v>
      </c>
      <c r="S1359" s="6">
        <f t="shared" si="280"/>
        <v>0.50177217107629424</v>
      </c>
      <c r="T1359" s="6">
        <f t="shared" si="281"/>
        <v>0.49822782892370671</v>
      </c>
      <c r="V1359" s="1">
        <f t="shared" si="287"/>
        <v>134975.01336369934</v>
      </c>
      <c r="W1359" s="7">
        <f t="shared" si="288"/>
        <v>-5.4644302454980335E-3</v>
      </c>
      <c r="X1359" s="7">
        <f t="shared" si="289"/>
        <v>-3.9832446730889348E-3</v>
      </c>
      <c r="Y1359">
        <f>LN(B1359/B1358)</f>
        <v>-1.1359102424535536E-2</v>
      </c>
      <c r="Z1359">
        <f>LN(C1359/C1358)</f>
        <v>5.0750419341109843E-4</v>
      </c>
    </row>
    <row r="1360" spans="1:26" x14ac:dyDescent="0.3">
      <c r="A1360" s="11">
        <v>42181</v>
      </c>
      <c r="B1360" s="12">
        <v>22390.21</v>
      </c>
      <c r="C1360" s="12">
        <v>37.604649999999999</v>
      </c>
      <c r="D1360" s="16">
        <f t="shared" si="278"/>
        <v>1.5010592005381795E-2</v>
      </c>
      <c r="E1360" s="15">
        <f t="shared" si="290"/>
        <v>5.0737543494072668E-4</v>
      </c>
      <c r="G1360" s="25" t="str">
        <f>IF(VLOOKUP(A1360,Aux!B:C,2,FALSE)=0,"",VLOOKUP(A1360,Aux!B:C,2,FALSE))</f>
        <v/>
      </c>
      <c r="H1360" s="25" t="str">
        <f t="shared" si="279"/>
        <v/>
      </c>
      <c r="L1360" s="13">
        <f t="shared" si="282"/>
        <v>133297.1038199233</v>
      </c>
      <c r="M1360" s="14">
        <f t="shared" si="283"/>
        <v>996.22480445887425</v>
      </c>
      <c r="N1360" s="14">
        <f t="shared" si="284"/>
        <v>33.435696716567492</v>
      </c>
      <c r="O1360" s="1">
        <f t="shared" si="285"/>
        <v>3.008651861738576</v>
      </c>
      <c r="P1360" s="1">
        <f t="shared" si="286"/>
        <v>1753.3139337477082</v>
      </c>
      <c r="S1360" s="6">
        <f t="shared" si="280"/>
        <v>0.50536992230696198</v>
      </c>
      <c r="T1360" s="6">
        <f t="shared" si="281"/>
        <v>0.49463007769303913</v>
      </c>
      <c r="V1360" s="1">
        <f t="shared" si="287"/>
        <v>135781.58090237988</v>
      </c>
      <c r="W1360" s="7">
        <f t="shared" si="288"/>
        <v>7.7545415754602639E-3</v>
      </c>
      <c r="X1360" s="7">
        <f t="shared" si="289"/>
        <v>5.9578968093326719E-3</v>
      </c>
      <c r="Y1360">
        <f>LN(B1360/B1359)</f>
        <v>1.489904791258404E-2</v>
      </c>
      <c r="Z1360">
        <f>LN(C1360/C1359)</f>
        <v>5.0724676354603287E-4</v>
      </c>
    </row>
    <row r="1361" spans="1:26" x14ac:dyDescent="0.3">
      <c r="A1361" s="9">
        <v>42184</v>
      </c>
      <c r="B1361" s="1">
        <v>21984.73</v>
      </c>
      <c r="C1361" s="1">
        <v>37.623739999999998</v>
      </c>
      <c r="D1361" s="6">
        <f t="shared" si="278"/>
        <v>-1.8109700623620717E-2</v>
      </c>
      <c r="E1361" s="5">
        <f t="shared" si="290"/>
        <v>5.0764998477581535E-4</v>
      </c>
      <c r="G1361" s="25" t="str">
        <f>IF(VLOOKUP(A1361,Aux!B:C,2,FALSE)=0,"",VLOOKUP(A1361,Aux!B:C,2,FALSE))</f>
        <v/>
      </c>
      <c r="H1361" s="25" t="str">
        <f t="shared" si="279"/>
        <v/>
      </c>
      <c r="L1361" s="13">
        <f t="shared" si="282"/>
        <v>132110.62642602078</v>
      </c>
      <c r="M1361" s="14">
        <f t="shared" si="283"/>
        <v>-1219.9481568977565</v>
      </c>
      <c r="N1361" s="14">
        <f t="shared" si="284"/>
        <v>33.470762995241117</v>
      </c>
      <c r="O1361" s="1">
        <f t="shared" si="285"/>
        <v>3.008651861738576</v>
      </c>
      <c r="P1361" s="1">
        <f t="shared" si="286"/>
        <v>1753.3139337477082</v>
      </c>
      <c r="S1361" s="6">
        <f t="shared" si="280"/>
        <v>0.50067432600782813</v>
      </c>
      <c r="T1361" s="6">
        <f t="shared" si="281"/>
        <v>0.49932567399217287</v>
      </c>
      <c r="V1361" s="1">
        <f t="shared" si="287"/>
        <v>134888.83121730378</v>
      </c>
      <c r="W1361" s="7">
        <f t="shared" si="288"/>
        <v>-8.9408495870855805E-3</v>
      </c>
      <c r="X1361" s="7">
        <f t="shared" si="289"/>
        <v>-6.5966051880648122E-3</v>
      </c>
      <c r="Y1361">
        <f>LN(B1361/B1360)</f>
        <v>-1.8275688297206626E-2</v>
      </c>
      <c r="Z1361">
        <f>LN(C1361/C1360)</f>
        <v>5.0752117411427045E-4</v>
      </c>
    </row>
    <row r="1362" spans="1:26" x14ac:dyDescent="0.3">
      <c r="A1362" s="11">
        <v>42185</v>
      </c>
      <c r="B1362" s="12">
        <v>22028.63</v>
      </c>
      <c r="C1362" s="12">
        <v>37.642830000000004</v>
      </c>
      <c r="D1362" s="16">
        <f t="shared" si="278"/>
        <v>1.9968405343164797E-3</v>
      </c>
      <c r="E1362" s="15">
        <f t="shared" si="290"/>
        <v>5.0739240702823984E-4</v>
      </c>
      <c r="G1362" s="25" t="str">
        <f>IF(VLOOKUP(A1362,Aux!B:C,2,FALSE)=0,"",VLOOKUP(A1362,Aux!B:C,2,FALSE))</f>
        <v/>
      </c>
      <c r="H1362" s="25" t="str">
        <f t="shared" si="279"/>
        <v/>
      </c>
      <c r="L1362" s="13">
        <f t="shared" si="282"/>
        <v>132276.17700574634</v>
      </c>
      <c r="M1362" s="14">
        <f t="shared" si="283"/>
        <v>132.07981673032788</v>
      </c>
      <c r="N1362" s="14">
        <f t="shared" si="284"/>
        <v>33.470762995253573</v>
      </c>
      <c r="O1362" s="1">
        <f t="shared" si="285"/>
        <v>3.008651861738576</v>
      </c>
      <c r="P1362" s="1">
        <f t="shared" si="286"/>
        <v>1753.3139337477082</v>
      </c>
      <c r="S1362" s="6">
        <f t="shared" si="280"/>
        <v>0.50104622133259158</v>
      </c>
      <c r="T1362" s="6">
        <f t="shared" si="281"/>
        <v>0.49895377866740959</v>
      </c>
      <c r="V1362" s="1">
        <f t="shared" si="287"/>
        <v>135032.81691162419</v>
      </c>
      <c r="W1362" s="7">
        <f t="shared" si="288"/>
        <v>1.2523363436707726E-3</v>
      </c>
      <c r="X1362" s="7">
        <f t="shared" si="289"/>
        <v>1.0668703972112311E-3</v>
      </c>
      <c r="Y1362">
        <f>LN(B1362/B1361)</f>
        <v>1.9948494983370478E-3</v>
      </c>
      <c r="Z1362">
        <f>LN(C1362/C1361)</f>
        <v>5.0726372702654876E-4</v>
      </c>
    </row>
    <row r="1363" spans="1:26" x14ac:dyDescent="0.3">
      <c r="A1363" s="9">
        <v>42186</v>
      </c>
      <c r="B1363" s="1">
        <v>21919.63</v>
      </c>
      <c r="C1363" s="1">
        <v>37.661940000000001</v>
      </c>
      <c r="D1363" s="6">
        <f t="shared" si="278"/>
        <v>-4.9481061691081241E-3</v>
      </c>
      <c r="E1363" s="5">
        <f t="shared" si="290"/>
        <v>5.0766640021482345E-4</v>
      </c>
      <c r="G1363" s="25" t="str">
        <f>IF(VLOOKUP(A1363,Aux!B:C,2,FALSE)=0,"",VLOOKUP(A1363,Aux!B:C,2,FALSE))</f>
        <v/>
      </c>
      <c r="H1363" s="25" t="str">
        <f t="shared" si="279"/>
        <v/>
      </c>
      <c r="L1363" s="13">
        <f t="shared" si="282"/>
        <v>131981.73978209076</v>
      </c>
      <c r="M1363" s="14">
        <f t="shared" si="283"/>
        <v>-327.9430529295048</v>
      </c>
      <c r="N1363" s="14">
        <f t="shared" si="284"/>
        <v>33.505829273914742</v>
      </c>
      <c r="O1363" s="1">
        <f t="shared" si="285"/>
        <v>3.008651861738576</v>
      </c>
      <c r="P1363" s="1">
        <f t="shared" si="286"/>
        <v>1753.3139337477082</v>
      </c>
      <c r="S1363" s="6">
        <f t="shared" si="280"/>
        <v>0.49967924136327846</v>
      </c>
      <c r="T1363" s="6">
        <f t="shared" si="281"/>
        <v>0.50032075863672265</v>
      </c>
      <c r="V1363" s="1">
        <f t="shared" si="287"/>
        <v>134824.1017001232</v>
      </c>
      <c r="W1363" s="7">
        <f t="shared" si="288"/>
        <v>-2.2284088899038814E-3</v>
      </c>
      <c r="X1363" s="7">
        <f t="shared" si="289"/>
        <v>-1.5468586404382204E-3</v>
      </c>
      <c r="Y1363">
        <f>LN(B1363/B1362)</f>
        <v>-4.9603885796369171E-3</v>
      </c>
      <c r="Z1363">
        <f>LN(C1363/C1362)</f>
        <v>5.075375812240748E-4</v>
      </c>
    </row>
    <row r="1364" spans="1:26" x14ac:dyDescent="0.3">
      <c r="A1364" s="11">
        <v>42187</v>
      </c>
      <c r="B1364" s="12">
        <v>22072.61</v>
      </c>
      <c r="C1364" s="12">
        <v>37.681049999999999</v>
      </c>
      <c r="D1364" s="16">
        <f t="shared" si="278"/>
        <v>6.9791324032384416E-3</v>
      </c>
      <c r="E1364" s="15">
        <f t="shared" si="290"/>
        <v>5.074088058130144E-4</v>
      </c>
      <c r="G1364" s="25" t="str">
        <f>IF(VLOOKUP(A1364,Aux!B:C,2,FALSE)=0,"",VLOOKUP(A1364,Aux!B:C,2,FALSE))</f>
        <v/>
      </c>
      <c r="H1364" s="25" t="str">
        <f t="shared" si="279"/>
        <v/>
      </c>
      <c r="L1364" s="13">
        <f t="shared" si="282"/>
        <v>132475.50917317346</v>
      </c>
      <c r="M1364" s="14">
        <f t="shared" si="283"/>
        <v>460.26356180876604</v>
      </c>
      <c r="N1364" s="14">
        <f t="shared" si="284"/>
        <v>33.505829273914742</v>
      </c>
      <c r="O1364" s="1">
        <f t="shared" si="285"/>
        <v>3.008651861738576</v>
      </c>
      <c r="P1364" s="1">
        <f t="shared" si="286"/>
        <v>1753.3139337477082</v>
      </c>
      <c r="S1364" s="6">
        <f t="shared" si="280"/>
        <v>0.50129114116571682</v>
      </c>
      <c r="T1364" s="6">
        <f t="shared" si="281"/>
        <v>0.49870885883428417</v>
      </c>
      <c r="V1364" s="1">
        <f t="shared" si="287"/>
        <v>135219.78351273164</v>
      </c>
      <c r="W1364" s="7">
        <f t="shared" si="288"/>
        <v>3.7342138799958432E-3</v>
      </c>
      <c r="X1364" s="7">
        <f t="shared" si="289"/>
        <v>2.930502169805645E-3</v>
      </c>
      <c r="Y1364">
        <f>LN(B1364/B1363)</f>
        <v>6.9548909827218267E-3</v>
      </c>
      <c r="Z1364">
        <f>LN(C1364/C1363)</f>
        <v>5.0728011749478987E-4</v>
      </c>
    </row>
    <row r="1365" spans="1:26" x14ac:dyDescent="0.3">
      <c r="A1365" s="9">
        <v>42188</v>
      </c>
      <c r="B1365" s="1">
        <v>21865.82</v>
      </c>
      <c r="C1365" s="1">
        <v>37.700180000000003</v>
      </c>
      <c r="D1365" s="6">
        <f t="shared" si="278"/>
        <v>-9.3686247344559881E-3</v>
      </c>
      <c r="E1365" s="5">
        <f t="shared" si="290"/>
        <v>5.076822434619821E-4</v>
      </c>
      <c r="G1365" s="25" t="str">
        <f>IF(VLOOKUP(A1365,Aux!B:C,2,FALSE)=0,"",VLOOKUP(A1365,Aux!B:C,2,FALSE))</f>
        <v/>
      </c>
      <c r="H1365" s="25" t="str">
        <f t="shared" si="279"/>
        <v/>
      </c>
      <c r="L1365" s="13">
        <f t="shared" si="282"/>
        <v>131886.89095023714</v>
      </c>
      <c r="M1365" s="14">
        <f t="shared" si="283"/>
        <v>-622.15911848892279</v>
      </c>
      <c r="N1365" s="14">
        <f t="shared" si="284"/>
        <v>33.54089555260083</v>
      </c>
      <c r="O1365" s="1">
        <f t="shared" si="285"/>
        <v>3.008651861738576</v>
      </c>
      <c r="P1365" s="1">
        <f t="shared" si="286"/>
        <v>1753.3139337477082</v>
      </c>
      <c r="S1365" s="6">
        <f t="shared" si="280"/>
        <v>0.49881106133787662</v>
      </c>
      <c r="T1365" s="6">
        <f t="shared" si="281"/>
        <v>0.50118893866212433</v>
      </c>
      <c r="V1365" s="1">
        <f t="shared" si="287"/>
        <v>134785.50809316739</v>
      </c>
      <c r="W1365" s="7">
        <f t="shared" si="288"/>
        <v>-4.4531234045986599E-3</v>
      </c>
      <c r="X1365" s="7">
        <f t="shared" si="289"/>
        <v>-3.2167946891932318E-3</v>
      </c>
      <c r="Y1365">
        <f>LN(B1365/B1364)</f>
        <v>-9.412786337912666E-3</v>
      </c>
      <c r="Z1365">
        <f>LN(C1365/C1364)</f>
        <v>5.0755341643210494E-4</v>
      </c>
    </row>
    <row r="1366" spans="1:26" x14ac:dyDescent="0.3">
      <c r="A1366" s="11">
        <v>42191</v>
      </c>
      <c r="B1366" s="12">
        <v>21726.54</v>
      </c>
      <c r="C1366" s="12">
        <v>37.71931</v>
      </c>
      <c r="D1366" s="16">
        <f t="shared" si="278"/>
        <v>-6.3697588290765328E-3</v>
      </c>
      <c r="E1366" s="15">
        <f t="shared" si="290"/>
        <v>5.0742463298569795E-4</v>
      </c>
      <c r="G1366" s="25" t="str">
        <f>IF(VLOOKUP(A1366,Aux!B:C,2,FALSE)=0,"",VLOOKUP(A1366,Aux!B:C,2,FALSE))</f>
        <v/>
      </c>
      <c r="H1366" s="25" t="str">
        <f t="shared" si="279"/>
        <v/>
      </c>
      <c r="L1366" s="13">
        <f t="shared" si="282"/>
        <v>131501.38681448676</v>
      </c>
      <c r="M1366" s="14">
        <f t="shared" si="283"/>
        <v>-419.04503130294535</v>
      </c>
      <c r="N1366" s="14">
        <f t="shared" si="284"/>
        <v>33.540895552588367</v>
      </c>
      <c r="O1366" s="1">
        <f t="shared" si="285"/>
        <v>3.008651861738576</v>
      </c>
      <c r="P1366" s="1">
        <f t="shared" si="286"/>
        <v>1753.3139337477082</v>
      </c>
      <c r="S1366" s="6">
        <f t="shared" si="280"/>
        <v>0.49708673500420053</v>
      </c>
      <c r="T1366" s="6">
        <f t="shared" si="281"/>
        <v>0.50291326499580069</v>
      </c>
      <c r="V1366" s="1">
        <f t="shared" si="287"/>
        <v>134506.98060511556</v>
      </c>
      <c r="W1366" s="7">
        <f t="shared" si="288"/>
        <v>-2.9272708284613209E-3</v>
      </c>
      <c r="X1366" s="7">
        <f t="shared" si="289"/>
        <v>-2.0685878668041161E-3</v>
      </c>
      <c r="Y1366">
        <f>LN(B1366/B1365)</f>
        <v>-6.3901323050128559E-3</v>
      </c>
      <c r="Z1366">
        <f>LN(C1366/C1365)</f>
        <v>5.0729593664057429E-4</v>
      </c>
    </row>
    <row r="1367" spans="1:26" x14ac:dyDescent="0.3">
      <c r="A1367" s="9">
        <v>42192</v>
      </c>
      <c r="B1367" s="1">
        <v>21822.13</v>
      </c>
      <c r="C1367" s="1">
        <v>37.73845</v>
      </c>
      <c r="D1367" s="6">
        <f t="shared" si="278"/>
        <v>4.3996881233734353E-3</v>
      </c>
      <c r="E1367" s="5">
        <f t="shared" si="290"/>
        <v>5.0743240000938883E-4</v>
      </c>
      <c r="G1367" s="25" t="str">
        <f>IF(VLOOKUP(A1367,Aux!B:C,2,FALSE)=0,"",VLOOKUP(A1367,Aux!B:C,2,FALSE))</f>
        <v/>
      </c>
      <c r="H1367" s="25" t="str">
        <f t="shared" si="279"/>
        <v/>
      </c>
      <c r="L1367" s="13">
        <f t="shared" si="282"/>
        <v>131822.54227464227</v>
      </c>
      <c r="M1367" s="14">
        <f t="shared" si="283"/>
        <v>287.59703146359089</v>
      </c>
      <c r="N1367" s="14">
        <f t="shared" si="284"/>
        <v>33.558428691931411</v>
      </c>
      <c r="O1367" s="1">
        <f t="shared" si="285"/>
        <v>3.008651861738576</v>
      </c>
      <c r="P1367" s="1">
        <f t="shared" si="286"/>
        <v>1753.3139337477082</v>
      </c>
      <c r="S1367" s="6">
        <f t="shared" si="280"/>
        <v>0.49805739533389987</v>
      </c>
      <c r="T1367" s="6">
        <f t="shared" si="281"/>
        <v>0.5019426046661013</v>
      </c>
      <c r="V1367" s="1">
        <f t="shared" si="287"/>
        <v>134770.32879418493</v>
      </c>
      <c r="W1367" s="7">
        <f t="shared" si="288"/>
        <v>2.4392437140337234E-3</v>
      </c>
      <c r="X1367" s="7">
        <f t="shared" si="289"/>
        <v>1.9559633421506219E-3</v>
      </c>
      <c r="Y1367">
        <f>LN(B1367/B1366)</f>
        <v>4.3900377908637975E-3</v>
      </c>
      <c r="Z1367">
        <f>LN(C1367/C1366)</f>
        <v>5.0730369972505477E-4</v>
      </c>
    </row>
    <row r="1368" spans="1:26" x14ac:dyDescent="0.3">
      <c r="A1368" s="11">
        <v>42193</v>
      </c>
      <c r="B1368" s="12">
        <v>21592.6</v>
      </c>
      <c r="C1368" s="12">
        <v>37.75761</v>
      </c>
      <c r="D1368" s="16">
        <f t="shared" si="278"/>
        <v>-1.0518221640142489E-2</v>
      </c>
      <c r="E1368" s="15">
        <f t="shared" si="290"/>
        <v>5.0770500643237959E-4</v>
      </c>
      <c r="G1368" s="25" t="str">
        <f>IF(VLOOKUP(A1368,Aux!B:C,2,FALSE)=0,"",VLOOKUP(A1368,Aux!B:C,2,FALSE))</f>
        <v/>
      </c>
      <c r="H1368" s="25" t="str">
        <f t="shared" si="279"/>
        <v/>
      </c>
      <c r="L1368" s="13">
        <f t="shared" si="282"/>
        <v>131165.55990778803</v>
      </c>
      <c r="M1368" s="14">
        <f t="shared" si="283"/>
        <v>-690.57586182486284</v>
      </c>
      <c r="N1368" s="14">
        <f t="shared" si="284"/>
        <v>33.593494970605036</v>
      </c>
      <c r="O1368" s="1">
        <f t="shared" si="285"/>
        <v>3.008651861738576</v>
      </c>
      <c r="P1368" s="1">
        <f t="shared" si="286"/>
        <v>1753.3139337477082</v>
      </c>
      <c r="S1368" s="6">
        <f t="shared" si="280"/>
        <v>0.49528714881747754</v>
      </c>
      <c r="T1368" s="6">
        <f t="shared" si="281"/>
        <v>0.50471285118252363</v>
      </c>
      <c r="V1368" s="1">
        <f t="shared" si="287"/>
        <v>134283.65851314506</v>
      </c>
      <c r="W1368" s="7">
        <f t="shared" si="288"/>
        <v>-4.9963000461996634E-3</v>
      </c>
      <c r="X1368" s="7">
        <f t="shared" si="289"/>
        <v>-3.6176443001572048E-3</v>
      </c>
      <c r="Y1368">
        <f>LN(B1368/B1367)</f>
        <v>-1.0573929106692257E-2</v>
      </c>
      <c r="Z1368">
        <f>LN(C1368/C1367)</f>
        <v>5.0757616785175174E-4</v>
      </c>
    </row>
    <row r="1369" spans="1:26" x14ac:dyDescent="0.3">
      <c r="A1369" s="9">
        <v>42195</v>
      </c>
      <c r="B1369" s="1">
        <v>21903.14</v>
      </c>
      <c r="C1369" s="1">
        <v>37.795940000000002</v>
      </c>
      <c r="D1369" s="6">
        <f t="shared" si="278"/>
        <v>1.4381778942786028E-2</v>
      </c>
      <c r="E1369" s="5">
        <f t="shared" si="290"/>
        <v>1.0151595929932533E-3</v>
      </c>
      <c r="G1369" s="25" t="str">
        <f>IF(VLOOKUP(A1369,Aux!B:C,2,FALSE)=0,"",VLOOKUP(A1369,Aux!B:C,2,FALSE))</f>
        <v/>
      </c>
      <c r="H1369" s="25" t="str">
        <f t="shared" si="279"/>
        <v/>
      </c>
      <c r="L1369" s="13">
        <f t="shared" si="282"/>
        <v>132167.07118001289</v>
      </c>
      <c r="M1369" s="14">
        <f t="shared" si="283"/>
        <v>934.30674914430006</v>
      </c>
      <c r="N1369" s="14">
        <f t="shared" si="284"/>
        <v>67.204523080553116</v>
      </c>
      <c r="O1369" s="1">
        <f t="shared" si="285"/>
        <v>3.008651861738576</v>
      </c>
      <c r="P1369" s="1">
        <f t="shared" si="286"/>
        <v>1753.3139337477082</v>
      </c>
      <c r="S1369" s="6">
        <f t="shared" si="280"/>
        <v>0.49860318724295305</v>
      </c>
      <c r="T1369" s="6">
        <f t="shared" si="281"/>
        <v>0.50139681275704806</v>
      </c>
      <c r="V1369" s="1">
        <f t="shared" si="287"/>
        <v>135085.83444314197</v>
      </c>
      <c r="W1369" s="7">
        <f t="shared" si="288"/>
        <v>7.6064716849104114E-3</v>
      </c>
      <c r="X1369" s="7">
        <f t="shared" si="289"/>
        <v>5.9559699395003145E-3</v>
      </c>
      <c r="Y1369">
        <f>LN(B1369/B1368)</f>
        <v>1.427934214082553E-2</v>
      </c>
      <c r="Z1369">
        <f>LN(C1369/C1368)</f>
        <v>1.0146446669522388E-3</v>
      </c>
    </row>
    <row r="1370" spans="1:26" x14ac:dyDescent="0.3">
      <c r="A1370" s="11">
        <v>42198</v>
      </c>
      <c r="B1370" s="12">
        <v>22103.18</v>
      </c>
      <c r="C1370" s="12">
        <v>37.81512</v>
      </c>
      <c r="D1370" s="16">
        <f t="shared" si="278"/>
        <v>9.132937103995209E-3</v>
      </c>
      <c r="E1370" s="15">
        <f t="shared" si="290"/>
        <v>5.0746191257577955E-4</v>
      </c>
      <c r="G1370" s="25" t="str">
        <f>IF(VLOOKUP(A1370,Aux!B:C,2,FALSE)=0,"",VLOOKUP(A1370,Aux!B:C,2,FALSE))</f>
        <v/>
      </c>
      <c r="H1370" s="25" t="str">
        <f t="shared" si="279"/>
        <v/>
      </c>
      <c r="L1370" s="13">
        <f t="shared" si="282"/>
        <v>132802.55045968434</v>
      </c>
      <c r="M1370" s="14">
        <f t="shared" si="283"/>
        <v>601.85071842218736</v>
      </c>
      <c r="N1370" s="14">
        <f t="shared" si="284"/>
        <v>33.628561249278661</v>
      </c>
      <c r="O1370" s="1">
        <f t="shared" si="285"/>
        <v>3.008651861738576</v>
      </c>
      <c r="P1370" s="1">
        <f t="shared" si="286"/>
        <v>1753.3139337477082</v>
      </c>
      <c r="S1370" s="6">
        <f t="shared" si="280"/>
        <v>0.50074922075785655</v>
      </c>
      <c r="T1370" s="6">
        <f t="shared" si="281"/>
        <v>0.49925077924214467</v>
      </c>
      <c r="V1370" s="1">
        <f t="shared" si="287"/>
        <v>135590.24192119035</v>
      </c>
      <c r="W1370" s="7">
        <f t="shared" si="288"/>
        <v>4.7966290938982574E-3</v>
      </c>
      <c r="X1370" s="7">
        <f t="shared" si="289"/>
        <v>3.7270235973909387E-3</v>
      </c>
      <c r="Y1370">
        <f>LN(B1370/B1369)</f>
        <v>9.0914840349440602E-3</v>
      </c>
      <c r="Z1370">
        <f>LN(C1370/C1369)</f>
        <v>5.0733319732297328E-4</v>
      </c>
    </row>
    <row r="1371" spans="1:26" x14ac:dyDescent="0.3">
      <c r="A1371" s="9">
        <v>42199</v>
      </c>
      <c r="B1371" s="1">
        <v>22161.17</v>
      </c>
      <c r="C1371" s="1">
        <v>37.834319999999998</v>
      </c>
      <c r="D1371" s="6">
        <f t="shared" ref="D1371:D1434" si="291">B1371/B1370-1</f>
        <v>2.6236043863370195E-3</v>
      </c>
      <c r="E1371" s="5">
        <f t="shared" si="290"/>
        <v>5.0773341457066579E-4</v>
      </c>
      <c r="G1371" s="25" t="str">
        <f>IF(VLOOKUP(A1371,Aux!B:C,2,FALSE)=0,"",VLOOKUP(A1371,Aux!B:C,2,FALSE))</f>
        <v/>
      </c>
      <c r="H1371" s="25" t="str">
        <f t="shared" si="279"/>
        <v/>
      </c>
      <c r="L1371" s="13">
        <f t="shared" si="282"/>
        <v>133010.68580867449</v>
      </c>
      <c r="M1371" s="14">
        <f t="shared" si="283"/>
        <v>174.47172146221391</v>
      </c>
      <c r="N1371" s="14">
        <f t="shared" si="284"/>
        <v>33.663627527952293</v>
      </c>
      <c r="O1371" s="1">
        <f t="shared" si="285"/>
        <v>3.008651861738576</v>
      </c>
      <c r="P1371" s="1">
        <f t="shared" si="286"/>
        <v>1753.3139337477082</v>
      </c>
      <c r="S1371" s="6">
        <f t="shared" si="280"/>
        <v>0.50127735958532105</v>
      </c>
      <c r="T1371" s="6">
        <f t="shared" si="281"/>
        <v>0.49872264041468028</v>
      </c>
      <c r="V1371" s="1">
        <f t="shared" si="287"/>
        <v>135766.97982295233</v>
      </c>
      <c r="W1371" s="7">
        <f t="shared" si="288"/>
        <v>1.5660272938152198E-3</v>
      </c>
      <c r="X1371" s="7">
        <f t="shared" si="289"/>
        <v>1.3026218769274314E-3</v>
      </c>
      <c r="Y1371">
        <f>LN(B1371/B1370)</f>
        <v>2.620168744214205E-3</v>
      </c>
      <c r="Z1371">
        <f>LN(C1371/C1370)</f>
        <v>5.0760456157399969E-4</v>
      </c>
    </row>
    <row r="1372" spans="1:26" x14ac:dyDescent="0.3">
      <c r="A1372" s="11">
        <v>42200</v>
      </c>
      <c r="B1372" s="12">
        <v>22048.19</v>
      </c>
      <c r="C1372" s="12">
        <v>37.853520000000003</v>
      </c>
      <c r="D1372" s="16">
        <f t="shared" si="291"/>
        <v>-5.0981062822946788E-3</v>
      </c>
      <c r="E1372" s="15">
        <f t="shared" si="290"/>
        <v>5.0747575217435781E-4</v>
      </c>
      <c r="G1372" s="25" t="str">
        <f>IF(VLOOKUP(A1372,Aux!B:C,2,FALSE)=0,"",VLOOKUP(A1372,Aux!B:C,2,FALSE))</f>
        <v/>
      </c>
      <c r="H1372" s="25" t="str">
        <f t="shared" si="279"/>
        <v/>
      </c>
      <c r="L1372" s="13">
        <f t="shared" si="282"/>
        <v>132704.43194886323</v>
      </c>
      <c r="M1372" s="14">
        <f t="shared" si="283"/>
        <v>-339.91748733922299</v>
      </c>
      <c r="N1372" s="14">
        <f t="shared" si="284"/>
        <v>33.663627527964749</v>
      </c>
      <c r="O1372" s="1">
        <f t="shared" si="285"/>
        <v>3.008651861738576</v>
      </c>
      <c r="P1372" s="1">
        <f t="shared" si="286"/>
        <v>1753.3139337477082</v>
      </c>
      <c r="S1372" s="6">
        <f t="shared" si="280"/>
        <v>0.4998727391186733</v>
      </c>
      <c r="T1372" s="6">
        <f t="shared" si="281"/>
        <v>0.50012726088132786</v>
      </c>
      <c r="V1372" s="1">
        <f t="shared" si="287"/>
        <v>135549.28395415173</v>
      </c>
      <c r="W1372" s="7">
        <f t="shared" si="288"/>
        <v>-2.3051303817841354E-3</v>
      </c>
      <c r="X1372" s="7">
        <f t="shared" si="289"/>
        <v>-1.6047391519201221E-3</v>
      </c>
      <c r="Y1372">
        <f>LN(B1372/B1371)</f>
        <v>-5.1111459634608251E-3</v>
      </c>
      <c r="Z1372">
        <f>LN(C1372/C1371)</f>
        <v>5.0734702990194887E-4</v>
      </c>
    </row>
    <row r="1373" spans="1:26" x14ac:dyDescent="0.3">
      <c r="A1373" s="9">
        <v>42201</v>
      </c>
      <c r="B1373" s="1">
        <v>22105.15</v>
      </c>
      <c r="C1373" s="1">
        <v>37.872729999999997</v>
      </c>
      <c r="D1373" s="6">
        <f t="shared" si="291"/>
        <v>2.5834320186828297E-3</v>
      </c>
      <c r="E1373" s="5">
        <f t="shared" si="290"/>
        <v>5.0748252738430644E-4</v>
      </c>
      <c r="G1373" s="25" t="str">
        <f>IF(VLOOKUP(A1373,Aux!B:C,2,FALSE)=0,"",VLOOKUP(A1373,Aux!B:C,2,FALSE))</f>
        <v/>
      </c>
      <c r="H1373" s="25" t="str">
        <f t="shared" si="279"/>
        <v/>
      </c>
      <c r="L1373" s="13">
        <f t="shared" si="282"/>
        <v>132909.48591957515</v>
      </c>
      <c r="M1373" s="14">
        <f t="shared" si="283"/>
        <v>171.37281004463762</v>
      </c>
      <c r="N1373" s="14">
        <f t="shared" si="284"/>
        <v>33.681160667282874</v>
      </c>
      <c r="O1373" s="1">
        <f t="shared" si="285"/>
        <v>3.008651861738576</v>
      </c>
      <c r="P1373" s="1">
        <f t="shared" si="286"/>
        <v>1753.3139337477082</v>
      </c>
      <c r="S1373" s="6">
        <f t="shared" si="280"/>
        <v>0.50039092575946276</v>
      </c>
      <c r="T1373" s="6">
        <f t="shared" si="281"/>
        <v>0.49960907424053858</v>
      </c>
      <c r="V1373" s="1">
        <f t="shared" si="287"/>
        <v>135723.66798120877</v>
      </c>
      <c r="W1373" s="7">
        <f t="shared" si="288"/>
        <v>1.5440005033907393E-3</v>
      </c>
      <c r="X1373" s="7">
        <f t="shared" si="289"/>
        <v>1.2856722340627155E-3</v>
      </c>
      <c r="Y1373">
        <f>LN(B1373/B1372)</f>
        <v>2.5801006944515367E-3</v>
      </c>
      <c r="Z1373">
        <f>LN(C1373/C1372)</f>
        <v>5.0735380167536378E-4</v>
      </c>
    </row>
    <row r="1374" spans="1:26" x14ac:dyDescent="0.3">
      <c r="A1374" s="11">
        <v>42202</v>
      </c>
      <c r="B1374" s="12">
        <v>21815.21</v>
      </c>
      <c r="C1374" s="12">
        <v>37.891950000000001</v>
      </c>
      <c r="D1374" s="16">
        <f t="shared" si="291"/>
        <v>-1.3116400476812062E-2</v>
      </c>
      <c r="E1374" s="15">
        <f t="shared" si="290"/>
        <v>5.0748916172671521E-4</v>
      </c>
      <c r="G1374" s="25" t="str">
        <f>IF(VLOOKUP(A1374,Aux!B:C,2,FALSE)=0,"",VLOOKUP(A1374,Aux!B:C,2,FALSE))</f>
        <v/>
      </c>
      <c r="H1374" s="25" t="str">
        <f t="shared" si="279"/>
        <v/>
      </c>
      <c r="L1374" s="13">
        <f t="shared" si="282"/>
        <v>132070.8560925893</v>
      </c>
      <c r="M1374" s="14">
        <f t="shared" si="283"/>
        <v>-872.32852079248971</v>
      </c>
      <c r="N1374" s="14">
        <f t="shared" si="284"/>
        <v>33.698693806638374</v>
      </c>
      <c r="O1374" s="1">
        <f t="shared" si="285"/>
        <v>3.008651861738576</v>
      </c>
      <c r="P1374" s="1">
        <f t="shared" si="286"/>
        <v>1753.3139337477082</v>
      </c>
      <c r="S1374" s="6">
        <f t="shared" si="280"/>
        <v>0.49696332803888627</v>
      </c>
      <c r="T1374" s="6">
        <f t="shared" si="281"/>
        <v>0.50303667196111501</v>
      </c>
      <c r="V1374" s="1">
        <f t="shared" si="287"/>
        <v>135097.76394496349</v>
      </c>
      <c r="W1374" s="7">
        <f t="shared" si="288"/>
        <v>-6.3297723949046454E-3</v>
      </c>
      <c r="X1374" s="7">
        <f t="shared" si="289"/>
        <v>-4.6222719242267098E-3</v>
      </c>
      <c r="Y1374">
        <f>LN(B1374/B1373)</f>
        <v>-1.3203180117162252E-2</v>
      </c>
      <c r="Z1374">
        <f>LN(C1374/C1373)</f>
        <v>5.0736043265264537E-4</v>
      </c>
    </row>
    <row r="1375" spans="1:26" x14ac:dyDescent="0.3">
      <c r="A1375" s="9">
        <v>42205</v>
      </c>
      <c r="B1375" s="1">
        <v>21533.7</v>
      </c>
      <c r="C1375" s="1">
        <v>37.911180000000002</v>
      </c>
      <c r="D1375" s="6">
        <f t="shared" si="291"/>
        <v>-1.2904299339772551E-2</v>
      </c>
      <c r="E1375" s="5">
        <f t="shared" si="290"/>
        <v>5.0749565540963992E-4</v>
      </c>
      <c r="G1375" s="25" t="str">
        <f>IF(VLOOKUP(A1375,Aux!B:C,2,FALSE)=0,"",VLOOKUP(A1375,Aux!B:C,2,FALSE))</f>
        <v/>
      </c>
      <c r="H1375" s="25" t="str">
        <f t="shared" si="279"/>
        <v/>
      </c>
      <c r="L1375" s="13">
        <f t="shared" si="282"/>
        <v>131257.60673393725</v>
      </c>
      <c r="M1375" s="14">
        <f t="shared" si="283"/>
        <v>-846.96558559802168</v>
      </c>
      <c r="N1375" s="14">
        <f t="shared" si="284"/>
        <v>33.716226945968963</v>
      </c>
      <c r="O1375" s="1">
        <f t="shared" si="285"/>
        <v>3.008651861738576</v>
      </c>
      <c r="P1375" s="1">
        <f t="shared" si="286"/>
        <v>1753.3139337477082</v>
      </c>
      <c r="S1375" s="6">
        <f t="shared" si="280"/>
        <v>0.49358972944284907</v>
      </c>
      <c r="T1375" s="6">
        <f t="shared" si="281"/>
        <v>0.50641027055715215</v>
      </c>
      <c r="V1375" s="1">
        <f t="shared" si="287"/>
        <v>134491.33058492577</v>
      </c>
      <c r="W1375" s="7">
        <f t="shared" si="288"/>
        <v>-6.1767112867008155E-3</v>
      </c>
      <c r="X1375" s="7">
        <f t="shared" si="289"/>
        <v>-4.4989533717985876E-3</v>
      </c>
      <c r="Y1375">
        <f>LN(B1375/B1374)</f>
        <v>-1.2988283093838803E-2</v>
      </c>
      <c r="Z1375">
        <f>LN(C1375/C1374)</f>
        <v>5.0736692304174686E-4</v>
      </c>
    </row>
    <row r="1376" spans="1:26" x14ac:dyDescent="0.3">
      <c r="A1376" s="11">
        <v>42206</v>
      </c>
      <c r="B1376" s="12">
        <v>21496.87</v>
      </c>
      <c r="C1376" s="12">
        <v>37.930419999999998</v>
      </c>
      <c r="D1376" s="16">
        <f t="shared" si="291"/>
        <v>-1.7103423935506123E-3</v>
      </c>
      <c r="E1376" s="15">
        <f t="shared" si="290"/>
        <v>5.0750200864224659E-4</v>
      </c>
      <c r="G1376" s="25" t="str">
        <f>IF(VLOOKUP(A1376,Aux!B:C,2,FALSE)=0,"",VLOOKUP(A1376,Aux!B:C,2,FALSE))</f>
        <v/>
      </c>
      <c r="H1376" s="25" t="str">
        <f t="shared" si="279"/>
        <v/>
      </c>
      <c r="L1376" s="13">
        <f t="shared" si="282"/>
        <v>131180.53184595471</v>
      </c>
      <c r="M1376" s="14">
        <f t="shared" si="283"/>
        <v>-110.80864806783701</v>
      </c>
      <c r="N1376" s="14">
        <f t="shared" si="284"/>
        <v>33.733760085299544</v>
      </c>
      <c r="O1376" s="1">
        <f t="shared" si="285"/>
        <v>3.008651861738576</v>
      </c>
      <c r="P1376" s="1">
        <f t="shared" si="286"/>
        <v>1753.3139337477082</v>
      </c>
      <c r="S1376" s="6">
        <f t="shared" si="280"/>
        <v>0.49303503375791968</v>
      </c>
      <c r="T1376" s="6">
        <f t="shared" si="281"/>
        <v>0.50696496624208165</v>
      </c>
      <c r="V1376" s="1">
        <f t="shared" si="287"/>
        <v>134449.40491516489</v>
      </c>
      <c r="W1376" s="7">
        <f t="shared" si="288"/>
        <v>-5.8737568110779897E-4</v>
      </c>
      <c r="X1376" s="7">
        <f t="shared" si="289"/>
        <v>-3.1178370969016828E-4</v>
      </c>
      <c r="Y1376">
        <f>LN(B1376/B1375)</f>
        <v>-1.7118066989828282E-3</v>
      </c>
      <c r="Z1376">
        <f>LN(C1376/C1375)</f>
        <v>5.0737327305173095E-4</v>
      </c>
    </row>
    <row r="1377" spans="1:26" x14ac:dyDescent="0.3">
      <c r="A1377" s="9">
        <v>42207</v>
      </c>
      <c r="B1377" s="1">
        <v>21284.080000000002</v>
      </c>
      <c r="C1377" s="1">
        <v>37.949680000000001</v>
      </c>
      <c r="D1377" s="6">
        <f t="shared" si="291"/>
        <v>-9.8986503616571575E-3</v>
      </c>
      <c r="E1377" s="5">
        <f t="shared" si="290"/>
        <v>5.0777186226791393E-4</v>
      </c>
      <c r="G1377" s="25" t="str">
        <f>IF(VLOOKUP(A1377,Aux!B:C,2,FALSE)=0,"",VLOOKUP(A1377,Aux!B:C,2,FALSE))</f>
        <v/>
      </c>
      <c r="H1377" s="25" t="str">
        <f t="shared" si="279"/>
        <v/>
      </c>
      <c r="L1377" s="13">
        <f t="shared" si="282"/>
        <v>130574.08964265935</v>
      </c>
      <c r="M1377" s="14">
        <f t="shared" si="283"/>
        <v>-640.21102965934324</v>
      </c>
      <c r="N1377" s="14">
        <f t="shared" si="284"/>
        <v>33.768826363985632</v>
      </c>
      <c r="O1377" s="1">
        <f t="shared" si="285"/>
        <v>3.008651861738576</v>
      </c>
      <c r="P1377" s="1">
        <f t="shared" si="286"/>
        <v>1753.3139337477082</v>
      </c>
      <c r="S1377" s="6">
        <f t="shared" si="280"/>
        <v>0.49042185239537534</v>
      </c>
      <c r="T1377" s="6">
        <f t="shared" si="281"/>
        <v>0.50957814760462594</v>
      </c>
      <c r="V1377" s="1">
        <f t="shared" si="287"/>
        <v>134001.57811293952</v>
      </c>
      <c r="W1377" s="7">
        <f t="shared" si="288"/>
        <v>-4.6336777927455594E-3</v>
      </c>
      <c r="X1377" s="7">
        <f t="shared" si="289"/>
        <v>-3.3363797933356836E-3</v>
      </c>
      <c r="Y1377">
        <f>LN(B1377/B1376)</f>
        <v>-9.9479677212340103E-3</v>
      </c>
      <c r="Z1377">
        <f>LN(C1377/C1376)</f>
        <v>5.0764298975923539E-4</v>
      </c>
    </row>
    <row r="1378" spans="1:26" x14ac:dyDescent="0.3">
      <c r="A1378" s="11">
        <v>42208</v>
      </c>
      <c r="B1378" s="12">
        <v>20834.04</v>
      </c>
      <c r="C1378" s="12">
        <v>37.968940000000003</v>
      </c>
      <c r="D1378" s="16">
        <f t="shared" si="291"/>
        <v>-2.1144442231000871E-2</v>
      </c>
      <c r="E1378" s="15">
        <f t="shared" si="290"/>
        <v>5.0751416085725864E-4</v>
      </c>
      <c r="G1378" s="25" t="str">
        <f>IF(VLOOKUP(A1378,Aux!B:C,2,FALSE)=0,"",VLOOKUP(A1378,Aux!B:C,2,FALSE))</f>
        <v/>
      </c>
      <c r="H1378" s="25" t="str">
        <f t="shared" si="279"/>
        <v/>
      </c>
      <c r="L1378" s="13">
        <f t="shared" si="282"/>
        <v>129253.84478516651</v>
      </c>
      <c r="M1378" s="14">
        <f t="shared" si="283"/>
        <v>-1354.0136838568314</v>
      </c>
      <c r="N1378" s="14">
        <f t="shared" si="284"/>
        <v>33.768826363985632</v>
      </c>
      <c r="O1378" s="1">
        <f t="shared" si="285"/>
        <v>3.008651861738576</v>
      </c>
      <c r="P1378" s="1">
        <f t="shared" si="286"/>
        <v>1753.3139337477082</v>
      </c>
      <c r="S1378" s="6">
        <f t="shared" si="280"/>
        <v>0.48495557975641396</v>
      </c>
      <c r="T1378" s="6">
        <f t="shared" si="281"/>
        <v>0.51504442024358743</v>
      </c>
      <c r="V1378" s="1">
        <f t="shared" si="287"/>
        <v>133006.40726166472</v>
      </c>
      <c r="W1378" s="7">
        <f t="shared" si="288"/>
        <v>-1.0162542553308031E-2</v>
      </c>
      <c r="X1378" s="7">
        <f t="shared" si="289"/>
        <v>-7.4542748826834709E-3</v>
      </c>
      <c r="Y1378">
        <f>LN(B1378/B1377)</f>
        <v>-2.1371187920058307E-2</v>
      </c>
      <c r="Z1378">
        <f>LN(C1378/C1377)</f>
        <v>5.0738541910252402E-4</v>
      </c>
    </row>
    <row r="1379" spans="1:26" x14ac:dyDescent="0.3">
      <c r="A1379" s="9">
        <v>42209</v>
      </c>
      <c r="B1379" s="1">
        <v>20607.439999999999</v>
      </c>
      <c r="C1379" s="1">
        <v>37.988199999999999</v>
      </c>
      <c r="D1379" s="6">
        <f t="shared" si="291"/>
        <v>-1.0876431071458192E-2</v>
      </c>
      <c r="E1379" s="5">
        <f t="shared" si="290"/>
        <v>5.0725672088813845E-4</v>
      </c>
      <c r="G1379" s="25" t="str">
        <f>IF(VLOOKUP(A1379,Aux!B:C,2,FALSE)=0,"",VLOOKUP(A1379,Aux!B:C,2,FALSE))</f>
        <v/>
      </c>
      <c r="H1379" s="25" t="str">
        <f t="shared" si="279"/>
        <v/>
      </c>
      <c r="L1379" s="13">
        <f t="shared" si="282"/>
        <v>128605.85309966051</v>
      </c>
      <c r="M1379" s="14">
        <f t="shared" si="283"/>
        <v>-681.7605118699679</v>
      </c>
      <c r="N1379" s="14">
        <f t="shared" si="284"/>
        <v>33.768826363973169</v>
      </c>
      <c r="O1379" s="1">
        <f t="shared" si="285"/>
        <v>3.008651861738576</v>
      </c>
      <c r="P1379" s="1">
        <f t="shared" si="286"/>
        <v>1753.3139337477082</v>
      </c>
      <c r="S1379" s="6">
        <f t="shared" si="280"/>
        <v>0.4820979078893079</v>
      </c>
      <c r="T1379" s="6">
        <f t="shared" si="281"/>
        <v>0.51790209211069349</v>
      </c>
      <c r="V1379" s="1">
        <f t="shared" si="287"/>
        <v>132526.72030636293</v>
      </c>
      <c r="W1379" s="7">
        <f t="shared" si="288"/>
        <v>-5.0259350712387341E-3</v>
      </c>
      <c r="X1379" s="7">
        <f t="shared" si="289"/>
        <v>-3.613014176493685E-3</v>
      </c>
      <c r="Y1379">
        <f>LN(B1379/B1378)</f>
        <v>-1.0936011859293902E-2</v>
      </c>
      <c r="Z1379">
        <f>LN(C1379/C1378)</f>
        <v>5.0712810968845431E-4</v>
      </c>
    </row>
    <row r="1380" spans="1:26" x14ac:dyDescent="0.3">
      <c r="A1380" s="11">
        <v>42212</v>
      </c>
      <c r="B1380" s="12">
        <v>20407.68</v>
      </c>
      <c r="C1380" s="12">
        <v>38.007489999999997</v>
      </c>
      <c r="D1380" s="16">
        <f t="shared" si="291"/>
        <v>-9.6935863940401656E-3</v>
      </c>
      <c r="E1380" s="15">
        <f t="shared" si="290"/>
        <v>5.0778926087580167E-4</v>
      </c>
      <c r="G1380" s="25" t="str">
        <f>IF(VLOOKUP(A1380,Aux!B:C,2,FALSE)=0,"",VLOOKUP(A1380,Aux!B:C,2,FALSE))</f>
        <v/>
      </c>
      <c r="H1380" s="25" t="str">
        <f t="shared" si="279"/>
        <v/>
      </c>
      <c r="L1380" s="13">
        <f t="shared" si="282"/>
        <v>128038.66622954162</v>
      </c>
      <c r="M1380" s="14">
        <f t="shared" si="283"/>
        <v>-601.00829590089313</v>
      </c>
      <c r="N1380" s="14">
        <f t="shared" si="284"/>
        <v>33.821425781989838</v>
      </c>
      <c r="O1380" s="1">
        <f t="shared" si="285"/>
        <v>3.008651861738576</v>
      </c>
      <c r="P1380" s="1">
        <f t="shared" si="286"/>
        <v>1753.3139337477082</v>
      </c>
      <c r="S1380" s="6">
        <f t="shared" si="280"/>
        <v>0.47953955030811407</v>
      </c>
      <c r="T1380" s="6">
        <f t="shared" si="281"/>
        <v>0.52046044969188721</v>
      </c>
      <c r="V1380" s="1">
        <f t="shared" si="287"/>
        <v>132109.02128390322</v>
      </c>
      <c r="W1380" s="7">
        <f t="shared" si="288"/>
        <v>-4.4200265410793659E-3</v>
      </c>
      <c r="X1380" s="7">
        <f t="shared" si="289"/>
        <v>-3.1567872640669652E-3</v>
      </c>
      <c r="Y1380">
        <f>LN(B1380/B1379)</f>
        <v>-9.7408750485473063E-3</v>
      </c>
      <c r="Z1380">
        <f>LN(C1380/C1379)</f>
        <v>5.076603795369321E-4</v>
      </c>
    </row>
    <row r="1381" spans="1:26" x14ac:dyDescent="0.3">
      <c r="A1381" s="9">
        <v>42213</v>
      </c>
      <c r="B1381" s="1">
        <v>20720.91</v>
      </c>
      <c r="C1381" s="1">
        <v>38.026780000000002</v>
      </c>
      <c r="D1381" s="6">
        <f t="shared" si="291"/>
        <v>1.5348633455640304E-2</v>
      </c>
      <c r="E1381" s="5">
        <f t="shared" si="290"/>
        <v>5.0753154180949167E-4</v>
      </c>
      <c r="G1381" s="25" t="str">
        <f>IF(VLOOKUP(A1381,Aux!B:C,2,FALSE)=0,"",VLOOKUP(A1381,Aux!B:C,2,FALSE))</f>
        <v/>
      </c>
      <c r="H1381" s="25" t="str">
        <f t="shared" si="279"/>
        <v/>
      </c>
      <c r="L1381" s="13">
        <f t="shared" si="282"/>
        <v>129014.887677976</v>
      </c>
      <c r="M1381" s="14">
        <f t="shared" si="283"/>
        <v>942.40002265237285</v>
      </c>
      <c r="N1381" s="14">
        <f t="shared" si="284"/>
        <v>33.821425782002301</v>
      </c>
      <c r="O1381" s="1">
        <f t="shared" si="285"/>
        <v>3.008651861738576</v>
      </c>
      <c r="P1381" s="1">
        <f t="shared" si="286"/>
        <v>1753.3139337477082</v>
      </c>
      <c r="S1381" s="6">
        <f t="shared" si="280"/>
        <v>0.48321558519683783</v>
      </c>
      <c r="T1381" s="6">
        <f t="shared" si="281"/>
        <v>0.51678441480316328</v>
      </c>
      <c r="V1381" s="1">
        <f t="shared" si="287"/>
        <v>132874.80813592975</v>
      </c>
      <c r="W1381" s="7">
        <f t="shared" si="288"/>
        <v>7.5955078380842847E-3</v>
      </c>
      <c r="X1381" s="7">
        <f t="shared" si="289"/>
        <v>5.7798921964302133E-3</v>
      </c>
      <c r="Y1381">
        <f>LN(B1381/B1380)</f>
        <v>1.5232034754659004E-2</v>
      </c>
      <c r="Z1381">
        <f>LN(C1381/C1380)</f>
        <v>5.0740279123800134E-4</v>
      </c>
    </row>
    <row r="1382" spans="1:26" x14ac:dyDescent="0.3">
      <c r="A1382" s="11">
        <v>42214</v>
      </c>
      <c r="B1382" s="12">
        <v>20973.26</v>
      </c>
      <c r="C1382" s="12">
        <v>38.046080000000003</v>
      </c>
      <c r="D1382" s="16">
        <f t="shared" si="291"/>
        <v>1.2178519186657244E-2</v>
      </c>
      <c r="E1382" s="15">
        <f t="shared" si="290"/>
        <v>5.0753705677952787E-4</v>
      </c>
      <c r="G1382" s="25" t="str">
        <f>IF(VLOOKUP(A1382,Aux!B:C,2,FALSE)=0,"",VLOOKUP(A1382,Aux!B:C,2,FALSE))</f>
        <v/>
      </c>
      <c r="H1382" s="25" t="str">
        <f t="shared" si="279"/>
        <v/>
      </c>
      <c r="L1382" s="13">
        <f t="shared" si="282"/>
        <v>129807.95993420706</v>
      </c>
      <c r="M1382" s="14">
        <f t="shared" si="283"/>
        <v>759.23329730972523</v>
      </c>
      <c r="N1382" s="14">
        <f t="shared" si="284"/>
        <v>33.838958921332882</v>
      </c>
      <c r="O1382" s="1">
        <f t="shared" si="285"/>
        <v>3.008651861738576</v>
      </c>
      <c r="P1382" s="1">
        <f t="shared" si="286"/>
        <v>1753.3139337477082</v>
      </c>
      <c r="S1382" s="6">
        <f t="shared" si="280"/>
        <v>0.48611223670497522</v>
      </c>
      <c r="T1382" s="6">
        <f t="shared" si="281"/>
        <v>0.51388776329502595</v>
      </c>
      <c r="V1382" s="1">
        <f t="shared" si="287"/>
        <v>133500.16506968709</v>
      </c>
      <c r="W1382" s="7">
        <f t="shared" si="288"/>
        <v>6.1283209393524054E-3</v>
      </c>
      <c r="X1382" s="7">
        <f t="shared" si="289"/>
        <v>4.6953215996118425E-3</v>
      </c>
      <c r="Y1382">
        <f>LN(B1382/B1381)</f>
        <v>1.2104957666564253E-2</v>
      </c>
      <c r="Z1382">
        <f>LN(C1382/C1381)</f>
        <v>5.0740830341042091E-4</v>
      </c>
    </row>
    <row r="1383" spans="1:26" x14ac:dyDescent="0.3">
      <c r="A1383" s="9">
        <v>42215</v>
      </c>
      <c r="B1383" s="1">
        <v>20855.490000000002</v>
      </c>
      <c r="C1383" s="1">
        <v>38.065379999999998</v>
      </c>
      <c r="D1383" s="6">
        <f t="shared" si="291"/>
        <v>-5.6152453171322003E-3</v>
      </c>
      <c r="E1383" s="5">
        <f t="shared" si="290"/>
        <v>5.0727959358742858E-4</v>
      </c>
      <c r="G1383" s="25" t="str">
        <f>IF(VLOOKUP(A1383,Aux!B:C,2,FALSE)=0,"",VLOOKUP(A1383,Aux!B:C,2,FALSE))</f>
        <v/>
      </c>
      <c r="H1383" s="25" t="str">
        <f t="shared" si="279"/>
        <v/>
      </c>
      <c r="L1383" s="13">
        <f t="shared" si="282"/>
        <v>129487.46996337143</v>
      </c>
      <c r="M1383" s="14">
        <f t="shared" si="283"/>
        <v>-354.32892975694244</v>
      </c>
      <c r="N1383" s="14">
        <f t="shared" si="284"/>
        <v>33.838958921320426</v>
      </c>
      <c r="O1383" s="1">
        <f t="shared" si="285"/>
        <v>3.008651861738576</v>
      </c>
      <c r="P1383" s="1">
        <f t="shared" si="286"/>
        <v>1753.3139337477082</v>
      </c>
      <c r="S1383" s="6">
        <f t="shared" si="280"/>
        <v>0.48457900083861161</v>
      </c>
      <c r="T1383" s="6">
        <f t="shared" si="281"/>
        <v>0.51542099916138961</v>
      </c>
      <c r="V1383" s="1">
        <f t="shared" si="287"/>
        <v>133271.64221657754</v>
      </c>
      <c r="W1383" s="7">
        <f t="shared" si="288"/>
        <v>-2.4720075796704493E-3</v>
      </c>
      <c r="X1383" s="7">
        <f t="shared" si="289"/>
        <v>-1.7132463233737294E-3</v>
      </c>
      <c r="Y1383">
        <f>LN(B1383/B1382)</f>
        <v>-5.6310700748529938E-3</v>
      </c>
      <c r="Z1383">
        <f>LN(C1383/C1382)</f>
        <v>5.0715097079103507E-4</v>
      </c>
    </row>
    <row r="1384" spans="1:26" x14ac:dyDescent="0.3">
      <c r="A1384" s="11">
        <v>42216</v>
      </c>
      <c r="B1384" s="12">
        <v>21270.68</v>
      </c>
      <c r="C1384" s="12">
        <v>38.085349999999998</v>
      </c>
      <c r="D1384" s="16">
        <f t="shared" si="291"/>
        <v>1.990794749967506E-2</v>
      </c>
      <c r="E1384" s="15">
        <f t="shared" si="290"/>
        <v>5.2462368693029227E-4</v>
      </c>
      <c r="G1384" s="25" t="str">
        <f>IF(VLOOKUP(A1384,Aux!B:C,2,FALSE)=0,"",VLOOKUP(A1384,Aux!B:C,2,FALSE))</f>
        <v/>
      </c>
      <c r="H1384" s="25" t="str">
        <f t="shared" si="279"/>
        <v/>
      </c>
      <c r="L1384" s="13">
        <f t="shared" si="282"/>
        <v>130771.6458091036</v>
      </c>
      <c r="M1384" s="14">
        <f t="shared" si="283"/>
        <v>1249.1621664752354</v>
      </c>
      <c r="N1384" s="14">
        <f t="shared" si="284"/>
        <v>35.013679256942979</v>
      </c>
      <c r="O1384" s="1">
        <f t="shared" si="285"/>
        <v>3.008651861738576</v>
      </c>
      <c r="P1384" s="1">
        <f t="shared" si="286"/>
        <v>1753.3139337477082</v>
      </c>
      <c r="S1384" s="6">
        <f t="shared" si="280"/>
        <v>0.48937268156634639</v>
      </c>
      <c r="T1384" s="6">
        <f t="shared" si="281"/>
        <v>0.51062731843365494</v>
      </c>
      <c r="V1384" s="1">
        <f t="shared" si="287"/>
        <v>134274.17560525777</v>
      </c>
      <c r="W1384" s="7">
        <f t="shared" si="288"/>
        <v>9.8685209454835634E-3</v>
      </c>
      <c r="X1384" s="7">
        <f t="shared" si="289"/>
        <v>7.4943281798085411E-3</v>
      </c>
      <c r="Y1384">
        <f>LN(B1384/B1383)</f>
        <v>1.971237567428643E-2</v>
      </c>
      <c r="Z1384">
        <f>LN(C1384/C1383)</f>
        <v>5.2448612003564614E-4</v>
      </c>
    </row>
    <row r="1385" spans="1:26" x14ac:dyDescent="0.3">
      <c r="A1385" s="9">
        <v>42219</v>
      </c>
      <c r="B1385" s="1">
        <v>20991.67</v>
      </c>
      <c r="C1385" s="1">
        <v>38.105339999999998</v>
      </c>
      <c r="D1385" s="6">
        <f t="shared" si="291"/>
        <v>-1.3117117083233931E-2</v>
      </c>
      <c r="E1385" s="5">
        <f t="shared" si="290"/>
        <v>5.248737375393997E-4</v>
      </c>
      <c r="G1385" s="25" t="str">
        <f>IF(VLOOKUP(A1385,Aux!B:C,2,FALSE)=0,"",VLOOKUP(A1385,Aux!B:C,2,FALSE))</f>
        <v/>
      </c>
      <c r="H1385" s="25" t="str">
        <f t="shared" si="279"/>
        <v/>
      </c>
      <c r="L1385" s="13">
        <f t="shared" si="282"/>
        <v>129967.25059869554</v>
      </c>
      <c r="M1385" s="14">
        <f t="shared" si="283"/>
        <v>-839.44395594368621</v>
      </c>
      <c r="N1385" s="14">
        <f t="shared" si="284"/>
        <v>35.048745535616604</v>
      </c>
      <c r="O1385" s="1">
        <f t="shared" si="285"/>
        <v>3.008651861738576</v>
      </c>
      <c r="P1385" s="1">
        <f t="shared" si="286"/>
        <v>1753.3139337477082</v>
      </c>
      <c r="S1385" s="6">
        <f t="shared" si="280"/>
        <v>0.48594262581973635</v>
      </c>
      <c r="T1385" s="6">
        <f t="shared" si="281"/>
        <v>0.51405737418026487</v>
      </c>
      <c r="V1385" s="1">
        <f t="shared" si="287"/>
        <v>133675.21005334129</v>
      </c>
      <c r="W1385" s="7">
        <f t="shared" si="288"/>
        <v>-6.170140116987622E-3</v>
      </c>
      <c r="X1385" s="7">
        <f t="shared" si="289"/>
        <v>-4.4707439660554614E-3</v>
      </c>
      <c r="Y1385">
        <f>LN(B1385/B1384)</f>
        <v>-1.3203906248068055E-2</v>
      </c>
      <c r="Z1385">
        <f>LN(C1385/C1384)</f>
        <v>5.247360394998366E-4</v>
      </c>
    </row>
    <row r="1386" spans="1:26" x14ac:dyDescent="0.3">
      <c r="A1386" s="11">
        <v>42220</v>
      </c>
      <c r="B1386" s="12">
        <v>20972.66</v>
      </c>
      <c r="C1386" s="12">
        <v>38.125320000000002</v>
      </c>
      <c r="D1386" s="16">
        <f t="shared" si="291"/>
        <v>-9.0559731550654554E-4</v>
      </c>
      <c r="E1386" s="15">
        <f t="shared" si="290"/>
        <v>5.2433595921219656E-4</v>
      </c>
      <c r="G1386" s="25" t="str">
        <f>IF(VLOOKUP(A1386,Aux!B:C,2,FALSE)=0,"",VLOOKUP(A1386,Aux!B:C,2,FALSE))</f>
        <v/>
      </c>
      <c r="H1386" s="25" t="str">
        <f t="shared" si="279"/>
        <v/>
      </c>
      <c r="L1386" s="13">
        <f t="shared" si="282"/>
        <v>129945.08733920017</v>
      </c>
      <c r="M1386" s="14">
        <f t="shared" si="283"/>
        <v>-57.194471891645513</v>
      </c>
      <c r="N1386" s="14">
        <f t="shared" si="284"/>
        <v>35.031212396286023</v>
      </c>
      <c r="O1386" s="1">
        <f t="shared" si="285"/>
        <v>3.008651861738576</v>
      </c>
      <c r="P1386" s="1">
        <f t="shared" si="286"/>
        <v>1753.3139337477082</v>
      </c>
      <c r="S1386" s="6">
        <f t="shared" si="280"/>
        <v>0.48558536414616066</v>
      </c>
      <c r="T1386" s="6">
        <f t="shared" si="281"/>
        <v>0.51441463585384073</v>
      </c>
      <c r="V1386" s="1">
        <f t="shared" si="287"/>
        <v>133676.05122494887</v>
      </c>
      <c r="W1386" s="7">
        <f t="shared" si="288"/>
        <v>-1.7054411287232378E-4</v>
      </c>
      <c r="X1386" s="7">
        <f t="shared" si="289"/>
        <v>6.292632423531066E-6</v>
      </c>
      <c r="Y1386">
        <f>LN(B1386/B1385)</f>
        <v>-9.0600761648581846E-4</v>
      </c>
      <c r="Z1386">
        <f>LN(C1386/C1385)</f>
        <v>5.2419854314582673E-4</v>
      </c>
    </row>
    <row r="1387" spans="1:26" x14ac:dyDescent="0.3">
      <c r="A1387" s="9">
        <v>42221</v>
      </c>
      <c r="B1387" s="1">
        <v>21045.119999999999</v>
      </c>
      <c r="C1387" s="1">
        <v>38.145319999999998</v>
      </c>
      <c r="D1387" s="6">
        <f t="shared" si="291"/>
        <v>3.4549742378886528E-3</v>
      </c>
      <c r="E1387" s="5">
        <f t="shared" si="290"/>
        <v>5.2458576085379072E-4</v>
      </c>
      <c r="G1387" s="25" t="str">
        <f>IF(VLOOKUP(A1387,Aux!B:C,2,FALSE)=0,"",VLOOKUP(A1387,Aux!B:C,2,FALSE))</f>
        <v/>
      </c>
      <c r="H1387" s="25" t="str">
        <f t="shared" si="279"/>
        <v/>
      </c>
      <c r="L1387" s="13">
        <f t="shared" si="282"/>
        <v>130198.16053177668</v>
      </c>
      <c r="M1387" s="14">
        <f t="shared" si="283"/>
        <v>218.00691390157459</v>
      </c>
      <c r="N1387" s="14">
        <f t="shared" si="284"/>
        <v>35.066278674947185</v>
      </c>
      <c r="O1387" s="1">
        <f t="shared" si="285"/>
        <v>3.008651861738576</v>
      </c>
      <c r="P1387" s="1">
        <f t="shared" si="286"/>
        <v>1753.3139337477082</v>
      </c>
      <c r="S1387" s="6">
        <f t="shared" si="280"/>
        <v>0.48631592957919118</v>
      </c>
      <c r="T1387" s="6">
        <f t="shared" si="281"/>
        <v>0.51368407042081021</v>
      </c>
      <c r="V1387" s="1">
        <f t="shared" si="287"/>
        <v>133887.96162884339</v>
      </c>
      <c r="W1387" s="7">
        <f t="shared" si="288"/>
        <v>1.9456455201700305E-3</v>
      </c>
      <c r="X1387" s="7">
        <f t="shared" si="289"/>
        <v>1.5839981314536664E-3</v>
      </c>
      <c r="Y1387">
        <f>LN(B1387/B1386)</f>
        <v>3.4490195260387835E-3</v>
      </c>
      <c r="Z1387">
        <f>LN(C1387/C1386)</f>
        <v>5.2444821384491135E-4</v>
      </c>
    </row>
    <row r="1388" spans="1:26" x14ac:dyDescent="0.3">
      <c r="A1388" s="11">
        <v>42222</v>
      </c>
      <c r="B1388" s="12">
        <v>20912.05</v>
      </c>
      <c r="C1388" s="12">
        <v>38.16534</v>
      </c>
      <c r="D1388" s="16">
        <f t="shared" si="291"/>
        <v>-6.3230810753276412E-3</v>
      </c>
      <c r="E1388" s="15">
        <f t="shared" si="290"/>
        <v>5.2483502563371864E-4</v>
      </c>
      <c r="G1388" s="25" t="str">
        <f>IF(VLOOKUP(A1388,Aux!B:C,2,FALSE)=0,"",VLOOKUP(A1388,Aux!B:C,2,FALSE))</f>
        <v/>
      </c>
      <c r="H1388" s="25" t="str">
        <f t="shared" si="279"/>
        <v/>
      </c>
      <c r="L1388" s="13">
        <f t="shared" si="282"/>
        <v>129832.90057348878</v>
      </c>
      <c r="M1388" s="14">
        <f t="shared" si="283"/>
        <v>-400.36130324155141</v>
      </c>
      <c r="N1388" s="14">
        <f t="shared" si="284"/>
        <v>35.101344953633273</v>
      </c>
      <c r="O1388" s="1">
        <f t="shared" si="285"/>
        <v>3.008651861738576</v>
      </c>
      <c r="P1388" s="1">
        <f t="shared" si="286"/>
        <v>1753.3139337477082</v>
      </c>
      <c r="S1388" s="6">
        <f t="shared" si="280"/>
        <v>0.48460042013509119</v>
      </c>
      <c r="T1388" s="6">
        <f t="shared" si="281"/>
        <v>0.51539957986491014</v>
      </c>
      <c r="V1388" s="1">
        <f t="shared" si="287"/>
        <v>133625.75187590928</v>
      </c>
      <c r="W1388" s="7">
        <f t="shared" si="288"/>
        <v>-2.8093582125892662E-3</v>
      </c>
      <c r="X1388" s="7">
        <f t="shared" si="289"/>
        <v>-1.9603468806935684E-3</v>
      </c>
      <c r="Y1388">
        <f>LN(B1388/B1387)</f>
        <v>-6.3431564225778225E-3</v>
      </c>
      <c r="Z1388">
        <f>LN(C1388/C1387)</f>
        <v>5.2469734790161048E-4</v>
      </c>
    </row>
    <row r="1389" spans="1:26" x14ac:dyDescent="0.3">
      <c r="A1389" s="9">
        <v>42223</v>
      </c>
      <c r="B1389" s="1">
        <v>20345.080000000002</v>
      </c>
      <c r="C1389" s="1">
        <v>38.185360000000003</v>
      </c>
      <c r="D1389" s="6">
        <f t="shared" si="291"/>
        <v>-2.7112119567426318E-2</v>
      </c>
      <c r="E1389" s="5">
        <f t="shared" si="290"/>
        <v>5.2455971832032766E-4</v>
      </c>
      <c r="G1389" s="25" t="str">
        <f>IF(VLOOKUP(A1389,Aux!B:C,2,FALSE)=0,"",VLOOKUP(A1389,Aux!B:C,2,FALSE))</f>
        <v/>
      </c>
      <c r="H1389" s="25" t="str">
        <f t="shared" si="279"/>
        <v/>
      </c>
      <c r="L1389" s="13">
        <f t="shared" si="282"/>
        <v>128162.1865723925</v>
      </c>
      <c r="M1389" s="14">
        <f t="shared" si="283"/>
        <v>-1705.8153460499129</v>
      </c>
      <c r="N1389" s="14">
        <f t="shared" si="284"/>
        <v>35.101344953633273</v>
      </c>
      <c r="O1389" s="1">
        <f t="shared" si="285"/>
        <v>3.008651861738576</v>
      </c>
      <c r="P1389" s="1">
        <f t="shared" si="286"/>
        <v>1753.3139337477082</v>
      </c>
      <c r="S1389" s="6">
        <f t="shared" si="280"/>
        <v>0.47760782221552572</v>
      </c>
      <c r="T1389" s="6">
        <f t="shared" si="281"/>
        <v>0.52239217778447555</v>
      </c>
      <c r="V1389" s="1">
        <f t="shared" si="287"/>
        <v>132362.51964507194</v>
      </c>
      <c r="W1389" s="7">
        <f t="shared" si="288"/>
        <v>-1.2951698997193908E-2</v>
      </c>
      <c r="X1389" s="7">
        <f t="shared" si="289"/>
        <v>-9.4984769148844361E-3</v>
      </c>
      <c r="Y1389">
        <f>LN(B1389/B1388)</f>
        <v>-2.748643423470987E-2</v>
      </c>
      <c r="Z1389">
        <f>LN(C1389/C1388)</f>
        <v>5.2442218496548886E-4</v>
      </c>
    </row>
    <row r="1390" spans="1:26" x14ac:dyDescent="0.3">
      <c r="A1390" s="11">
        <v>42226</v>
      </c>
      <c r="B1390" s="12">
        <v>20636.38</v>
      </c>
      <c r="C1390" s="12">
        <v>38.205390000000001</v>
      </c>
      <c r="D1390" s="16">
        <f t="shared" si="291"/>
        <v>1.4317957953470684E-2</v>
      </c>
      <c r="E1390" s="15">
        <f t="shared" si="290"/>
        <v>5.2454658015532729E-4</v>
      </c>
      <c r="G1390" s="25" t="str">
        <f>IF(VLOOKUP(A1390,Aux!B:C,2,FALSE)=0,"",VLOOKUP(A1390,Aux!B:C,2,FALSE))</f>
        <v/>
      </c>
      <c r="H1390" s="25" t="str">
        <f t="shared" si="279"/>
        <v/>
      </c>
      <c r="L1390" s="13">
        <f t="shared" si="282"/>
        <v>129073.72573780992</v>
      </c>
      <c r="M1390" s="14">
        <f t="shared" si="283"/>
        <v>876.42028732444498</v>
      </c>
      <c r="N1390" s="14">
        <f t="shared" si="284"/>
        <v>35.118878092963854</v>
      </c>
      <c r="O1390" s="1">
        <f t="shared" si="285"/>
        <v>3.008651861738576</v>
      </c>
      <c r="P1390" s="1">
        <f t="shared" si="286"/>
        <v>1753.3139337477082</v>
      </c>
      <c r="S1390" s="6">
        <f t="shared" si="280"/>
        <v>0.48102495493672115</v>
      </c>
      <c r="T1390" s="6">
        <f t="shared" si="281"/>
        <v>0.51897504506328007</v>
      </c>
      <c r="V1390" s="1">
        <f t="shared" si="287"/>
        <v>133079.36869800446</v>
      </c>
      <c r="W1390" s="7">
        <f t="shared" si="288"/>
        <v>7.0872140104592972E-3</v>
      </c>
      <c r="X1390" s="7">
        <f t="shared" si="289"/>
        <v>5.4011881856041496E-3</v>
      </c>
      <c r="Y1390">
        <f>LN(B1390/B1389)</f>
        <v>1.4216424018270796E-2</v>
      </c>
      <c r="Z1390">
        <f>LN(C1390/C1389)</f>
        <v>5.2440905368854123E-4</v>
      </c>
    </row>
    <row r="1391" spans="1:26" x14ac:dyDescent="0.3">
      <c r="A1391" s="9">
        <v>42227</v>
      </c>
      <c r="B1391" s="1">
        <v>20526.72</v>
      </c>
      <c r="C1391" s="1">
        <v>38.225430000000003</v>
      </c>
      <c r="D1391" s="6">
        <f t="shared" si="291"/>
        <v>-5.3139164911675252E-3</v>
      </c>
      <c r="E1391" s="5">
        <f t="shared" si="290"/>
        <v>5.2453331846646911E-4</v>
      </c>
      <c r="G1391" s="25" t="str">
        <f>IF(VLOOKUP(A1391,Aux!B:C,2,FALSE)=0,"",VLOOKUP(A1391,Aux!B:C,2,FALSE))</f>
        <v/>
      </c>
      <c r="H1391" s="25" t="str">
        <f t="shared" si="279"/>
        <v/>
      </c>
      <c r="L1391" s="13">
        <f t="shared" si="282"/>
        <v>128778.93338588397</v>
      </c>
      <c r="M1391" s="14">
        <f t="shared" si="283"/>
        <v>-329.9287631582518</v>
      </c>
      <c r="N1391" s="14">
        <f t="shared" si="284"/>
        <v>35.136411232306898</v>
      </c>
      <c r="O1391" s="1">
        <f t="shared" si="285"/>
        <v>3.008651861738576</v>
      </c>
      <c r="P1391" s="1">
        <f t="shared" si="286"/>
        <v>1753.3139337477082</v>
      </c>
      <c r="S1391" s="6">
        <f t="shared" si="280"/>
        <v>0.47956410819408141</v>
      </c>
      <c r="T1391" s="6">
        <f t="shared" si="281"/>
        <v>0.52043589180591987</v>
      </c>
      <c r="V1391" s="1">
        <f t="shared" si="287"/>
        <v>132871.21137660576</v>
      </c>
      <c r="W1391" s="7">
        <f t="shared" si="288"/>
        <v>-2.2865188310495941E-3</v>
      </c>
      <c r="X1391" s="7">
        <f t="shared" si="289"/>
        <v>-1.5653837930827948E-3</v>
      </c>
      <c r="Y1391">
        <f>LN(B1391/B1390)</f>
        <v>-5.3280855632065671E-3</v>
      </c>
      <c r="Z1391">
        <f>LN(C1391/C1390)</f>
        <v>5.2439579895232171E-4</v>
      </c>
    </row>
    <row r="1392" spans="1:26" x14ac:dyDescent="0.3">
      <c r="A1392" s="11">
        <v>42228</v>
      </c>
      <c r="B1392" s="12">
        <v>20240.169999999998</v>
      </c>
      <c r="C1392" s="12">
        <v>38.245489999999997</v>
      </c>
      <c r="D1392" s="16">
        <f t="shared" si="291"/>
        <v>-1.395985330340177E-2</v>
      </c>
      <c r="E1392" s="15">
        <f t="shared" si="290"/>
        <v>5.2478153940960226E-4</v>
      </c>
      <c r="G1392" s="25" t="str">
        <f>IF(VLOOKUP(A1392,Aux!B:C,2,FALSE)=0,"",VLOOKUP(A1392,Aux!B:C,2,FALSE))</f>
        <v/>
      </c>
      <c r="H1392" s="25" t="str">
        <f t="shared" si="279"/>
        <v/>
      </c>
      <c r="L1392" s="13">
        <f t="shared" si="282"/>
        <v>127951.97567241374</v>
      </c>
      <c r="M1392" s="14">
        <f t="shared" si="283"/>
        <v>-862.12919098119767</v>
      </c>
      <c r="N1392" s="14">
        <f t="shared" si="284"/>
        <v>35.171477510968067</v>
      </c>
      <c r="O1392" s="1">
        <f t="shared" si="285"/>
        <v>3.008651861738576</v>
      </c>
      <c r="P1392" s="1">
        <f t="shared" si="286"/>
        <v>1753.3139337477082</v>
      </c>
      <c r="S1392" s="6">
        <f t="shared" si="280"/>
        <v>0.47592563407001992</v>
      </c>
      <c r="T1392" s="6">
        <f t="shared" si="281"/>
        <v>0.52407436592998136</v>
      </c>
      <c r="V1392" s="1">
        <f t="shared" si="287"/>
        <v>132255.00738021097</v>
      </c>
      <c r="W1392" s="7">
        <f t="shared" si="288"/>
        <v>-6.4422361651962001E-3</v>
      </c>
      <c r="X1392" s="7">
        <f t="shared" si="289"/>
        <v>-4.6483905578097303E-3</v>
      </c>
      <c r="Y1392">
        <f>LN(B1392/B1391)</f>
        <v>-1.4058208477575372E-2</v>
      </c>
      <c r="Z1392">
        <f>LN(C1392/C1391)</f>
        <v>5.2464388973278385E-4</v>
      </c>
    </row>
    <row r="1393" spans="1:26" x14ac:dyDescent="0.3">
      <c r="A1393" s="9">
        <v>42229</v>
      </c>
      <c r="B1393" s="1">
        <v>20096.2</v>
      </c>
      <c r="C1393" s="1">
        <v>38.265549999999998</v>
      </c>
      <c r="D1393" s="6">
        <f t="shared" si="291"/>
        <v>-7.1130825482196292E-3</v>
      </c>
      <c r="E1393" s="5">
        <f t="shared" si="290"/>
        <v>5.2450628819245004E-4</v>
      </c>
      <c r="G1393" s="25" t="str">
        <f>IF(VLOOKUP(A1393,Aux!B:C,2,FALSE)=0,"",VLOOKUP(A1393,Aux!B:C,2,FALSE))</f>
        <v/>
      </c>
      <c r="H1393" s="25" t="str">
        <f t="shared" si="279"/>
        <v/>
      </c>
      <c r="L1393" s="13">
        <f t="shared" si="282"/>
        <v>127553.99154139023</v>
      </c>
      <c r="M1393" s="14">
        <f t="shared" si="283"/>
        <v>-433.15560853449534</v>
      </c>
      <c r="N1393" s="14">
        <f t="shared" si="284"/>
        <v>35.171477510980523</v>
      </c>
      <c r="O1393" s="1">
        <f t="shared" si="285"/>
        <v>3.008651861738576</v>
      </c>
      <c r="P1393" s="1">
        <f t="shared" si="286"/>
        <v>1753.3139337477082</v>
      </c>
      <c r="S1393" s="6">
        <f t="shared" si="280"/>
        <v>0.47401471967461867</v>
      </c>
      <c r="T1393" s="6">
        <f t="shared" si="281"/>
        <v>0.5259852803253825</v>
      </c>
      <c r="V1393" s="1">
        <f t="shared" si="287"/>
        <v>131967.74043129125</v>
      </c>
      <c r="W1393" s="7">
        <f t="shared" si="288"/>
        <v>-3.1152654259230541E-3</v>
      </c>
      <c r="X1393" s="7">
        <f t="shared" si="289"/>
        <v>-2.1744309639184162E-3</v>
      </c>
      <c r="Y1393">
        <f>LN(B1393/B1392)</f>
        <v>-7.1385011279132948E-3</v>
      </c>
      <c r="Z1393">
        <f>LN(C1393/C1392)</f>
        <v>5.2436878284878394E-4</v>
      </c>
    </row>
    <row r="1394" spans="1:26" x14ac:dyDescent="0.3">
      <c r="A1394" s="11">
        <v>42230</v>
      </c>
      <c r="B1394" s="12">
        <v>19899.419999999998</v>
      </c>
      <c r="C1394" s="12">
        <v>38.285629999999998</v>
      </c>
      <c r="D1394" s="16">
        <f t="shared" si="291"/>
        <v>-9.7919009563998127E-3</v>
      </c>
      <c r="E1394" s="15">
        <f t="shared" si="290"/>
        <v>5.2475398890128311E-4</v>
      </c>
      <c r="G1394" s="25" t="str">
        <f>IF(VLOOKUP(A1394,Aux!B:C,2,FALSE)=0,"",VLOOKUP(A1394,Aux!B:C,2,FALSE))</f>
        <v/>
      </c>
      <c r="H1394" s="25" t="str">
        <f t="shared" si="279"/>
        <v/>
      </c>
      <c r="L1394" s="13">
        <f t="shared" si="282"/>
        <v>126997.15557182697</v>
      </c>
      <c r="M1394" s="14">
        <f t="shared" si="283"/>
        <v>-592.0425133529244</v>
      </c>
      <c r="N1394" s="14">
        <f t="shared" si="284"/>
        <v>35.206543789654155</v>
      </c>
      <c r="O1394" s="1">
        <f t="shared" si="285"/>
        <v>3.008651861738576</v>
      </c>
      <c r="P1394" s="1">
        <f t="shared" si="286"/>
        <v>1753.3139337477082</v>
      </c>
      <c r="S1394" s="6">
        <f t="shared" si="280"/>
        <v>0.47143124395928987</v>
      </c>
      <c r="T1394" s="6">
        <f t="shared" si="281"/>
        <v>0.5285687560407113</v>
      </c>
      <c r="V1394" s="1">
        <f t="shared" si="287"/>
        <v>131558.68370771711</v>
      </c>
      <c r="W1394" s="7">
        <f t="shared" si="288"/>
        <v>-4.3750488974819111E-3</v>
      </c>
      <c r="X1394" s="7">
        <f t="shared" si="289"/>
        <v>-3.1044860373725947E-3</v>
      </c>
      <c r="Y1394">
        <f>LN(B1394/B1393)</f>
        <v>-9.8401568885060318E-3</v>
      </c>
      <c r="Z1394">
        <f>LN(C1394/C1393)</f>
        <v>5.2461635367450038E-4</v>
      </c>
    </row>
    <row r="1395" spans="1:26" x14ac:dyDescent="0.3">
      <c r="A1395" s="9">
        <v>42233</v>
      </c>
      <c r="B1395" s="1">
        <v>19787.080000000002</v>
      </c>
      <c r="C1395" s="1">
        <v>38.305709999999998</v>
      </c>
      <c r="D1395" s="6">
        <f t="shared" si="291"/>
        <v>-5.645390669677619E-3</v>
      </c>
      <c r="E1395" s="5">
        <f t="shared" si="290"/>
        <v>5.2447876657635284E-4</v>
      </c>
      <c r="G1395" s="25" t="str">
        <f>IF(VLOOKUP(A1395,Aux!B:C,2,FALSE)=0,"",VLOOKUP(A1395,Aux!B:C,2,FALSE))</f>
        <v/>
      </c>
      <c r="H1395" s="25" t="str">
        <f t="shared" si="279"/>
        <v/>
      </c>
      <c r="L1395" s="13">
        <f t="shared" si="282"/>
        <v>126694.37016546892</v>
      </c>
      <c r="M1395" s="14">
        <f t="shared" si="283"/>
        <v>-337.99195014770112</v>
      </c>
      <c r="N1395" s="14">
        <f t="shared" si="284"/>
        <v>35.206543789654155</v>
      </c>
      <c r="O1395" s="1">
        <f t="shared" si="285"/>
        <v>3.008651861738576</v>
      </c>
      <c r="P1395" s="1">
        <f t="shared" si="286"/>
        <v>1753.3139337477082</v>
      </c>
      <c r="S1395" s="6">
        <f t="shared" si="280"/>
        <v>0.46989013799601304</v>
      </c>
      <c r="T1395" s="6">
        <f t="shared" si="281"/>
        <v>0.53010986200398813</v>
      </c>
      <c r="V1395" s="1">
        <f t="shared" si="287"/>
        <v>131344.43301786995</v>
      </c>
      <c r="W1395" s="7">
        <f t="shared" si="288"/>
        <v>-2.3870371645194691E-3</v>
      </c>
      <c r="X1395" s="7">
        <f t="shared" si="289"/>
        <v>-1.6298835856016049E-3</v>
      </c>
      <c r="Y1395">
        <f>LN(B1395/B1394)</f>
        <v>-5.6613861163546777E-3</v>
      </c>
      <c r="Z1395">
        <f>LN(C1395/C1394)</f>
        <v>5.2434127566000166E-4</v>
      </c>
    </row>
    <row r="1396" spans="1:26" x14ac:dyDescent="0.3">
      <c r="A1396" s="11">
        <v>42234</v>
      </c>
      <c r="B1396" s="12">
        <v>19884.150000000001</v>
      </c>
      <c r="C1396" s="12">
        <v>38.325809999999997</v>
      </c>
      <c r="D1396" s="16">
        <f t="shared" si="291"/>
        <v>4.9057263628589087E-3</v>
      </c>
      <c r="E1396" s="15">
        <f t="shared" si="290"/>
        <v>5.2472594816799223E-4</v>
      </c>
      <c r="G1396" s="25" t="str">
        <f>IF(VLOOKUP(A1396,Aux!B:C,2,FALSE)=0,"",VLOOKUP(A1396,Aux!B:C,2,FALSE))</f>
        <v/>
      </c>
      <c r="H1396" s="25" t="str">
        <f t="shared" si="279"/>
        <v/>
      </c>
      <c r="L1396" s="13">
        <f t="shared" si="282"/>
        <v>127021.66161175622</v>
      </c>
      <c r="M1396" s="14">
        <f t="shared" si="283"/>
        <v>292.0498362189627</v>
      </c>
      <c r="N1396" s="14">
        <f t="shared" si="284"/>
        <v>35.24161006832778</v>
      </c>
      <c r="O1396" s="1">
        <f t="shared" si="285"/>
        <v>3.008651861738576</v>
      </c>
      <c r="P1396" s="1">
        <f t="shared" si="286"/>
        <v>1753.3139337477082</v>
      </c>
      <c r="S1396" s="6">
        <f t="shared" si="280"/>
        <v>0.47097860441665157</v>
      </c>
      <c r="T1396" s="6">
        <f t="shared" si="281"/>
        <v>0.52902139558334949</v>
      </c>
      <c r="V1396" s="1">
        <f t="shared" si="287"/>
        <v>131613.34326587303</v>
      </c>
      <c r="W1396" s="7">
        <f t="shared" si="288"/>
        <v>2.5799838152989842E-3</v>
      </c>
      <c r="X1396" s="7">
        <f t="shared" si="289"/>
        <v>2.0452739260602738E-3</v>
      </c>
      <c r="Y1396">
        <f>LN(B1396/B1395)</f>
        <v>4.8937324970403677E-3</v>
      </c>
      <c r="Z1396">
        <f>LN(C1396/C1395)</f>
        <v>5.2458832764758602E-4</v>
      </c>
    </row>
    <row r="1397" spans="1:26" x14ac:dyDescent="0.3">
      <c r="A1397" s="9">
        <v>42235</v>
      </c>
      <c r="B1397" s="1">
        <v>19523.419999999998</v>
      </c>
      <c r="C1397" s="1">
        <v>38.345910000000003</v>
      </c>
      <c r="D1397" s="6">
        <f t="shared" si="291"/>
        <v>-1.8141585131876581E-2</v>
      </c>
      <c r="E1397" s="5">
        <f t="shared" si="290"/>
        <v>5.2445075524842899E-4</v>
      </c>
      <c r="G1397" s="25" t="str">
        <f>IF(VLOOKUP(A1397,Aux!B:C,2,FALSE)=0,"",VLOOKUP(A1397,Aux!B:C,2,FALSE))</f>
        <v/>
      </c>
      <c r="H1397" s="25" t="str">
        <f t="shared" si="279"/>
        <v/>
      </c>
      <c r="L1397" s="13">
        <f t="shared" si="282"/>
        <v>125971.59223573959</v>
      </c>
      <c r="M1397" s="14">
        <f t="shared" si="283"/>
        <v>-1085.3109860849661</v>
      </c>
      <c r="N1397" s="14">
        <f t="shared" si="284"/>
        <v>35.241610068340236</v>
      </c>
      <c r="O1397" s="1">
        <f t="shared" si="285"/>
        <v>3.008651861738576</v>
      </c>
      <c r="P1397" s="1">
        <f t="shared" si="286"/>
        <v>1753.3139337477082</v>
      </c>
      <c r="S1397" s="6">
        <f t="shared" si="280"/>
        <v>0.46628904888795364</v>
      </c>
      <c r="T1397" s="6">
        <f t="shared" si="281"/>
        <v>0.53371095111204747</v>
      </c>
      <c r="V1397" s="1">
        <f t="shared" si="287"/>
        <v>130826.09289994641</v>
      </c>
      <c r="W1397" s="7">
        <f t="shared" si="288"/>
        <v>-8.3012127009336086E-3</v>
      </c>
      <c r="X1397" s="7">
        <f t="shared" si="289"/>
        <v>-5.9995002182937794E-3</v>
      </c>
      <c r="Y1397">
        <f>LN(B1397/B1396)</f>
        <v>-1.83081614013542E-2</v>
      </c>
      <c r="Z1397">
        <f>LN(C1397/C1396)</f>
        <v>5.2431327901533145E-4</v>
      </c>
    </row>
    <row r="1398" spans="1:26" x14ac:dyDescent="0.3">
      <c r="A1398" s="11">
        <v>42236</v>
      </c>
      <c r="B1398" s="12">
        <v>19523.47</v>
      </c>
      <c r="C1398" s="12">
        <v>38.366030000000002</v>
      </c>
      <c r="D1398" s="16">
        <f t="shared" si="291"/>
        <v>2.561026705594216E-6</v>
      </c>
      <c r="E1398" s="15">
        <f t="shared" si="290"/>
        <v>5.2469741883820475E-4</v>
      </c>
      <c r="G1398" s="25" t="str">
        <f>IF(VLOOKUP(A1398,Aux!B:C,2,FALSE)=0,"",VLOOKUP(A1398,Aux!B:C,2,FALSE))</f>
        <v/>
      </c>
      <c r="H1398" s="25" t="str">
        <f t="shared" si="279"/>
        <v/>
      </c>
      <c r="L1398" s="13">
        <f t="shared" si="282"/>
        <v>126007.01934467969</v>
      </c>
      <c r="M1398" s="14">
        <f t="shared" si="283"/>
        <v>0.15043259309568513</v>
      </c>
      <c r="N1398" s="14">
        <f t="shared" si="284"/>
        <v>35.276676347001406</v>
      </c>
      <c r="O1398" s="1">
        <f t="shared" si="285"/>
        <v>3.008651861738576</v>
      </c>
      <c r="P1398" s="1">
        <f t="shared" si="286"/>
        <v>1753.3139337477082</v>
      </c>
      <c r="S1398" s="6">
        <f t="shared" si="280"/>
        <v>0.46615914469353215</v>
      </c>
      <c r="T1398" s="6">
        <f t="shared" si="281"/>
        <v>0.53384085530646908</v>
      </c>
      <c r="V1398" s="1">
        <f t="shared" si="287"/>
        <v>130871.21935682098</v>
      </c>
      <c r="W1398" s="7">
        <f t="shared" si="288"/>
        <v>2.8119139915361763E-4</v>
      </c>
      <c r="X1398" s="7">
        <f t="shared" si="289"/>
        <v>3.4487520664754155E-4</v>
      </c>
      <c r="Y1398">
        <f>LN(B1398/B1397)</f>
        <v>2.5610234261709217E-6</v>
      </c>
      <c r="Z1398">
        <f>LN(C1398/C1397)</f>
        <v>5.2455981327962059E-4</v>
      </c>
    </row>
    <row r="1399" spans="1:26" x14ac:dyDescent="0.3">
      <c r="A1399" s="9">
        <v>42237</v>
      </c>
      <c r="B1399" s="1">
        <v>19138.240000000002</v>
      </c>
      <c r="C1399" s="1">
        <v>38.386159999999997</v>
      </c>
      <c r="D1399" s="6">
        <f t="shared" si="291"/>
        <v>-1.9731635820886329E-2</v>
      </c>
      <c r="E1399" s="5">
        <f t="shared" si="290"/>
        <v>5.2468290307849941E-4</v>
      </c>
      <c r="G1399" s="25" t="str">
        <f>IF(VLOOKUP(A1399,Aux!B:C,2,FALSE)=0,"",VLOOKUP(A1399,Aux!B:C,2,FALSE))</f>
        <v/>
      </c>
      <c r="H1399" s="25" t="str">
        <f t="shared" si="279"/>
        <v/>
      </c>
      <c r="L1399" s="13">
        <f t="shared" si="282"/>
        <v>124883.29059746848</v>
      </c>
      <c r="M1399" s="14">
        <f t="shared" si="283"/>
        <v>-1159.0229566975504</v>
      </c>
      <c r="N1399" s="14">
        <f t="shared" si="284"/>
        <v>35.294209486331994</v>
      </c>
      <c r="O1399" s="1">
        <f t="shared" si="285"/>
        <v>3.008651861738576</v>
      </c>
      <c r="P1399" s="1">
        <f t="shared" si="286"/>
        <v>1753.3139337477082</v>
      </c>
      <c r="S1399" s="6">
        <f t="shared" si="280"/>
        <v>0.46107290359601483</v>
      </c>
      <c r="T1399" s="6">
        <f t="shared" si="281"/>
        <v>0.53892709640398617</v>
      </c>
      <c r="V1399" s="1">
        <f t="shared" si="287"/>
        <v>130027.51374785361</v>
      </c>
      <c r="W1399" s="7">
        <f t="shared" si="288"/>
        <v>-8.9579885487038446E-3</v>
      </c>
      <c r="X1399" s="7">
        <f t="shared" si="289"/>
        <v>-6.4677090611442462E-3</v>
      </c>
      <c r="Y1399">
        <f>LN(B1399/B1398)</f>
        <v>-1.9928903806026653E-2</v>
      </c>
      <c r="Z1399">
        <f>LN(C1399/C1398)</f>
        <v>5.2454530513219746E-4</v>
      </c>
    </row>
    <row r="1400" spans="1:26" x14ac:dyDescent="0.3">
      <c r="A1400" s="11">
        <v>42240</v>
      </c>
      <c r="B1400" s="12">
        <v>18576.75</v>
      </c>
      <c r="C1400" s="12">
        <v>38.406300000000002</v>
      </c>
      <c r="D1400" s="16">
        <f t="shared" si="291"/>
        <v>-2.9338643469828063E-2</v>
      </c>
      <c r="E1400" s="15">
        <f t="shared" si="290"/>
        <v>5.2466826585417792E-4</v>
      </c>
      <c r="G1400" s="25" t="str">
        <f>IF(VLOOKUP(A1400,Aux!B:C,2,FALSE)=0,"",VLOOKUP(A1400,Aux!B:C,2,FALSE))</f>
        <v/>
      </c>
      <c r="H1400" s="25" t="str">
        <f t="shared" si="279"/>
        <v/>
      </c>
      <c r="L1400" s="13">
        <f t="shared" si="282"/>
        <v>123229.27440624658</v>
      </c>
      <c r="M1400" s="14">
        <f t="shared" si="283"/>
        <v>-1689.3279338475979</v>
      </c>
      <c r="N1400" s="14">
        <f t="shared" si="284"/>
        <v>35.311742625687494</v>
      </c>
      <c r="O1400" s="1">
        <f t="shared" si="285"/>
        <v>3.008651861738576</v>
      </c>
      <c r="P1400" s="1">
        <f t="shared" si="286"/>
        <v>1753.3139337477082</v>
      </c>
      <c r="S1400" s="6">
        <f t="shared" si="280"/>
        <v>0.4535527271571676</v>
      </c>
      <c r="T1400" s="6">
        <f t="shared" si="281"/>
        <v>0.54644727284283345</v>
      </c>
      <c r="V1400" s="1">
        <f t="shared" si="287"/>
        <v>128777.19252460307</v>
      </c>
      <c r="W1400" s="7">
        <f t="shared" si="288"/>
        <v>-1.333298612903336E-2</v>
      </c>
      <c r="X1400" s="7">
        <f t="shared" si="289"/>
        <v>-9.6623509583718906E-3</v>
      </c>
      <c r="Y1400">
        <f>LN(B1400/B1399)</f>
        <v>-2.9777628956286523E-2</v>
      </c>
      <c r="Z1400">
        <f>LN(C1400/C1399)</f>
        <v>5.245306755836429E-4</v>
      </c>
    </row>
    <row r="1401" spans="1:26" x14ac:dyDescent="0.3">
      <c r="A1401" s="9">
        <v>42241</v>
      </c>
      <c r="B1401" s="1">
        <v>18675.900000000001</v>
      </c>
      <c r="C1401" s="1">
        <v>38.426450000000003</v>
      </c>
      <c r="D1401" s="6">
        <f t="shared" si="291"/>
        <v>5.3373168072994304E-3</v>
      </c>
      <c r="E1401" s="5">
        <f t="shared" si="290"/>
        <v>5.2465350736730088E-4</v>
      </c>
      <c r="G1401" s="25" t="str">
        <f>IF(VLOOKUP(A1401,Aux!B:C,2,FALSE)=0,"",VLOOKUP(A1401,Aux!B:C,2,FALSE))</f>
        <v/>
      </c>
      <c r="H1401" s="25" t="str">
        <f t="shared" si="279"/>
        <v/>
      </c>
      <c r="L1401" s="13">
        <f t="shared" si="282"/>
        <v>123562.91151410298</v>
      </c>
      <c r="M1401" s="14">
        <f t="shared" si="283"/>
        <v>298.30783209138417</v>
      </c>
      <c r="N1401" s="14">
        <f t="shared" si="284"/>
        <v>35.329275765018075</v>
      </c>
      <c r="O1401" s="1">
        <f t="shared" si="285"/>
        <v>3.008651861738576</v>
      </c>
      <c r="P1401" s="1">
        <f t="shared" si="286"/>
        <v>1753.3139337477082</v>
      </c>
      <c r="S1401" s="6">
        <f t="shared" si="280"/>
        <v>0.45474228970584152</v>
      </c>
      <c r="T1401" s="6">
        <f t="shared" si="281"/>
        <v>0.54525771029415959</v>
      </c>
      <c r="V1401" s="1">
        <f t="shared" si="287"/>
        <v>129051.01326198803</v>
      </c>
      <c r="W1401" s="7">
        <f t="shared" si="288"/>
        <v>2.7037915310515956E-3</v>
      </c>
      <c r="X1401" s="7">
        <f t="shared" si="289"/>
        <v>2.124056516604906E-3</v>
      </c>
      <c r="Y1401">
        <f>LN(B1401/B1400)</f>
        <v>5.3231238112281072E-3</v>
      </c>
      <c r="Z1401">
        <f>LN(C1401/C1400)</f>
        <v>5.2451592483590624E-4</v>
      </c>
    </row>
    <row r="1402" spans="1:26" x14ac:dyDescent="0.3">
      <c r="A1402" s="11">
        <v>42242</v>
      </c>
      <c r="B1402" s="12">
        <v>19277.2</v>
      </c>
      <c r="C1402" s="12">
        <v>38.446599999999997</v>
      </c>
      <c r="D1402" s="16">
        <f t="shared" si="291"/>
        <v>3.2196574194550243E-2</v>
      </c>
      <c r="E1402" s="15">
        <f t="shared" si="290"/>
        <v>5.2437839040542222E-4</v>
      </c>
      <c r="G1402" s="25" t="str">
        <f>IF(VLOOKUP(A1402,Aux!B:C,2,FALSE)=0,"",VLOOKUP(A1402,Aux!B:C,2,FALSE))</f>
        <v/>
      </c>
      <c r="H1402" s="25" t="str">
        <f t="shared" si="279"/>
        <v/>
      </c>
      <c r="L1402" s="13">
        <f t="shared" si="282"/>
        <v>125407.34315433138</v>
      </c>
      <c r="M1402" s="14">
        <f t="shared" si="283"/>
        <v>1809.1023644634035</v>
      </c>
      <c r="N1402" s="14">
        <f t="shared" si="284"/>
        <v>35.329275765005619</v>
      </c>
      <c r="O1402" s="1">
        <f t="shared" si="285"/>
        <v>3.008651861738576</v>
      </c>
      <c r="P1402" s="1">
        <f t="shared" si="286"/>
        <v>1753.3139337477082</v>
      </c>
      <c r="S1402" s="6">
        <f t="shared" si="280"/>
        <v>0.46247996497088462</v>
      </c>
      <c r="T1402" s="6">
        <f t="shared" si="281"/>
        <v>0.53752003502911649</v>
      </c>
      <c r="V1402" s="1">
        <f t="shared" si="287"/>
        <v>130483.31161467396</v>
      </c>
      <c r="W1402" s="7">
        <f t="shared" si="288"/>
        <v>1.4816752996050703E-2</v>
      </c>
      <c r="X1402" s="7">
        <f t="shared" si="289"/>
        <v>1.103756040343656E-2</v>
      </c>
      <c r="Y1402">
        <f>LN(B1402/B1401)</f>
        <v>3.1689127791262456E-2</v>
      </c>
      <c r="Z1402">
        <f>LN(C1402/C1401)</f>
        <v>5.2424095210161221E-4</v>
      </c>
    </row>
    <row r="1403" spans="1:26" x14ac:dyDescent="0.3">
      <c r="A1403" s="9">
        <v>42243</v>
      </c>
      <c r="B1403" s="1">
        <v>19938.59</v>
      </c>
      <c r="C1403" s="1">
        <v>38.466769999999997</v>
      </c>
      <c r="D1403" s="6">
        <f t="shared" si="291"/>
        <v>3.4309443280144292E-2</v>
      </c>
      <c r="E1403" s="5">
        <f t="shared" si="290"/>
        <v>5.246237638698581E-4</v>
      </c>
      <c r="G1403" s="25" t="str">
        <f>IF(VLOOKUP(A1403,Aux!B:C,2,FALSE)=0,"",VLOOKUP(A1403,Aux!B:C,2,FALSE))</f>
        <v/>
      </c>
      <c r="H1403" s="25" t="str">
        <f t="shared" si="279"/>
        <v/>
      </c>
      <c r="L1403" s="13">
        <f t="shared" si="282"/>
        <v>127432.59975121033</v>
      </c>
      <c r="M1403" s="14">
        <f t="shared" si="283"/>
        <v>1989.892254835275</v>
      </c>
      <c r="N1403" s="14">
        <f t="shared" si="284"/>
        <v>35.3643420436917</v>
      </c>
      <c r="O1403" s="1">
        <f t="shared" si="285"/>
        <v>3.008651861738576</v>
      </c>
      <c r="P1403" s="1">
        <f t="shared" si="286"/>
        <v>1753.3139337477082</v>
      </c>
      <c r="S1403" s="6">
        <f t="shared" si="280"/>
        <v>0.47074513147388253</v>
      </c>
      <c r="T1403" s="6">
        <f t="shared" si="281"/>
        <v>0.52925486852611858</v>
      </c>
      <c r="V1403" s="1">
        <f t="shared" si="287"/>
        <v>132054.28444196857</v>
      </c>
      <c r="W1403" s="7">
        <f t="shared" si="288"/>
        <v>1.6020411088516394E-2</v>
      </c>
      <c r="X1403" s="7">
        <f t="shared" si="289"/>
        <v>1.1967745582460446E-2</v>
      </c>
      <c r="Y1403">
        <f>LN(B1403/B1402)</f>
        <v>3.3733999477068469E-2</v>
      </c>
      <c r="Z1403">
        <f>LN(C1403/C1402)</f>
        <v>5.2448619693486892E-4</v>
      </c>
    </row>
    <row r="1404" spans="1:26" x14ac:dyDescent="0.3">
      <c r="A1404" s="11">
        <v>42244</v>
      </c>
      <c r="B1404" s="12">
        <v>19735.71</v>
      </c>
      <c r="C1404" s="12">
        <v>38.48695</v>
      </c>
      <c r="D1404" s="16">
        <f t="shared" si="291"/>
        <v>-1.0175243083889174E-2</v>
      </c>
      <c r="E1404" s="15">
        <f t="shared" si="290"/>
        <v>5.2460864273240482E-4</v>
      </c>
      <c r="G1404" s="25" t="str">
        <f>IF(VLOOKUP(A1404,Aux!B:C,2,FALSE)=0,"",VLOOKUP(A1404,Aux!B:C,2,FALSE))</f>
        <v/>
      </c>
      <c r="H1404" s="25" t="str">
        <f t="shared" si="279"/>
        <v/>
      </c>
      <c r="L1404" s="13">
        <f t="shared" si="282"/>
        <v>126857.58633668385</v>
      </c>
      <c r="M1404" s="14">
        <f t="shared" si="283"/>
        <v>-610.3952897095254</v>
      </c>
      <c r="N1404" s="14">
        <f t="shared" si="284"/>
        <v>35.381875183034744</v>
      </c>
      <c r="O1404" s="1">
        <f t="shared" si="285"/>
        <v>3.008651861738576</v>
      </c>
      <c r="P1404" s="1">
        <f t="shared" si="286"/>
        <v>1753.3139337477082</v>
      </c>
      <c r="S1404" s="6">
        <f t="shared" si="280"/>
        <v>0.46806724255845406</v>
      </c>
      <c r="T1404" s="6">
        <f t="shared" si="281"/>
        <v>0.53193275744154711</v>
      </c>
      <c r="V1404" s="1">
        <f t="shared" si="287"/>
        <v>131631.37851826142</v>
      </c>
      <c r="W1404" s="7">
        <f t="shared" si="288"/>
        <v>-4.5225055943966305E-3</v>
      </c>
      <c r="X1404" s="7">
        <f t="shared" si="289"/>
        <v>-3.2076547626268318E-3</v>
      </c>
      <c r="Y1404">
        <f>LN(B1404/B1403)</f>
        <v>-1.022736473823951E-2</v>
      </c>
      <c r="Z1404">
        <f>LN(C1404/C1403)</f>
        <v>5.2447108372604984E-4</v>
      </c>
    </row>
    <row r="1405" spans="1:26" x14ac:dyDescent="0.3">
      <c r="A1405" s="9">
        <v>42247</v>
      </c>
      <c r="B1405" s="1">
        <v>19515.71</v>
      </c>
      <c r="C1405" s="1">
        <v>38.50714</v>
      </c>
      <c r="D1405" s="6">
        <f t="shared" si="291"/>
        <v>-1.1147306076143226E-2</v>
      </c>
      <c r="E1405" s="5">
        <f t="shared" si="290"/>
        <v>5.2459340113975017E-4</v>
      </c>
      <c r="G1405" s="25" t="str">
        <f>IF(VLOOKUP(A1405,Aux!B:C,2,FALSE)=0,"",VLOOKUP(A1405,Aux!B:C,2,FALSE))</f>
        <v/>
      </c>
      <c r="H1405" s="25" t="str">
        <f t="shared" si="279"/>
        <v/>
      </c>
      <c r="L1405" s="13">
        <f t="shared" si="282"/>
        <v>126231.08233542372</v>
      </c>
      <c r="M1405" s="14">
        <f t="shared" si="283"/>
        <v>-661.90340958248669</v>
      </c>
      <c r="N1405" s="14">
        <f t="shared" si="284"/>
        <v>35.399408322365325</v>
      </c>
      <c r="O1405" s="1">
        <f t="shared" si="285"/>
        <v>3.008651861738576</v>
      </c>
      <c r="P1405" s="1">
        <f t="shared" si="286"/>
        <v>1753.3139337477082</v>
      </c>
      <c r="S1405" s="6">
        <f t="shared" si="280"/>
        <v>0.46514674625564006</v>
      </c>
      <c r="T1405" s="6">
        <f t="shared" si="281"/>
        <v>0.53485325374436121</v>
      </c>
      <c r="V1405" s="1">
        <f t="shared" si="287"/>
        <v>131168.99852701809</v>
      </c>
      <c r="W1405" s="7">
        <f t="shared" si="288"/>
        <v>-4.9508757878594682E-3</v>
      </c>
      <c r="X1405" s="7">
        <f t="shared" si="289"/>
        <v>-3.5188721839652343E-3</v>
      </c>
      <c r="Y1405">
        <f>LN(B1405/B1404)</f>
        <v>-1.1209902918014443E-2</v>
      </c>
      <c r="Z1405">
        <f>LN(C1405/C1404)</f>
        <v>5.244558501249579E-4</v>
      </c>
    </row>
    <row r="1406" spans="1:26" x14ac:dyDescent="0.3">
      <c r="A1406" s="11">
        <v>42248</v>
      </c>
      <c r="B1406" s="12">
        <v>19042.02</v>
      </c>
      <c r="C1406" s="12">
        <v>38.527340000000002</v>
      </c>
      <c r="D1406" s="16">
        <f t="shared" si="291"/>
        <v>-2.4272240159338265E-2</v>
      </c>
      <c r="E1406" s="15">
        <f t="shared" si="290"/>
        <v>5.2457803929351066E-4</v>
      </c>
      <c r="G1406" s="25" t="str">
        <f>IF(VLOOKUP(A1406,Aux!B:C,2,FALSE)=0,"",VLOOKUP(A1406,Aux!B:C,2,FALSE))</f>
        <v/>
      </c>
      <c r="H1406" s="25" t="str">
        <f t="shared" si="279"/>
        <v/>
      </c>
      <c r="L1406" s="13">
        <f t="shared" si="282"/>
        <v>124841.33097649849</v>
      </c>
      <c r="M1406" s="14">
        <f t="shared" si="283"/>
        <v>-1425.1683003869421</v>
      </c>
      <c r="N1406" s="14">
        <f t="shared" si="284"/>
        <v>35.416941461708369</v>
      </c>
      <c r="O1406" s="1">
        <f t="shared" si="285"/>
        <v>3.008651861738576</v>
      </c>
      <c r="P1406" s="1">
        <f t="shared" si="286"/>
        <v>1753.3139337477082</v>
      </c>
      <c r="S1406" s="6">
        <f t="shared" si="280"/>
        <v>0.45890898852278539</v>
      </c>
      <c r="T1406" s="6">
        <f t="shared" si="281"/>
        <v>0.54109101147721572</v>
      </c>
      <c r="V1406" s="1">
        <f t="shared" si="287"/>
        <v>130121.36920297569</v>
      </c>
      <c r="W1406" s="7">
        <f t="shared" si="288"/>
        <v>-1.1070635235768496E-2</v>
      </c>
      <c r="X1406" s="7">
        <f t="shared" si="289"/>
        <v>-8.0189327067165545E-3</v>
      </c>
      <c r="Y1406">
        <f>LN(B1406/B1405)</f>
        <v>-2.4571666068018735E-2</v>
      </c>
      <c r="Z1406">
        <f>LN(C1406/C1405)</f>
        <v>5.2444049633309836E-4</v>
      </c>
    </row>
    <row r="1407" spans="1:26" x14ac:dyDescent="0.3">
      <c r="A1407" s="9">
        <v>42249</v>
      </c>
      <c r="B1407" s="1">
        <v>19420.41</v>
      </c>
      <c r="C1407" s="1">
        <v>38.547550000000001</v>
      </c>
      <c r="D1407" s="6">
        <f t="shared" si="291"/>
        <v>1.987131617338922E-2</v>
      </c>
      <c r="E1407" s="5">
        <f t="shared" si="290"/>
        <v>5.2456255739419255E-4</v>
      </c>
      <c r="G1407" s="25" t="str">
        <f>IF(VLOOKUP(A1407,Aux!B:C,2,FALSE)=0,"",VLOOKUP(A1407,Aux!B:C,2,FALSE))</f>
        <v/>
      </c>
      <c r="H1407" s="25" t="str">
        <f t="shared" si="279"/>
        <v/>
      </c>
      <c r="L1407" s="13">
        <f t="shared" si="282"/>
        <v>126015.20922906278</v>
      </c>
      <c r="M1407" s="14">
        <f t="shared" si="283"/>
        <v>1138.4437779632581</v>
      </c>
      <c r="N1407" s="14">
        <f t="shared" si="284"/>
        <v>35.434474601038957</v>
      </c>
      <c r="O1407" s="1">
        <f t="shared" si="285"/>
        <v>3.008651861738576</v>
      </c>
      <c r="P1407" s="1">
        <f t="shared" si="286"/>
        <v>1753.3139337477082</v>
      </c>
      <c r="S1407" s="6">
        <f t="shared" si="280"/>
        <v>0.46366825924970156</v>
      </c>
      <c r="T1407" s="6">
        <f t="shared" si="281"/>
        <v>0.53633174075029966</v>
      </c>
      <c r="V1407" s="1">
        <f t="shared" si="287"/>
        <v>131039.5406161758</v>
      </c>
      <c r="W1407" s="7">
        <f t="shared" si="288"/>
        <v>9.3590290295976417E-3</v>
      </c>
      <c r="X1407" s="7">
        <f t="shared" si="289"/>
        <v>7.0314902551150736E-3</v>
      </c>
      <c r="Y1407">
        <f>LN(B1407/B1406)</f>
        <v>1.9676458722935705E-2</v>
      </c>
      <c r="Z1407">
        <f>LN(C1407/C1406)</f>
        <v>5.2442502255086679E-4</v>
      </c>
    </row>
    <row r="1408" spans="1:26" x14ac:dyDescent="0.3">
      <c r="A1408" s="11">
        <v>42250</v>
      </c>
      <c r="B1408" s="12">
        <v>19788.849999999999</v>
      </c>
      <c r="C1408" s="12">
        <v>38.567779999999999</v>
      </c>
      <c r="D1408" s="16">
        <f t="shared" si="291"/>
        <v>1.8971793077489085E-2</v>
      </c>
      <c r="E1408" s="15">
        <f t="shared" si="290"/>
        <v>5.2480637550234022E-4</v>
      </c>
      <c r="G1408" s="25" t="str">
        <f>IF(VLOOKUP(A1408,Aux!B:C,2,FALSE)=0,"",VLOOKUP(A1408,Aux!B:C,2,FALSE))</f>
        <v/>
      </c>
      <c r="H1408" s="25" t="str">
        <f t="shared" si="279"/>
        <v/>
      </c>
      <c r="L1408" s="13">
        <f t="shared" si="282"/>
        <v>127159.18646188144</v>
      </c>
      <c r="M1408" s="14">
        <f t="shared" si="283"/>
        <v>1108.5076919389569</v>
      </c>
      <c r="N1408" s="14">
        <f t="shared" si="284"/>
        <v>35.469540879712582</v>
      </c>
      <c r="O1408" s="1">
        <f t="shared" si="285"/>
        <v>3.008651861738576</v>
      </c>
      <c r="P1408" s="1">
        <f t="shared" si="286"/>
        <v>1753.3139337477082</v>
      </c>
      <c r="S1408" s="6">
        <f t="shared" si="280"/>
        <v>0.46821438584787639</v>
      </c>
      <c r="T1408" s="6">
        <f t="shared" si="281"/>
        <v>0.53178561415212477</v>
      </c>
      <c r="V1408" s="1">
        <f t="shared" si="287"/>
        <v>131934.80177397226</v>
      </c>
      <c r="W1408" s="7">
        <f t="shared" si="288"/>
        <v>9.037130436340501E-3</v>
      </c>
      <c r="X1408" s="7">
        <f t="shared" si="289"/>
        <v>6.8087601877091361E-3</v>
      </c>
      <c r="Y1408">
        <f>LN(B1408/B1407)</f>
        <v>1.8794072873643892E-2</v>
      </c>
      <c r="Z1408">
        <f>LN(C1408/C1407)</f>
        <v>5.2466871279852685E-4</v>
      </c>
    </row>
    <row r="1409" spans="1:26" x14ac:dyDescent="0.3">
      <c r="A1409" s="9">
        <v>42251</v>
      </c>
      <c r="B1409" s="1">
        <v>19447.16</v>
      </c>
      <c r="C1409" s="1">
        <v>38.588009999999997</v>
      </c>
      <c r="D1409" s="6">
        <f t="shared" si="291"/>
        <v>-1.7266794179550571E-2</v>
      </c>
      <c r="E1409" s="5">
        <f t="shared" si="290"/>
        <v>5.2453109823780153E-4</v>
      </c>
      <c r="G1409" s="25" t="str">
        <f>IF(VLOOKUP(A1409,Aux!B:C,2,FALSE)=0,"",VLOOKUP(A1409,Aux!B:C,2,FALSE))</f>
        <v/>
      </c>
      <c r="H1409" s="25" t="str">
        <f t="shared" si="279"/>
        <v/>
      </c>
      <c r="L1409" s="13">
        <f t="shared" si="282"/>
        <v>126166.62974812371</v>
      </c>
      <c r="M1409" s="14">
        <f t="shared" si="283"/>
        <v>-1028.0262546374502</v>
      </c>
      <c r="N1409" s="14">
        <f t="shared" si="284"/>
        <v>35.469540879712582</v>
      </c>
      <c r="O1409" s="1">
        <f t="shared" si="285"/>
        <v>3.008651861738576</v>
      </c>
      <c r="P1409" s="1">
        <f t="shared" si="286"/>
        <v>1753.3139337477082</v>
      </c>
      <c r="S1409" s="6">
        <f t="shared" si="280"/>
        <v>0.46374967973968645</v>
      </c>
      <c r="T1409" s="6">
        <f t="shared" si="281"/>
        <v>0.53625032026031472</v>
      </c>
      <c r="V1409" s="1">
        <f t="shared" si="287"/>
        <v>131191.76818128838</v>
      </c>
      <c r="W1409" s="7">
        <f t="shared" si="288"/>
        <v>-7.8362466782372284E-3</v>
      </c>
      <c r="X1409" s="7">
        <f t="shared" si="289"/>
        <v>-5.6477425890828188E-3</v>
      </c>
      <c r="Y1409">
        <f>LN(B1409/B1408)</f>
        <v>-1.7417603790368084E-2</v>
      </c>
      <c r="Z1409">
        <f>LN(C1409/C1408)</f>
        <v>5.2439357988762507E-4</v>
      </c>
    </row>
    <row r="1410" spans="1:26" x14ac:dyDescent="0.3">
      <c r="A1410" s="11">
        <v>42255</v>
      </c>
      <c r="B1410" s="12">
        <v>19526.439999999999</v>
      </c>
      <c r="C1410" s="12">
        <v>38.608249999999998</v>
      </c>
      <c r="D1410" s="16">
        <f t="shared" si="291"/>
        <v>4.0766878042859389E-3</v>
      </c>
      <c r="E1410" s="15">
        <f t="shared" si="290"/>
        <v>5.2451525745955685E-4</v>
      </c>
      <c r="G1410" s="25" t="str">
        <f>IF(VLOOKUP(A1410,Aux!B:C,2,FALSE)=0,"",VLOOKUP(A1410,Aux!B:C,2,FALSE))</f>
        <v/>
      </c>
      <c r="H1410" s="25" t="str">
        <f t="shared" si="279"/>
        <v/>
      </c>
      <c r="L1410" s="13">
        <f t="shared" si="282"/>
        <v>126440.64274174139</v>
      </c>
      <c r="M1410" s="14">
        <f t="shared" si="283"/>
        <v>238.52591959863079</v>
      </c>
      <c r="N1410" s="14">
        <f t="shared" si="284"/>
        <v>35.487074019055626</v>
      </c>
      <c r="O1410" s="1">
        <f t="shared" si="285"/>
        <v>3.008651861738576</v>
      </c>
      <c r="P1410" s="1">
        <f t="shared" si="286"/>
        <v>1753.3139337477082</v>
      </c>
      <c r="S1410" s="6">
        <f t="shared" si="280"/>
        <v>0.46463114063032396</v>
      </c>
      <c r="T1410" s="6">
        <f t="shared" si="281"/>
        <v>0.53536885936967737</v>
      </c>
      <c r="V1410" s="1">
        <f t="shared" si="287"/>
        <v>131419.94947553857</v>
      </c>
      <c r="W1410" s="7">
        <f t="shared" si="288"/>
        <v>2.1694791158639029E-3</v>
      </c>
      <c r="X1410" s="7">
        <f t="shared" si="289"/>
        <v>1.7377849983984655E-3</v>
      </c>
      <c r="Y1410">
        <f>LN(B1410/B1409)</f>
        <v>4.0684006277452054E-3</v>
      </c>
      <c r="Z1410">
        <f>LN(C1410/C1409)</f>
        <v>5.2437774741387973E-4</v>
      </c>
    </row>
    <row r="1411" spans="1:26" x14ac:dyDescent="0.3">
      <c r="A1411" s="9">
        <v>42256</v>
      </c>
      <c r="B1411" s="1">
        <v>19466.95</v>
      </c>
      <c r="C1411" s="1">
        <v>38.628509999999999</v>
      </c>
      <c r="D1411" s="6">
        <f t="shared" si="291"/>
        <v>-3.0466383017077048E-3</v>
      </c>
      <c r="E1411" s="5">
        <f t="shared" si="290"/>
        <v>5.2475830942877444E-4</v>
      </c>
      <c r="G1411" s="25" t="str">
        <f>IF(VLOOKUP(A1411,Aux!B:C,2,FALSE)=0,"",VLOOKUP(A1411,Aux!B:C,2,FALSE))</f>
        <v/>
      </c>
      <c r="H1411" s="25" t="str">
        <f t="shared" ref="H1411:H1474" si="292">IF(ISNUMBER(G1411),1-G1411,"")</f>
        <v/>
      </c>
      <c r="L1411" s="13">
        <f t="shared" si="282"/>
        <v>126297.1801827843</v>
      </c>
      <c r="M1411" s="14">
        <f t="shared" si="283"/>
        <v>-178.98469925482175</v>
      </c>
      <c r="N1411" s="14">
        <f t="shared" si="284"/>
        <v>35.522140297729251</v>
      </c>
      <c r="O1411" s="1">
        <f t="shared" si="285"/>
        <v>3.008651861738576</v>
      </c>
      <c r="P1411" s="1">
        <f t="shared" si="286"/>
        <v>1753.3139337477082</v>
      </c>
      <c r="S1411" s="6">
        <f t="shared" ref="S1411:S1474" si="293">O1411*B1411/L1411</f>
        <v>0.46374175001458517</v>
      </c>
      <c r="T1411" s="6">
        <f t="shared" ref="T1411:T1474" si="294">P1411*C1411/L1411</f>
        <v>0.53625824998541605</v>
      </c>
      <c r="V1411" s="1">
        <f t="shared" si="287"/>
        <v>131328.02826823737</v>
      </c>
      <c r="W1411" s="7">
        <f t="shared" si="288"/>
        <v>-1.1352679445071115E-3</v>
      </c>
      <c r="X1411" s="7">
        <f t="shared" si="289"/>
        <v>-6.9969110202616324E-4</v>
      </c>
      <c r="Y1411">
        <f>LN(B1411/B1410)</f>
        <v>-3.0512887520738794E-3</v>
      </c>
      <c r="Z1411">
        <f>LN(C1411/C1410)</f>
        <v>5.2462067193595745E-4</v>
      </c>
    </row>
    <row r="1412" spans="1:26" x14ac:dyDescent="0.3">
      <c r="A1412" s="11">
        <v>42257</v>
      </c>
      <c r="B1412" s="12">
        <v>19398.09</v>
      </c>
      <c r="C1412" s="12">
        <v>38.648769999999999</v>
      </c>
      <c r="D1412" s="16">
        <f t="shared" si="291"/>
        <v>-3.5372772827793053E-3</v>
      </c>
      <c r="E1412" s="15">
        <f t="shared" si="290"/>
        <v>5.2448308257302401E-4</v>
      </c>
      <c r="G1412" s="25" t="str">
        <f>IF(VLOOKUP(A1412,Aux!B:C,2,FALSE)=0,"",VLOOKUP(A1412,Aux!B:C,2,FALSE))</f>
        <v/>
      </c>
      <c r="H1412" s="25" t="str">
        <f t="shared" si="292"/>
        <v/>
      </c>
      <c r="L1412" s="13">
        <f t="shared" ref="L1412:L1475" si="295">L1411+M1412+N1412</f>
        <v>126125.52655588271</v>
      </c>
      <c r="M1412" s="14">
        <f t="shared" ref="M1412:M1475" si="296">O1411*(B1412-B1411)</f>
        <v>-207.17576719932009</v>
      </c>
      <c r="N1412" s="14">
        <f t="shared" ref="N1412:N1475" si="297">P1411*(C1412-C1411)</f>
        <v>35.522140297729251</v>
      </c>
      <c r="O1412" s="1">
        <f t="shared" ref="O1412:O1475" si="298">IF(ISNUMBER(G1412),L1412*G1412/B1412,O1411)</f>
        <v>3.008651861738576</v>
      </c>
      <c r="P1412" s="1">
        <f t="shared" ref="P1412:P1475" si="299">IF(ISNUMBER(H1412),L1412*H1412/C1412,P1411)</f>
        <v>1753.3139337477082</v>
      </c>
      <c r="S1412" s="6">
        <f t="shared" si="293"/>
        <v>0.46273027503923908</v>
      </c>
      <c r="T1412" s="6">
        <f t="shared" si="294"/>
        <v>0.5372697249607622</v>
      </c>
      <c r="V1412" s="1">
        <f t="shared" ref="V1412:V1475" si="300">$O$2*B1412+$P$2*C1412</f>
        <v>131214.49014317183</v>
      </c>
      <c r="W1412" s="7">
        <f t="shared" ref="W1412:W1475" si="301">LN(L1412/L1411)</f>
        <v>-1.3600492251972275E-3</v>
      </c>
      <c r="X1412" s="7">
        <f t="shared" ref="X1412:X1475" si="302">LN(V1412/V1411)</f>
        <v>-8.6491234128801186E-4</v>
      </c>
      <c r="Y1412">
        <f>LN(B1412/B1411)</f>
        <v>-3.543548240511861E-3</v>
      </c>
      <c r="Z1412">
        <f>LN(C1412/C1411)</f>
        <v>5.2434558939420158E-4</v>
      </c>
    </row>
    <row r="1413" spans="1:26" x14ac:dyDescent="0.3">
      <c r="A1413" s="9">
        <v>42258</v>
      </c>
      <c r="B1413" s="1">
        <v>19365.46</v>
      </c>
      <c r="C1413" s="1">
        <v>38.669049999999999</v>
      </c>
      <c r="D1413" s="6">
        <f t="shared" si="291"/>
        <v>-1.6821243741007574E-3</v>
      </c>
      <c r="E1413" s="5">
        <f t="shared" ref="E1413:E1476" si="303">C1413/C1412-1</f>
        <v>5.2472562516214794E-4</v>
      </c>
      <c r="G1413" s="25" t="str">
        <f>IF(VLOOKUP(A1413,Aux!B:C,2,FALSE)=0,"",VLOOKUP(A1413,Aux!B:C,2,FALSE))</f>
        <v/>
      </c>
      <c r="H1413" s="25" t="str">
        <f t="shared" si="292"/>
        <v/>
      </c>
      <c r="L1413" s="13">
        <f t="shared" si="295"/>
        <v>126062.91145221058</v>
      </c>
      <c r="M1413" s="14">
        <f t="shared" si="296"/>
        <v>-98.172310248532796</v>
      </c>
      <c r="N1413" s="14">
        <f t="shared" si="297"/>
        <v>35.557206576402876</v>
      </c>
      <c r="O1413" s="1">
        <f t="shared" si="298"/>
        <v>3.008651861738576</v>
      </c>
      <c r="P1413" s="1">
        <f t="shared" si="299"/>
        <v>1753.3139337477082</v>
      </c>
      <c r="S1413" s="6">
        <f t="shared" si="293"/>
        <v>0.46218135541404898</v>
      </c>
      <c r="T1413" s="6">
        <f t="shared" si="294"/>
        <v>0.53781864458595219</v>
      </c>
      <c r="V1413" s="1">
        <f t="shared" si="300"/>
        <v>131184.5806380877</v>
      </c>
      <c r="W1413" s="7">
        <f t="shared" si="301"/>
        <v>-4.9657395440775697E-4</v>
      </c>
      <c r="X1413" s="7">
        <f t="shared" si="302"/>
        <v>-2.2796959703106097E-4</v>
      </c>
      <c r="Y1413">
        <f>LN(B1413/B1412)</f>
        <v>-1.6835407338574226E-3</v>
      </c>
      <c r="Z1413">
        <f>LN(C1413/C1412)</f>
        <v>5.2458800481114236E-4</v>
      </c>
    </row>
    <row r="1414" spans="1:26" x14ac:dyDescent="0.3">
      <c r="A1414" s="11">
        <v>42261</v>
      </c>
      <c r="B1414" s="12">
        <v>19722.64</v>
      </c>
      <c r="C1414" s="12">
        <v>38.689329999999998</v>
      </c>
      <c r="D1414" s="16">
        <f t="shared" si="291"/>
        <v>1.8444178449672721E-2</v>
      </c>
      <c r="E1414" s="15">
        <f t="shared" si="303"/>
        <v>5.2445043258098067E-4</v>
      </c>
      <c r="G1414" s="25" t="str">
        <f>IF(VLOOKUP(A1414,Aux!B:C,2,FALSE)=0,"",VLOOKUP(A1414,Aux!B:C,2,FALSE))</f>
        <v/>
      </c>
      <c r="H1414" s="25" t="str">
        <f t="shared" si="292"/>
        <v/>
      </c>
      <c r="L1414" s="13">
        <f t="shared" si="295"/>
        <v>127173.09893076276</v>
      </c>
      <c r="M1414" s="14">
        <f t="shared" si="296"/>
        <v>1074.6302719757855</v>
      </c>
      <c r="N1414" s="14">
        <f t="shared" si="297"/>
        <v>35.557206576402876</v>
      </c>
      <c r="O1414" s="1">
        <f t="shared" si="298"/>
        <v>3.008651861738576</v>
      </c>
      <c r="P1414" s="1">
        <f t="shared" si="299"/>
        <v>1753.3139337477082</v>
      </c>
      <c r="S1414" s="6">
        <f t="shared" si="293"/>
        <v>0.46659677284977996</v>
      </c>
      <c r="T1414" s="6">
        <f t="shared" si="294"/>
        <v>0.53340322715022137</v>
      </c>
      <c r="V1414" s="1">
        <f t="shared" si="300"/>
        <v>132053.97643863034</v>
      </c>
      <c r="W1414" s="7">
        <f t="shared" si="301"/>
        <v>8.7680625623930905E-3</v>
      </c>
      <c r="X1414" s="7">
        <f t="shared" si="302"/>
        <v>6.6054074393605989E-3</v>
      </c>
      <c r="Y1414">
        <f>LN(B1414/B1413)</f>
        <v>1.827614757318095E-2</v>
      </c>
      <c r="Z1414">
        <f>LN(C1414/C1413)</f>
        <v>5.2431295651701748E-4</v>
      </c>
    </row>
    <row r="1415" spans="1:26" x14ac:dyDescent="0.3">
      <c r="A1415" s="9">
        <v>42262</v>
      </c>
      <c r="B1415" s="1">
        <v>19773.79</v>
      </c>
      <c r="C1415" s="1">
        <v>38.709629999999997</v>
      </c>
      <c r="D1415" s="6">
        <f t="shared" si="291"/>
        <v>2.5934661891107158E-3</v>
      </c>
      <c r="E1415" s="5">
        <f t="shared" si="303"/>
        <v>5.2469246688935378E-4</v>
      </c>
      <c r="G1415" s="25" t="str">
        <f>IF(VLOOKUP(A1415,Aux!B:C,2,FALSE)=0,"",VLOOKUP(A1415,Aux!B:C,2,FALSE))</f>
        <v/>
      </c>
      <c r="H1415" s="25" t="str">
        <f t="shared" si="292"/>
        <v/>
      </c>
      <c r="L1415" s="13">
        <f t="shared" si="295"/>
        <v>127362.58374634577</v>
      </c>
      <c r="M1415" s="14">
        <f t="shared" si="296"/>
        <v>153.89254272793255</v>
      </c>
      <c r="N1415" s="14">
        <f t="shared" si="297"/>
        <v>35.592272855076502</v>
      </c>
      <c r="O1415" s="1">
        <f t="shared" si="298"/>
        <v>3.008651861738576</v>
      </c>
      <c r="P1415" s="1">
        <f t="shared" si="299"/>
        <v>1753.3139337477082</v>
      </c>
      <c r="S1415" s="6">
        <f t="shared" si="293"/>
        <v>0.46711089196818034</v>
      </c>
      <c r="T1415" s="6">
        <f t="shared" si="294"/>
        <v>0.53288910803182088</v>
      </c>
      <c r="V1415" s="1">
        <f t="shared" si="300"/>
        <v>132217.39506683551</v>
      </c>
      <c r="W1415" s="7">
        <f t="shared" si="301"/>
        <v>1.4888666971407023E-3</v>
      </c>
      <c r="X1415" s="7">
        <f t="shared" si="302"/>
        <v>1.2367487867032392E-3</v>
      </c>
      <c r="Y1415">
        <f>LN(B1415/B1414)</f>
        <v>2.5901089589961145E-3</v>
      </c>
      <c r="Z1415">
        <f>LN(C1415/C1414)</f>
        <v>5.2455486392766952E-4</v>
      </c>
    </row>
    <row r="1416" spans="1:26" x14ac:dyDescent="0.3">
      <c r="A1416" s="11">
        <v>42263</v>
      </c>
      <c r="B1416" s="12">
        <v>20242.77</v>
      </c>
      <c r="C1416" s="12">
        <v>38.729939999999999</v>
      </c>
      <c r="D1416" s="16">
        <f t="shared" si="291"/>
        <v>2.3717254001382582E-2</v>
      </c>
      <c r="E1416" s="15">
        <f t="shared" si="303"/>
        <v>5.2467564272773437E-4</v>
      </c>
      <c r="G1416" s="25" t="str">
        <f>IF(VLOOKUP(A1416,Aux!B:C,2,FALSE)=0,"",VLOOKUP(A1416,Aux!B:C,2,FALSE))</f>
        <v/>
      </c>
      <c r="H1416" s="25" t="str">
        <f t="shared" si="292"/>
        <v/>
      </c>
      <c r="L1416" s="13">
        <f t="shared" si="295"/>
        <v>128809.19110245835</v>
      </c>
      <c r="M1416" s="14">
        <f t="shared" si="296"/>
        <v>1410.9975501181561</v>
      </c>
      <c r="N1416" s="14">
        <f t="shared" si="297"/>
        <v>35.609805994419546</v>
      </c>
      <c r="O1416" s="1">
        <f t="shared" si="298"/>
        <v>3.008651861738576</v>
      </c>
      <c r="P1416" s="1">
        <f t="shared" si="299"/>
        <v>1753.3139337477082</v>
      </c>
      <c r="S1416" s="6">
        <f t="shared" si="293"/>
        <v>0.47281911427268825</v>
      </c>
      <c r="T1416" s="6">
        <f t="shared" si="294"/>
        <v>0.52718088572731292</v>
      </c>
      <c r="V1416" s="1">
        <f t="shared" si="300"/>
        <v>133344.78449213694</v>
      </c>
      <c r="W1416" s="7">
        <f t="shared" si="301"/>
        <v>1.1294161772035018E-2</v>
      </c>
      <c r="X1416" s="7">
        <f t="shared" si="302"/>
        <v>8.4906382380628004E-3</v>
      </c>
      <c r="Y1416">
        <f>LN(B1416/B1415)</f>
        <v>2.3440369350132956E-2</v>
      </c>
      <c r="Z1416">
        <f>LN(C1416/C1415)</f>
        <v>5.2453804858879028E-4</v>
      </c>
    </row>
    <row r="1417" spans="1:26" x14ac:dyDescent="0.3">
      <c r="A1417" s="9">
        <v>42264</v>
      </c>
      <c r="B1417" s="1">
        <v>20257.14</v>
      </c>
      <c r="C1417" s="1">
        <v>38.750259999999997</v>
      </c>
      <c r="D1417" s="6">
        <f t="shared" si="291"/>
        <v>7.0988308418251655E-4</v>
      </c>
      <c r="E1417" s="5">
        <f t="shared" si="303"/>
        <v>5.24658700736369E-4</v>
      </c>
      <c r="G1417" s="25" t="str">
        <f>IF(VLOOKUP(A1417,Aux!B:C,2,FALSE)=0,"",VLOOKUP(A1417,Aux!B:C,2,FALSE))</f>
        <v/>
      </c>
      <c r="H1417" s="25" t="str">
        <f t="shared" si="292"/>
        <v/>
      </c>
      <c r="L1417" s="13">
        <f t="shared" si="295"/>
        <v>128888.05276884529</v>
      </c>
      <c r="M1417" s="14">
        <f t="shared" si="296"/>
        <v>43.234327253180275</v>
      </c>
      <c r="N1417" s="14">
        <f t="shared" si="297"/>
        <v>35.627339133750134</v>
      </c>
      <c r="O1417" s="1">
        <f t="shared" si="298"/>
        <v>3.008651861738576</v>
      </c>
      <c r="P1417" s="1">
        <f t="shared" si="299"/>
        <v>1753.3139337477082</v>
      </c>
      <c r="S1417" s="6">
        <f t="shared" si="293"/>
        <v>0.47286525527547546</v>
      </c>
      <c r="T1417" s="6">
        <f t="shared" si="294"/>
        <v>0.52713474472452582</v>
      </c>
      <c r="V1417" s="1">
        <f t="shared" si="300"/>
        <v>133423.39511642008</v>
      </c>
      <c r="W1417" s="7">
        <f t="shared" si="301"/>
        <v>6.1204898945797347E-4</v>
      </c>
      <c r="X1417" s="7">
        <f t="shared" si="302"/>
        <v>5.8935534720738281E-4</v>
      </c>
      <c r="Y1417">
        <f>LN(B1417/B1416)</f>
        <v>7.0963123636720007E-4</v>
      </c>
      <c r="Z1417">
        <f>LN(C1417/C1416)</f>
        <v>5.2452111548167036E-4</v>
      </c>
    </row>
    <row r="1418" spans="1:26" x14ac:dyDescent="0.3">
      <c r="A1418" s="11">
        <v>42265</v>
      </c>
      <c r="B1418" s="12">
        <v>19745.61</v>
      </c>
      <c r="C1418" s="12">
        <v>38.770589999999999</v>
      </c>
      <c r="D1418" s="16">
        <f t="shared" si="291"/>
        <v>-2.5251837130019328E-2</v>
      </c>
      <c r="E1418" s="15">
        <f t="shared" si="303"/>
        <v>5.2464164111420963E-4</v>
      </c>
      <c r="G1418" s="25" t="str">
        <f>IF(VLOOKUP(A1418,Aux!B:C,2,FALSE)=0,"",VLOOKUP(A1418,Aux!B:C,2,FALSE))</f>
        <v/>
      </c>
      <c r="H1418" s="25" t="str">
        <f t="shared" si="292"/>
        <v/>
      </c>
      <c r="L1418" s="13">
        <f t="shared" si="295"/>
        <v>127384.68195428325</v>
      </c>
      <c r="M1418" s="14">
        <f t="shared" si="296"/>
        <v>-1539.0156868351303</v>
      </c>
      <c r="N1418" s="14">
        <f t="shared" si="297"/>
        <v>35.644872273093171</v>
      </c>
      <c r="O1418" s="1">
        <f t="shared" si="298"/>
        <v>3.008651861738576</v>
      </c>
      <c r="P1418" s="1">
        <f t="shared" si="299"/>
        <v>1753.3139337477082</v>
      </c>
      <c r="S1418" s="6">
        <f t="shared" si="293"/>
        <v>0.46636428631964166</v>
      </c>
      <c r="T1418" s="6">
        <f t="shared" si="294"/>
        <v>0.53363571368035945</v>
      </c>
      <c r="V1418" s="1">
        <f t="shared" si="300"/>
        <v>132288.75841594738</v>
      </c>
      <c r="W1418" s="7">
        <f t="shared" si="301"/>
        <v>-1.1732719533375985E-2</v>
      </c>
      <c r="X1418" s="7">
        <f t="shared" si="302"/>
        <v>-8.5403966805950061E-3</v>
      </c>
      <c r="Y1418">
        <f>LN(B1418/B1417)</f>
        <v>-2.5576135840385015E-2</v>
      </c>
      <c r="Z1418">
        <f>LN(C1418/C1417)</f>
        <v>5.2450406480515134E-4</v>
      </c>
    </row>
    <row r="1419" spans="1:26" x14ac:dyDescent="0.3">
      <c r="A1419" s="9">
        <v>42268</v>
      </c>
      <c r="B1419" s="1">
        <v>19468.86</v>
      </c>
      <c r="C1419" s="1">
        <v>38.790930000000003</v>
      </c>
      <c r="D1419" s="6">
        <f t="shared" si="291"/>
        <v>-1.401577363272144E-2</v>
      </c>
      <c r="E1419" s="5">
        <f t="shared" si="303"/>
        <v>5.2462446405909802E-4</v>
      </c>
      <c r="G1419" s="25" t="str">
        <f>IF(VLOOKUP(A1419,Aux!B:C,2,FALSE)=0,"",VLOOKUP(A1419,Aux!B:C,2,FALSE))</f>
        <v/>
      </c>
      <c r="H1419" s="25" t="str">
        <f t="shared" si="292"/>
        <v/>
      </c>
      <c r="L1419" s="13">
        <f t="shared" si="295"/>
        <v>126587.69995695954</v>
      </c>
      <c r="M1419" s="14">
        <f t="shared" si="296"/>
        <v>-832.64440273615094</v>
      </c>
      <c r="N1419" s="14">
        <f t="shared" si="297"/>
        <v>35.662405412436215</v>
      </c>
      <c r="O1419" s="1">
        <f t="shared" si="298"/>
        <v>3.008651861738576</v>
      </c>
      <c r="P1419" s="1">
        <f t="shared" si="299"/>
        <v>1753.3139337477082</v>
      </c>
      <c r="S1419" s="6">
        <f t="shared" si="293"/>
        <v>0.4627228546283999</v>
      </c>
      <c r="T1419" s="6">
        <f t="shared" si="294"/>
        <v>0.53727714537160132</v>
      </c>
      <c r="V1419" s="1">
        <f t="shared" si="300"/>
        <v>131695.78975944765</v>
      </c>
      <c r="W1419" s="7">
        <f t="shared" si="301"/>
        <v>-6.2761518195262357E-3</v>
      </c>
      <c r="X1419" s="7">
        <f t="shared" si="302"/>
        <v>-4.4924572887379173E-3</v>
      </c>
      <c r="Y1419">
        <f>LN(B1419/B1418)</f>
        <v>-1.4114922106573554E-2</v>
      </c>
      <c r="Z1419">
        <f>LN(C1419/C1418)</f>
        <v>5.2448689675696524E-4</v>
      </c>
    </row>
    <row r="1420" spans="1:26" x14ac:dyDescent="0.3">
      <c r="A1420" s="11">
        <v>42269</v>
      </c>
      <c r="B1420" s="12">
        <v>19351.64</v>
      </c>
      <c r="C1420" s="12">
        <v>38.811279999999996</v>
      </c>
      <c r="D1420" s="16">
        <f t="shared" si="291"/>
        <v>-6.0208969605822782E-3</v>
      </c>
      <c r="E1420" s="15">
        <f t="shared" si="303"/>
        <v>5.2460716976865385E-4</v>
      </c>
      <c r="G1420" s="25" t="str">
        <f>IF(VLOOKUP(A1420,Aux!B:C,2,FALSE)=0,"",VLOOKUP(A1420,Aux!B:C,2,FALSE))</f>
        <v/>
      </c>
      <c r="H1420" s="25" t="str">
        <f t="shared" si="292"/>
        <v/>
      </c>
      <c r="L1420" s="13">
        <f t="shared" si="295"/>
        <v>126270.70572427829</v>
      </c>
      <c r="M1420" s="14">
        <f t="shared" si="296"/>
        <v>-352.67417123299936</v>
      </c>
      <c r="N1420" s="14">
        <f t="shared" si="297"/>
        <v>35.67993855175434</v>
      </c>
      <c r="O1420" s="1">
        <f t="shared" si="298"/>
        <v>3.008651861738576</v>
      </c>
      <c r="P1420" s="1">
        <f t="shared" si="299"/>
        <v>1753.3139337477082</v>
      </c>
      <c r="S1420" s="6">
        <f t="shared" si="293"/>
        <v>0.46109148895411761</v>
      </c>
      <c r="T1420" s="6">
        <f t="shared" si="294"/>
        <v>0.53890851104588366</v>
      </c>
      <c r="V1420" s="1">
        <f t="shared" si="300"/>
        <v>131470.88476466178</v>
      </c>
      <c r="W1420" s="7">
        <f t="shared" si="301"/>
        <v>-2.5072878071215367E-3</v>
      </c>
      <c r="X1420" s="7">
        <f t="shared" si="302"/>
        <v>-1.7092213514222382E-3</v>
      </c>
      <c r="Y1420">
        <f>LN(B1420/B1419)</f>
        <v>-6.039095645728805E-3</v>
      </c>
      <c r="Z1420">
        <f>LN(C1420/C1419)</f>
        <v>5.2446961153462216E-4</v>
      </c>
    </row>
    <row r="1421" spans="1:26" x14ac:dyDescent="0.3">
      <c r="A1421" s="9">
        <v>42270</v>
      </c>
      <c r="B1421" s="1">
        <v>18992.07</v>
      </c>
      <c r="C1421" s="1">
        <v>38.83164</v>
      </c>
      <c r="D1421" s="6">
        <f t="shared" si="291"/>
        <v>-1.8580854129159108E-2</v>
      </c>
      <c r="E1421" s="5">
        <f t="shared" si="303"/>
        <v>5.24589758441385E-4</v>
      </c>
      <c r="G1421" s="25" t="str">
        <f>IF(VLOOKUP(A1421,Aux!B:C,2,FALSE)=0,"",VLOOKUP(A1421,Aux!B:C,2,FALSE))</f>
        <v/>
      </c>
      <c r="H1421" s="25" t="str">
        <f t="shared" si="292"/>
        <v/>
      </c>
      <c r="L1421" s="13">
        <f t="shared" si="295"/>
        <v>125224.58224604405</v>
      </c>
      <c r="M1421" s="14">
        <f t="shared" si="296"/>
        <v>-1081.8209499253389</v>
      </c>
      <c r="N1421" s="14">
        <f t="shared" si="297"/>
        <v>35.69747169110984</v>
      </c>
      <c r="O1421" s="1">
        <f t="shared" si="298"/>
        <v>3.008651861738576</v>
      </c>
      <c r="P1421" s="1">
        <f t="shared" si="299"/>
        <v>1753.3139337477082</v>
      </c>
      <c r="S1421" s="6">
        <f t="shared" si="293"/>
        <v>0.4563043911897296</v>
      </c>
      <c r="T1421" s="6">
        <f t="shared" si="294"/>
        <v>0.54369560881027157</v>
      </c>
      <c r="V1421" s="1">
        <f t="shared" si="300"/>
        <v>130686.89221375219</v>
      </c>
      <c r="W1421" s="7">
        <f t="shared" si="301"/>
        <v>-8.3192772335397482E-3</v>
      </c>
      <c r="X1421" s="7">
        <f t="shared" si="302"/>
        <v>-5.9810919753871599E-3</v>
      </c>
      <c r="Y1421">
        <f>LN(B1421/B1420)</f>
        <v>-1.8755646783346996E-2</v>
      </c>
      <c r="Z1421">
        <f>LN(C1421/C1420)</f>
        <v>5.244522093365197E-4</v>
      </c>
    </row>
    <row r="1422" spans="1:26" x14ac:dyDescent="0.3">
      <c r="A1422" s="11">
        <v>42271</v>
      </c>
      <c r="B1422" s="12">
        <v>18969.96</v>
      </c>
      <c r="C1422" s="12">
        <v>38.85201</v>
      </c>
      <c r="D1422" s="16">
        <f t="shared" si="291"/>
        <v>-1.1641700983621162E-3</v>
      </c>
      <c r="E1422" s="15">
        <f t="shared" si="303"/>
        <v>5.24572230274023E-4</v>
      </c>
      <c r="G1422" s="25" t="str">
        <f>IF(VLOOKUP(A1422,Aux!B:C,2,FALSE)=0,"",VLOOKUP(A1422,Aux!B:C,2,FALSE))</f>
        <v/>
      </c>
      <c r="H1422" s="25" t="str">
        <f t="shared" si="292"/>
        <v/>
      </c>
      <c r="L1422" s="13">
        <f t="shared" si="295"/>
        <v>125193.77595821145</v>
      </c>
      <c r="M1422" s="14">
        <f t="shared" si="296"/>
        <v>-66.521292663041663</v>
      </c>
      <c r="N1422" s="14">
        <f t="shared" si="297"/>
        <v>35.715004830440428</v>
      </c>
      <c r="O1422" s="1">
        <f t="shared" si="298"/>
        <v>3.008651861738576</v>
      </c>
      <c r="P1422" s="1">
        <f t="shared" si="299"/>
        <v>1753.3139337477082</v>
      </c>
      <c r="S1422" s="6">
        <f t="shared" si="293"/>
        <v>0.45588532684050603</v>
      </c>
      <c r="T1422" s="6">
        <f t="shared" si="294"/>
        <v>0.54411467315949524</v>
      </c>
      <c r="V1422" s="1">
        <f t="shared" si="300"/>
        <v>130681.45405858116</v>
      </c>
      <c r="W1422" s="7">
        <f t="shared" si="301"/>
        <v>-2.4603857487864238E-4</v>
      </c>
      <c r="X1422" s="7">
        <f t="shared" si="302"/>
        <v>-4.1612959253620737E-5</v>
      </c>
      <c r="Y1422">
        <f>LN(B1422/B1421)</f>
        <v>-1.1648482707608558E-3</v>
      </c>
      <c r="Z1422">
        <f>LN(C1422/C1421)</f>
        <v>5.2443469035928011E-4</v>
      </c>
    </row>
    <row r="1423" spans="1:26" x14ac:dyDescent="0.3">
      <c r="A1423" s="9">
        <v>42272</v>
      </c>
      <c r="B1423" s="1">
        <v>18801.349999999999</v>
      </c>
      <c r="C1423" s="1">
        <v>38.872390000000003</v>
      </c>
      <c r="D1423" s="6">
        <f t="shared" si="291"/>
        <v>-8.8882633384572696E-3</v>
      </c>
      <c r="E1423" s="5">
        <f t="shared" si="303"/>
        <v>5.2455458546418754E-4</v>
      </c>
      <c r="G1423" s="25" t="str">
        <f>IF(VLOOKUP(A1423,Aux!B:C,2,FALSE)=0,"",VLOOKUP(A1423,Aux!B:C,2,FALSE))</f>
        <v/>
      </c>
      <c r="H1423" s="25" t="str">
        <f t="shared" si="292"/>
        <v/>
      </c>
      <c r="L1423" s="13">
        <f t="shared" si="295"/>
        <v>124722.2197057735</v>
      </c>
      <c r="M1423" s="14">
        <f t="shared" si="296"/>
        <v>-507.28879040774308</v>
      </c>
      <c r="N1423" s="14">
        <f t="shared" si="297"/>
        <v>35.732537969783465</v>
      </c>
      <c r="O1423" s="1">
        <f t="shared" si="298"/>
        <v>3.008651861738576</v>
      </c>
      <c r="P1423" s="1">
        <f t="shared" si="299"/>
        <v>1753.3139337477082</v>
      </c>
      <c r="S1423" s="6">
        <f t="shared" si="293"/>
        <v>0.45354161282682853</v>
      </c>
      <c r="T1423" s="6">
        <f t="shared" si="294"/>
        <v>0.54645838717317274</v>
      </c>
      <c r="V1423" s="1">
        <f t="shared" si="300"/>
        <v>130338.05765013734</v>
      </c>
      <c r="W1423" s="7">
        <f t="shared" si="301"/>
        <v>-3.7737225326744664E-3</v>
      </c>
      <c r="X1423" s="7">
        <f t="shared" si="302"/>
        <v>-2.6311949195848856E-3</v>
      </c>
      <c r="Y1423">
        <f>LN(B1423/B1422)</f>
        <v>-8.9279995837511627E-3</v>
      </c>
      <c r="Z1423">
        <f>LN(C1423/C1422)</f>
        <v>5.2441705480041356E-4</v>
      </c>
    </row>
    <row r="1424" spans="1:26" x14ac:dyDescent="0.3">
      <c r="A1424" s="11">
        <v>42275</v>
      </c>
      <c r="B1424" s="12">
        <v>18471.330000000002</v>
      </c>
      <c r="C1424" s="12">
        <v>38.892780000000002</v>
      </c>
      <c r="D1424" s="16">
        <f t="shared" si="291"/>
        <v>-1.7552994864730276E-2</v>
      </c>
      <c r="E1424" s="15">
        <f t="shared" si="303"/>
        <v>5.2453682420861014E-4</v>
      </c>
      <c r="G1424" s="25" t="str">
        <f>IF(VLOOKUP(A1424,Aux!B:C,2,FALSE)=0,"",VLOOKUP(A1424,Aux!B:C,2,FALSE))</f>
        <v/>
      </c>
      <c r="H1424" s="25" t="str">
        <f t="shared" si="292"/>
        <v/>
      </c>
      <c r="L1424" s="13">
        <f t="shared" si="295"/>
        <v>123765.05448947166</v>
      </c>
      <c r="M1424" s="14">
        <f t="shared" si="296"/>
        <v>-992.91528741095522</v>
      </c>
      <c r="N1424" s="14">
        <f t="shared" si="297"/>
        <v>35.750071109114053</v>
      </c>
      <c r="O1424" s="1">
        <f t="shared" si="298"/>
        <v>3.008651861738576</v>
      </c>
      <c r="P1424" s="1">
        <f t="shared" si="299"/>
        <v>1753.3139337477082</v>
      </c>
      <c r="S1424" s="6">
        <f t="shared" si="293"/>
        <v>0.44902659819872764</v>
      </c>
      <c r="T1424" s="6">
        <f t="shared" si="294"/>
        <v>0.55097340180127363</v>
      </c>
      <c r="V1424" s="1">
        <f t="shared" si="300"/>
        <v>129622.30509686613</v>
      </c>
      <c r="W1424" s="7">
        <f t="shared" si="301"/>
        <v>-7.7039756138468363E-3</v>
      </c>
      <c r="X1424" s="7">
        <f t="shared" si="302"/>
        <v>-5.5066422770032658E-3</v>
      </c>
      <c r="Y1424">
        <f>LN(B1424/B1423)</f>
        <v>-1.7708875487088393E-2</v>
      </c>
      <c r="Z1424">
        <f>LN(C1424/C1423)</f>
        <v>5.2439930285654208E-4</v>
      </c>
    </row>
    <row r="1425" spans="1:26" x14ac:dyDescent="0.3">
      <c r="A1425" s="9">
        <v>42276</v>
      </c>
      <c r="B1425" s="1">
        <v>18546.310000000001</v>
      </c>
      <c r="C1425" s="1">
        <v>38.91319</v>
      </c>
      <c r="D1425" s="6">
        <f t="shared" si="291"/>
        <v>4.0592637346634763E-3</v>
      </c>
      <c r="E1425" s="5">
        <f t="shared" si="303"/>
        <v>5.2477606383494191E-4</v>
      </c>
      <c r="G1425" s="25" t="str">
        <f>IF(VLOOKUP(A1425,Aux!B:C,2,FALSE)=0,"",VLOOKUP(A1425,Aux!B:C,2,FALSE))</f>
        <v/>
      </c>
      <c r="H1425" s="25" t="str">
        <f t="shared" si="292"/>
        <v/>
      </c>
      <c r="L1425" s="13">
        <f t="shared" si="295"/>
        <v>124026.42834345262</v>
      </c>
      <c r="M1425" s="14">
        <f t="shared" si="296"/>
        <v>225.58871659315713</v>
      </c>
      <c r="N1425" s="14">
        <f t="shared" si="297"/>
        <v>35.785137387787678</v>
      </c>
      <c r="O1425" s="1">
        <f t="shared" si="298"/>
        <v>3.008651861738576</v>
      </c>
      <c r="P1425" s="1">
        <f t="shared" si="299"/>
        <v>1753.3139337477082</v>
      </c>
      <c r="S1425" s="6">
        <f t="shared" si="293"/>
        <v>0.44989919370540704</v>
      </c>
      <c r="T1425" s="6">
        <f t="shared" si="294"/>
        <v>0.55010080629459401</v>
      </c>
      <c r="V1425" s="1">
        <f t="shared" si="300"/>
        <v>129840.94645321992</v>
      </c>
      <c r="W1425" s="7">
        <f t="shared" si="301"/>
        <v>2.1096282078015218E-3</v>
      </c>
      <c r="X1425" s="7">
        <f t="shared" si="302"/>
        <v>1.6853362223685129E-3</v>
      </c>
      <c r="Y1425">
        <f>LN(B1425/B1424)</f>
        <v>4.0510471516426077E-3</v>
      </c>
      <c r="Z1425">
        <f>LN(C1425/C1424)</f>
        <v>5.2463841703008181E-4</v>
      </c>
    </row>
    <row r="1426" spans="1:26" x14ac:dyDescent="0.3">
      <c r="A1426" s="11">
        <v>42277</v>
      </c>
      <c r="B1426" s="12">
        <v>18910</v>
      </c>
      <c r="C1426" s="12">
        <v>38.933599999999998</v>
      </c>
      <c r="D1426" s="16">
        <f t="shared" si="291"/>
        <v>1.9609830742611356E-2</v>
      </c>
      <c r="E1426" s="15">
        <f t="shared" si="303"/>
        <v>5.2450081836008522E-4</v>
      </c>
      <c r="G1426" s="25" t="str">
        <f>IF(VLOOKUP(A1426,Aux!B:C,2,FALSE)=0,"",VLOOKUP(A1426,Aux!B:C,2,FALSE))</f>
        <v/>
      </c>
      <c r="H1426" s="25" t="str">
        <f t="shared" si="292"/>
        <v/>
      </c>
      <c r="L1426" s="13">
        <f t="shared" si="295"/>
        <v>125156.43007643611</v>
      </c>
      <c r="M1426" s="14">
        <f t="shared" si="296"/>
        <v>1094.2165955956987</v>
      </c>
      <c r="N1426" s="14">
        <f t="shared" si="297"/>
        <v>35.785137387787678</v>
      </c>
      <c r="O1426" s="1">
        <f t="shared" si="298"/>
        <v>3.008651861738576</v>
      </c>
      <c r="P1426" s="1">
        <f t="shared" si="299"/>
        <v>1753.3139337477082</v>
      </c>
      <c r="S1426" s="6">
        <f t="shared" si="293"/>
        <v>0.45457997380342463</v>
      </c>
      <c r="T1426" s="6">
        <f t="shared" si="294"/>
        <v>0.54542002619657648</v>
      </c>
      <c r="V1426" s="1">
        <f t="shared" si="300"/>
        <v>130725.65187870356</v>
      </c>
      <c r="W1426" s="7">
        <f t="shared" si="301"/>
        <v>9.0697208169524136E-3</v>
      </c>
      <c r="X1426" s="7">
        <f t="shared" si="302"/>
        <v>6.7906541425129217E-3</v>
      </c>
      <c r="Y1426">
        <f>LN(B1426/B1425)</f>
        <v>1.9420035237378064E-2</v>
      </c>
      <c r="Z1426">
        <f>LN(C1426/C1425)</f>
        <v>5.2436331588386162E-4</v>
      </c>
    </row>
    <row r="1427" spans="1:26" x14ac:dyDescent="0.3">
      <c r="A1427" s="9">
        <v>42278</v>
      </c>
      <c r="B1427" s="1">
        <v>19014.13</v>
      </c>
      <c r="C1427" s="1">
        <v>38.954030000000003</v>
      </c>
      <c r="D1427" s="6">
        <f t="shared" si="291"/>
        <v>5.5066102591221355E-3</v>
      </c>
      <c r="E1427" s="5">
        <f t="shared" si="303"/>
        <v>5.2473955657839078E-4</v>
      </c>
      <c r="G1427" s="25" t="str">
        <f>IF(VLOOKUP(A1427,Aux!B:C,2,FALSE)=0,"",VLOOKUP(A1427,Aux!B:C,2,FALSE))</f>
        <v/>
      </c>
      <c r="H1427" s="25" t="str">
        <f t="shared" si="292"/>
        <v/>
      </c>
      <c r="L1427" s="13">
        <f t="shared" si="295"/>
        <v>125505.54119846542</v>
      </c>
      <c r="M1427" s="14">
        <f t="shared" si="296"/>
        <v>313.29091836284101</v>
      </c>
      <c r="N1427" s="14">
        <f t="shared" si="297"/>
        <v>35.820203666473766</v>
      </c>
      <c r="O1427" s="1">
        <f t="shared" si="298"/>
        <v>3.008651861738576</v>
      </c>
      <c r="P1427" s="1">
        <f t="shared" si="299"/>
        <v>1753.3139337477082</v>
      </c>
      <c r="S1427" s="6">
        <f t="shared" si="293"/>
        <v>0.45581172813219817</v>
      </c>
      <c r="T1427" s="6">
        <f t="shared" si="294"/>
        <v>0.54418827186780294</v>
      </c>
      <c r="V1427" s="1">
        <f t="shared" si="300"/>
        <v>131011.58804737907</v>
      </c>
      <c r="W1427" s="7">
        <f t="shared" si="301"/>
        <v>2.7855150582741361E-3</v>
      </c>
      <c r="X1427" s="7">
        <f t="shared" si="302"/>
        <v>2.1849109626683252E-3</v>
      </c>
      <c r="Y1427">
        <f>LN(B1427/B1426)</f>
        <v>5.4915043105239108E-3</v>
      </c>
      <c r="Z1427">
        <f>LN(C1427/C1426)</f>
        <v>5.2460192892095098E-4</v>
      </c>
    </row>
    <row r="1428" spans="1:26" x14ac:dyDescent="0.3">
      <c r="A1428" s="11">
        <v>42279</v>
      </c>
      <c r="B1428" s="12">
        <v>19695.16</v>
      </c>
      <c r="C1428" s="12">
        <v>38.974460000000001</v>
      </c>
      <c r="D1428" s="16">
        <f t="shared" si="291"/>
        <v>3.5817047637730415E-2</v>
      </c>
      <c r="E1428" s="15">
        <f t="shared" si="303"/>
        <v>5.2446434938824282E-4</v>
      </c>
      <c r="G1428" s="25" t="str">
        <f>IF(VLOOKUP(A1428,Aux!B:C,2,FALSE)=0,"",VLOOKUP(A1428,Aux!B:C,2,FALSE))</f>
        <v/>
      </c>
      <c r="H1428" s="25" t="str">
        <f t="shared" si="292"/>
        <v/>
      </c>
      <c r="L1428" s="13">
        <f t="shared" si="295"/>
        <v>127590.34357953169</v>
      </c>
      <c r="M1428" s="14">
        <f t="shared" si="296"/>
        <v>2048.9821773998187</v>
      </c>
      <c r="N1428" s="14">
        <f t="shared" si="297"/>
        <v>35.820203666461303</v>
      </c>
      <c r="O1428" s="1">
        <f t="shared" si="298"/>
        <v>3.008651861738576</v>
      </c>
      <c r="P1428" s="1">
        <f t="shared" si="299"/>
        <v>1753.3139337477082</v>
      </c>
      <c r="S1428" s="6">
        <f t="shared" si="293"/>
        <v>0.46442291899859017</v>
      </c>
      <c r="T1428" s="6">
        <f t="shared" si="294"/>
        <v>0.53557708100141099</v>
      </c>
      <c r="V1428" s="1">
        <f t="shared" si="300"/>
        <v>132628.45269612456</v>
      </c>
      <c r="W1428" s="7">
        <f t="shared" si="301"/>
        <v>1.64747801976779E-2</v>
      </c>
      <c r="X1428" s="7">
        <f t="shared" si="302"/>
        <v>1.2265852453432041E-2</v>
      </c>
      <c r="Y1428">
        <f>LN(B1428/B1427)</f>
        <v>3.5190533298292491E-2</v>
      </c>
      <c r="Z1428">
        <f>LN(C1428/C1427)</f>
        <v>5.2432686602933308E-4</v>
      </c>
    </row>
    <row r="1429" spans="1:26" x14ac:dyDescent="0.3">
      <c r="A1429" s="9">
        <v>42282</v>
      </c>
      <c r="B1429" s="1">
        <v>19937.97</v>
      </c>
      <c r="C1429" s="1">
        <v>38.994909999999997</v>
      </c>
      <c r="D1429" s="6">
        <f t="shared" si="291"/>
        <v>1.2328409619419167E-2</v>
      </c>
      <c r="E1429" s="5">
        <f t="shared" si="303"/>
        <v>5.2470258728409824E-4</v>
      </c>
      <c r="G1429" s="25" t="str">
        <f>IF(VLOOKUP(A1429,Aux!B:C,2,FALSE)=0,"",VLOOKUP(A1429,Aux!B:C,2,FALSE))</f>
        <v/>
      </c>
      <c r="H1429" s="25" t="str">
        <f t="shared" si="292"/>
        <v/>
      </c>
      <c r="L1429" s="13">
        <f t="shared" si="295"/>
        <v>128356.72960802558</v>
      </c>
      <c r="M1429" s="14">
        <f t="shared" si="296"/>
        <v>730.5307585487476</v>
      </c>
      <c r="N1429" s="14">
        <f t="shared" si="297"/>
        <v>35.855269945134935</v>
      </c>
      <c r="O1429" s="1">
        <f t="shared" si="298"/>
        <v>3.008651861738576</v>
      </c>
      <c r="P1429" s="1">
        <f t="shared" si="299"/>
        <v>1753.3139337477082</v>
      </c>
      <c r="S1429" s="6">
        <f t="shared" si="293"/>
        <v>0.46734137542280602</v>
      </c>
      <c r="T1429" s="6">
        <f t="shared" si="294"/>
        <v>0.53265862457719515</v>
      </c>
      <c r="V1429" s="1">
        <f t="shared" si="300"/>
        <v>133234.37321850163</v>
      </c>
      <c r="W1429" s="7">
        <f t="shared" si="301"/>
        <v>5.9886468668180022E-3</v>
      </c>
      <c r="X1429" s="7">
        <f t="shared" si="302"/>
        <v>4.5581518919044061E-3</v>
      </c>
      <c r="Y1429">
        <f>LN(B1429/B1428)</f>
        <v>1.2253033655737775E-2</v>
      </c>
      <c r="Z1429">
        <f>LN(C1429/C1428)</f>
        <v>5.2456497901505266E-4</v>
      </c>
    </row>
    <row r="1430" spans="1:26" x14ac:dyDescent="0.3">
      <c r="A1430" s="11">
        <v>42283</v>
      </c>
      <c r="B1430" s="12">
        <v>19960.330000000002</v>
      </c>
      <c r="C1430" s="12">
        <v>39.015369999999997</v>
      </c>
      <c r="D1430" s="16">
        <f t="shared" si="291"/>
        <v>1.121478264838327E-3</v>
      </c>
      <c r="E1430" s="15">
        <f t="shared" si="303"/>
        <v>5.246838625860839E-4</v>
      </c>
      <c r="G1430" s="25" t="str">
        <f>IF(VLOOKUP(A1430,Aux!B:C,2,FALSE)=0,"",VLOOKUP(A1430,Aux!B:C,2,FALSE))</f>
        <v/>
      </c>
      <c r="H1430" s="25" t="str">
        <f t="shared" si="292"/>
        <v/>
      </c>
      <c r="L1430" s="13">
        <f t="shared" si="295"/>
        <v>128459.87586673853</v>
      </c>
      <c r="M1430" s="14">
        <f t="shared" si="296"/>
        <v>67.273455628476313</v>
      </c>
      <c r="N1430" s="14">
        <f t="shared" si="297"/>
        <v>35.872803084477972</v>
      </c>
      <c r="O1430" s="1">
        <f t="shared" si="298"/>
        <v>3.008651861738576</v>
      </c>
      <c r="P1430" s="1">
        <f t="shared" si="299"/>
        <v>1753.3139337477082</v>
      </c>
      <c r="S1430" s="6">
        <f t="shared" si="293"/>
        <v>0.46748981820373808</v>
      </c>
      <c r="T1430" s="6">
        <f t="shared" si="294"/>
        <v>0.53251018179626308</v>
      </c>
      <c r="V1430" s="1">
        <f t="shared" si="300"/>
        <v>133331.73025082107</v>
      </c>
      <c r="W1430" s="7">
        <f t="shared" si="301"/>
        <v>8.0326787334043673E-4</v>
      </c>
      <c r="X1430" s="7">
        <f t="shared" si="302"/>
        <v>7.3045323753620831E-4</v>
      </c>
      <c r="Y1430">
        <f>LN(B1430/B1429)</f>
        <v>1.1208498778600856E-3</v>
      </c>
      <c r="Z1430">
        <f>LN(C1430/C1429)</f>
        <v>5.2454626413660829E-4</v>
      </c>
    </row>
    <row r="1431" spans="1:26" x14ac:dyDescent="0.3">
      <c r="A1431" s="9">
        <v>42284</v>
      </c>
      <c r="B1431" s="1">
        <v>20395.009999999998</v>
      </c>
      <c r="C1431" s="1">
        <v>39.03584</v>
      </c>
      <c r="D1431" s="6">
        <f t="shared" si="291"/>
        <v>2.1777195066414068E-2</v>
      </c>
      <c r="E1431" s="5">
        <f t="shared" si="303"/>
        <v>5.2466502304104878E-4</v>
      </c>
      <c r="G1431" s="25" t="str">
        <f>IF(VLOOKUP(A1431,Aux!B:C,2,FALSE)=0,"",VLOOKUP(A1431,Aux!B:C,2,FALSE))</f>
        <v/>
      </c>
      <c r="H1431" s="25" t="str">
        <f t="shared" si="292"/>
        <v/>
      </c>
      <c r="L1431" s="13">
        <f t="shared" si="295"/>
        <v>129803.56699422286</v>
      </c>
      <c r="M1431" s="14">
        <f t="shared" si="296"/>
        <v>1307.8007912605142</v>
      </c>
      <c r="N1431" s="14">
        <f t="shared" si="297"/>
        <v>35.890336223821016</v>
      </c>
      <c r="O1431" s="1">
        <f t="shared" si="298"/>
        <v>3.008651861738576</v>
      </c>
      <c r="P1431" s="1">
        <f t="shared" si="299"/>
        <v>1753.3139337477082</v>
      </c>
      <c r="S1431" s="6">
        <f t="shared" si="293"/>
        <v>0.4727257210844435</v>
      </c>
      <c r="T1431" s="6">
        <f t="shared" si="294"/>
        <v>0.52727427891555767</v>
      </c>
      <c r="V1431" s="1">
        <f t="shared" si="300"/>
        <v>134380.34631749592</v>
      </c>
      <c r="W1431" s="7">
        <f t="shared" si="301"/>
        <v>1.0405679076712575E-2</v>
      </c>
      <c r="X1431" s="7">
        <f t="shared" si="302"/>
        <v>7.8339493905183206E-3</v>
      </c>
      <c r="Y1431">
        <f>LN(B1431/B1430)</f>
        <v>2.1543459272874845E-2</v>
      </c>
      <c r="Z1431">
        <f>LN(C1431/C1430)</f>
        <v>5.2452743447101743E-4</v>
      </c>
    </row>
    <row r="1432" spans="1:26" x14ac:dyDescent="0.3">
      <c r="A1432" s="11">
        <v>42285</v>
      </c>
      <c r="B1432" s="12">
        <v>20445.05</v>
      </c>
      <c r="C1432" s="12">
        <v>39.056310000000003</v>
      </c>
      <c r="D1432" s="16">
        <f t="shared" si="291"/>
        <v>2.4535413319239918E-3</v>
      </c>
      <c r="E1432" s="15">
        <f t="shared" si="303"/>
        <v>5.2438989400527269E-4</v>
      </c>
      <c r="G1432" s="25" t="str">
        <f>IF(VLOOKUP(A1432,Aux!B:C,2,FALSE)=0,"",VLOOKUP(A1432,Aux!B:C,2,FALSE))</f>
        <v/>
      </c>
      <c r="H1432" s="25" t="str">
        <f t="shared" si="292"/>
        <v/>
      </c>
      <c r="L1432" s="13">
        <f t="shared" si="295"/>
        <v>129990.01026960807</v>
      </c>
      <c r="M1432" s="14">
        <f t="shared" si="296"/>
        <v>150.55293916140096</v>
      </c>
      <c r="N1432" s="14">
        <f t="shared" si="297"/>
        <v>35.890336223821016</v>
      </c>
      <c r="O1432" s="1">
        <f t="shared" si="298"/>
        <v>3.008651861738576</v>
      </c>
      <c r="P1432" s="1">
        <f t="shared" si="299"/>
        <v>1753.3139337477082</v>
      </c>
      <c r="S1432" s="6">
        <f t="shared" si="293"/>
        <v>0.47320588419262483</v>
      </c>
      <c r="T1432" s="6">
        <f t="shared" si="294"/>
        <v>0.52679411580737634</v>
      </c>
      <c r="V1432" s="1">
        <f t="shared" si="300"/>
        <v>134541.58444939155</v>
      </c>
      <c r="W1432" s="7">
        <f t="shared" si="301"/>
        <v>1.4353188354933051E-3</v>
      </c>
      <c r="X1432" s="7">
        <f t="shared" si="302"/>
        <v>1.199144679326218E-3</v>
      </c>
      <c r="Y1432">
        <f>LN(B1432/B1431)</f>
        <v>2.4505363136775667E-3</v>
      </c>
      <c r="Z1432">
        <f>LN(C1432/C1431)</f>
        <v>5.2425244967231892E-4</v>
      </c>
    </row>
    <row r="1433" spans="1:26" x14ac:dyDescent="0.3">
      <c r="A1433" s="9">
        <v>42286</v>
      </c>
      <c r="B1433" s="1">
        <v>20535.91</v>
      </c>
      <c r="C1433" s="1">
        <v>39.076799999999999</v>
      </c>
      <c r="D1433" s="6">
        <f t="shared" si="291"/>
        <v>4.444107497902916E-3</v>
      </c>
      <c r="E1433" s="5">
        <f t="shared" si="303"/>
        <v>5.2462713451406628E-4</v>
      </c>
      <c r="G1433" s="25" t="str">
        <f>IF(VLOOKUP(A1433,Aux!B:C,2,FALSE)=0,"",VLOOKUP(A1433,Aux!B:C,2,FALSE))</f>
        <v/>
      </c>
      <c r="H1433" s="25" t="str">
        <f t="shared" si="292"/>
        <v/>
      </c>
      <c r="L1433" s="13">
        <f t="shared" si="295"/>
        <v>130299.30178026813</v>
      </c>
      <c r="M1433" s="14">
        <f t="shared" si="296"/>
        <v>273.36610815756876</v>
      </c>
      <c r="N1433" s="14">
        <f t="shared" si="297"/>
        <v>35.925402502482186</v>
      </c>
      <c r="O1433" s="1">
        <f t="shared" si="298"/>
        <v>3.008651861738576</v>
      </c>
      <c r="P1433" s="1">
        <f t="shared" si="299"/>
        <v>1753.3139337477082</v>
      </c>
      <c r="S1433" s="6">
        <f t="shared" si="293"/>
        <v>0.47418062115320031</v>
      </c>
      <c r="T1433" s="6">
        <f t="shared" si="294"/>
        <v>0.52581937884680086</v>
      </c>
      <c r="V1433" s="1">
        <f t="shared" si="300"/>
        <v>134797.04049182765</v>
      </c>
      <c r="W1433" s="7">
        <f t="shared" si="301"/>
        <v>2.3765221383374967E-3</v>
      </c>
      <c r="X1433" s="7">
        <f t="shared" si="302"/>
        <v>1.8969141101995192E-3</v>
      </c>
      <c r="Y1433">
        <f>LN(B1433/B1432)</f>
        <v>4.4342616121818531E-3</v>
      </c>
      <c r="Z1433">
        <f>LN(C1433/C1432)</f>
        <v>5.244895658116786E-4</v>
      </c>
    </row>
    <row r="1434" spans="1:26" x14ac:dyDescent="0.3">
      <c r="A1434" s="11">
        <v>42290</v>
      </c>
      <c r="B1434" s="12">
        <v>19779.740000000002</v>
      </c>
      <c r="C1434" s="12">
        <v>39.097299999999997</v>
      </c>
      <c r="D1434" s="16">
        <f t="shared" si="291"/>
        <v>-3.6821840376199511E-2</v>
      </c>
      <c r="E1434" s="15">
        <f t="shared" si="303"/>
        <v>5.2460795152109441E-4</v>
      </c>
      <c r="G1434" s="25" t="str">
        <f>IF(VLOOKUP(A1434,Aux!B:C,2,FALSE)=0,"",VLOOKUP(A1434,Aux!B:C,2,FALSE))</f>
        <v/>
      </c>
      <c r="H1434" s="25" t="str">
        <f t="shared" si="292"/>
        <v/>
      </c>
      <c r="L1434" s="13">
        <f t="shared" si="295"/>
        <v>128060.1924376191</v>
      </c>
      <c r="M1434" s="14">
        <f t="shared" si="296"/>
        <v>-2275.0522782908538</v>
      </c>
      <c r="N1434" s="14">
        <f t="shared" si="297"/>
        <v>35.94293564182523</v>
      </c>
      <c r="O1434" s="1">
        <f t="shared" si="298"/>
        <v>3.008651861738576</v>
      </c>
      <c r="P1434" s="1">
        <f t="shared" si="299"/>
        <v>1753.3139337477082</v>
      </c>
      <c r="S1434" s="6">
        <f t="shared" si="293"/>
        <v>0.46470609205662233</v>
      </c>
      <c r="T1434" s="6">
        <f t="shared" si="294"/>
        <v>0.53529390794337894</v>
      </c>
      <c r="V1434" s="1">
        <f t="shared" si="300"/>
        <v>133098.39106632042</v>
      </c>
      <c r="W1434" s="7">
        <f t="shared" si="301"/>
        <v>-1.7333718757295506E-2</v>
      </c>
      <c r="X1434" s="7">
        <f t="shared" si="302"/>
        <v>-1.2681606257663952E-2</v>
      </c>
      <c r="Y1434">
        <f>LN(B1434/B1433)</f>
        <v>-3.7516879493835066E-2</v>
      </c>
      <c r="Z1434">
        <f>LN(C1434/C1433)</f>
        <v>5.2447039287716447E-4</v>
      </c>
    </row>
    <row r="1435" spans="1:26" x14ac:dyDescent="0.3">
      <c r="A1435" s="9">
        <v>42291</v>
      </c>
      <c r="B1435" s="1">
        <v>19501.62</v>
      </c>
      <c r="C1435" s="1">
        <v>39.117809999999999</v>
      </c>
      <c r="D1435" s="6">
        <f t="shared" ref="D1435:D1498" si="304">B1435/B1434-1</f>
        <v>-1.4060852164892057E-2</v>
      </c>
      <c r="E1435" s="5">
        <f t="shared" si="303"/>
        <v>5.2458865445959013E-4</v>
      </c>
      <c r="G1435" s="25" t="str">
        <f>IF(VLOOKUP(A1435,Aux!B:C,2,FALSE)=0,"",VLOOKUP(A1435,Aux!B:C,2,FALSE))</f>
        <v/>
      </c>
      <c r="H1435" s="25" t="str">
        <f t="shared" si="292"/>
        <v/>
      </c>
      <c r="L1435" s="13">
        <f t="shared" si="295"/>
        <v>127259.38665061352</v>
      </c>
      <c r="M1435" s="14">
        <f t="shared" si="296"/>
        <v>-836.76625578674066</v>
      </c>
      <c r="N1435" s="14">
        <f t="shared" si="297"/>
        <v>35.960468781168274</v>
      </c>
      <c r="O1435" s="1">
        <f t="shared" si="298"/>
        <v>3.008651861738576</v>
      </c>
      <c r="P1435" s="1">
        <f t="shared" si="299"/>
        <v>1753.3139337477082</v>
      </c>
      <c r="S1435" s="6">
        <f t="shared" si="293"/>
        <v>0.461055069210766</v>
      </c>
      <c r="T1435" s="6">
        <f t="shared" si="294"/>
        <v>0.53894493078923533</v>
      </c>
      <c r="V1435" s="1">
        <f t="shared" si="300"/>
        <v>132502.64208441629</v>
      </c>
      <c r="W1435" s="7">
        <f t="shared" si="301"/>
        <v>-6.2729886667137885E-3</v>
      </c>
      <c r="X1435" s="7">
        <f t="shared" si="302"/>
        <v>-4.4860516839139988E-3</v>
      </c>
      <c r="Y1435">
        <f>LN(B1435/B1434)</f>
        <v>-1.4160642475598241E-2</v>
      </c>
      <c r="Z1435">
        <f>LN(C1435/C1434)</f>
        <v>5.2445110593355804E-4</v>
      </c>
    </row>
    <row r="1436" spans="1:26" x14ac:dyDescent="0.3">
      <c r="A1436" s="11">
        <v>42292</v>
      </c>
      <c r="B1436" s="12">
        <v>19704.189999999999</v>
      </c>
      <c r="C1436" s="12">
        <v>39.138330000000003</v>
      </c>
      <c r="D1436" s="16">
        <f t="shared" si="304"/>
        <v>1.038734217977777E-2</v>
      </c>
      <c r="E1436" s="15">
        <f t="shared" si="303"/>
        <v>5.2456924352362044E-4</v>
      </c>
      <c r="G1436" s="25" t="str">
        <f>IF(VLOOKUP(A1436,Aux!B:C,2,FALSE)=0,"",VLOOKUP(A1436,Aux!B:C,2,FALSE))</f>
        <v/>
      </c>
      <c r="H1436" s="25" t="str">
        <f t="shared" si="292"/>
        <v/>
      </c>
      <c r="L1436" s="13">
        <f t="shared" si="295"/>
        <v>127904.82726016641</v>
      </c>
      <c r="M1436" s="14">
        <f t="shared" si="296"/>
        <v>609.46260763238251</v>
      </c>
      <c r="N1436" s="14">
        <f t="shared" si="297"/>
        <v>35.978001920511311</v>
      </c>
      <c r="O1436" s="1">
        <f t="shared" si="298"/>
        <v>3.008651861738576</v>
      </c>
      <c r="P1436" s="1">
        <f t="shared" si="299"/>
        <v>1753.3139337477082</v>
      </c>
      <c r="S1436" s="6">
        <f t="shared" si="293"/>
        <v>0.46349343646714136</v>
      </c>
      <c r="T1436" s="6">
        <f t="shared" si="294"/>
        <v>0.53650656353285997</v>
      </c>
      <c r="V1436" s="1">
        <f t="shared" si="300"/>
        <v>133015.88411846294</v>
      </c>
      <c r="W1436" s="7">
        <f t="shared" si="301"/>
        <v>5.059032191597544E-3</v>
      </c>
      <c r="X1436" s="7">
        <f t="shared" si="302"/>
        <v>3.8659650655325983E-3</v>
      </c>
      <c r="Y1436">
        <f>LN(B1436/B1435)</f>
        <v>1.0333764441804111E-2</v>
      </c>
      <c r="Z1436">
        <f>LN(C1436/C1435)</f>
        <v>5.2443170517481807E-4</v>
      </c>
    </row>
    <row r="1437" spans="1:26" x14ac:dyDescent="0.3">
      <c r="A1437" s="9">
        <v>42293</v>
      </c>
      <c r="B1437" s="1">
        <v>19756.62</v>
      </c>
      <c r="C1437" s="1">
        <v>39.15887</v>
      </c>
      <c r="D1437" s="6">
        <f t="shared" si="304"/>
        <v>2.6608553815203884E-3</v>
      </c>
      <c r="E1437" s="5">
        <f t="shared" si="303"/>
        <v>5.2480522291054044E-4</v>
      </c>
      <c r="G1437" s="25" t="str">
        <f>IF(VLOOKUP(A1437,Aux!B:C,2,FALSE)=0,"",VLOOKUP(A1437,Aux!B:C,2,FALSE))</f>
        <v/>
      </c>
      <c r="H1437" s="25" t="str">
        <f t="shared" si="292"/>
        <v/>
      </c>
      <c r="L1437" s="13">
        <f t="shared" si="295"/>
        <v>128098.58394547654</v>
      </c>
      <c r="M1437" s="14">
        <f t="shared" si="296"/>
        <v>157.7436171109544</v>
      </c>
      <c r="N1437" s="14">
        <f t="shared" si="297"/>
        <v>36.01306819917248</v>
      </c>
      <c r="O1437" s="1">
        <f t="shared" si="298"/>
        <v>3.008651861738576</v>
      </c>
      <c r="P1437" s="1">
        <f t="shared" si="299"/>
        <v>1753.3139337477082</v>
      </c>
      <c r="S1437" s="6">
        <f t="shared" si="293"/>
        <v>0.46402379881077971</v>
      </c>
      <c r="T1437" s="6">
        <f t="shared" si="294"/>
        <v>0.53597620118922151</v>
      </c>
      <c r="V1437" s="1">
        <f t="shared" si="300"/>
        <v>133182.79266323353</v>
      </c>
      <c r="W1437" s="7">
        <f t="shared" si="301"/>
        <v>1.5137042228763518E-3</v>
      </c>
      <c r="X1437" s="7">
        <f t="shared" si="302"/>
        <v>1.2540149985807714E-3</v>
      </c>
      <c r="Y1437">
        <f>LN(B1437/B1436)</f>
        <v>2.6573215730871379E-3</v>
      </c>
      <c r="Z1437">
        <f>LN(C1437/C1436)</f>
        <v>5.2466756081129664E-4</v>
      </c>
    </row>
    <row r="1438" spans="1:26" x14ac:dyDescent="0.3">
      <c r="A1438" s="11">
        <v>42296</v>
      </c>
      <c r="B1438" s="12">
        <v>19840.37</v>
      </c>
      <c r="C1438" s="12">
        <v>39.179409999999997</v>
      </c>
      <c r="D1438" s="16">
        <f t="shared" si="304"/>
        <v>4.2390854306051384E-3</v>
      </c>
      <c r="E1438" s="15">
        <f t="shared" si="303"/>
        <v>5.2452994685481258E-4</v>
      </c>
      <c r="G1438" s="25" t="str">
        <f>IF(VLOOKUP(A1438,Aux!B:C,2,FALSE)=0,"",VLOOKUP(A1438,Aux!B:C,2,FALSE))</f>
        <v/>
      </c>
      <c r="H1438" s="25" t="str">
        <f t="shared" si="292"/>
        <v/>
      </c>
      <c r="L1438" s="13">
        <f t="shared" si="295"/>
        <v>128386.57160709631</v>
      </c>
      <c r="M1438" s="14">
        <f t="shared" si="296"/>
        <v>251.97459342060574</v>
      </c>
      <c r="N1438" s="14">
        <f t="shared" si="297"/>
        <v>36.01306819917248</v>
      </c>
      <c r="O1438" s="1">
        <f t="shared" si="298"/>
        <v>3.008651861738576</v>
      </c>
      <c r="P1438" s="1">
        <f t="shared" si="299"/>
        <v>1753.3139337477082</v>
      </c>
      <c r="S1438" s="6">
        <f t="shared" si="293"/>
        <v>0.46494555770802115</v>
      </c>
      <c r="T1438" s="6">
        <f t="shared" si="294"/>
        <v>0.53505444229198018</v>
      </c>
      <c r="V1438" s="1">
        <f t="shared" si="300"/>
        <v>133421.95754358359</v>
      </c>
      <c r="W1438" s="7">
        <f t="shared" si="301"/>
        <v>2.245648735691253E-3</v>
      </c>
      <c r="X1438" s="7">
        <f t="shared" si="302"/>
        <v>1.7941536624554823E-3</v>
      </c>
      <c r="Y1438">
        <f>LN(B1438/B1437)</f>
        <v>4.2301258194082456E-3</v>
      </c>
      <c r="Z1438">
        <f>LN(C1438/C1437)</f>
        <v>5.2439242910825494E-4</v>
      </c>
    </row>
    <row r="1439" spans="1:26" x14ac:dyDescent="0.3">
      <c r="A1439" s="9">
        <v>42297</v>
      </c>
      <c r="B1439" s="1">
        <v>19722.240000000002</v>
      </c>
      <c r="C1439" s="1">
        <v>39.199959999999997</v>
      </c>
      <c r="D1439" s="6">
        <f t="shared" si="304"/>
        <v>-5.9540220268068378E-3</v>
      </c>
      <c r="E1439" s="5">
        <f t="shared" si="303"/>
        <v>5.2451019553378941E-4</v>
      </c>
      <c r="G1439" s="25" t="str">
        <f>IF(VLOOKUP(A1439,Aux!B:C,2,FALSE)=0,"",VLOOKUP(A1439,Aux!B:C,2,FALSE))</f>
        <v/>
      </c>
      <c r="H1439" s="25" t="str">
        <f t="shared" si="292"/>
        <v/>
      </c>
      <c r="L1439" s="13">
        <f t="shared" si="295"/>
        <v>128067.19016400765</v>
      </c>
      <c r="M1439" s="14">
        <f t="shared" si="296"/>
        <v>-355.41204442717009</v>
      </c>
      <c r="N1439" s="14">
        <f t="shared" si="297"/>
        <v>36.030601338515524</v>
      </c>
      <c r="O1439" s="1">
        <f t="shared" si="298"/>
        <v>3.008651861738576</v>
      </c>
      <c r="P1439" s="1">
        <f t="shared" si="299"/>
        <v>1753.3139337477082</v>
      </c>
      <c r="S1439" s="6">
        <f t="shared" si="293"/>
        <v>0.46332986628085909</v>
      </c>
      <c r="T1439" s="6">
        <f t="shared" si="294"/>
        <v>0.53667013371914218</v>
      </c>
      <c r="V1439" s="1">
        <f t="shared" si="300"/>
        <v>133195.40057345806</v>
      </c>
      <c r="W1439" s="7">
        <f t="shared" si="301"/>
        <v>-2.4907539355188066E-3</v>
      </c>
      <c r="X1439" s="7">
        <f t="shared" si="302"/>
        <v>-1.6994919329740839E-3</v>
      </c>
      <c r="Y1439">
        <f>LN(B1439/B1438)</f>
        <v>-5.9718178890854111E-3</v>
      </c>
      <c r="Z1439">
        <f>LN(C1439/C1438)</f>
        <v>5.2437268814176498E-4</v>
      </c>
    </row>
    <row r="1440" spans="1:26" x14ac:dyDescent="0.3">
      <c r="A1440" s="11">
        <v>42298</v>
      </c>
      <c r="B1440" s="12">
        <v>19708.099999999999</v>
      </c>
      <c r="C1440" s="12">
        <v>39.220529999999997</v>
      </c>
      <c r="D1440" s="16">
        <f t="shared" si="304"/>
        <v>-7.1695710020780457E-4</v>
      </c>
      <c r="E1440" s="15">
        <f t="shared" si="303"/>
        <v>5.2474543341363145E-4</v>
      </c>
      <c r="G1440" s="25" t="str">
        <f>IF(VLOOKUP(A1440,Aux!B:C,2,FALSE)=0,"",VLOOKUP(A1440,Aux!B:C,2,FALSE))</f>
        <v/>
      </c>
      <c r="H1440" s="25" t="str">
        <f t="shared" si="292"/>
        <v/>
      </c>
      <c r="L1440" s="13">
        <f t="shared" si="295"/>
        <v>128060.71349429985</v>
      </c>
      <c r="M1440" s="14">
        <f t="shared" si="296"/>
        <v>-42.542337324992658</v>
      </c>
      <c r="N1440" s="14">
        <f t="shared" si="297"/>
        <v>36.065667617189149</v>
      </c>
      <c r="O1440" s="1">
        <f t="shared" si="298"/>
        <v>3.008651861738576</v>
      </c>
      <c r="P1440" s="1">
        <f t="shared" si="299"/>
        <v>1753.3139337477082</v>
      </c>
      <c r="S1440" s="6">
        <f t="shared" si="293"/>
        <v>0.46302109474791669</v>
      </c>
      <c r="T1440" s="6">
        <f t="shared" si="294"/>
        <v>0.53697890525208458</v>
      </c>
      <c r="V1440" s="1">
        <f t="shared" si="300"/>
        <v>133208.79691357142</v>
      </c>
      <c r="W1440" s="7">
        <f t="shared" si="301"/>
        <v>-5.0573714278432298E-5</v>
      </c>
      <c r="X1440" s="7">
        <f t="shared" si="302"/>
        <v>1.0057153942028251E-4</v>
      </c>
      <c r="Y1440">
        <f>LN(B1440/B1439)</f>
        <v>-7.172142368608857E-4</v>
      </c>
      <c r="Z1440">
        <f>LN(C1440/C1439)</f>
        <v>5.2460780267398377E-4</v>
      </c>
    </row>
    <row r="1441" spans="1:26" x14ac:dyDescent="0.3">
      <c r="A1441" s="9">
        <v>42299</v>
      </c>
      <c r="B1441" s="1">
        <v>20001.68</v>
      </c>
      <c r="C1441" s="1">
        <v>39.241100000000003</v>
      </c>
      <c r="D1441" s="6">
        <f t="shared" si="304"/>
        <v>1.4896413149923182E-2</v>
      </c>
      <c r="E1441" s="5">
        <f t="shared" si="303"/>
        <v>5.2447022006085753E-4</v>
      </c>
      <c r="G1441" s="25" t="str">
        <f>IF(VLOOKUP(A1441,Aux!B:C,2,FALSE)=0,"",VLOOKUP(A1441,Aux!B:C,2,FALSE))</f>
        <v/>
      </c>
      <c r="H1441" s="25" t="str">
        <f t="shared" si="292"/>
        <v/>
      </c>
      <c r="L1441" s="13">
        <f t="shared" si="295"/>
        <v>128980.05917548628</v>
      </c>
      <c r="M1441" s="14">
        <f t="shared" si="296"/>
        <v>883.28001356921641</v>
      </c>
      <c r="N1441" s="14">
        <f t="shared" si="297"/>
        <v>36.065667617201612</v>
      </c>
      <c r="O1441" s="1">
        <f t="shared" si="298"/>
        <v>3.008651861738576</v>
      </c>
      <c r="P1441" s="1">
        <f t="shared" si="299"/>
        <v>1753.3139337477082</v>
      </c>
      <c r="S1441" s="6">
        <f t="shared" si="293"/>
        <v>0.46656895767137763</v>
      </c>
      <c r="T1441" s="6">
        <f t="shared" si="294"/>
        <v>0.53343104232862359</v>
      </c>
      <c r="V1441" s="1">
        <f t="shared" si="300"/>
        <v>133932.11405778799</v>
      </c>
      <c r="W1441" s="7">
        <f t="shared" si="301"/>
        <v>7.153336740274417E-3</v>
      </c>
      <c r="X1441" s="7">
        <f t="shared" si="302"/>
        <v>5.4152612506647053E-3</v>
      </c>
      <c r="Y1441">
        <f>LN(B1441/B1440)</f>
        <v>1.4786551275753828E-2</v>
      </c>
      <c r="Z1441">
        <f>LN(C1441/C1440)</f>
        <v>5.2433273362458607E-4</v>
      </c>
    </row>
    <row r="1442" spans="1:26" x14ac:dyDescent="0.3">
      <c r="A1442" s="11">
        <v>42300</v>
      </c>
      <c r="B1442" s="12">
        <v>19935.45</v>
      </c>
      <c r="C1442" s="12">
        <v>39.261699999999998</v>
      </c>
      <c r="D1442" s="16">
        <f t="shared" si="304"/>
        <v>-3.3112218573639884E-3</v>
      </c>
      <c r="E1442" s="15">
        <f t="shared" si="303"/>
        <v>5.2495979980160534E-4</v>
      </c>
      <c r="G1442" s="25" t="str">
        <f>IF(VLOOKUP(A1442,Aux!B:C,2,FALSE)=0,"",VLOOKUP(A1442,Aux!B:C,2,FALSE))</f>
        <v/>
      </c>
      <c r="H1442" s="25" t="str">
        <f t="shared" si="292"/>
        <v/>
      </c>
      <c r="L1442" s="13">
        <f t="shared" si="295"/>
        <v>128816.91442971854</v>
      </c>
      <c r="M1442" s="14">
        <f t="shared" si="296"/>
        <v>-199.26301280294459</v>
      </c>
      <c r="N1442" s="14">
        <f t="shared" si="297"/>
        <v>36.118267035193362</v>
      </c>
      <c r="O1442" s="1">
        <f t="shared" si="298"/>
        <v>3.008651861738576</v>
      </c>
      <c r="P1442" s="1">
        <f t="shared" si="299"/>
        <v>1753.3139337477082</v>
      </c>
      <c r="S1442" s="6">
        <f t="shared" si="293"/>
        <v>0.46561299051934879</v>
      </c>
      <c r="T1442" s="6">
        <f t="shared" si="294"/>
        <v>0.53438700948065232</v>
      </c>
      <c r="V1442" s="1">
        <f t="shared" si="300"/>
        <v>133825.40405975725</v>
      </c>
      <c r="W1442" s="7">
        <f t="shared" si="301"/>
        <v>-1.2656841177415676E-3</v>
      </c>
      <c r="X1442" s="7">
        <f t="shared" si="302"/>
        <v>-7.9706448155378426E-4</v>
      </c>
      <c r="Y1442">
        <f>LN(B1442/B1441)</f>
        <v>-3.3167160842135957E-3</v>
      </c>
      <c r="Z1442">
        <f>LN(C1442/C1441)</f>
        <v>5.2482205661021867E-4</v>
      </c>
    </row>
    <row r="1443" spans="1:26" x14ac:dyDescent="0.3">
      <c r="A1443" s="9">
        <v>42303</v>
      </c>
      <c r="B1443" s="1">
        <v>19780.169999999998</v>
      </c>
      <c r="C1443" s="1">
        <v>39.282310000000003</v>
      </c>
      <c r="D1443" s="6">
        <f t="shared" si="304"/>
        <v>-7.789139447567095E-3</v>
      </c>
      <c r="E1443" s="5">
        <f t="shared" si="303"/>
        <v>5.2493906275086211E-4</v>
      </c>
      <c r="G1443" s="25" t="str">
        <f>IF(VLOOKUP(A1443,Aux!B:C,2,FALSE)=0,"",VLOOKUP(A1443,Aux!B:C,2,FALSE))</f>
        <v/>
      </c>
      <c r="H1443" s="25" t="str">
        <f t="shared" si="292"/>
        <v/>
      </c>
      <c r="L1443" s="13">
        <f t="shared" si="295"/>
        <v>128385.86676880233</v>
      </c>
      <c r="M1443" s="14">
        <f t="shared" si="296"/>
        <v>-467.18346109077351</v>
      </c>
      <c r="N1443" s="14">
        <f t="shared" si="297"/>
        <v>36.135800174548862</v>
      </c>
      <c r="O1443" s="1">
        <f t="shared" si="298"/>
        <v>3.008651861738576</v>
      </c>
      <c r="P1443" s="1">
        <f t="shared" si="299"/>
        <v>1753.3139337477082</v>
      </c>
      <c r="S1443" s="6">
        <f t="shared" si="293"/>
        <v>0.46353735651584049</v>
      </c>
      <c r="T1443" s="6">
        <f t="shared" si="294"/>
        <v>0.53646264348416062</v>
      </c>
      <c r="V1443" s="1">
        <f t="shared" si="300"/>
        <v>133513.27496806547</v>
      </c>
      <c r="W1443" s="7">
        <f t="shared" si="301"/>
        <v>-3.3518149567730716E-3</v>
      </c>
      <c r="X1443" s="7">
        <f t="shared" si="302"/>
        <v>-2.3350847296292692E-3</v>
      </c>
      <c r="Y1443">
        <f>LN(B1443/B1442)</f>
        <v>-7.8196332444024925E-3</v>
      </c>
      <c r="Z1443">
        <f>LN(C1443/C1442)</f>
        <v>5.2480133043966682E-4</v>
      </c>
    </row>
    <row r="1444" spans="1:26" x14ac:dyDescent="0.3">
      <c r="A1444" s="11">
        <v>42304</v>
      </c>
      <c r="B1444" s="12">
        <v>19729.919999999998</v>
      </c>
      <c r="C1444" s="12">
        <v>39.30294</v>
      </c>
      <c r="D1444" s="16">
        <f t="shared" si="304"/>
        <v>-2.5404230600647448E-3</v>
      </c>
      <c r="E1444" s="15">
        <f t="shared" si="303"/>
        <v>5.2517278133579204E-4</v>
      </c>
      <c r="G1444" s="25" t="str">
        <f>IF(VLOOKUP(A1444,Aux!B:C,2,FALSE)=0,"",VLOOKUP(A1444,Aux!B:C,2,FALSE))</f>
        <v/>
      </c>
      <c r="H1444" s="25" t="str">
        <f t="shared" si="292"/>
        <v/>
      </c>
      <c r="L1444" s="13">
        <f t="shared" si="295"/>
        <v>128270.85287920317</v>
      </c>
      <c r="M1444" s="14">
        <f t="shared" si="296"/>
        <v>-151.18475605236344</v>
      </c>
      <c r="N1444" s="14">
        <f t="shared" si="297"/>
        <v>36.170866453210031</v>
      </c>
      <c r="O1444" s="1">
        <f t="shared" si="298"/>
        <v>3.008651861738576</v>
      </c>
      <c r="P1444" s="1">
        <f t="shared" si="299"/>
        <v>1753.3139337477082</v>
      </c>
      <c r="S1444" s="6">
        <f t="shared" si="293"/>
        <v>0.46277434980380799</v>
      </c>
      <c r="T1444" s="6">
        <f t="shared" si="294"/>
        <v>0.53722565019619306</v>
      </c>
      <c r="V1444" s="1">
        <f t="shared" si="300"/>
        <v>133443.49850299198</v>
      </c>
      <c r="W1444" s="7">
        <f t="shared" si="301"/>
        <v>-8.9624692044471758E-4</v>
      </c>
      <c r="X1444" s="7">
        <f t="shared" si="302"/>
        <v>-5.2275479475746541E-4</v>
      </c>
      <c r="Y1444">
        <f>LN(B1444/B1443)</f>
        <v>-2.5436554102452619E-3</v>
      </c>
      <c r="Z1444">
        <f>LN(C1444/C1443)</f>
        <v>5.2503492637366827E-4</v>
      </c>
    </row>
    <row r="1445" spans="1:26" x14ac:dyDescent="0.3">
      <c r="A1445" s="9">
        <v>42305</v>
      </c>
      <c r="B1445" s="1">
        <v>19592.669999999998</v>
      </c>
      <c r="C1445" s="1">
        <v>39.323569999999997</v>
      </c>
      <c r="D1445" s="6">
        <f t="shared" si="304"/>
        <v>-6.9564397625535568E-3</v>
      </c>
      <c r="E1445" s="5">
        <f t="shared" si="303"/>
        <v>5.248971196556429E-4</v>
      </c>
      <c r="G1445" s="25" t="str">
        <f>IF(VLOOKUP(A1445,Aux!B:C,2,FALSE)=0,"",VLOOKUP(A1445,Aux!B:C,2,FALSE))</f>
        <v/>
      </c>
      <c r="H1445" s="25" t="str">
        <f t="shared" si="292"/>
        <v/>
      </c>
      <c r="L1445" s="13">
        <f t="shared" si="295"/>
        <v>127894.08627763276</v>
      </c>
      <c r="M1445" s="14">
        <f t="shared" si="296"/>
        <v>-412.93746802361954</v>
      </c>
      <c r="N1445" s="14">
        <f t="shared" si="297"/>
        <v>36.170866453210031</v>
      </c>
      <c r="O1445" s="1">
        <f t="shared" si="298"/>
        <v>3.008651861738576</v>
      </c>
      <c r="P1445" s="1">
        <f t="shared" si="299"/>
        <v>1753.3139337477082</v>
      </c>
      <c r="S1445" s="6">
        <f t="shared" si="293"/>
        <v>0.46090890351228697</v>
      </c>
      <c r="T1445" s="6">
        <f t="shared" si="294"/>
        <v>0.53909109648771425</v>
      </c>
      <c r="V1445" s="1">
        <f t="shared" si="300"/>
        <v>133173.00999464217</v>
      </c>
      <c r="W1445" s="7">
        <f t="shared" si="301"/>
        <v>-2.9415959458792967E-3</v>
      </c>
      <c r="X1445" s="7">
        <f t="shared" si="302"/>
        <v>-2.0290461582797466E-3</v>
      </c>
      <c r="Y1445">
        <f>LN(B1445/B1444)</f>
        <v>-6.9807485905000145E-3</v>
      </c>
      <c r="Z1445">
        <f>LN(C1445/C1444)</f>
        <v>5.2475940934958621E-4</v>
      </c>
    </row>
    <row r="1446" spans="1:26" x14ac:dyDescent="0.3">
      <c r="A1446" s="11">
        <v>42306</v>
      </c>
      <c r="B1446" s="12">
        <v>19133.240000000002</v>
      </c>
      <c r="C1446" s="12">
        <v>39.344209999999997</v>
      </c>
      <c r="D1446" s="16">
        <f t="shared" si="304"/>
        <v>-2.3449075598169999E-2</v>
      </c>
      <c r="E1446" s="15">
        <f t="shared" si="303"/>
        <v>5.2487604762241347E-4</v>
      </c>
      <c r="G1446" s="25" t="str">
        <f>IF(VLOOKUP(A1446,Aux!B:C,2,FALSE)=0,"",VLOOKUP(A1446,Aux!B:C,2,FALSE))</f>
        <v/>
      </c>
      <c r="H1446" s="25" t="str">
        <f t="shared" si="292"/>
        <v/>
      </c>
      <c r="L1446" s="13">
        <f t="shared" si="295"/>
        <v>126548.00975238677</v>
      </c>
      <c r="M1446" s="14">
        <f t="shared" si="296"/>
        <v>-1382.2649248385439</v>
      </c>
      <c r="N1446" s="14">
        <f t="shared" si="297"/>
        <v>36.188399592553075</v>
      </c>
      <c r="O1446" s="1">
        <f t="shared" si="298"/>
        <v>3.008651861738576</v>
      </c>
      <c r="P1446" s="1">
        <f t="shared" si="299"/>
        <v>1753.3139337477082</v>
      </c>
      <c r="S1446" s="6">
        <f t="shared" si="293"/>
        <v>0.45488868817239758</v>
      </c>
      <c r="T1446" s="6">
        <f t="shared" si="294"/>
        <v>0.54511131182760342</v>
      </c>
      <c r="V1446" s="1">
        <f t="shared" si="300"/>
        <v>132159.26332770032</v>
      </c>
      <c r="W1446" s="7">
        <f t="shared" si="301"/>
        <v>-1.0580710536176376E-2</v>
      </c>
      <c r="X1446" s="7">
        <f t="shared" si="302"/>
        <v>-7.6413742438223549E-3</v>
      </c>
      <c r="Y1446">
        <f>LN(B1446/B1445)</f>
        <v>-2.3728380100094371E-2</v>
      </c>
      <c r="Z1446">
        <f>LN(C1446/C1445)</f>
        <v>5.2473834837098187E-4</v>
      </c>
    </row>
    <row r="1447" spans="1:26" x14ac:dyDescent="0.3">
      <c r="A1447" s="9">
        <v>42307</v>
      </c>
      <c r="B1447" s="1">
        <v>19166.54</v>
      </c>
      <c r="C1447" s="1">
        <v>39.36486</v>
      </c>
      <c r="D1447" s="6">
        <f t="shared" si="304"/>
        <v>1.7404266083527187E-3</v>
      </c>
      <c r="E1447" s="5">
        <f t="shared" si="303"/>
        <v>5.2485486428643924E-4</v>
      </c>
      <c r="G1447" s="25" t="str">
        <f>IF(VLOOKUP(A1447,Aux!B:C,2,FALSE)=0,"",VLOOKUP(A1447,Aux!B:C,2,FALSE))</f>
        <v/>
      </c>
      <c r="H1447" s="25" t="str">
        <f t="shared" si="292"/>
        <v/>
      </c>
      <c r="L1447" s="13">
        <f t="shared" si="295"/>
        <v>126684.40379211456</v>
      </c>
      <c r="M1447" s="14">
        <f t="shared" si="296"/>
        <v>100.1881069958924</v>
      </c>
      <c r="N1447" s="14">
        <f t="shared" si="297"/>
        <v>36.205932731896112</v>
      </c>
      <c r="O1447" s="1">
        <f t="shared" si="298"/>
        <v>3.008651861738576</v>
      </c>
      <c r="P1447" s="1">
        <f t="shared" si="299"/>
        <v>1753.3139337477082</v>
      </c>
      <c r="S1447" s="6">
        <f t="shared" si="293"/>
        <v>0.45518978286162376</v>
      </c>
      <c r="T1447" s="6">
        <f t="shared" si="294"/>
        <v>0.54481021713837741</v>
      </c>
      <c r="V1447" s="1">
        <f t="shared" si="300"/>
        <v>132282.28437787067</v>
      </c>
      <c r="W1447" s="7">
        <f t="shared" si="301"/>
        <v>1.0772242858496563E-3</v>
      </c>
      <c r="X1447" s="7">
        <f t="shared" si="302"/>
        <v>9.3042156281807509E-4</v>
      </c>
      <c r="Y1447">
        <f>LN(B1447/B1446)</f>
        <v>1.7389138209724542E-3</v>
      </c>
      <c r="Z1447">
        <f>LN(C1447/C1446)</f>
        <v>5.2471717614757641E-4</v>
      </c>
    </row>
    <row r="1448" spans="1:26" x14ac:dyDescent="0.3">
      <c r="A1448" s="11">
        <v>42311</v>
      </c>
      <c r="B1448" s="12">
        <v>19993.43</v>
      </c>
      <c r="C1448" s="12">
        <v>39.385530000000003</v>
      </c>
      <c r="D1448" s="16">
        <f t="shared" si="304"/>
        <v>4.3142372071328428E-2</v>
      </c>
      <c r="E1448" s="15">
        <f t="shared" si="303"/>
        <v>5.2508760351233086E-4</v>
      </c>
      <c r="G1448" s="25" t="str">
        <f>IF(VLOOKUP(A1448,Aux!B:C,2,FALSE)=0,"",VLOOKUP(A1448,Aux!B:C,2,FALSE))</f>
        <v/>
      </c>
      <c r="H1448" s="25" t="str">
        <f t="shared" si="292"/>
        <v/>
      </c>
      <c r="L1448" s="13">
        <f t="shared" si="295"/>
        <v>129208.46892907814</v>
      </c>
      <c r="M1448" s="14">
        <f t="shared" si="296"/>
        <v>2487.8241379530095</v>
      </c>
      <c r="N1448" s="14">
        <f t="shared" si="297"/>
        <v>36.240999010569745</v>
      </c>
      <c r="O1448" s="1">
        <f t="shared" si="298"/>
        <v>3.008651861738576</v>
      </c>
      <c r="P1448" s="1">
        <f t="shared" si="299"/>
        <v>1753.3139337477082</v>
      </c>
      <c r="S1448" s="6">
        <f t="shared" si="293"/>
        <v>0.46555207170713958</v>
      </c>
      <c r="T1448" s="6">
        <f t="shared" si="294"/>
        <v>0.53444792829286147</v>
      </c>
      <c r="V1448" s="1">
        <f t="shared" si="300"/>
        <v>134236.19006061705</v>
      </c>
      <c r="W1448" s="7">
        <f t="shared" si="301"/>
        <v>1.9728154000141732E-2</v>
      </c>
      <c r="X1448" s="7">
        <f t="shared" si="302"/>
        <v>1.4662703539632126E-2</v>
      </c>
      <c r="Y1448">
        <f>LN(B1448/B1447)</f>
        <v>4.2237669168341284E-2</v>
      </c>
      <c r="Z1448">
        <f>LN(C1448/C1447)</f>
        <v>5.2494979325617747E-4</v>
      </c>
    </row>
    <row r="1449" spans="1:26" x14ac:dyDescent="0.3">
      <c r="A1449" s="9">
        <v>42312</v>
      </c>
      <c r="B1449" s="1">
        <v>19863.080000000002</v>
      </c>
      <c r="C1449" s="1">
        <v>39.406210000000002</v>
      </c>
      <c r="D1449" s="6">
        <f t="shared" si="304"/>
        <v>-6.5196417022991282E-3</v>
      </c>
      <c r="E1449" s="5">
        <f t="shared" si="303"/>
        <v>5.2506593157430892E-4</v>
      </c>
      <c r="G1449" s="25" t="str">
        <f>IF(VLOOKUP(A1449,Aux!B:C,2,FALSE)=0,"",VLOOKUP(A1449,Aux!B:C,2,FALSE))</f>
        <v/>
      </c>
      <c r="H1449" s="25" t="str">
        <f t="shared" si="292"/>
        <v/>
      </c>
      <c r="L1449" s="13">
        <f t="shared" si="295"/>
        <v>128852.54969105043</v>
      </c>
      <c r="M1449" s="14">
        <f t="shared" si="296"/>
        <v>-392.17777017761898</v>
      </c>
      <c r="N1449" s="14">
        <f t="shared" si="297"/>
        <v>36.258532149900326</v>
      </c>
      <c r="O1449" s="1">
        <f t="shared" si="298"/>
        <v>3.008651861738576</v>
      </c>
      <c r="P1449" s="1">
        <f t="shared" si="299"/>
        <v>1753.3139337477082</v>
      </c>
      <c r="S1449" s="6">
        <f t="shared" si="293"/>
        <v>0.46379441280092137</v>
      </c>
      <c r="T1449" s="6">
        <f t="shared" si="294"/>
        <v>0.53620558719907963</v>
      </c>
      <c r="V1449" s="1">
        <f t="shared" si="300"/>
        <v>133981.73195025363</v>
      </c>
      <c r="W1449" s="7">
        <f t="shared" si="301"/>
        <v>-2.7584132280700727E-3</v>
      </c>
      <c r="X1449" s="7">
        <f t="shared" si="302"/>
        <v>-1.8973988374508593E-3</v>
      </c>
      <c r="Y1449">
        <f>LN(B1449/B1448)</f>
        <v>-6.5409873943540527E-3</v>
      </c>
      <c r="Z1449">
        <f>LN(C1449/C1448)</f>
        <v>5.2492813269161478E-4</v>
      </c>
    </row>
    <row r="1450" spans="1:26" x14ac:dyDescent="0.3">
      <c r="A1450" s="11">
        <v>42313</v>
      </c>
      <c r="B1450" s="12">
        <v>20024.16</v>
      </c>
      <c r="C1450" s="12">
        <v>39.426900000000003</v>
      </c>
      <c r="D1450" s="16">
        <f t="shared" si="304"/>
        <v>8.1095177585750466E-3</v>
      </c>
      <c r="E1450" s="15">
        <f t="shared" si="303"/>
        <v>5.2504414913290276E-4</v>
      </c>
      <c r="G1450" s="25" t="str">
        <f>IF(VLOOKUP(A1450,Aux!B:C,2,FALSE)=0,"",VLOOKUP(A1450,Aux!B:C,2,FALSE))</f>
        <v/>
      </c>
      <c r="H1450" s="25" t="str">
        <f t="shared" si="292"/>
        <v/>
      </c>
      <c r="L1450" s="13">
        <f t="shared" si="295"/>
        <v>129373.45939822852</v>
      </c>
      <c r="M1450" s="14">
        <f t="shared" si="296"/>
        <v>484.63364188884412</v>
      </c>
      <c r="N1450" s="14">
        <f t="shared" si="297"/>
        <v>36.27606528924337</v>
      </c>
      <c r="O1450" s="1">
        <f t="shared" si="298"/>
        <v>3.008651861738576</v>
      </c>
      <c r="P1450" s="1">
        <f t="shared" si="299"/>
        <v>1753.3139337477082</v>
      </c>
      <c r="S1450" s="6">
        <f t="shared" si="293"/>
        <v>0.46567299463104606</v>
      </c>
      <c r="T1450" s="6">
        <f t="shared" si="294"/>
        <v>0.53432700536895505</v>
      </c>
      <c r="V1450" s="1">
        <f t="shared" si="300"/>
        <v>134399.63541549077</v>
      </c>
      <c r="W1450" s="7">
        <f t="shared" si="301"/>
        <v>4.0345309568525353E-3</v>
      </c>
      <c r="X1450" s="7">
        <f t="shared" si="302"/>
        <v>3.1142534751545728E-3</v>
      </c>
      <c r="Y1450">
        <f>LN(B1450/B1449)</f>
        <v>8.0768123173633969E-3</v>
      </c>
      <c r="Z1450">
        <f>LN(C1450/C1449)</f>
        <v>5.2490636168118739E-4</v>
      </c>
    </row>
    <row r="1451" spans="1:26" x14ac:dyDescent="0.3">
      <c r="A1451" s="9">
        <v>42314</v>
      </c>
      <c r="B1451" s="1">
        <v>19565.990000000002</v>
      </c>
      <c r="C1451" s="1">
        <v>39.447589999999998</v>
      </c>
      <c r="D1451" s="6">
        <f t="shared" si="304"/>
        <v>-2.2880859921215135E-2</v>
      </c>
      <c r="E1451" s="5">
        <f t="shared" si="303"/>
        <v>5.247686224378878E-4</v>
      </c>
      <c r="G1451" s="25" t="str">
        <f>IF(VLOOKUP(A1451,Aux!B:C,2,FALSE)=0,"",VLOOKUP(A1451,Aux!B:C,2,FALSE))</f>
        <v/>
      </c>
      <c r="H1451" s="25" t="str">
        <f t="shared" si="292"/>
        <v/>
      </c>
      <c r="L1451" s="13">
        <f t="shared" si="295"/>
        <v>128031.26144002499</v>
      </c>
      <c r="M1451" s="14">
        <f t="shared" si="296"/>
        <v>-1378.4740234927581</v>
      </c>
      <c r="N1451" s="14">
        <f t="shared" si="297"/>
        <v>36.276065289230907</v>
      </c>
      <c r="O1451" s="1">
        <f t="shared" si="298"/>
        <v>3.008651861738576</v>
      </c>
      <c r="P1451" s="1">
        <f t="shared" si="299"/>
        <v>1753.3139337477082</v>
      </c>
      <c r="S1451" s="6">
        <f t="shared" si="293"/>
        <v>0.45978811407582798</v>
      </c>
      <c r="T1451" s="6">
        <f t="shared" si="294"/>
        <v>0.54021188592417302</v>
      </c>
      <c r="V1451" s="1">
        <f t="shared" si="300"/>
        <v>133388.907469247</v>
      </c>
      <c r="W1451" s="7">
        <f t="shared" si="301"/>
        <v>-1.0428791815195045E-2</v>
      </c>
      <c r="X1451" s="7">
        <f t="shared" si="302"/>
        <v>-7.5487377832842567E-3</v>
      </c>
      <c r="Y1451">
        <f>LN(B1451/B1450)</f>
        <v>-2.3146689564617087E-2</v>
      </c>
      <c r="Z1451">
        <f>LN(C1451/C1450)</f>
        <v>5.2463097953601892E-4</v>
      </c>
    </row>
    <row r="1452" spans="1:26" x14ac:dyDescent="0.3">
      <c r="A1452" s="11">
        <v>42317</v>
      </c>
      <c r="B1452" s="12">
        <v>19276.22</v>
      </c>
      <c r="C1452" s="12">
        <v>39.468299999999999</v>
      </c>
      <c r="D1452" s="16">
        <f t="shared" si="304"/>
        <v>-1.4809881840888162E-2</v>
      </c>
      <c r="E1452" s="15">
        <f t="shared" si="303"/>
        <v>5.2500038658886972E-4</v>
      </c>
      <c r="G1452" s="25" t="str">
        <f>IF(VLOOKUP(A1452,Aux!B:C,2,FALSE)=0,"",VLOOKUP(A1452,Aux!B:C,2,FALSE))</f>
        <v/>
      </c>
      <c r="H1452" s="25" t="str">
        <f t="shared" si="292"/>
        <v/>
      </c>
      <c r="L1452" s="13">
        <f t="shared" si="295"/>
        <v>127195.75552161691</v>
      </c>
      <c r="M1452" s="14">
        <f t="shared" si="296"/>
        <v>-871.81704997598854</v>
      </c>
      <c r="N1452" s="14">
        <f t="shared" si="297"/>
        <v>36.311131567916995</v>
      </c>
      <c r="O1452" s="1">
        <f t="shared" si="298"/>
        <v>3.008651861738576</v>
      </c>
      <c r="P1452" s="1">
        <f t="shared" si="299"/>
        <v>1753.3139337477082</v>
      </c>
      <c r="S1452" s="6">
        <f t="shared" si="293"/>
        <v>0.45595417042376113</v>
      </c>
      <c r="T1452" s="6">
        <f t="shared" si="294"/>
        <v>0.54404582957623993</v>
      </c>
      <c r="V1452" s="1">
        <f t="shared" si="300"/>
        <v>132766.72895631599</v>
      </c>
      <c r="W1452" s="7">
        <f t="shared" si="301"/>
        <v>-6.5471822919888362E-3</v>
      </c>
      <c r="X1452" s="7">
        <f t="shared" si="302"/>
        <v>-4.6753069340196322E-3</v>
      </c>
      <c r="Y1452">
        <f>LN(B1452/B1451)</f>
        <v>-1.4920643075225736E-2</v>
      </c>
      <c r="Z1452">
        <f>LN(C1452/C1451)</f>
        <v>5.2486262210140768E-4</v>
      </c>
    </row>
    <row r="1453" spans="1:26" x14ac:dyDescent="0.3">
      <c r="A1453" s="9">
        <v>42318</v>
      </c>
      <c r="B1453" s="1">
        <v>19257.189999999999</v>
      </c>
      <c r="C1453" s="1">
        <v>39.489019999999996</v>
      </c>
      <c r="D1453" s="6">
        <f t="shared" si="304"/>
        <v>-9.8722674881290828E-4</v>
      </c>
      <c r="E1453" s="5">
        <f t="shared" si="303"/>
        <v>5.24978273703125E-4</v>
      </c>
      <c r="G1453" s="25" t="str">
        <f>IF(VLOOKUP(A1453,Aux!B:C,2,FALSE)=0,"",VLOOKUP(A1453,Aux!B:C,2,FALSE))</f>
        <v/>
      </c>
      <c r="H1453" s="25" t="str">
        <f t="shared" si="292"/>
        <v/>
      </c>
      <c r="L1453" s="13">
        <f t="shared" si="295"/>
        <v>127174.82954139527</v>
      </c>
      <c r="M1453" s="14">
        <f t="shared" si="296"/>
        <v>-57.254644928892546</v>
      </c>
      <c r="N1453" s="14">
        <f t="shared" si="297"/>
        <v>36.328664707247576</v>
      </c>
      <c r="O1453" s="1">
        <f t="shared" si="298"/>
        <v>3.008651861738576</v>
      </c>
      <c r="P1453" s="1">
        <f t="shared" si="299"/>
        <v>1753.3139337477082</v>
      </c>
      <c r="S1453" s="6">
        <f t="shared" si="293"/>
        <v>0.45557899117525191</v>
      </c>
      <c r="T1453" s="6">
        <f t="shared" si="294"/>
        <v>0.54442100882474909</v>
      </c>
      <c r="V1453" s="1">
        <f t="shared" si="300"/>
        <v>132769.17946524546</v>
      </c>
      <c r="W1453" s="7">
        <f t="shared" si="301"/>
        <v>-1.6453144740506741E-4</v>
      </c>
      <c r="X1453" s="7">
        <f t="shared" si="302"/>
        <v>1.8457081334962341E-5</v>
      </c>
      <c r="Y1453">
        <f>LN(B1453/B1452)</f>
        <v>-9.8771437809989471E-4</v>
      </c>
      <c r="Z1453">
        <f>LN(C1453/C1452)</f>
        <v>5.2484052081860065E-4</v>
      </c>
    </row>
    <row r="1454" spans="1:26" x14ac:dyDescent="0.3">
      <c r="A1454" s="11">
        <v>42319</v>
      </c>
      <c r="B1454" s="12">
        <v>19612.95</v>
      </c>
      <c r="C1454" s="12">
        <v>39.509749999999997</v>
      </c>
      <c r="D1454" s="16">
        <f t="shared" si="304"/>
        <v>1.8474138750253832E-2</v>
      </c>
      <c r="E1454" s="15">
        <f t="shared" si="303"/>
        <v>5.2495605107449883E-4</v>
      </c>
      <c r="G1454" s="25" t="str">
        <f>IF(VLOOKUP(A1454,Aux!B:C,2,FALSE)=0,"",VLOOKUP(A1454,Aux!B:C,2,FALSE))</f>
        <v/>
      </c>
      <c r="H1454" s="25" t="str">
        <f t="shared" si="292"/>
        <v/>
      </c>
      <c r="L1454" s="13">
        <f t="shared" si="295"/>
        <v>128281.53372557399</v>
      </c>
      <c r="M1454" s="14">
        <f t="shared" si="296"/>
        <v>1070.357986332122</v>
      </c>
      <c r="N1454" s="14">
        <f t="shared" si="297"/>
        <v>36.34619784659062</v>
      </c>
      <c r="O1454" s="1">
        <f t="shared" si="298"/>
        <v>3.008651861738576</v>
      </c>
      <c r="P1454" s="1">
        <f t="shared" si="299"/>
        <v>1753.3139337477082</v>
      </c>
      <c r="S1454" s="6">
        <f t="shared" si="293"/>
        <v>0.45999246203213862</v>
      </c>
      <c r="T1454" s="6">
        <f t="shared" si="294"/>
        <v>0.54000753796786227</v>
      </c>
      <c r="V1454" s="1">
        <f t="shared" si="300"/>
        <v>133636.30598572391</v>
      </c>
      <c r="W1454" s="7">
        <f t="shared" si="301"/>
        <v>8.664580469481863E-3</v>
      </c>
      <c r="X1454" s="7">
        <f t="shared" si="302"/>
        <v>6.5098478079330451E-3</v>
      </c>
      <c r="Y1454">
        <f>LN(B1454/B1453)</f>
        <v>1.83055648554846E-2</v>
      </c>
      <c r="Z1454">
        <f>LN(C1454/C1453)</f>
        <v>5.2481830985000365E-4</v>
      </c>
    </row>
    <row r="1455" spans="1:26" x14ac:dyDescent="0.3">
      <c r="A1455" s="9">
        <v>42320</v>
      </c>
      <c r="B1455" s="1">
        <v>19528.400000000001</v>
      </c>
      <c r="C1455" s="1">
        <v>39.53049</v>
      </c>
      <c r="D1455" s="6">
        <f t="shared" si="304"/>
        <v>-4.3109272190057224E-3</v>
      </c>
      <c r="E1455" s="5">
        <f t="shared" si="303"/>
        <v>5.2493371889217322E-4</v>
      </c>
      <c r="G1455" s="25" t="str">
        <f>IF(VLOOKUP(A1455,Aux!B:C,2,FALSE)=0,"",VLOOKUP(A1455,Aux!B:C,2,FALSE))</f>
        <v/>
      </c>
      <c r="H1455" s="25" t="str">
        <f t="shared" si="292"/>
        <v/>
      </c>
      <c r="L1455" s="13">
        <f t="shared" si="295"/>
        <v>128063.51594164992</v>
      </c>
      <c r="M1455" s="14">
        <f t="shared" si="296"/>
        <v>-254.38151490999442</v>
      </c>
      <c r="N1455" s="14">
        <f t="shared" si="297"/>
        <v>36.363730985933664</v>
      </c>
      <c r="O1455" s="1">
        <f t="shared" si="298"/>
        <v>3.008651861738576</v>
      </c>
      <c r="P1455" s="1">
        <f t="shared" si="299"/>
        <v>1753.3139337477082</v>
      </c>
      <c r="S1455" s="6">
        <f t="shared" si="293"/>
        <v>0.45878919210328412</v>
      </c>
      <c r="T1455" s="6">
        <f t="shared" si="294"/>
        <v>0.54121080789671694</v>
      </c>
      <c r="V1455" s="1">
        <f t="shared" si="300"/>
        <v>133487.64430540078</v>
      </c>
      <c r="W1455" s="7">
        <f t="shared" si="301"/>
        <v>-1.7009716924362545E-3</v>
      </c>
      <c r="X1455" s="7">
        <f t="shared" si="302"/>
        <v>-1.1130540373415463E-3</v>
      </c>
      <c r="Y1455">
        <f>LN(B1455/B1454)</f>
        <v>-4.320246057281968E-3</v>
      </c>
      <c r="Z1455">
        <f>LN(C1455/C1454)</f>
        <v>5.2479598938469211E-4</v>
      </c>
    </row>
    <row r="1456" spans="1:26" x14ac:dyDescent="0.3">
      <c r="A1456" s="11">
        <v>42321</v>
      </c>
      <c r="B1456" s="12">
        <v>19404.55</v>
      </c>
      <c r="C1456" s="12">
        <v>39.55124</v>
      </c>
      <c r="D1456" s="16">
        <f t="shared" si="304"/>
        <v>-6.3420454312694829E-3</v>
      </c>
      <c r="E1456" s="15">
        <f t="shared" si="303"/>
        <v>5.2491127734555221E-4</v>
      </c>
      <c r="G1456" s="25" t="str">
        <f>IF(VLOOKUP(A1456,Aux!B:C,2,FALSE)=0,"",VLOOKUP(A1456,Aux!B:C,2,FALSE))</f>
        <v/>
      </c>
      <c r="H1456" s="25" t="str">
        <f t="shared" si="292"/>
        <v/>
      </c>
      <c r="L1456" s="13">
        <f t="shared" si="295"/>
        <v>127727.27567269886</v>
      </c>
      <c r="M1456" s="14">
        <f t="shared" si="296"/>
        <v>-372.62153307632923</v>
      </c>
      <c r="N1456" s="14">
        <f t="shared" si="297"/>
        <v>36.381264125264245</v>
      </c>
      <c r="O1456" s="1">
        <f t="shared" si="298"/>
        <v>3.008651861738576</v>
      </c>
      <c r="P1456" s="1">
        <f t="shared" si="299"/>
        <v>1753.3139337477082</v>
      </c>
      <c r="S1456" s="6">
        <f t="shared" si="293"/>
        <v>0.45707962669854457</v>
      </c>
      <c r="T1456" s="6">
        <f t="shared" si="294"/>
        <v>0.54292037330145648</v>
      </c>
      <c r="V1456" s="1">
        <f t="shared" si="300"/>
        <v>133248.33852168088</v>
      </c>
      <c r="W1456" s="7">
        <f t="shared" si="301"/>
        <v>-2.6290271084215963E-3</v>
      </c>
      <c r="X1456" s="7">
        <f t="shared" si="302"/>
        <v>-1.7943274498589022E-3</v>
      </c>
      <c r="Y1456">
        <f>LN(B1456/B1455)</f>
        <v>-6.3622416368468012E-3</v>
      </c>
      <c r="Z1456">
        <f>LN(C1456/C1455)</f>
        <v>5.247735596119634E-4</v>
      </c>
    </row>
    <row r="1457" spans="1:26" x14ac:dyDescent="0.3">
      <c r="A1457" s="9">
        <v>42324</v>
      </c>
      <c r="B1457" s="1">
        <v>19522.18</v>
      </c>
      <c r="C1457" s="1">
        <v>39.572009999999999</v>
      </c>
      <c r="D1457" s="6">
        <f t="shared" si="304"/>
        <v>6.0619803087420543E-3</v>
      </c>
      <c r="E1457" s="5">
        <f t="shared" si="303"/>
        <v>5.2514156319749539E-4</v>
      </c>
      <c r="G1457" s="25" t="str">
        <f>IF(VLOOKUP(A1457,Aux!B:C,2,FALSE)=0,"",VLOOKUP(A1457,Aux!B:C,2,FALSE))</f>
        <v/>
      </c>
      <c r="H1457" s="25" t="str">
        <f t="shared" si="292"/>
        <v/>
      </c>
      <c r="L1457" s="13">
        <f t="shared" si="295"/>
        <v>128117.59972159911</v>
      </c>
      <c r="M1457" s="14">
        <f t="shared" si="296"/>
        <v>353.90771849631176</v>
      </c>
      <c r="N1457" s="14">
        <f t="shared" si="297"/>
        <v>36.416330403937877</v>
      </c>
      <c r="O1457" s="1">
        <f t="shared" si="298"/>
        <v>3.008651861738576</v>
      </c>
      <c r="P1457" s="1">
        <f t="shared" si="299"/>
        <v>1753.3139337477082</v>
      </c>
      <c r="S1457" s="6">
        <f t="shared" si="293"/>
        <v>0.458449450581562</v>
      </c>
      <c r="T1457" s="6">
        <f t="shared" si="294"/>
        <v>0.54155054941843905</v>
      </c>
      <c r="V1457" s="1">
        <f t="shared" si="300"/>
        <v>133566.18028762582</v>
      </c>
      <c r="W1457" s="7">
        <f t="shared" si="301"/>
        <v>3.0512579244024291E-3</v>
      </c>
      <c r="X1457" s="7">
        <f t="shared" si="302"/>
        <v>2.3824934093524424E-3</v>
      </c>
      <c r="Y1457">
        <f>LN(B1457/B1456)</f>
        <v>6.0436804245624521E-3</v>
      </c>
      <c r="Z1457">
        <f>LN(C1457/C1456)</f>
        <v>5.2500372462119574E-4</v>
      </c>
    </row>
    <row r="1458" spans="1:26" x14ac:dyDescent="0.3">
      <c r="A1458" s="11">
        <v>42325</v>
      </c>
      <c r="B1458" s="12">
        <v>19689.16</v>
      </c>
      <c r="C1458" s="12">
        <v>39.592779999999998</v>
      </c>
      <c r="D1458" s="16">
        <f t="shared" si="304"/>
        <v>8.5533480379751392E-3</v>
      </c>
      <c r="E1458" s="15">
        <f t="shared" si="303"/>
        <v>5.2486593428024975E-4</v>
      </c>
      <c r="G1458" s="25" t="str">
        <f>IF(VLOOKUP(A1458,Aux!B:C,2,FALSE)=0,"",VLOOKUP(A1458,Aux!B:C,2,FALSE))</f>
        <v/>
      </c>
      <c r="H1458" s="25" t="str">
        <f t="shared" si="292"/>
        <v/>
      </c>
      <c r="L1458" s="13">
        <f t="shared" si="295"/>
        <v>128656.40073987616</v>
      </c>
      <c r="M1458" s="14">
        <f t="shared" si="296"/>
        <v>502.38468787310609</v>
      </c>
      <c r="N1458" s="14">
        <f t="shared" si="297"/>
        <v>36.416330403937877</v>
      </c>
      <c r="O1458" s="1">
        <f t="shared" si="298"/>
        <v>3.008651861738576</v>
      </c>
      <c r="P1458" s="1">
        <f t="shared" si="299"/>
        <v>1753.3139337477082</v>
      </c>
      <c r="S1458" s="6">
        <f t="shared" si="293"/>
        <v>0.46043436276317612</v>
      </c>
      <c r="T1458" s="6">
        <f t="shared" si="294"/>
        <v>0.53956563723682482</v>
      </c>
      <c r="V1458" s="1">
        <f t="shared" si="300"/>
        <v>133997.87422984297</v>
      </c>
      <c r="W1458" s="7">
        <f t="shared" si="301"/>
        <v>4.196700663634788E-3</v>
      </c>
      <c r="X1458" s="7">
        <f t="shared" si="302"/>
        <v>3.226848371556258E-3</v>
      </c>
      <c r="Y1458">
        <f>LN(B1458/B1457)</f>
        <v>8.5169754146201693E-3</v>
      </c>
      <c r="Z1458">
        <f>LN(C1458/C1457)</f>
        <v>5.2472824033423344E-4</v>
      </c>
    </row>
    <row r="1459" spans="1:26" x14ac:dyDescent="0.3">
      <c r="A1459" s="9">
        <v>42326</v>
      </c>
      <c r="B1459" s="1">
        <v>19749.28</v>
      </c>
      <c r="C1459" s="1">
        <v>39.61356</v>
      </c>
      <c r="D1459" s="6">
        <f t="shared" si="304"/>
        <v>3.0534568259894534E-3</v>
      </c>
      <c r="E1459" s="5">
        <f t="shared" si="303"/>
        <v>5.2484316584999746E-4</v>
      </c>
      <c r="G1459" s="25" t="str">
        <f>IF(VLOOKUP(A1459,Aux!B:C,2,FALSE)=0,"",VLOOKUP(A1459,Aux!B:C,2,FALSE))</f>
        <v/>
      </c>
      <c r="H1459" s="25" t="str">
        <f t="shared" si="292"/>
        <v/>
      </c>
      <c r="L1459" s="13">
        <f t="shared" si="295"/>
        <v>128873.71475334716</v>
      </c>
      <c r="M1459" s="14">
        <f t="shared" si="296"/>
        <v>180.88014992772011</v>
      </c>
      <c r="N1459" s="14">
        <f t="shared" si="297"/>
        <v>36.433863543280914</v>
      </c>
      <c r="O1459" s="1">
        <f t="shared" si="298"/>
        <v>3.008651861738576</v>
      </c>
      <c r="P1459" s="1">
        <f t="shared" si="299"/>
        <v>1753.3139337477082</v>
      </c>
      <c r="S1459" s="6">
        <f t="shared" si="293"/>
        <v>0.46106149848880001</v>
      </c>
      <c r="T1459" s="6">
        <f t="shared" si="294"/>
        <v>0.53893850151120093</v>
      </c>
      <c r="V1459" s="1">
        <f t="shared" si="300"/>
        <v>134183.06078540199</v>
      </c>
      <c r="W1459" s="7">
        <f t="shared" si="301"/>
        <v>1.6876788536778228E-3</v>
      </c>
      <c r="X1459" s="7">
        <f t="shared" si="302"/>
        <v>1.3810570463007462E-3</v>
      </c>
      <c r="Y1459">
        <f>LN(B1459/B1458)</f>
        <v>3.0488044947511931E-3</v>
      </c>
      <c r="Z1459">
        <f>LN(C1459/C1458)</f>
        <v>5.2470548384782659E-4</v>
      </c>
    </row>
    <row r="1460" spans="1:26" x14ac:dyDescent="0.3">
      <c r="A1460" s="11">
        <v>42327</v>
      </c>
      <c r="B1460" s="12">
        <v>20028.29</v>
      </c>
      <c r="C1460" s="12">
        <v>39.634360000000001</v>
      </c>
      <c r="D1460" s="16">
        <f t="shared" si="304"/>
        <v>1.4127603639221276E-2</v>
      </c>
      <c r="E1460" s="15">
        <f t="shared" si="303"/>
        <v>5.2507272762158941E-4</v>
      </c>
      <c r="G1460" s="25" t="str">
        <f>IF(VLOOKUP(A1460,Aux!B:C,2,FALSE)=0,"",VLOOKUP(A1460,Aux!B:C,2,FALSE))</f>
        <v/>
      </c>
      <c r="H1460" s="25" t="str">
        <f t="shared" si="292"/>
        <v/>
      </c>
      <c r="L1460" s="13">
        <f t="shared" si="295"/>
        <v>129749.6276391128</v>
      </c>
      <c r="M1460" s="14">
        <f t="shared" si="296"/>
        <v>839.44395594368621</v>
      </c>
      <c r="N1460" s="14">
        <f t="shared" si="297"/>
        <v>36.468929821954546</v>
      </c>
      <c r="O1460" s="1">
        <f t="shared" si="298"/>
        <v>3.008651861738576</v>
      </c>
      <c r="P1460" s="1">
        <f t="shared" si="299"/>
        <v>1753.3139337477082</v>
      </c>
      <c r="S1460" s="6">
        <f t="shared" si="293"/>
        <v>0.46441868922770912</v>
      </c>
      <c r="T1460" s="6">
        <f t="shared" si="294"/>
        <v>0.53558131077229176</v>
      </c>
      <c r="V1460" s="1">
        <f t="shared" si="300"/>
        <v>134873.27897042339</v>
      </c>
      <c r="W1460" s="7">
        <f t="shared" si="301"/>
        <v>6.7736827369865357E-3</v>
      </c>
      <c r="X1460" s="7">
        <f t="shared" si="302"/>
        <v>5.1306703996866574E-3</v>
      </c>
      <c r="Y1460">
        <f>LN(B1460/B1459)</f>
        <v>1.4028739104845044E-2</v>
      </c>
      <c r="Z1460">
        <f>LN(C1460/C1459)</f>
        <v>5.2493492517237189E-4</v>
      </c>
    </row>
    <row r="1461" spans="1:26" x14ac:dyDescent="0.3">
      <c r="A1461" s="9">
        <v>42331</v>
      </c>
      <c r="B1461" s="1">
        <v>20036.509999999998</v>
      </c>
      <c r="C1461" s="1">
        <v>39.675980000000003</v>
      </c>
      <c r="D1461" s="6">
        <f t="shared" si="304"/>
        <v>4.1041946167141852E-4</v>
      </c>
      <c r="E1461" s="5">
        <f t="shared" si="303"/>
        <v>1.0500989545434436E-3</v>
      </c>
      <c r="G1461" s="25" t="str">
        <f>IF(VLOOKUP(A1461,Aux!B:C,2,FALSE)=0,"",VLOOKUP(A1461,Aux!B:C,2,FALSE))</f>
        <v/>
      </c>
      <c r="H1461" s="25" t="str">
        <f t="shared" si="292"/>
        <v/>
      </c>
      <c r="L1461" s="13">
        <f t="shared" si="295"/>
        <v>129847.33168333888</v>
      </c>
      <c r="M1461" s="14">
        <f t="shared" si="296"/>
        <v>24.731118303483651</v>
      </c>
      <c r="N1461" s="14">
        <f t="shared" si="297"/>
        <v>72.972925922582718</v>
      </c>
      <c r="O1461" s="1">
        <f t="shared" si="298"/>
        <v>3.008651861738576</v>
      </c>
      <c r="P1461" s="1">
        <f t="shared" si="299"/>
        <v>1753.3139337477082</v>
      </c>
      <c r="S1461" s="6">
        <f t="shared" si="293"/>
        <v>0.4642596989305609</v>
      </c>
      <c r="T1461" s="6">
        <f t="shared" si="294"/>
        <v>0.53574030106943993</v>
      </c>
      <c r="V1461" s="1">
        <f t="shared" si="300"/>
        <v>134985.35225100847</v>
      </c>
      <c r="W1461" s="7">
        <f t="shared" si="301"/>
        <v>7.5273646574620945E-4</v>
      </c>
      <c r="X1461" s="7">
        <f t="shared" si="302"/>
        <v>8.306073926276148E-4</v>
      </c>
      <c r="Y1461">
        <f>LN(B1461/B1460)</f>
        <v>4.1033526264131848E-4</v>
      </c>
      <c r="Z1461">
        <f>LN(C1461/C1460)</f>
        <v>1.0495479863166486E-3</v>
      </c>
    </row>
    <row r="1462" spans="1:26" x14ac:dyDescent="0.3">
      <c r="A1462" s="11">
        <v>42332</v>
      </c>
      <c r="B1462" s="12">
        <v>20075.04</v>
      </c>
      <c r="C1462" s="12">
        <v>39.696809999999999</v>
      </c>
      <c r="D1462" s="16">
        <f t="shared" si="304"/>
        <v>1.9229895825172427E-3</v>
      </c>
      <c r="E1462" s="15">
        <f t="shared" si="303"/>
        <v>5.2500278506029119E-4</v>
      </c>
      <c r="G1462" s="25" t="str">
        <f>IF(VLOOKUP(A1462,Aux!B:C,2,FALSE)=0,"",VLOOKUP(A1462,Aux!B:C,2,FALSE))</f>
        <v/>
      </c>
      <c r="H1462" s="25" t="str">
        <f t="shared" si="292"/>
        <v/>
      </c>
      <c r="L1462" s="13">
        <f t="shared" si="295"/>
        <v>129999.77656881163</v>
      </c>
      <c r="M1462" s="14">
        <f t="shared" si="296"/>
        <v>115.92335623279477</v>
      </c>
      <c r="N1462" s="14">
        <f t="shared" si="297"/>
        <v>36.521529239958753</v>
      </c>
      <c r="O1462" s="1">
        <f t="shared" si="298"/>
        <v>3.008651861738576</v>
      </c>
      <c r="P1462" s="1">
        <f t="shared" si="299"/>
        <v>1753.3139337477082</v>
      </c>
      <c r="S1462" s="6">
        <f t="shared" si="293"/>
        <v>0.4646070021397769</v>
      </c>
      <c r="T1462" s="6">
        <f t="shared" si="294"/>
        <v>0.53539299786022387</v>
      </c>
      <c r="V1462" s="1">
        <f t="shared" si="300"/>
        <v>135120.84177796831</v>
      </c>
      <c r="W1462" s="7">
        <f t="shared" si="301"/>
        <v>1.1733430784575173E-3</v>
      </c>
      <c r="X1462" s="7">
        <f t="shared" si="302"/>
        <v>1.0032316275515841E-3</v>
      </c>
      <c r="Y1462">
        <f>LN(B1462/B1461)</f>
        <v>1.9211430049706289E-3</v>
      </c>
      <c r="Z1462">
        <f>LN(C1462/C1461)</f>
        <v>5.2486501931428857E-4</v>
      </c>
    </row>
    <row r="1463" spans="1:26" x14ac:dyDescent="0.3">
      <c r="A1463" s="9">
        <v>42333</v>
      </c>
      <c r="B1463" s="1">
        <v>19549</v>
      </c>
      <c r="C1463" s="1">
        <v>39.717649999999999</v>
      </c>
      <c r="D1463" s="6">
        <f t="shared" si="304"/>
        <v>-2.6203683778463271E-2</v>
      </c>
      <c r="E1463" s="5">
        <f t="shared" si="303"/>
        <v>5.2497921117589108E-4</v>
      </c>
      <c r="G1463" s="25" t="str">
        <f>IF(VLOOKUP(A1463,Aux!B:C,2,FALSE)=0,"",VLOOKUP(A1463,Aux!B:C,2,FALSE))</f>
        <v/>
      </c>
      <c r="H1463" s="25" t="str">
        <f t="shared" si="292"/>
        <v/>
      </c>
      <c r="L1463" s="13">
        <f t="shared" si="295"/>
        <v>128453.64440584197</v>
      </c>
      <c r="M1463" s="14">
        <f t="shared" si="296"/>
        <v>-1582.6712253489632</v>
      </c>
      <c r="N1463" s="14">
        <f t="shared" si="297"/>
        <v>36.539062379301797</v>
      </c>
      <c r="O1463" s="1">
        <f t="shared" si="298"/>
        <v>3.008651861738576</v>
      </c>
      <c r="P1463" s="1">
        <f t="shared" si="299"/>
        <v>1753.3139337477082</v>
      </c>
      <c r="S1463" s="6">
        <f t="shared" si="293"/>
        <v>0.45787829155941417</v>
      </c>
      <c r="T1463" s="6">
        <f t="shared" si="294"/>
        <v>0.54212170844058671</v>
      </c>
      <c r="V1463" s="1">
        <f t="shared" si="300"/>
        <v>133953.87093748845</v>
      </c>
      <c r="W1463" s="7">
        <f t="shared" si="301"/>
        <v>-1.1964636424532722E-2</v>
      </c>
      <c r="X1463" s="7">
        <f t="shared" si="302"/>
        <v>-8.6740083856070727E-3</v>
      </c>
      <c r="Y1463">
        <f>LN(B1463/B1462)</f>
        <v>-2.655311813087782E-2</v>
      </c>
      <c r="Z1463">
        <f>LN(C1463/C1462)</f>
        <v>5.2484145779947168E-4</v>
      </c>
    </row>
    <row r="1464" spans="1:26" x14ac:dyDescent="0.3">
      <c r="A1464" s="11">
        <v>42334</v>
      </c>
      <c r="B1464" s="12">
        <v>19669.759999999998</v>
      </c>
      <c r="C1464" s="12">
        <v>39.738500000000002</v>
      </c>
      <c r="D1464" s="16">
        <f t="shared" si="304"/>
        <v>6.1772980715124604E-3</v>
      </c>
      <c r="E1464" s="15">
        <f t="shared" si="303"/>
        <v>5.249555298463271E-4</v>
      </c>
      <c r="G1464" s="25" t="str">
        <f>IF(VLOOKUP(A1464,Aux!B:C,2,FALSE)=0,"",VLOOKUP(A1464,Aux!B:C,2,FALSE))</f>
        <v/>
      </c>
      <c r="H1464" s="25" t="str">
        <f t="shared" si="292"/>
        <v/>
      </c>
      <c r="L1464" s="13">
        <f t="shared" si="295"/>
        <v>128853.52580018417</v>
      </c>
      <c r="M1464" s="14">
        <f t="shared" si="296"/>
        <v>363.32479882354562</v>
      </c>
      <c r="N1464" s="14">
        <f t="shared" si="297"/>
        <v>36.556595518644841</v>
      </c>
      <c r="O1464" s="1">
        <f t="shared" si="298"/>
        <v>3.008651861738576</v>
      </c>
      <c r="P1464" s="1">
        <f t="shared" si="299"/>
        <v>1753.3139337477082</v>
      </c>
      <c r="S1464" s="6">
        <f t="shared" si="293"/>
        <v>0.45927699437360975</v>
      </c>
      <c r="T1464" s="6">
        <f t="shared" si="294"/>
        <v>0.54072300562639097</v>
      </c>
      <c r="V1464" s="1">
        <f t="shared" si="300"/>
        <v>134279.11269351828</v>
      </c>
      <c r="W1464" s="7">
        <f t="shared" si="301"/>
        <v>3.108204998389577E-3</v>
      </c>
      <c r="X1464" s="7">
        <f t="shared" si="302"/>
        <v>2.4250702581147523E-3</v>
      </c>
      <c r="Y1464">
        <f>LN(B1464/B1463)</f>
        <v>6.1582967767384953E-3</v>
      </c>
      <c r="Z1464">
        <f>LN(C1464/C1463)</f>
        <v>5.2481778889531009E-4</v>
      </c>
    </row>
    <row r="1465" spans="1:26" x14ac:dyDescent="0.3">
      <c r="A1465" s="9">
        <v>42335</v>
      </c>
      <c r="B1465" s="1">
        <v>19167.53</v>
      </c>
      <c r="C1465" s="1">
        <v>39.759360000000001</v>
      </c>
      <c r="D1465" s="6">
        <f t="shared" si="304"/>
        <v>-2.553310258996544E-2</v>
      </c>
      <c r="E1465" s="5">
        <f t="shared" si="303"/>
        <v>5.2493174125856079E-4</v>
      </c>
      <c r="G1465" s="25" t="str">
        <f>IF(VLOOKUP(A1465,Aux!B:C,2,FALSE)=0,"",VLOOKUP(A1465,Aux!B:C,2,FALSE))</f>
        <v/>
      </c>
      <c r="H1465" s="25" t="str">
        <f t="shared" si="292"/>
        <v/>
      </c>
      <c r="L1465" s="13">
        <f t="shared" si="295"/>
        <v>127379.06470432118</v>
      </c>
      <c r="M1465" s="14">
        <f t="shared" si="296"/>
        <v>-1511.0352245209638</v>
      </c>
      <c r="N1465" s="14">
        <f t="shared" si="297"/>
        <v>36.574128657975422</v>
      </c>
      <c r="O1465" s="1">
        <f t="shared" si="298"/>
        <v>3.008651861738576</v>
      </c>
      <c r="P1465" s="1">
        <f t="shared" si="299"/>
        <v>1753.3139337477082</v>
      </c>
      <c r="S1465" s="6">
        <f t="shared" si="293"/>
        <v>0.45273079177722736</v>
      </c>
      <c r="T1465" s="6">
        <f t="shared" si="294"/>
        <v>0.54726920822277347</v>
      </c>
      <c r="V1465" s="1">
        <f t="shared" si="300"/>
        <v>133167.11709856594</v>
      </c>
      <c r="W1465" s="7">
        <f t="shared" si="301"/>
        <v>-1.1508897973280929E-2</v>
      </c>
      <c r="X1465" s="7">
        <f t="shared" si="302"/>
        <v>-8.3157052075280534E-3</v>
      </c>
      <c r="Y1465">
        <f>LN(B1465/B1464)</f>
        <v>-2.5864729405692104E-2</v>
      </c>
      <c r="Z1465">
        <f>LN(C1465/C1464)</f>
        <v>5.2479401278865965E-4</v>
      </c>
    </row>
    <row r="1466" spans="1:26" x14ac:dyDescent="0.3">
      <c r="A1466" s="11">
        <v>42338</v>
      </c>
      <c r="B1466" s="12">
        <v>18848.07</v>
      </c>
      <c r="C1466" s="12">
        <v>39.780230000000003</v>
      </c>
      <c r="D1466" s="16">
        <f t="shared" si="304"/>
        <v>-1.6666727533490189E-2</v>
      </c>
      <c r="E1466" s="15">
        <f t="shared" si="303"/>
        <v>5.2490784559910963E-4</v>
      </c>
      <c r="G1466" s="25" t="str">
        <f>IF(VLOOKUP(A1466,Aux!B:C,2,FALSE)=0,"",VLOOKUP(A1466,Aux!B:C,2,FALSE))</f>
        <v/>
      </c>
      <c r="H1466" s="25" t="str">
        <f t="shared" si="292"/>
        <v/>
      </c>
      <c r="L1466" s="13">
        <f t="shared" si="295"/>
        <v>126454.51244236749</v>
      </c>
      <c r="M1466" s="14">
        <f t="shared" si="296"/>
        <v>-961.14392375100283</v>
      </c>
      <c r="N1466" s="14">
        <f t="shared" si="297"/>
        <v>36.591661797318466</v>
      </c>
      <c r="O1466" s="1">
        <f t="shared" si="298"/>
        <v>3.008651861738576</v>
      </c>
      <c r="P1466" s="1">
        <f t="shared" si="299"/>
        <v>1753.3139337477082</v>
      </c>
      <c r="S1466" s="6">
        <f t="shared" si="293"/>
        <v>0.44844015290892636</v>
      </c>
      <c r="T1466" s="6">
        <f t="shared" si="294"/>
        <v>0.55155984709107464</v>
      </c>
      <c r="V1466" s="1">
        <f t="shared" si="300"/>
        <v>132476.80065826702</v>
      </c>
      <c r="W1466" s="7">
        <f t="shared" si="301"/>
        <v>-7.2847442878330908E-3</v>
      </c>
      <c r="X1466" s="7">
        <f t="shared" si="302"/>
        <v>-5.1973182750540119E-3</v>
      </c>
      <c r="Y1466">
        <f>LN(B1466/B1465)</f>
        <v>-1.6807180214847749E-2</v>
      </c>
      <c r="Z1466">
        <f>LN(C1466/C1465)</f>
        <v>5.2477012966593232E-4</v>
      </c>
    </row>
    <row r="1467" spans="1:26" x14ac:dyDescent="0.3">
      <c r="A1467" s="9">
        <v>42339</v>
      </c>
      <c r="B1467" s="1">
        <v>18851.89</v>
      </c>
      <c r="C1467" s="1">
        <v>39.801119999999997</v>
      </c>
      <c r="D1467" s="6">
        <f t="shared" si="304"/>
        <v>2.0267327105627508E-4</v>
      </c>
      <c r="E1467" s="5">
        <f t="shared" si="303"/>
        <v>5.2513522420549741E-4</v>
      </c>
      <c r="G1467" s="25" t="str">
        <f>IF(VLOOKUP(A1467,Aux!B:C,2,FALSE)=0,"",VLOOKUP(A1467,Aux!B:C,2,FALSE))</f>
        <v/>
      </c>
      <c r="H1467" s="25" t="str">
        <f t="shared" si="292"/>
        <v/>
      </c>
      <c r="L1467" s="13">
        <f t="shared" si="295"/>
        <v>126502.6322205553</v>
      </c>
      <c r="M1467" s="14">
        <f t="shared" si="296"/>
        <v>11.493050111840486</v>
      </c>
      <c r="N1467" s="14">
        <f t="shared" si="297"/>
        <v>36.626728075979635</v>
      </c>
      <c r="O1467" s="1">
        <f t="shared" si="298"/>
        <v>3.008651861738576</v>
      </c>
      <c r="P1467" s="1">
        <f t="shared" si="299"/>
        <v>1753.3139337477082</v>
      </c>
      <c r="S1467" s="6">
        <f t="shared" si="293"/>
        <v>0.44836042499813422</v>
      </c>
      <c r="T1467" s="6">
        <f t="shared" si="294"/>
        <v>0.55163957500186678</v>
      </c>
      <c r="V1467" s="1">
        <f t="shared" si="300"/>
        <v>132532.34722901223</v>
      </c>
      <c r="W1467" s="7">
        <f t="shared" si="301"/>
        <v>3.8045795332155999E-4</v>
      </c>
      <c r="X1467" s="7">
        <f t="shared" si="302"/>
        <v>4.1920493689733121E-4</v>
      </c>
      <c r="Y1467">
        <f>LN(B1467/B1466)</f>
        <v>2.0265273560348616E-4</v>
      </c>
      <c r="Z1467">
        <f>LN(C1467/C1466)</f>
        <v>5.2499738895629862E-4</v>
      </c>
    </row>
    <row r="1468" spans="1:26" x14ac:dyDescent="0.3">
      <c r="A1468" s="11">
        <v>42340</v>
      </c>
      <c r="B1468" s="12">
        <v>18807.650000000001</v>
      </c>
      <c r="C1468" s="12">
        <v>39.822009999999999</v>
      </c>
      <c r="D1468" s="16">
        <f t="shared" si="304"/>
        <v>-2.3467143082204212E-3</v>
      </c>
      <c r="E1468" s="15">
        <f t="shared" si="303"/>
        <v>5.2485960194093018E-4</v>
      </c>
      <c r="G1468" s="25" t="str">
        <f>IF(VLOOKUP(A1468,Aux!B:C,2,FALSE)=0,"",VLOOKUP(A1468,Aux!B:C,2,FALSE))</f>
        <v/>
      </c>
      <c r="H1468" s="25" t="str">
        <f t="shared" si="292"/>
        <v/>
      </c>
      <c r="L1468" s="13">
        <f t="shared" si="295"/>
        <v>126406.15619026798</v>
      </c>
      <c r="M1468" s="14">
        <f t="shared" si="296"/>
        <v>-133.10275836330848</v>
      </c>
      <c r="N1468" s="14">
        <f t="shared" si="297"/>
        <v>36.626728075992091</v>
      </c>
      <c r="O1468" s="1">
        <f t="shared" si="298"/>
        <v>3.008651861738576</v>
      </c>
      <c r="P1468" s="1">
        <f t="shared" si="299"/>
        <v>1753.3139337477082</v>
      </c>
      <c r="S1468" s="6">
        <f t="shared" si="293"/>
        <v>0.44764964692268738</v>
      </c>
      <c r="T1468" s="6">
        <f t="shared" si="294"/>
        <v>0.55235035307731362</v>
      </c>
      <c r="V1468" s="1">
        <f t="shared" si="300"/>
        <v>132477.01769860965</v>
      </c>
      <c r="W1468" s="7">
        <f t="shared" si="301"/>
        <v>-7.6293145503672781E-4</v>
      </c>
      <c r="X1468" s="7">
        <f t="shared" si="302"/>
        <v>-4.1756661106399299E-4</v>
      </c>
      <c r="Y1468">
        <f>LN(B1468/B1467)</f>
        <v>-2.3494721576772949E-3</v>
      </c>
      <c r="Z1468">
        <f>LN(C1468/C1467)</f>
        <v>5.2472191131677955E-4</v>
      </c>
    </row>
    <row r="1469" spans="1:26" x14ac:dyDescent="0.3">
      <c r="A1469" s="9">
        <v>42341</v>
      </c>
      <c r="B1469" s="1">
        <v>19390.919999999998</v>
      </c>
      <c r="C1469" s="1">
        <v>39.842910000000003</v>
      </c>
      <c r="D1469" s="6">
        <f t="shared" si="304"/>
        <v>3.1012380600446976E-2</v>
      </c>
      <c r="E1469" s="5">
        <f t="shared" si="303"/>
        <v>5.2483538626013626E-4</v>
      </c>
      <c r="G1469" s="25" t="str">
        <f>IF(VLOOKUP(A1469,Aux!B:C,2,FALSE)=0,"",VLOOKUP(A1469,Aux!B:C,2,FALSE))</f>
        <v/>
      </c>
      <c r="H1469" s="25" t="str">
        <f t="shared" si="292"/>
        <v/>
      </c>
      <c r="L1469" s="13">
        <f t="shared" si="295"/>
        <v>128197.65682287957</v>
      </c>
      <c r="M1469" s="14">
        <f t="shared" si="296"/>
        <v>1754.8563713962496</v>
      </c>
      <c r="N1469" s="14">
        <f t="shared" si="297"/>
        <v>36.644261215335135</v>
      </c>
      <c r="O1469" s="1">
        <f t="shared" si="298"/>
        <v>3.008651861738576</v>
      </c>
      <c r="P1469" s="1">
        <f t="shared" si="299"/>
        <v>1753.3139337477082</v>
      </c>
      <c r="S1469" s="6">
        <f t="shared" si="293"/>
        <v>0.45508263571016916</v>
      </c>
      <c r="T1469" s="6">
        <f t="shared" si="294"/>
        <v>0.54491736428983184</v>
      </c>
      <c r="V1469" s="1">
        <f t="shared" si="300"/>
        <v>133869.39805994893</v>
      </c>
      <c r="W1469" s="7">
        <f t="shared" si="301"/>
        <v>1.4073082243209785E-2</v>
      </c>
      <c r="X1469" s="7">
        <f t="shared" si="302"/>
        <v>1.0455504284927111E-2</v>
      </c>
      <c r="Y1469">
        <f>LN(B1469/B1468)</f>
        <v>3.0541213304572951E-2</v>
      </c>
      <c r="Z1469">
        <f>LN(C1469/C1468)</f>
        <v>5.2469770833885791E-4</v>
      </c>
    </row>
    <row r="1470" spans="1:26" x14ac:dyDescent="0.3">
      <c r="A1470" s="11">
        <v>42342</v>
      </c>
      <c r="B1470" s="12">
        <v>18971.59</v>
      </c>
      <c r="C1470" s="12">
        <v>39.86383</v>
      </c>
      <c r="D1470" s="16">
        <f t="shared" si="304"/>
        <v>-2.1625069878066561E-2</v>
      </c>
      <c r="E1470" s="15">
        <f t="shared" si="303"/>
        <v>5.2506204993552075E-4</v>
      </c>
      <c r="G1470" s="25" t="str">
        <f>IF(VLOOKUP(A1470,Aux!B:C,2,FALSE)=0,"",VLOOKUP(A1470,Aux!B:C,2,FALSE))</f>
        <v/>
      </c>
      <c r="H1470" s="25" t="str">
        <f t="shared" si="292"/>
        <v/>
      </c>
      <c r="L1470" s="13">
        <f t="shared" si="295"/>
        <v>126972.71816519073</v>
      </c>
      <c r="M1470" s="14">
        <f t="shared" si="296"/>
        <v>-1261.6179851828315</v>
      </c>
      <c r="N1470" s="14">
        <f t="shared" si="297"/>
        <v>36.679327493996304</v>
      </c>
      <c r="O1470" s="1">
        <f t="shared" si="298"/>
        <v>3.008651861738576</v>
      </c>
      <c r="P1470" s="1">
        <f t="shared" si="299"/>
        <v>1753.3139337477082</v>
      </c>
      <c r="S1470" s="6">
        <f t="shared" si="293"/>
        <v>0.44953680127869389</v>
      </c>
      <c r="T1470" s="6">
        <f t="shared" si="294"/>
        <v>0.55046319872130711</v>
      </c>
      <c r="V1470" s="1">
        <f t="shared" si="300"/>
        <v>132948.78989280178</v>
      </c>
      <c r="W1470" s="7">
        <f t="shared" si="301"/>
        <v>-9.601021021831033E-3</v>
      </c>
      <c r="X1470" s="7">
        <f t="shared" si="302"/>
        <v>-6.9006676600852244E-3</v>
      </c>
      <c r="Y1470">
        <f>LN(B1470/B1469)</f>
        <v>-2.1862318279717258E-2</v>
      </c>
      <c r="Z1470">
        <f>LN(C1470/C1469)</f>
        <v>5.2492425308986576E-4</v>
      </c>
    </row>
    <row r="1471" spans="1:26" x14ac:dyDescent="0.3">
      <c r="A1471" s="9">
        <v>42345</v>
      </c>
      <c r="B1471" s="1">
        <v>18928.45</v>
      </c>
      <c r="C1471" s="1">
        <v>39.88476</v>
      </c>
      <c r="D1471" s="6">
        <f t="shared" si="304"/>
        <v>-2.273926434210316E-3</v>
      </c>
      <c r="E1471" s="5">
        <f t="shared" si="303"/>
        <v>5.2503735842734933E-4</v>
      </c>
      <c r="G1471" s="25" t="str">
        <f>IF(VLOOKUP(A1471,Aux!B:C,2,FALSE)=0,"",VLOOKUP(A1471,Aux!B:C,2,FALSE))</f>
        <v/>
      </c>
      <c r="H1471" s="25" t="str">
        <f t="shared" si="292"/>
        <v/>
      </c>
      <c r="L1471" s="13">
        <f t="shared" si="295"/>
        <v>126879.62178450866</v>
      </c>
      <c r="M1471" s="14">
        <f t="shared" si="296"/>
        <v>-129.79324131540042</v>
      </c>
      <c r="N1471" s="14">
        <f t="shared" si="297"/>
        <v>36.696860633339348</v>
      </c>
      <c r="O1471" s="1">
        <f t="shared" si="298"/>
        <v>3.008651861738576</v>
      </c>
      <c r="P1471" s="1">
        <f t="shared" si="299"/>
        <v>1753.3139337477082</v>
      </c>
      <c r="S1471" s="6">
        <f t="shared" si="293"/>
        <v>0.44884367979160184</v>
      </c>
      <c r="T1471" s="6">
        <f t="shared" si="294"/>
        <v>0.55115632020839922</v>
      </c>
      <c r="V1471" s="1">
        <f t="shared" si="300"/>
        <v>132896.08758617588</v>
      </c>
      <c r="W1471" s="7">
        <f t="shared" si="301"/>
        <v>-7.3346879429319679E-4</v>
      </c>
      <c r="X1471" s="7">
        <f t="shared" si="302"/>
        <v>-3.9648916929368089E-4</v>
      </c>
      <c r="Y1471">
        <f>LN(B1471/B1470)</f>
        <v>-2.2765157309159465E-3</v>
      </c>
      <c r="Z1471">
        <f>LN(C1471/C1470)</f>
        <v>5.2489957453916007E-4</v>
      </c>
    </row>
    <row r="1472" spans="1:26" x14ac:dyDescent="0.3">
      <c r="A1472" s="11">
        <v>42346</v>
      </c>
      <c r="B1472" s="12">
        <v>18597.55</v>
      </c>
      <c r="C1472" s="12">
        <v>39.905700000000003</v>
      </c>
      <c r="D1472" s="16">
        <f t="shared" si="304"/>
        <v>-1.7481621580213935E-2</v>
      </c>
      <c r="E1472" s="15">
        <f t="shared" si="303"/>
        <v>5.2501256118886452E-4</v>
      </c>
      <c r="G1472" s="25" t="str">
        <f>IF(VLOOKUP(A1472,Aux!B:C,2,FALSE)=0,"",VLOOKUP(A1472,Aux!B:C,2,FALSE))</f>
        <v/>
      </c>
      <c r="H1472" s="25" t="str">
        <f t="shared" si="292"/>
        <v/>
      </c>
      <c r="L1472" s="13">
        <f t="shared" si="295"/>
        <v>125920.77327723205</v>
      </c>
      <c r="M1472" s="14">
        <f t="shared" si="296"/>
        <v>-995.56290104929917</v>
      </c>
      <c r="N1472" s="14">
        <f t="shared" si="297"/>
        <v>36.714393772682385</v>
      </c>
      <c r="O1472" s="1">
        <f t="shared" si="298"/>
        <v>3.008651861738576</v>
      </c>
      <c r="P1472" s="1">
        <f t="shared" si="299"/>
        <v>1753.3139337477082</v>
      </c>
      <c r="S1472" s="6">
        <f t="shared" si="293"/>
        <v>0.44435522412244677</v>
      </c>
      <c r="T1472" s="6">
        <f t="shared" si="294"/>
        <v>0.55564477587755434</v>
      </c>
      <c r="V1472" s="1">
        <f t="shared" si="300"/>
        <v>132179.53526497592</v>
      </c>
      <c r="W1472" s="7">
        <f t="shared" si="301"/>
        <v>-7.5858513205831479E-3</v>
      </c>
      <c r="X1472" s="7">
        <f t="shared" si="302"/>
        <v>-5.4064123954651409E-3</v>
      </c>
      <c r="Y1472">
        <f>LN(B1472/B1471)</f>
        <v>-1.7636229642896878E-2</v>
      </c>
      <c r="Z1472">
        <f>LN(C1472/C1471)</f>
        <v>5.2487479031301256E-4</v>
      </c>
    </row>
    <row r="1473" spans="1:26" x14ac:dyDescent="0.3">
      <c r="A1473" s="9">
        <v>42347</v>
      </c>
      <c r="B1473" s="1">
        <v>19230.330000000002</v>
      </c>
      <c r="C1473" s="1">
        <v>39.926639999999999</v>
      </c>
      <c r="D1473" s="6">
        <f t="shared" si="304"/>
        <v>3.402491188355472E-2</v>
      </c>
      <c r="E1473" s="5">
        <f t="shared" si="303"/>
        <v>5.2473706763689343E-4</v>
      </c>
      <c r="G1473" s="25" t="str">
        <f>IF(VLOOKUP(A1473,Aux!B:C,2,FALSE)=0,"",VLOOKUP(A1473,Aux!B:C,2,FALSE))</f>
        <v/>
      </c>
      <c r="H1473" s="25" t="str">
        <f t="shared" si="292"/>
        <v/>
      </c>
      <c r="L1473" s="13">
        <f t="shared" si="295"/>
        <v>127861.30239607565</v>
      </c>
      <c r="M1473" s="14">
        <f t="shared" si="296"/>
        <v>1903.8147250709435</v>
      </c>
      <c r="N1473" s="14">
        <f t="shared" si="297"/>
        <v>36.714393772669929</v>
      </c>
      <c r="O1473" s="1">
        <f t="shared" si="298"/>
        <v>3.008651861738576</v>
      </c>
      <c r="P1473" s="1">
        <f t="shared" si="299"/>
        <v>1753.3139337477082</v>
      </c>
      <c r="S1473" s="6">
        <f t="shared" si="293"/>
        <v>0.4525010075145533</v>
      </c>
      <c r="T1473" s="6">
        <f t="shared" si="294"/>
        <v>0.54749899248544776</v>
      </c>
      <c r="V1473" s="1">
        <f t="shared" si="300"/>
        <v>133686.22641348274</v>
      </c>
      <c r="W1473" s="7">
        <f t="shared" si="301"/>
        <v>1.5293175726915336E-2</v>
      </c>
      <c r="X1473" s="7">
        <f t="shared" si="302"/>
        <v>1.1334346092691423E-2</v>
      </c>
      <c r="Y1473">
        <f>LN(B1473/B1472)</f>
        <v>3.3458868526722772E-2</v>
      </c>
      <c r="Z1473">
        <f>LN(C1473/C1472)</f>
        <v>5.2459944128481159E-4</v>
      </c>
    </row>
    <row r="1474" spans="1:26" x14ac:dyDescent="0.3">
      <c r="A1474" s="11">
        <v>42348</v>
      </c>
      <c r="B1474" s="12">
        <v>19034.66</v>
      </c>
      <c r="C1474" s="12">
        <v>39.947609999999997</v>
      </c>
      <c r="D1474" s="16">
        <f t="shared" si="304"/>
        <v>-1.0175072398653673E-2</v>
      </c>
      <c r="E1474" s="15">
        <f t="shared" si="303"/>
        <v>5.2521324108401046E-4</v>
      </c>
      <c r="G1474" s="25" t="str">
        <f>IF(VLOOKUP(A1474,Aux!B:C,2,FALSE)=0,"",VLOOKUP(A1474,Aux!B:C,2,FALSE))</f>
        <v/>
      </c>
      <c r="H1474" s="25" t="str">
        <f t="shared" si="292"/>
        <v/>
      </c>
      <c r="L1474" s="13">
        <f t="shared" si="295"/>
        <v>127309.36647947994</v>
      </c>
      <c r="M1474" s="14">
        <f t="shared" si="296"/>
        <v>-588.70290978639287</v>
      </c>
      <c r="N1474" s="14">
        <f t="shared" si="297"/>
        <v>36.766993190686598</v>
      </c>
      <c r="O1474" s="1">
        <f t="shared" si="298"/>
        <v>3.008651861738576</v>
      </c>
      <c r="P1474" s="1">
        <f t="shared" si="299"/>
        <v>1753.3139337477082</v>
      </c>
      <c r="S1474" s="6">
        <f t="shared" si="293"/>
        <v>0.44983858478151739</v>
      </c>
      <c r="T1474" s="6">
        <f t="shared" si="294"/>
        <v>0.55016141521848372</v>
      </c>
      <c r="V1474" s="1">
        <f t="shared" si="300"/>
        <v>133281.72154662732</v>
      </c>
      <c r="W1474" s="7">
        <f t="shared" si="301"/>
        <v>-4.3260205398414631E-3</v>
      </c>
      <c r="X1474" s="7">
        <f t="shared" si="302"/>
        <v>-3.0303651018583184E-3</v>
      </c>
      <c r="Y1474">
        <f>LN(B1474/B1473)</f>
        <v>-1.0227192298401456E-2</v>
      </c>
      <c r="Z1474">
        <f>LN(C1474/C1473)</f>
        <v>5.2507536488386375E-4</v>
      </c>
    </row>
    <row r="1475" spans="1:26" x14ac:dyDescent="0.3">
      <c r="A1475" s="9">
        <v>42349</v>
      </c>
      <c r="B1475" s="1">
        <v>18900.45</v>
      </c>
      <c r="C1475" s="1">
        <v>39.96857</v>
      </c>
      <c r="D1475" s="6">
        <f t="shared" si="304"/>
        <v>-7.0508220267658794E-3</v>
      </c>
      <c r="E1475" s="5">
        <f t="shared" si="303"/>
        <v>5.2468720907206112E-4</v>
      </c>
      <c r="G1475" s="25" t="str">
        <f>IF(VLOOKUP(A1475,Aux!B:C,2,FALSE)=0,"",VLOOKUP(A1475,Aux!B:C,2,FALSE))</f>
        <v/>
      </c>
      <c r="H1475" s="25" t="str">
        <f t="shared" ref="H1475:H1538" si="305">IF(ISNUMBER(G1475),1-G1475,"")</f>
        <v/>
      </c>
      <c r="L1475" s="13">
        <f t="shared" si="295"/>
        <v>126942.32477316736</v>
      </c>
      <c r="M1475" s="14">
        <f t="shared" si="296"/>
        <v>-403.79116636393167</v>
      </c>
      <c r="N1475" s="14">
        <f t="shared" si="297"/>
        <v>36.749460051356017</v>
      </c>
      <c r="O1475" s="1">
        <f t="shared" si="298"/>
        <v>3.008651861738576</v>
      </c>
      <c r="P1475" s="1">
        <f t="shared" si="299"/>
        <v>1753.3139337477082</v>
      </c>
      <c r="S1475" s="6">
        <f t="shared" ref="S1475:S1538" si="306">O1475*B1475/L1475</f>
        <v>0.44795834787025091</v>
      </c>
      <c r="T1475" s="6">
        <f t="shared" ref="T1475:T1538" si="307">P1475*C1475/L1475</f>
        <v>0.55204165212975032</v>
      </c>
      <c r="V1475" s="1">
        <f t="shared" si="300"/>
        <v>133018.98467832961</v>
      </c>
      <c r="W1475" s="7">
        <f t="shared" si="301"/>
        <v>-2.8872331938432799E-3</v>
      </c>
      <c r="X1475" s="7">
        <f t="shared" si="302"/>
        <v>-1.9732351241033355E-3</v>
      </c>
      <c r="Y1475">
        <f>LN(B1475/B1474)</f>
        <v>-7.0757965355075208E-3</v>
      </c>
      <c r="Z1475">
        <f>LN(C1475/C1474)</f>
        <v>5.2454960886765347E-4</v>
      </c>
    </row>
    <row r="1476" spans="1:26" x14ac:dyDescent="0.3">
      <c r="A1476" s="11">
        <v>42352</v>
      </c>
      <c r="B1476" s="12">
        <v>18669.740000000002</v>
      </c>
      <c r="C1476" s="12">
        <v>39.989559999999997</v>
      </c>
      <c r="D1476" s="16">
        <f t="shared" si="304"/>
        <v>-1.220658767383842E-2</v>
      </c>
      <c r="E1476" s="15">
        <f t="shared" si="303"/>
        <v>5.2516264654944855E-4</v>
      </c>
      <c r="G1476" s="25" t="str">
        <f>IF(VLOOKUP(A1476,Aux!B:C,2,FALSE)=0,"",VLOOKUP(A1476,Aux!B:C,2,FALSE))</f>
        <v/>
      </c>
      <c r="H1476" s="25" t="str">
        <f t="shared" si="305"/>
        <v/>
      </c>
      <c r="L1476" s="13">
        <f t="shared" ref="L1476:L1539" si="308">L1475+M1476+N1476</f>
        <v>126285.00076161503</v>
      </c>
      <c r="M1476" s="14">
        <f t="shared" ref="M1476:M1539" si="309">O1475*(B1476-B1475)</f>
        <v>-694.12607102170421</v>
      </c>
      <c r="N1476" s="14">
        <f t="shared" ref="N1476:N1539" si="310">P1475*(C1476-C1475)</f>
        <v>36.802059469360223</v>
      </c>
      <c r="O1476" s="1">
        <f t="shared" ref="O1476:O1539" si="311">IF(ISNUMBER(G1476),L1476*G1476/B1476,O1475)</f>
        <v>3.008651861738576</v>
      </c>
      <c r="P1476" s="1">
        <f t="shared" ref="P1476:P1539" si="312">IF(ISNUMBER(H1476),L1476*H1476/C1476,P1475)</f>
        <v>1753.3139337477082</v>
      </c>
      <c r="S1476" s="6">
        <f t="shared" si="306"/>
        <v>0.44479350414074315</v>
      </c>
      <c r="T1476" s="6">
        <f t="shared" si="307"/>
        <v>0.55520649585925785</v>
      </c>
      <c r="V1476" s="1">
        <f t="shared" ref="V1476:V1539" si="313">$O$2*B1476+$P$2*C1476</f>
        <v>132533.6860484177</v>
      </c>
      <c r="W1476" s="7">
        <f t="shared" ref="W1476:W1539" si="314">LN(L1476/L1475)</f>
        <v>-5.1915841747579789E-3</v>
      </c>
      <c r="X1476" s="7">
        <f t="shared" ref="X1476:X1539" si="315">LN(V1476/V1475)</f>
        <v>-3.6550125355325667E-3</v>
      </c>
      <c r="Y1476">
        <f>LN(B1476/B1475)</f>
        <v>-1.2281699933929288E-2</v>
      </c>
      <c r="Z1476">
        <f>LN(C1476/C1475)</f>
        <v>5.2502479690699365E-4</v>
      </c>
    </row>
    <row r="1477" spans="1:26" x14ac:dyDescent="0.3">
      <c r="A1477" s="9">
        <v>42353</v>
      </c>
      <c r="B1477" s="1">
        <v>18694.73</v>
      </c>
      <c r="C1477" s="1">
        <v>40.010550000000002</v>
      </c>
      <c r="D1477" s="6">
        <f t="shared" si="304"/>
        <v>1.3385296206587238E-3</v>
      </c>
      <c r="E1477" s="5">
        <f t="shared" ref="E1477:E1540" si="316">C1477/C1476-1</f>
        <v>5.2488699550590212E-4</v>
      </c>
      <c r="G1477" s="25" t="str">
        <f>IF(VLOOKUP(A1477,Aux!B:C,2,FALSE)=0,"",VLOOKUP(A1477,Aux!B:C,2,FALSE))</f>
        <v/>
      </c>
      <c r="H1477" s="25" t="str">
        <f t="shared" si="305"/>
        <v/>
      </c>
      <c r="L1477" s="13">
        <f t="shared" si="308"/>
        <v>126396.98903110923</v>
      </c>
      <c r="M1477" s="14">
        <f t="shared" si="309"/>
        <v>75.186210024840889</v>
      </c>
      <c r="N1477" s="14">
        <f t="shared" si="310"/>
        <v>36.802059469372686</v>
      </c>
      <c r="O1477" s="1">
        <f t="shared" si="311"/>
        <v>3.008651861738576</v>
      </c>
      <c r="P1477" s="1">
        <f t="shared" si="312"/>
        <v>1753.3139337477082</v>
      </c>
      <c r="S1477" s="6">
        <f t="shared" si="306"/>
        <v>0.44499425698626871</v>
      </c>
      <c r="T1477" s="6">
        <f t="shared" si="307"/>
        <v>0.55500574301373251</v>
      </c>
      <c r="V1477" s="1">
        <f t="shared" si="313"/>
        <v>132638.29626293964</v>
      </c>
      <c r="W1477" s="7">
        <f t="shared" si="314"/>
        <v>8.8639698395996615E-4</v>
      </c>
      <c r="X1477" s="7">
        <f t="shared" si="315"/>
        <v>7.8899904157989965E-4</v>
      </c>
      <c r="Y1477">
        <f>LN(B1477/B1476)</f>
        <v>1.3376345884817287E-3</v>
      </c>
      <c r="Z1477">
        <f>LN(C1477/C1476)</f>
        <v>5.2474929051114338E-4</v>
      </c>
    </row>
    <row r="1478" spans="1:26" x14ac:dyDescent="0.3">
      <c r="A1478" s="11">
        <v>42354</v>
      </c>
      <c r="B1478" s="12">
        <v>18763.23</v>
      </c>
      <c r="C1478" s="12">
        <v>40.031559999999999</v>
      </c>
      <c r="D1478" s="16">
        <f t="shared" si="304"/>
        <v>3.6641342239229768E-3</v>
      </c>
      <c r="E1478" s="15">
        <f t="shared" si="316"/>
        <v>5.2511150184120226E-4</v>
      </c>
      <c r="G1478" s="25" t="str">
        <f>IF(VLOOKUP(A1478,Aux!B:C,2,FALSE)=0,"",VLOOKUP(A1478,Aux!B:C,2,FALSE))</f>
        <v/>
      </c>
      <c r="H1478" s="25" t="str">
        <f t="shared" si="305"/>
        <v/>
      </c>
      <c r="L1478" s="13">
        <f t="shared" si="308"/>
        <v>126639.91880938636</v>
      </c>
      <c r="M1478" s="14">
        <f t="shared" si="309"/>
        <v>206.09265252909245</v>
      </c>
      <c r="N1478" s="14">
        <f t="shared" si="310"/>
        <v>36.837125748033856</v>
      </c>
      <c r="O1478" s="1">
        <f t="shared" si="311"/>
        <v>3.008651861738576</v>
      </c>
      <c r="P1478" s="1">
        <f t="shared" si="312"/>
        <v>1753.3139337477082</v>
      </c>
      <c r="S1478" s="6">
        <f t="shared" si="306"/>
        <v>0.44576802798411902</v>
      </c>
      <c r="T1478" s="6">
        <f t="shared" si="307"/>
        <v>0.55423197201588215</v>
      </c>
      <c r="V1478" s="1">
        <f t="shared" si="313"/>
        <v>132843.3303120987</v>
      </c>
      <c r="W1478" s="7">
        <f t="shared" si="314"/>
        <v>1.9201139864319461E-3</v>
      </c>
      <c r="X1478" s="7">
        <f t="shared" si="315"/>
        <v>1.5446198109394281E-3</v>
      </c>
      <c r="Y1478">
        <f>LN(B1478/B1477)</f>
        <v>3.657437637260637E-3</v>
      </c>
      <c r="Z1478">
        <f>LN(C1478/C1477)</f>
        <v>5.2497367904263308E-4</v>
      </c>
    </row>
    <row r="1479" spans="1:26" x14ac:dyDescent="0.3">
      <c r="A1479" s="9">
        <v>42355</v>
      </c>
      <c r="B1479" s="1">
        <v>18872.919999999998</v>
      </c>
      <c r="C1479" s="1">
        <v>40.052570000000003</v>
      </c>
      <c r="D1479" s="6">
        <f t="shared" si="304"/>
        <v>5.8460083898133064E-3</v>
      </c>
      <c r="E1479" s="5">
        <f t="shared" si="316"/>
        <v>5.2483590447138795E-4</v>
      </c>
      <c r="G1479" s="25" t="str">
        <f>IF(VLOOKUP(A1479,Aux!B:C,2,FALSE)=0,"",VLOOKUP(A1479,Aux!B:C,2,FALSE))</f>
        <v/>
      </c>
      <c r="H1479" s="25" t="str">
        <f t="shared" si="305"/>
        <v/>
      </c>
      <c r="L1479" s="13">
        <f t="shared" si="308"/>
        <v>127006.77495784851</v>
      </c>
      <c r="M1479" s="14">
        <f t="shared" si="309"/>
        <v>330.01902271410046</v>
      </c>
      <c r="N1479" s="14">
        <f t="shared" si="310"/>
        <v>36.837125748046311</v>
      </c>
      <c r="O1479" s="1">
        <f t="shared" si="311"/>
        <v>3.008651861738576</v>
      </c>
      <c r="P1479" s="1">
        <f t="shared" si="312"/>
        <v>1753.3139337477082</v>
      </c>
      <c r="S1479" s="6">
        <f t="shared" si="306"/>
        <v>0.44707887365290744</v>
      </c>
      <c r="T1479" s="6">
        <f t="shared" si="307"/>
        <v>0.55292112634709367</v>
      </c>
      <c r="V1479" s="1">
        <f t="shared" si="313"/>
        <v>133143.39113209173</v>
      </c>
      <c r="W1479" s="7">
        <f t="shared" si="314"/>
        <v>2.8926567014774876E-3</v>
      </c>
      <c r="X1479" s="7">
        <f t="shared" si="315"/>
        <v>2.2562099765861209E-3</v>
      </c>
      <c r="Y1479">
        <f>LN(B1479/B1478)</f>
        <v>5.8289867894941545E-3</v>
      </c>
      <c r="Z1479">
        <f>LN(C1479/C1478)</f>
        <v>5.2469822627827648E-4</v>
      </c>
    </row>
    <row r="1480" spans="1:26" x14ac:dyDescent="0.3">
      <c r="A1480" s="11">
        <v>42356</v>
      </c>
      <c r="B1480" s="12">
        <v>18340.36</v>
      </c>
      <c r="C1480" s="12">
        <v>40.073599999999999</v>
      </c>
      <c r="D1480" s="16">
        <f t="shared" si="304"/>
        <v>-2.8218208946999113E-2</v>
      </c>
      <c r="E1480" s="15">
        <f t="shared" si="316"/>
        <v>5.2505993997375988E-4</v>
      </c>
      <c r="G1480" s="25" t="str">
        <f>IF(VLOOKUP(A1480,Aux!B:C,2,FALSE)=0,"",VLOOKUP(A1480,Aux!B:C,2,FALSE))</f>
        <v/>
      </c>
      <c r="H1480" s="25" t="str">
        <f t="shared" si="305"/>
        <v/>
      </c>
      <c r="L1480" s="13">
        <f t="shared" si="308"/>
        <v>125441.35951438773</v>
      </c>
      <c r="M1480" s="14">
        <f t="shared" si="309"/>
        <v>-1602.2876354874891</v>
      </c>
      <c r="N1480" s="14">
        <f t="shared" si="310"/>
        <v>36.872192026707481</v>
      </c>
      <c r="O1480" s="1">
        <f t="shared" si="311"/>
        <v>3.008651861738576</v>
      </c>
      <c r="P1480" s="1">
        <f t="shared" si="312"/>
        <v>1753.3139337477082</v>
      </c>
      <c r="S1480" s="6">
        <f t="shared" si="306"/>
        <v>0.43988488703063494</v>
      </c>
      <c r="T1480" s="6">
        <f t="shared" si="307"/>
        <v>0.56011511296936622</v>
      </c>
      <c r="V1480" s="1">
        <f t="shared" si="313"/>
        <v>131961.80347870875</v>
      </c>
      <c r="W1480" s="7">
        <f t="shared" si="314"/>
        <v>-1.2402036651697933E-2</v>
      </c>
      <c r="X1480" s="7">
        <f t="shared" si="315"/>
        <v>-8.9141631450399151E-3</v>
      </c>
      <c r="Y1480">
        <f>LN(B1480/B1479)</f>
        <v>-2.8623994525867322E-2</v>
      </c>
      <c r="Z1480">
        <f>LN(C1480/C1479)</f>
        <v>5.2492214423538214E-4</v>
      </c>
    </row>
    <row r="1481" spans="1:26" x14ac:dyDescent="0.3">
      <c r="A1481" s="9">
        <v>42359</v>
      </c>
      <c r="B1481" s="1">
        <v>18088.45</v>
      </c>
      <c r="C1481" s="1">
        <v>40.094630000000002</v>
      </c>
      <c r="D1481" s="6">
        <f t="shared" si="304"/>
        <v>-1.3735281095899943E-2</v>
      </c>
      <c r="E1481" s="5">
        <f t="shared" si="316"/>
        <v>5.2478439671022059E-4</v>
      </c>
      <c r="G1481" s="25" t="str">
        <f>IF(VLOOKUP(A1481,Aux!B:C,2,FALSE)=0,"",VLOOKUP(A1481,Aux!B:C,2,FALSE))</f>
        <v/>
      </c>
      <c r="H1481" s="25" t="str">
        <f t="shared" si="305"/>
        <v/>
      </c>
      <c r="L1481" s="13">
        <f t="shared" si="308"/>
        <v>124720.32221592389</v>
      </c>
      <c r="M1481" s="14">
        <f t="shared" si="309"/>
        <v>-757.90949049056428</v>
      </c>
      <c r="N1481" s="14">
        <f t="shared" si="310"/>
        <v>36.872192026719937</v>
      </c>
      <c r="O1481" s="1">
        <f t="shared" si="311"/>
        <v>3.008651861738576</v>
      </c>
      <c r="P1481" s="1">
        <f t="shared" si="312"/>
        <v>1753.3139337477082</v>
      </c>
      <c r="S1481" s="6">
        <f t="shared" si="306"/>
        <v>0.43635109179918991</v>
      </c>
      <c r="T1481" s="6">
        <f t="shared" si="307"/>
        <v>0.56364890820081115</v>
      </c>
      <c r="V1481" s="1">
        <f t="shared" si="313"/>
        <v>131427.68519251532</v>
      </c>
      <c r="W1481" s="7">
        <f t="shared" si="314"/>
        <v>-5.764586248183475E-3</v>
      </c>
      <c r="X1481" s="7">
        <f t="shared" si="315"/>
        <v>-4.0557352613420543E-3</v>
      </c>
      <c r="Y1481">
        <f>LN(B1481/B1480)</f>
        <v>-1.3830482822795387E-2</v>
      </c>
      <c r="Z1481">
        <f>LN(C1481/C1480)</f>
        <v>5.2464674553472589E-4</v>
      </c>
    </row>
    <row r="1482" spans="1:26" x14ac:dyDescent="0.3">
      <c r="A1482" s="11">
        <v>42360</v>
      </c>
      <c r="B1482" s="12">
        <v>18201.55</v>
      </c>
      <c r="C1482" s="12">
        <v>40.115679999999998</v>
      </c>
      <c r="D1482" s="16">
        <f t="shared" si="304"/>
        <v>6.2526087088721205E-3</v>
      </c>
      <c r="E1482" s="15">
        <f t="shared" si="316"/>
        <v>5.2500796241283787E-4</v>
      </c>
      <c r="G1482" s="25" t="str">
        <f>IF(VLOOKUP(A1482,Aux!B:C,2,FALSE)=0,"",VLOOKUP(A1482,Aux!B:C,2,FALSE))</f>
        <v/>
      </c>
      <c r="H1482" s="25" t="str">
        <f t="shared" si="305"/>
        <v/>
      </c>
      <c r="L1482" s="13">
        <f t="shared" si="308"/>
        <v>125097.50799979189</v>
      </c>
      <c r="M1482" s="14">
        <f t="shared" si="309"/>
        <v>340.27852556262854</v>
      </c>
      <c r="N1482" s="14">
        <f t="shared" si="310"/>
        <v>36.907258305381106</v>
      </c>
      <c r="O1482" s="1">
        <f t="shared" si="311"/>
        <v>3.008651861738576</v>
      </c>
      <c r="P1482" s="1">
        <f t="shared" si="312"/>
        <v>1753.3139337477082</v>
      </c>
      <c r="S1482" s="6">
        <f t="shared" si="306"/>
        <v>0.43775554101460501</v>
      </c>
      <c r="T1482" s="6">
        <f t="shared" si="307"/>
        <v>0.5622444589853961</v>
      </c>
      <c r="V1482" s="1">
        <f t="shared" si="313"/>
        <v>131735.70248708921</v>
      </c>
      <c r="W1482" s="7">
        <f t="shared" si="314"/>
        <v>3.0196889481985505E-3</v>
      </c>
      <c r="X1482" s="7">
        <f t="shared" si="315"/>
        <v>2.3408836460437517E-3</v>
      </c>
      <c r="Y1482">
        <f>LN(B1482/B1481)</f>
        <v>6.2331422529869609E-3</v>
      </c>
      <c r="Z1482">
        <f>LN(C1482/C1481)</f>
        <v>5.2487019395012363E-4</v>
      </c>
    </row>
    <row r="1483" spans="1:26" x14ac:dyDescent="0.3">
      <c r="A1483" s="9">
        <v>42361</v>
      </c>
      <c r="B1483" s="1">
        <v>18428.330000000002</v>
      </c>
      <c r="C1483" s="1">
        <v>40.136740000000003</v>
      </c>
      <c r="D1483" s="6">
        <f t="shared" si="304"/>
        <v>1.2459378459526826E-2</v>
      </c>
      <c r="E1483" s="5">
        <f t="shared" si="316"/>
        <v>5.2498175277104764E-4</v>
      </c>
      <c r="G1483" s="25" t="str">
        <f>IF(VLOOKUP(A1483,Aux!B:C,2,FALSE)=0,"",VLOOKUP(A1483,Aux!B:C,2,FALSE))</f>
        <v/>
      </c>
      <c r="H1483" s="25" t="str">
        <f t="shared" si="305"/>
        <v/>
      </c>
      <c r="L1483" s="13">
        <f t="shared" si="308"/>
        <v>125816.73486044171</v>
      </c>
      <c r="M1483" s="14">
        <f t="shared" si="309"/>
        <v>682.30206920508169</v>
      </c>
      <c r="N1483" s="14">
        <f t="shared" si="310"/>
        <v>36.924791444736606</v>
      </c>
      <c r="O1483" s="1">
        <f t="shared" si="311"/>
        <v>3.008651861738576</v>
      </c>
      <c r="P1483" s="1">
        <f t="shared" si="312"/>
        <v>1753.3139337477082</v>
      </c>
      <c r="S1483" s="6">
        <f t="shared" si="306"/>
        <v>0.44067611057251532</v>
      </c>
      <c r="T1483" s="6">
        <f t="shared" si="307"/>
        <v>0.5593238894274859</v>
      </c>
      <c r="V1483" s="1">
        <f t="shared" si="313"/>
        <v>132306.00588953545</v>
      </c>
      <c r="W1483" s="7">
        <f t="shared" si="314"/>
        <v>5.7328657176057164E-3</v>
      </c>
      <c r="X1483" s="7">
        <f t="shared" si="315"/>
        <v>4.319804570330303E-3</v>
      </c>
      <c r="Y1483">
        <f>LN(B1483/B1482)</f>
        <v>1.2382399153753318E-2</v>
      </c>
      <c r="Z1483">
        <f>LN(C1483/C1482)</f>
        <v>5.2484399806104049E-4</v>
      </c>
    </row>
    <row r="1484" spans="1:26" x14ac:dyDescent="0.3">
      <c r="A1484" s="11">
        <v>42366</v>
      </c>
      <c r="B1484" s="12">
        <v>18341.23</v>
      </c>
      <c r="C1484" s="12">
        <v>40.178890000000003</v>
      </c>
      <c r="D1484" s="16">
        <f t="shared" si="304"/>
        <v>-4.7264185088937705E-3</v>
      </c>
      <c r="E1484" s="15">
        <f t="shared" si="316"/>
        <v>1.0501600279444467E-3</v>
      </c>
      <c r="G1484" s="25" t="str">
        <f>IF(VLOOKUP(A1484,Aux!B:C,2,FALSE)=0,"",VLOOKUP(A1484,Aux!B:C,2,FALSE))</f>
        <v/>
      </c>
      <c r="H1484" s="25" t="str">
        <f t="shared" si="305"/>
        <v/>
      </c>
      <c r="L1484" s="13">
        <f t="shared" si="308"/>
        <v>125628.58346559173</v>
      </c>
      <c r="M1484" s="14">
        <f t="shared" si="309"/>
        <v>-262.05357715743656</v>
      </c>
      <c r="N1484" s="14">
        <f t="shared" si="310"/>
        <v>73.902182307464969</v>
      </c>
      <c r="O1484" s="1">
        <f t="shared" si="311"/>
        <v>3.008651861738576</v>
      </c>
      <c r="P1484" s="1">
        <f t="shared" si="312"/>
        <v>1753.3139337477082</v>
      </c>
      <c r="S1484" s="6">
        <f t="shared" si="306"/>
        <v>0.43925016316998639</v>
      </c>
      <c r="T1484" s="6">
        <f t="shared" si="307"/>
        <v>0.56074983683001489</v>
      </c>
      <c r="V1484" s="1">
        <f t="shared" si="313"/>
        <v>132199.35827601369</v>
      </c>
      <c r="W1484" s="7">
        <f t="shared" si="314"/>
        <v>-1.4965594207066695E-3</v>
      </c>
      <c r="X1484" s="7">
        <f t="shared" si="315"/>
        <v>-8.0639286569734222E-4</v>
      </c>
      <c r="Y1484">
        <f>LN(B1484/B1483)</f>
        <v>-4.7376233446240375E-3</v>
      </c>
      <c r="Z1484">
        <f>LN(C1484/C1483)</f>
        <v>1.0496089956499516E-3</v>
      </c>
    </row>
    <row r="1485" spans="1:26" x14ac:dyDescent="0.3">
      <c r="A1485" s="9">
        <v>42367</v>
      </c>
      <c r="B1485" s="1">
        <v>18282.23</v>
      </c>
      <c r="C1485" s="1">
        <v>40.199979999999996</v>
      </c>
      <c r="D1485" s="6">
        <f t="shared" si="304"/>
        <v>-3.2167962563034447E-3</v>
      </c>
      <c r="E1485" s="5">
        <f t="shared" si="316"/>
        <v>5.2490250477288392E-4</v>
      </c>
      <c r="G1485" s="25" t="str">
        <f>IF(VLOOKUP(A1485,Aux!B:C,2,FALSE)=0,"",VLOOKUP(A1485,Aux!B:C,2,FALSE))</f>
        <v/>
      </c>
      <c r="H1485" s="25" t="str">
        <f t="shared" si="305"/>
        <v/>
      </c>
      <c r="L1485" s="13">
        <f t="shared" si="308"/>
        <v>125488.05039661187</v>
      </c>
      <c r="M1485" s="14">
        <f t="shared" si="309"/>
        <v>-177.51045984257598</v>
      </c>
      <c r="N1485" s="14">
        <f t="shared" si="310"/>
        <v>36.977390862728356</v>
      </c>
      <c r="O1485" s="1">
        <f t="shared" si="311"/>
        <v>3.008651861738576</v>
      </c>
      <c r="P1485" s="1">
        <f t="shared" si="312"/>
        <v>1753.3139337477082</v>
      </c>
      <c r="S1485" s="6">
        <f t="shared" si="306"/>
        <v>0.43832751526848135</v>
      </c>
      <c r="T1485" s="6">
        <f t="shared" si="307"/>
        <v>0.56167248473151998</v>
      </c>
      <c r="V1485" s="1">
        <f t="shared" si="313"/>
        <v>132110.42433579583</v>
      </c>
      <c r="W1485" s="7">
        <f t="shared" si="314"/>
        <v>-1.1192654304859318E-3</v>
      </c>
      <c r="X1485" s="7">
        <f t="shared" si="315"/>
        <v>-6.7295234172041628E-4</v>
      </c>
      <c r="Y1485">
        <f>LN(B1485/B1484)</f>
        <v>-3.221981267783607E-3</v>
      </c>
      <c r="Z1485">
        <f>LN(C1485/C1484)</f>
        <v>5.2476479164166318E-4</v>
      </c>
    </row>
    <row r="1486" spans="1:26" x14ac:dyDescent="0.3">
      <c r="A1486" s="11">
        <v>42368</v>
      </c>
      <c r="B1486" s="12">
        <v>18133.57</v>
      </c>
      <c r="C1486" s="12">
        <v>40.221089999999997</v>
      </c>
      <c r="D1486" s="16">
        <f t="shared" si="304"/>
        <v>-8.1313931615563106E-3</v>
      </c>
      <c r="E1486" s="15">
        <f t="shared" si="316"/>
        <v>5.2512463936560394E-4</v>
      </c>
      <c r="G1486" s="25">
        <f>IF(VLOOKUP(A1486,Aux!B:C,2,FALSE)=0,"",VLOOKUP(A1486,Aux!B:C,2,FALSE))</f>
        <v>0.5</v>
      </c>
      <c r="H1486" s="25">
        <f t="shared" si="305"/>
        <v>0.5</v>
      </c>
      <c r="L1486" s="13">
        <f t="shared" si="308"/>
        <v>125077.79666798723</v>
      </c>
      <c r="M1486" s="14">
        <f t="shared" si="309"/>
        <v>-447.26618576605625</v>
      </c>
      <c r="N1486" s="14">
        <f t="shared" si="310"/>
        <v>37.012457141414444</v>
      </c>
      <c r="O1486" s="1">
        <f t="shared" si="311"/>
        <v>3.4487912933853409</v>
      </c>
      <c r="P1486" s="1">
        <f t="shared" si="312"/>
        <v>1554.8782575010678</v>
      </c>
      <c r="S1486" s="6">
        <f t="shared" si="306"/>
        <v>0.5</v>
      </c>
      <c r="T1486" s="6">
        <f t="shared" si="307"/>
        <v>0.5</v>
      </c>
      <c r="V1486" s="1">
        <f t="shared" si="313"/>
        <v>131814.68638190362</v>
      </c>
      <c r="W1486" s="7">
        <f t="shared" si="314"/>
        <v>-3.2746210230285865E-3</v>
      </c>
      <c r="X1486" s="7">
        <f t="shared" si="315"/>
        <v>-2.2410757117023701E-3</v>
      </c>
      <c r="Y1486">
        <f>LN(B1486/B1485)</f>
        <v>-8.1646332537358059E-3</v>
      </c>
      <c r="Z1486">
        <f>LN(C1486/C1485)</f>
        <v>5.2498680967190403E-4</v>
      </c>
    </row>
    <row r="1487" spans="1:26" x14ac:dyDescent="0.3">
      <c r="A1487" s="9">
        <v>42373</v>
      </c>
      <c r="B1487" s="1">
        <v>17613.72</v>
      </c>
      <c r="C1487" s="1">
        <v>40.263330000000003</v>
      </c>
      <c r="D1487" s="6">
        <f t="shared" si="304"/>
        <v>-2.8667824372145101E-2</v>
      </c>
      <c r="E1487" s="5">
        <f t="shared" si="316"/>
        <v>1.0501953079840032E-3</v>
      </c>
      <c r="G1487" s="25" t="str">
        <f>IF(VLOOKUP(A1487,Aux!B:C,2,FALSE)=0,"",VLOOKUP(A1487,Aux!B:C,2,FALSE))</f>
        <v/>
      </c>
      <c r="H1487" s="25" t="str">
        <f t="shared" si="305"/>
        <v/>
      </c>
      <c r="L1487" s="13">
        <f t="shared" si="308"/>
        <v>123350.62057171772</v>
      </c>
      <c r="M1487" s="14">
        <f t="shared" si="309"/>
        <v>-1792.8541538663644</v>
      </c>
      <c r="N1487" s="14">
        <f t="shared" si="310"/>
        <v>65.678057596855552</v>
      </c>
      <c r="O1487" s="1">
        <f t="shared" si="311"/>
        <v>3.4487912933853409</v>
      </c>
      <c r="P1487" s="1">
        <f t="shared" si="312"/>
        <v>1554.8782575010678</v>
      </c>
      <c r="S1487" s="6">
        <f t="shared" si="306"/>
        <v>0.49246646590487703</v>
      </c>
      <c r="T1487" s="6">
        <f t="shared" si="307"/>
        <v>0.50753353409512303</v>
      </c>
      <c r="V1487" s="1">
        <f t="shared" si="313"/>
        <v>130709.87072262744</v>
      </c>
      <c r="W1487" s="7">
        <f t="shared" si="314"/>
        <v>-1.3905043106806429E-2</v>
      </c>
      <c r="X1487" s="7">
        <f t="shared" si="315"/>
        <v>-8.4169054045428512E-3</v>
      </c>
      <c r="Y1487">
        <f>LN(B1487/B1486)</f>
        <v>-2.908677276829669E-2</v>
      </c>
      <c r="Z1487">
        <f>LN(C1487/C1486)</f>
        <v>1.0496442386780671E-3</v>
      </c>
    </row>
    <row r="1488" spans="1:26" x14ac:dyDescent="0.3">
      <c r="A1488" s="11">
        <v>42374</v>
      </c>
      <c r="B1488" s="12">
        <v>17735.72</v>
      </c>
      <c r="C1488" s="12">
        <v>40.284460000000003</v>
      </c>
      <c r="D1488" s="16">
        <f t="shared" si="304"/>
        <v>6.9264187235860142E-3</v>
      </c>
      <c r="E1488" s="15">
        <f t="shared" si="316"/>
        <v>5.2479514237901981E-4</v>
      </c>
      <c r="G1488" s="25" t="str">
        <f>IF(VLOOKUP(A1488,Aux!B:C,2,FALSE)=0,"",VLOOKUP(A1488,Aux!B:C,2,FALSE))</f>
        <v/>
      </c>
      <c r="H1488" s="25" t="str">
        <f t="shared" si="305"/>
        <v/>
      </c>
      <c r="L1488" s="13">
        <f t="shared" si="308"/>
        <v>123804.22768709173</v>
      </c>
      <c r="M1488" s="14">
        <f t="shared" si="309"/>
        <v>420.75253779301158</v>
      </c>
      <c r="N1488" s="14">
        <f t="shared" si="310"/>
        <v>32.854577580996668</v>
      </c>
      <c r="O1488" s="1">
        <f t="shared" si="311"/>
        <v>3.4487912933853409</v>
      </c>
      <c r="P1488" s="1">
        <f t="shared" si="312"/>
        <v>1554.8782575010678</v>
      </c>
      <c r="S1488" s="6">
        <f t="shared" si="306"/>
        <v>0.49406064607515604</v>
      </c>
      <c r="T1488" s="6">
        <f t="shared" si="307"/>
        <v>0.5059393539248439</v>
      </c>
      <c r="V1488" s="1">
        <f t="shared" si="313"/>
        <v>131038.59959912194</v>
      </c>
      <c r="W1488" s="7">
        <f t="shared" si="314"/>
        <v>3.6706350523014759E-3</v>
      </c>
      <c r="X1488" s="7">
        <f t="shared" si="315"/>
        <v>2.5117934704453424E-3</v>
      </c>
      <c r="Y1488">
        <f>LN(B1488/B1487)</f>
        <v>6.9025412787995432E-3</v>
      </c>
      <c r="Z1488">
        <f>LN(C1488/C1487)</f>
        <v>5.2465748556726596E-4</v>
      </c>
    </row>
    <row r="1489" spans="1:26" x14ac:dyDescent="0.3">
      <c r="A1489" s="9">
        <v>42375</v>
      </c>
      <c r="B1489" s="1">
        <v>17483.419999999998</v>
      </c>
      <c r="C1489" s="1">
        <v>40.305610000000001</v>
      </c>
      <c r="D1489" s="6">
        <f t="shared" si="304"/>
        <v>-1.4225529045339136E-2</v>
      </c>
      <c r="E1489" s="5">
        <f t="shared" si="316"/>
        <v>5.2501634625357063E-4</v>
      </c>
      <c r="G1489" s="25" t="str">
        <f>IF(VLOOKUP(A1489,Aux!B:C,2,FALSE)=0,"",VLOOKUP(A1489,Aux!B:C,2,FALSE))</f>
        <v/>
      </c>
      <c r="H1489" s="25" t="str">
        <f t="shared" si="305"/>
        <v/>
      </c>
      <c r="L1489" s="13">
        <f t="shared" si="308"/>
        <v>122966.98331891674</v>
      </c>
      <c r="M1489" s="14">
        <f t="shared" si="309"/>
        <v>-870.13004332113155</v>
      </c>
      <c r="N1489" s="14">
        <f t="shared" si="310"/>
        <v>32.885675146145516</v>
      </c>
      <c r="O1489" s="1">
        <f t="shared" si="311"/>
        <v>3.4487912933853409</v>
      </c>
      <c r="P1489" s="1">
        <f t="shared" si="312"/>
        <v>1554.8782575010678</v>
      </c>
      <c r="S1489" s="6">
        <f t="shared" si="306"/>
        <v>0.49034842562754272</v>
      </c>
      <c r="T1489" s="6">
        <f t="shared" si="307"/>
        <v>0.50965157437245734</v>
      </c>
      <c r="V1489" s="1">
        <f t="shared" si="313"/>
        <v>130503.85002518159</v>
      </c>
      <c r="W1489" s="7">
        <f t="shared" si="314"/>
        <v>-6.7856179601226982E-3</v>
      </c>
      <c r="X1489" s="7">
        <f t="shared" si="315"/>
        <v>-4.0892047915266827E-3</v>
      </c>
      <c r="Y1489">
        <f>LN(B1489/B1488)</f>
        <v>-1.4327681825796634E-2</v>
      </c>
      <c r="Z1489">
        <f>LN(C1489/C1488)</f>
        <v>5.2487857339154778E-4</v>
      </c>
    </row>
    <row r="1490" spans="1:26" x14ac:dyDescent="0.3">
      <c r="A1490" s="11">
        <v>42376</v>
      </c>
      <c r="B1490" s="12">
        <v>17027.97</v>
      </c>
      <c r="C1490" s="12">
        <v>40.326770000000003</v>
      </c>
      <c r="D1490" s="16">
        <f t="shared" si="304"/>
        <v>-2.6050395174399332E-2</v>
      </c>
      <c r="E1490" s="15">
        <f t="shared" si="316"/>
        <v>5.2498895315067351E-4</v>
      </c>
      <c r="G1490" s="25" t="str">
        <f>IF(VLOOKUP(A1490,Aux!B:C,2,FALSE)=0,"",VLOOKUP(A1490,Aux!B:C,2,FALSE))</f>
        <v/>
      </c>
      <c r="H1490" s="25" t="str">
        <f t="shared" si="305"/>
        <v/>
      </c>
      <c r="L1490" s="13">
        <f t="shared" si="308"/>
        <v>121429.13254827312</v>
      </c>
      <c r="M1490" s="14">
        <f t="shared" si="309"/>
        <v>-1570.7519945723434</v>
      </c>
      <c r="N1490" s="14">
        <f t="shared" si="310"/>
        <v>32.901223928725464</v>
      </c>
      <c r="O1490" s="1">
        <f t="shared" si="311"/>
        <v>3.4487912933853409</v>
      </c>
      <c r="P1490" s="1">
        <f t="shared" si="312"/>
        <v>1554.8782575010678</v>
      </c>
      <c r="S1490" s="6">
        <f t="shared" si="306"/>
        <v>0.48362294490311702</v>
      </c>
      <c r="T1490" s="6">
        <f t="shared" si="307"/>
        <v>0.51637705509688303</v>
      </c>
      <c r="V1490" s="1">
        <f t="shared" si="313"/>
        <v>129500.44866634085</v>
      </c>
      <c r="W1490" s="7">
        <f t="shared" si="314"/>
        <v>-1.2585069633451962E-2</v>
      </c>
      <c r="X1490" s="7">
        <f t="shared" si="315"/>
        <v>-7.718382697701252E-3</v>
      </c>
      <c r="Y1490">
        <f>LN(B1490/B1489)</f>
        <v>-2.6395717103645265E-2</v>
      </c>
      <c r="Z1490">
        <f>LN(C1490/C1489)</f>
        <v>5.2485119466255594E-4</v>
      </c>
    </row>
    <row r="1491" spans="1:26" x14ac:dyDescent="0.3">
      <c r="A1491" s="9">
        <v>42377</v>
      </c>
      <c r="B1491" s="1">
        <v>17014.88</v>
      </c>
      <c r="C1491" s="1">
        <v>40.347940000000001</v>
      </c>
      <c r="D1491" s="6">
        <f t="shared" si="304"/>
        <v>-7.6873520449005639E-4</v>
      </c>
      <c r="E1491" s="5">
        <f t="shared" si="316"/>
        <v>5.2496145860425614E-4</v>
      </c>
      <c r="G1491" s="25" t="str">
        <f>IF(VLOOKUP(A1491,Aux!B:C,2,FALSE)=0,"",VLOOKUP(A1491,Aux!B:C,2,FALSE))</f>
        <v/>
      </c>
      <c r="H1491" s="25" t="str">
        <f t="shared" si="305"/>
        <v/>
      </c>
      <c r="L1491" s="13">
        <f t="shared" si="308"/>
        <v>121416.904642954</v>
      </c>
      <c r="M1491" s="14">
        <f t="shared" si="309"/>
        <v>-45.14467803041461</v>
      </c>
      <c r="N1491" s="14">
        <f t="shared" si="310"/>
        <v>32.916772711294357</v>
      </c>
      <c r="O1491" s="1">
        <f t="shared" si="311"/>
        <v>3.4487912933853409</v>
      </c>
      <c r="P1491" s="1">
        <f t="shared" si="312"/>
        <v>1554.8782575010678</v>
      </c>
      <c r="S1491" s="6">
        <f t="shared" si="306"/>
        <v>0.48329983517992525</v>
      </c>
      <c r="T1491" s="6">
        <f t="shared" si="307"/>
        <v>0.51670016482007475</v>
      </c>
      <c r="V1491" s="1">
        <f t="shared" si="313"/>
        <v>129517.60967266033</v>
      </c>
      <c r="W1491" s="7">
        <f t="shared" si="314"/>
        <v>-1.0070500199120733E-4</v>
      </c>
      <c r="X1491" s="7">
        <f t="shared" si="315"/>
        <v>1.3250818460019281E-4</v>
      </c>
      <c r="Y1491">
        <f>LN(B1491/B1490)</f>
        <v>-7.6903083291372841E-4</v>
      </c>
      <c r="Z1491">
        <f>LN(C1491/C1490)</f>
        <v>5.248237145425202E-4</v>
      </c>
    </row>
    <row r="1492" spans="1:26" x14ac:dyDescent="0.3">
      <c r="A1492" s="11">
        <v>42380</v>
      </c>
      <c r="B1492" s="12">
        <v>16732.189999999999</v>
      </c>
      <c r="C1492" s="12">
        <v>40.369120000000002</v>
      </c>
      <c r="D1492" s="16">
        <f t="shared" si="304"/>
        <v>-1.6614281146855148E-2</v>
      </c>
      <c r="E1492" s="15">
        <f t="shared" si="316"/>
        <v>5.2493386279461873E-4</v>
      </c>
      <c r="G1492" s="25" t="str">
        <f>IF(VLOOKUP(A1492,Aux!B:C,2,FALSE)=0,"",VLOOKUP(A1492,Aux!B:C,2,FALSE))</f>
        <v/>
      </c>
      <c r="H1492" s="25" t="str">
        <f t="shared" si="305"/>
        <v/>
      </c>
      <c r="L1492" s="13">
        <f t="shared" si="308"/>
        <v>120474.89815372077</v>
      </c>
      <c r="M1492" s="14">
        <f t="shared" si="309"/>
        <v>-974.93881072711008</v>
      </c>
      <c r="N1492" s="14">
        <f t="shared" si="310"/>
        <v>32.932321493874305</v>
      </c>
      <c r="O1492" s="1">
        <f t="shared" si="311"/>
        <v>3.4487912933853409</v>
      </c>
      <c r="P1492" s="1">
        <f t="shared" si="312"/>
        <v>1554.8782575010678</v>
      </c>
      <c r="S1492" s="6">
        <f t="shared" si="306"/>
        <v>0.47898634550111102</v>
      </c>
      <c r="T1492" s="6">
        <f t="shared" si="307"/>
        <v>0.52101365449888892</v>
      </c>
      <c r="V1492" s="1">
        <f t="shared" si="313"/>
        <v>128912.81641964594</v>
      </c>
      <c r="W1492" s="7">
        <f t="shared" si="314"/>
        <v>-7.7886992488469687E-3</v>
      </c>
      <c r="X1492" s="7">
        <f t="shared" si="315"/>
        <v>-4.6805197535975014E-3</v>
      </c>
      <c r="Y1492">
        <f>LN(B1492/B1491)</f>
        <v>-1.6753846325381128E-2</v>
      </c>
      <c r="Z1492">
        <f>LN(C1492/C1491)</f>
        <v>5.2479613321163802E-4</v>
      </c>
    </row>
    <row r="1493" spans="1:26" x14ac:dyDescent="0.3">
      <c r="A1493" s="9">
        <v>42381</v>
      </c>
      <c r="B1493" s="1">
        <v>16584.009999999998</v>
      </c>
      <c r="C1493" s="1">
        <v>40.390309999999999</v>
      </c>
      <c r="D1493" s="6">
        <f t="shared" si="304"/>
        <v>-8.85598358612949E-3</v>
      </c>
      <c r="E1493" s="5">
        <f t="shared" si="316"/>
        <v>5.2490616590095129E-4</v>
      </c>
      <c r="G1493" s="25" t="str">
        <f>IF(VLOOKUP(A1493,Aux!B:C,2,FALSE)=0,"",VLOOKUP(A1493,Aux!B:C,2,FALSE))</f>
        <v/>
      </c>
      <c r="H1493" s="25" t="str">
        <f t="shared" si="305"/>
        <v/>
      </c>
      <c r="L1493" s="13">
        <f t="shared" si="308"/>
        <v>119996.80413014338</v>
      </c>
      <c r="M1493" s="14">
        <f t="shared" si="309"/>
        <v>-511.0418938538408</v>
      </c>
      <c r="N1493" s="14">
        <f t="shared" si="310"/>
        <v>32.947870276443204</v>
      </c>
      <c r="O1493" s="1">
        <f t="shared" si="311"/>
        <v>3.4487912933853409</v>
      </c>
      <c r="P1493" s="1">
        <f t="shared" si="312"/>
        <v>1554.8782575010678</v>
      </c>
      <c r="S1493" s="6">
        <f t="shared" si="306"/>
        <v>0.47663593803201965</v>
      </c>
      <c r="T1493" s="6">
        <f t="shared" si="307"/>
        <v>0.52336406196798024</v>
      </c>
      <c r="V1493" s="1">
        <f t="shared" si="313"/>
        <v>128618.36481314115</v>
      </c>
      <c r="W1493" s="7">
        <f t="shared" si="314"/>
        <v>-3.9763069747163144E-3</v>
      </c>
      <c r="X1493" s="7">
        <f t="shared" si="315"/>
        <v>-2.286726860844409E-3</v>
      </c>
      <c r="Y1493">
        <f>LN(B1493/B1492)</f>
        <v>-8.8954308778406866E-3</v>
      </c>
      <c r="Z1493">
        <f>LN(C1493/C1492)</f>
        <v>5.247684508489967E-4</v>
      </c>
    </row>
    <row r="1494" spans="1:26" x14ac:dyDescent="0.3">
      <c r="A1494" s="11">
        <v>42382</v>
      </c>
      <c r="B1494" s="12">
        <v>16357.96</v>
      </c>
      <c r="C1494" s="12">
        <v>40.411520000000003</v>
      </c>
      <c r="D1494" s="16">
        <f t="shared" si="304"/>
        <v>-1.3630599595634507E-2</v>
      </c>
      <c r="E1494" s="15">
        <f t="shared" si="316"/>
        <v>5.2512595223963565E-4</v>
      </c>
      <c r="G1494" s="25" t="str">
        <f>IF(VLOOKUP(A1494,Aux!B:C,2,FALSE)=0,"",VLOOKUP(A1494,Aux!B:C,2,FALSE))</f>
        <v/>
      </c>
      <c r="H1494" s="25" t="str">
        <f t="shared" si="305"/>
        <v/>
      </c>
      <c r="L1494" s="13">
        <f t="shared" si="308"/>
        <v>119250.18382611523</v>
      </c>
      <c r="M1494" s="14">
        <f t="shared" si="309"/>
        <v>-779.59927186975381</v>
      </c>
      <c r="N1494" s="14">
        <f t="shared" si="310"/>
        <v>32.978967841603094</v>
      </c>
      <c r="O1494" s="1">
        <f t="shared" si="311"/>
        <v>3.4487912933853409</v>
      </c>
      <c r="P1494" s="1">
        <f t="shared" si="312"/>
        <v>1554.8782575010678</v>
      </c>
      <c r="S1494" s="6">
        <f t="shared" si="306"/>
        <v>0.47308262524615918</v>
      </c>
      <c r="T1494" s="6">
        <f t="shared" si="307"/>
        <v>0.52691737475384071</v>
      </c>
      <c r="V1494" s="1">
        <f t="shared" si="313"/>
        <v>128144.30913537843</v>
      </c>
      <c r="W1494" s="7">
        <f t="shared" si="314"/>
        <v>-6.2414388925478232E-3</v>
      </c>
      <c r="X1494" s="7">
        <f t="shared" si="315"/>
        <v>-3.6925633240940513E-3</v>
      </c>
      <c r="Y1494">
        <f>LN(B1494/B1493)</f>
        <v>-1.3724349101048349E-2</v>
      </c>
      <c r="Z1494">
        <f>LN(C1494/C1493)</f>
        <v>5.249881218568742E-4</v>
      </c>
    </row>
    <row r="1495" spans="1:26" x14ac:dyDescent="0.3">
      <c r="A1495" s="9">
        <v>42383</v>
      </c>
      <c r="B1495" s="1">
        <v>16561.439999999999</v>
      </c>
      <c r="C1495" s="1">
        <v>40.432729999999999</v>
      </c>
      <c r="D1495" s="6">
        <f t="shared" si="304"/>
        <v>1.243920391051212E-2</v>
      </c>
      <c r="E1495" s="5">
        <f t="shared" si="316"/>
        <v>5.2485033970506301E-4</v>
      </c>
      <c r="G1495" s="25" t="str">
        <f>IF(VLOOKUP(A1495,Aux!B:C,2,FALSE)=0,"",VLOOKUP(A1495,Aux!B:C,2,FALSE))</f>
        <v/>
      </c>
      <c r="H1495" s="25" t="str">
        <f t="shared" si="305"/>
        <v/>
      </c>
      <c r="L1495" s="13">
        <f t="shared" si="308"/>
        <v>119984.92284633487</v>
      </c>
      <c r="M1495" s="14">
        <f t="shared" si="309"/>
        <v>701.7600523780477</v>
      </c>
      <c r="N1495" s="14">
        <f t="shared" si="310"/>
        <v>32.978967841592045</v>
      </c>
      <c r="O1495" s="1">
        <f t="shared" si="311"/>
        <v>3.4487912933853409</v>
      </c>
      <c r="P1495" s="1">
        <f t="shared" si="312"/>
        <v>1554.8782575010678</v>
      </c>
      <c r="S1495" s="6">
        <f t="shared" si="306"/>
        <v>0.47603439434697642</v>
      </c>
      <c r="T1495" s="6">
        <f t="shared" si="307"/>
        <v>0.52396560565302353</v>
      </c>
      <c r="V1495" s="1">
        <f t="shared" si="313"/>
        <v>128661.1941926555</v>
      </c>
      <c r="W1495" s="7">
        <f t="shared" si="314"/>
        <v>6.1424206550517498E-3</v>
      </c>
      <c r="X1495" s="7">
        <f t="shared" si="315"/>
        <v>4.0255037261647114E-3</v>
      </c>
      <c r="Y1495">
        <f>LN(B1495/B1494)</f>
        <v>1.2362472675270865E-2</v>
      </c>
      <c r="Z1495">
        <f>LN(C1495/C1494)</f>
        <v>5.2471265393969275E-4</v>
      </c>
    </row>
    <row r="1496" spans="1:26" x14ac:dyDescent="0.3">
      <c r="A1496" s="11">
        <v>42384</v>
      </c>
      <c r="B1496" s="12">
        <v>16187.3</v>
      </c>
      <c r="C1496" s="12">
        <v>40.453960000000002</v>
      </c>
      <c r="D1496" s="16">
        <f t="shared" si="304"/>
        <v>-2.259103073162716E-2</v>
      </c>
      <c r="E1496" s="15">
        <f t="shared" si="316"/>
        <v>5.2506966509557884E-4</v>
      </c>
      <c r="G1496" s="25" t="str">
        <f>IF(VLOOKUP(A1496,Aux!B:C,2,FALSE)=0,"",VLOOKUP(A1496,Aux!B:C,2,FALSE))</f>
        <v/>
      </c>
      <c r="H1496" s="25" t="str">
        <f t="shared" si="305"/>
        <v/>
      </c>
      <c r="L1496" s="13">
        <f t="shared" si="308"/>
        <v>118727.60213723443</v>
      </c>
      <c r="M1496" s="14">
        <f t="shared" si="309"/>
        <v>-1290.3307745071895</v>
      </c>
      <c r="N1496" s="14">
        <f t="shared" si="310"/>
        <v>33.010065406751941</v>
      </c>
      <c r="O1496" s="1">
        <f t="shared" si="311"/>
        <v>3.4487912933853409</v>
      </c>
      <c r="P1496" s="1">
        <f t="shared" si="312"/>
        <v>1554.8782575010678</v>
      </c>
      <c r="S1496" s="6">
        <f t="shared" si="306"/>
        <v>0.47020758693406323</v>
      </c>
      <c r="T1496" s="6">
        <f t="shared" si="307"/>
        <v>0.52979241306593683</v>
      </c>
      <c r="V1496" s="1">
        <f t="shared" si="313"/>
        <v>127845.53444732608</v>
      </c>
      <c r="W1496" s="7">
        <f t="shared" si="314"/>
        <v>-1.0534280397311939E-2</v>
      </c>
      <c r="X1496" s="7">
        <f t="shared" si="315"/>
        <v>-6.3597746451588832E-3</v>
      </c>
      <c r="Y1496">
        <f>LN(B1496/B1495)</f>
        <v>-2.2850117527278509E-2</v>
      </c>
      <c r="Z1496">
        <f>LN(C1496/C1495)</f>
        <v>5.2493186425356169E-4</v>
      </c>
    </row>
    <row r="1497" spans="1:26" x14ac:dyDescent="0.3">
      <c r="A1497" s="9">
        <v>42387</v>
      </c>
      <c r="B1497" s="1">
        <v>15927.16</v>
      </c>
      <c r="C1497" s="1">
        <v>40.475189999999998</v>
      </c>
      <c r="D1497" s="6">
        <f t="shared" si="304"/>
        <v>-1.6070623266387862E-2</v>
      </c>
      <c r="E1497" s="5">
        <f t="shared" si="316"/>
        <v>5.2479411162709155E-4</v>
      </c>
      <c r="G1497" s="25" t="str">
        <f>IF(VLOOKUP(A1497,Aux!B:C,2,FALSE)=0,"",VLOOKUP(A1497,Aux!B:C,2,FALSE))</f>
        <v/>
      </c>
      <c r="H1497" s="25" t="str">
        <f t="shared" si="305"/>
        <v/>
      </c>
      <c r="L1497" s="13">
        <f t="shared" si="308"/>
        <v>117863.4436355799</v>
      </c>
      <c r="M1497" s="14">
        <f t="shared" si="309"/>
        <v>-897.16856706126055</v>
      </c>
      <c r="N1497" s="14">
        <f t="shared" si="310"/>
        <v>33.010065406740893</v>
      </c>
      <c r="O1497" s="1">
        <f t="shared" si="311"/>
        <v>3.4487912933853409</v>
      </c>
      <c r="P1497" s="1">
        <f t="shared" si="312"/>
        <v>1554.8782575010678</v>
      </c>
      <c r="S1497" s="6">
        <f t="shared" si="306"/>
        <v>0.46604315165091187</v>
      </c>
      <c r="T1497" s="6">
        <f t="shared" si="307"/>
        <v>0.53395684834908819</v>
      </c>
      <c r="V1497" s="1">
        <f t="shared" si="313"/>
        <v>127292.87668973798</v>
      </c>
      <c r="W1497" s="7">
        <f t="shared" si="314"/>
        <v>-7.3051145430421188E-3</v>
      </c>
      <c r="X1497" s="7">
        <f t="shared" si="315"/>
        <v>-4.3322259434783461E-3</v>
      </c>
      <c r="Y1497">
        <f>LN(B1497/B1496)</f>
        <v>-1.6201156117771814E-2</v>
      </c>
      <c r="Z1497">
        <f>LN(C1497/C1496)</f>
        <v>5.2465645535598705E-4</v>
      </c>
    </row>
    <row r="1498" spans="1:26" x14ac:dyDescent="0.3">
      <c r="A1498" s="11">
        <v>42388</v>
      </c>
      <c r="B1498" s="12">
        <v>15989.29</v>
      </c>
      <c r="C1498" s="12">
        <v>40.49644</v>
      </c>
      <c r="D1498" s="16">
        <f t="shared" si="304"/>
        <v>3.900883773378272E-3</v>
      </c>
      <c r="E1498" s="15">
        <f t="shared" si="316"/>
        <v>5.2501297708551498E-4</v>
      </c>
      <c r="G1498" s="25" t="str">
        <f>IF(VLOOKUP(A1498,Aux!B:C,2,FALSE)=0,"",VLOOKUP(A1498,Aux!B:C,2,FALSE))</f>
        <v/>
      </c>
      <c r="H1498" s="25" t="str">
        <f t="shared" si="305"/>
        <v/>
      </c>
      <c r="L1498" s="13">
        <f t="shared" si="308"/>
        <v>118110.75820160983</v>
      </c>
      <c r="M1498" s="14">
        <f t="shared" si="309"/>
        <v>214.27340305803475</v>
      </c>
      <c r="N1498" s="14">
        <f t="shared" si="310"/>
        <v>33.041162971900782</v>
      </c>
      <c r="O1498" s="1">
        <f t="shared" si="311"/>
        <v>3.4487912933853409</v>
      </c>
      <c r="P1498" s="1">
        <f t="shared" si="312"/>
        <v>1554.8782575010678</v>
      </c>
      <c r="S1498" s="6">
        <f t="shared" si="306"/>
        <v>0.46688146769226058</v>
      </c>
      <c r="T1498" s="6">
        <f t="shared" si="307"/>
        <v>0.53311853230773953</v>
      </c>
      <c r="V1498" s="1">
        <f t="shared" si="313"/>
        <v>127483.75183786408</v>
      </c>
      <c r="W1498" s="7">
        <f t="shared" si="314"/>
        <v>2.0961160555405724E-3</v>
      </c>
      <c r="X1498" s="7">
        <f t="shared" si="315"/>
        <v>1.4983727898487396E-3</v>
      </c>
      <c r="Y1498">
        <f>LN(B1498/B1497)</f>
        <v>3.8932950550084086E-3</v>
      </c>
      <c r="Z1498">
        <f>LN(C1498/C1497)</f>
        <v>5.2487520599142656E-4</v>
      </c>
    </row>
    <row r="1499" spans="1:26" x14ac:dyDescent="0.3">
      <c r="A1499" s="9">
        <v>42389</v>
      </c>
      <c r="B1499" s="1">
        <v>15807.17</v>
      </c>
      <c r="C1499" s="1">
        <v>40.517699999999998</v>
      </c>
      <c r="D1499" s="6">
        <f t="shared" ref="D1499:D1562" si="317">B1499/B1498-1</f>
        <v>-1.1390124264429535E-2</v>
      </c>
      <c r="E1499" s="5">
        <f t="shared" si="316"/>
        <v>5.2498441838344512E-4</v>
      </c>
      <c r="G1499" s="25" t="str">
        <f>IF(VLOOKUP(A1499,Aux!B:C,2,FALSE)=0,"",VLOOKUP(A1499,Aux!B:C,2,FALSE))</f>
        <v/>
      </c>
      <c r="H1499" s="25" t="str">
        <f t="shared" si="305"/>
        <v/>
      </c>
      <c r="L1499" s="13">
        <f t="shared" si="308"/>
        <v>117515.72104301296</v>
      </c>
      <c r="M1499" s="14">
        <f t="shared" si="309"/>
        <v>-628.09387035134102</v>
      </c>
      <c r="N1499" s="14">
        <f t="shared" si="310"/>
        <v>33.056711754469681</v>
      </c>
      <c r="O1499" s="1">
        <f t="shared" si="311"/>
        <v>3.4487912933853409</v>
      </c>
      <c r="P1499" s="1">
        <f t="shared" si="312"/>
        <v>1554.8782575010678</v>
      </c>
      <c r="S1499" s="6">
        <f t="shared" si="306"/>
        <v>0.46390074268538256</v>
      </c>
      <c r="T1499" s="6">
        <f t="shared" si="307"/>
        <v>0.53609925731461738</v>
      </c>
      <c r="V1499" s="1">
        <f t="shared" si="313"/>
        <v>127111.15606340402</v>
      </c>
      <c r="W1499" s="7">
        <f t="shared" si="314"/>
        <v>-5.0506923112257959E-3</v>
      </c>
      <c r="X1499" s="7">
        <f t="shared" si="315"/>
        <v>-2.926971662857515E-3</v>
      </c>
      <c r="Y1499">
        <f>LN(B1499/B1498)</f>
        <v>-1.1455488541967405E-2</v>
      </c>
      <c r="Z1499">
        <f>LN(C1499/C1498)</f>
        <v>5.2484666227477076E-4</v>
      </c>
    </row>
    <row r="1500" spans="1:26" x14ac:dyDescent="0.3">
      <c r="A1500" s="11">
        <v>42390</v>
      </c>
      <c r="B1500" s="12">
        <v>15821.59</v>
      </c>
      <c r="C1500" s="12">
        <v>40.538969999999999</v>
      </c>
      <c r="D1500" s="16">
        <f t="shared" si="317"/>
        <v>9.1224425371527751E-4</v>
      </c>
      <c r="E1500" s="15">
        <f t="shared" si="316"/>
        <v>5.2495576007527411E-4</v>
      </c>
      <c r="G1500" s="25" t="str">
        <f>IF(VLOOKUP(A1500,Aux!B:C,2,FALSE)=0,"",VLOOKUP(A1500,Aux!B:C,2,FALSE))</f>
        <v/>
      </c>
      <c r="H1500" s="25" t="str">
        <f t="shared" si="305"/>
        <v/>
      </c>
      <c r="L1500" s="13">
        <f t="shared" si="308"/>
        <v>117598.52487400064</v>
      </c>
      <c r="M1500" s="14">
        <f t="shared" si="309"/>
        <v>49.731570450616864</v>
      </c>
      <c r="N1500" s="14">
        <f t="shared" si="310"/>
        <v>33.07226053704963</v>
      </c>
      <c r="O1500" s="1">
        <f t="shared" si="311"/>
        <v>3.4487912933853409</v>
      </c>
      <c r="P1500" s="1">
        <f t="shared" si="312"/>
        <v>1554.8782575010678</v>
      </c>
      <c r="S1500" s="6">
        <f t="shared" si="306"/>
        <v>0.46399699229200281</v>
      </c>
      <c r="T1500" s="6">
        <f t="shared" si="307"/>
        <v>0.53600300770799714</v>
      </c>
      <c r="V1500" s="1">
        <f t="shared" si="313"/>
        <v>127192.0073152746</v>
      </c>
      <c r="W1500" s="7">
        <f t="shared" si="314"/>
        <v>7.0437105236425667E-4</v>
      </c>
      <c r="X1500" s="7">
        <f t="shared" si="315"/>
        <v>6.3586511092176689E-4</v>
      </c>
      <c r="Y1500">
        <f>LN(B1500/B1499)</f>
        <v>9.1182841180643764E-4</v>
      </c>
      <c r="Z1500">
        <f>LN(C1500/C1499)</f>
        <v>5.2481801900346051E-4</v>
      </c>
    </row>
    <row r="1501" spans="1:26" x14ac:dyDescent="0.3">
      <c r="A1501" s="9">
        <v>42391</v>
      </c>
      <c r="B1501" s="1">
        <v>15975.48</v>
      </c>
      <c r="C1501" s="1">
        <v>40.56024</v>
      </c>
      <c r="D1501" s="6">
        <f t="shared" si="317"/>
        <v>9.7265824736956219E-3</v>
      </c>
      <c r="E1501" s="5">
        <f t="shared" si="316"/>
        <v>5.2468032611585613E-4</v>
      </c>
      <c r="G1501" s="25" t="str">
        <f>IF(VLOOKUP(A1501,Aux!B:C,2,FALSE)=0,"",VLOOKUP(A1501,Aux!B:C,2,FALSE))</f>
        <v/>
      </c>
      <c r="H1501" s="25" t="str">
        <f t="shared" si="305"/>
        <v/>
      </c>
      <c r="L1501" s="13">
        <f t="shared" si="308"/>
        <v>118162.33162667675</v>
      </c>
      <c r="M1501" s="14">
        <f t="shared" si="309"/>
        <v>530.73449213906815</v>
      </c>
      <c r="N1501" s="14">
        <f t="shared" si="310"/>
        <v>33.07226053704963</v>
      </c>
      <c r="O1501" s="1">
        <f t="shared" si="311"/>
        <v>3.4487912933853409</v>
      </c>
      <c r="P1501" s="1">
        <f t="shared" si="312"/>
        <v>1554.8782575010678</v>
      </c>
      <c r="S1501" s="6">
        <f t="shared" si="306"/>
        <v>0.46627462045792056</v>
      </c>
      <c r="T1501" s="6">
        <f t="shared" si="307"/>
        <v>0.53372537954207944</v>
      </c>
      <c r="V1501" s="1">
        <f t="shared" si="313"/>
        <v>127594.62073583188</v>
      </c>
      <c r="W1501" s="7">
        <f t="shared" si="314"/>
        <v>4.7828790227905692E-3</v>
      </c>
      <c r="X1501" s="7">
        <f t="shared" si="315"/>
        <v>3.1603994193070166E-3</v>
      </c>
      <c r="Y1501">
        <f>LN(B1501/B1500)</f>
        <v>9.6795837824039596E-3</v>
      </c>
      <c r="Z1501">
        <f>LN(C1501/C1500)</f>
        <v>5.2454272952093001E-4</v>
      </c>
    </row>
    <row r="1502" spans="1:26" x14ac:dyDescent="0.3">
      <c r="A1502" s="11">
        <v>42395</v>
      </c>
      <c r="B1502" s="12">
        <v>15757.63</v>
      </c>
      <c r="C1502" s="12">
        <v>40.602809999999998</v>
      </c>
      <c r="D1502" s="16">
        <f t="shared" si="317"/>
        <v>-1.3636522971453791E-2</v>
      </c>
      <c r="E1502" s="15">
        <f t="shared" si="316"/>
        <v>1.0495500026626026E-3</v>
      </c>
      <c r="G1502" s="25" t="str">
        <f>IF(VLOOKUP(A1502,Aux!B:C,2,FALSE)=0,"",VLOOKUP(A1502,Aux!B:C,2,FALSE))</f>
        <v/>
      </c>
      <c r="H1502" s="25" t="str">
        <f t="shared" si="305"/>
        <v/>
      </c>
      <c r="L1502" s="13">
        <f t="shared" si="308"/>
        <v>117477.20361083456</v>
      </c>
      <c r="M1502" s="14">
        <f t="shared" si="309"/>
        <v>-751.31918326399773</v>
      </c>
      <c r="N1502" s="14">
        <f t="shared" si="310"/>
        <v>66.191167421816999</v>
      </c>
      <c r="O1502" s="1">
        <f t="shared" si="311"/>
        <v>3.4487912933853409</v>
      </c>
      <c r="P1502" s="1">
        <f t="shared" si="312"/>
        <v>1554.8782575010678</v>
      </c>
      <c r="S1502" s="6">
        <f t="shared" si="306"/>
        <v>0.46259849126486691</v>
      </c>
      <c r="T1502" s="6">
        <f t="shared" si="307"/>
        <v>0.53740150873513315</v>
      </c>
      <c r="V1502" s="1">
        <f t="shared" si="313"/>
        <v>127187.26789428448</v>
      </c>
      <c r="W1502" s="7">
        <f t="shared" si="314"/>
        <v>-5.8150678814148354E-3</v>
      </c>
      <c r="X1502" s="7">
        <f t="shared" si="315"/>
        <v>-3.197662053904727E-3</v>
      </c>
      <c r="Y1502">
        <f>LN(B1502/B1501)</f>
        <v>-1.3730354349794452E-2</v>
      </c>
      <c r="Z1502">
        <f>LN(C1502/C1501)</f>
        <v>1.0489996101345472E-3</v>
      </c>
    </row>
    <row r="1503" spans="1:26" x14ac:dyDescent="0.3">
      <c r="A1503" s="9">
        <v>42396</v>
      </c>
      <c r="B1503" s="1">
        <v>16150.08</v>
      </c>
      <c r="C1503" s="1">
        <v>40.624110000000002</v>
      </c>
      <c r="D1503" s="6">
        <f t="shared" si="317"/>
        <v>2.4905395037197797E-2</v>
      </c>
      <c r="E1503" s="5">
        <f t="shared" si="316"/>
        <v>5.2459423374884295E-4</v>
      </c>
      <c r="G1503" s="25" t="str">
        <f>IF(VLOOKUP(A1503,Aux!B:C,2,FALSE)=0,"",VLOOKUP(A1503,Aux!B:C,2,FALSE))</f>
        <v/>
      </c>
      <c r="H1503" s="25" t="str">
        <f t="shared" si="305"/>
        <v/>
      </c>
      <c r="L1503" s="13">
        <f t="shared" si="308"/>
        <v>118863.80066080841</v>
      </c>
      <c r="M1503" s="14">
        <f t="shared" si="309"/>
        <v>1353.4781430890796</v>
      </c>
      <c r="N1503" s="14">
        <f t="shared" si="310"/>
        <v>33.118906884778418</v>
      </c>
      <c r="O1503" s="1">
        <f t="shared" si="311"/>
        <v>3.4487912933853409</v>
      </c>
      <c r="P1503" s="1">
        <f t="shared" si="312"/>
        <v>1554.8782575010678</v>
      </c>
      <c r="S1503" s="6">
        <f t="shared" si="306"/>
        <v>0.46858888056607012</v>
      </c>
      <c r="T1503" s="6">
        <f t="shared" si="307"/>
        <v>0.53141111943392993</v>
      </c>
      <c r="V1503" s="1">
        <f t="shared" si="313"/>
        <v>128140.31469368908</v>
      </c>
      <c r="W1503" s="7">
        <f t="shared" si="314"/>
        <v>1.1734002433373796E-2</v>
      </c>
      <c r="X1503" s="7">
        <f t="shared" si="315"/>
        <v>7.4653213407643582E-3</v>
      </c>
      <c r="Y1503">
        <f>LN(B1503/B1502)</f>
        <v>2.4600310806007785E-2</v>
      </c>
      <c r="Z1503">
        <f>LN(C1503/C1502)</f>
        <v>5.2445668229749809E-4</v>
      </c>
    </row>
    <row r="1504" spans="1:26" x14ac:dyDescent="0.3">
      <c r="A1504" s="11">
        <v>42397</v>
      </c>
      <c r="B1504" s="12">
        <v>16260.27</v>
      </c>
      <c r="C1504" s="12">
        <v>40.645420000000001</v>
      </c>
      <c r="D1504" s="16">
        <f t="shared" si="317"/>
        <v>6.8228764191879954E-3</v>
      </c>
      <c r="E1504" s="15">
        <f t="shared" si="316"/>
        <v>5.2456533816980233E-4</v>
      </c>
      <c r="G1504" s="25" t="str">
        <f>IF(VLOOKUP(A1504,Aux!B:C,2,FALSE)=0,"",VLOOKUP(A1504,Aux!B:C,2,FALSE))</f>
        <v/>
      </c>
      <c r="H1504" s="25" t="str">
        <f t="shared" si="305"/>
        <v/>
      </c>
      <c r="L1504" s="13">
        <f t="shared" si="308"/>
        <v>119276.95742909389</v>
      </c>
      <c r="M1504" s="14">
        <f t="shared" si="309"/>
        <v>380.02231261813245</v>
      </c>
      <c r="N1504" s="14">
        <f t="shared" si="310"/>
        <v>33.134455667347318</v>
      </c>
      <c r="O1504" s="1">
        <f t="shared" si="311"/>
        <v>3.4487912933853409</v>
      </c>
      <c r="P1504" s="1">
        <f t="shared" si="312"/>
        <v>1554.8782575010678</v>
      </c>
      <c r="S1504" s="6">
        <f t="shared" si="306"/>
        <v>0.4701518114882457</v>
      </c>
      <c r="T1504" s="6">
        <f t="shared" si="307"/>
        <v>0.52984818851175453</v>
      </c>
      <c r="V1504" s="1">
        <f t="shared" si="313"/>
        <v>128442.20017091064</v>
      </c>
      <c r="W1504" s="7">
        <f t="shared" si="314"/>
        <v>3.4698569546014395E-3</v>
      </c>
      <c r="X1504" s="7">
        <f t="shared" si="315"/>
        <v>2.353126959419092E-3</v>
      </c>
      <c r="Y1504">
        <f>LN(B1504/B1503)</f>
        <v>6.7997059310837046E-3</v>
      </c>
      <c r="Z1504">
        <f>LN(C1504/C1503)</f>
        <v>5.2442780186854666E-4</v>
      </c>
    </row>
    <row r="1505" spans="1:26" x14ac:dyDescent="0.3">
      <c r="A1505" s="9">
        <v>42398</v>
      </c>
      <c r="B1505" s="1">
        <v>16999.509999999998</v>
      </c>
      <c r="C1505" s="1">
        <v>40.666739999999997</v>
      </c>
      <c r="D1505" s="6">
        <f t="shared" si="317"/>
        <v>4.5462959717150975E-2</v>
      </c>
      <c r="E1505" s="5">
        <f t="shared" si="316"/>
        <v>5.2453634382421122E-4</v>
      </c>
      <c r="G1505" s="25" t="str">
        <f>IF(VLOOKUP(A1505,Aux!B:C,2,FALSE)=0,"",VLOOKUP(A1505,Aux!B:C,2,FALSE))</f>
        <v/>
      </c>
      <c r="H1505" s="25" t="str">
        <f t="shared" si="305"/>
        <v/>
      </c>
      <c r="L1505" s="13">
        <f t="shared" si="308"/>
        <v>121859.59190926598</v>
      </c>
      <c r="M1505" s="14">
        <f t="shared" si="309"/>
        <v>2549.4844757221722</v>
      </c>
      <c r="N1505" s="14">
        <f t="shared" si="310"/>
        <v>33.150004449916217</v>
      </c>
      <c r="O1505" s="1">
        <f t="shared" si="311"/>
        <v>3.4487912933853409</v>
      </c>
      <c r="P1505" s="1">
        <f t="shared" si="312"/>
        <v>1554.8782575010678</v>
      </c>
      <c r="S1505" s="6">
        <f t="shared" si="306"/>
        <v>0.48110912863937705</v>
      </c>
      <c r="T1505" s="6">
        <f t="shared" si="307"/>
        <v>0.51889087136062317</v>
      </c>
      <c r="V1505" s="1">
        <f t="shared" si="313"/>
        <v>130195.34837374356</v>
      </c>
      <c r="W1505" s="7">
        <f t="shared" si="314"/>
        <v>2.1421333639006581E-2</v>
      </c>
      <c r="X1505" s="7">
        <f t="shared" si="315"/>
        <v>1.3557003334459396E-2</v>
      </c>
      <c r="Y1505">
        <f>LN(B1505/B1504)</f>
        <v>4.445981096354637E-2</v>
      </c>
      <c r="Z1505">
        <f>LN(C1505/C1504)</f>
        <v>5.243988227239902E-4</v>
      </c>
    </row>
    <row r="1506" spans="1:26" x14ac:dyDescent="0.3">
      <c r="A1506" s="11">
        <v>42401</v>
      </c>
      <c r="B1506" s="12">
        <v>17066.11</v>
      </c>
      <c r="C1506" s="12">
        <v>40.688079999999999</v>
      </c>
      <c r="D1506" s="16">
        <f t="shared" si="317"/>
        <v>3.9177599824937737E-3</v>
      </c>
      <c r="E1506" s="15">
        <f t="shared" si="316"/>
        <v>5.2475315208444506E-4</v>
      </c>
      <c r="G1506" s="25" t="str">
        <f>IF(VLOOKUP(A1506,Aux!B:C,2,FALSE)=0,"",VLOOKUP(A1506,Aux!B:C,2,FALSE))</f>
        <v/>
      </c>
      <c r="H1506" s="25" t="str">
        <f t="shared" si="305"/>
        <v/>
      </c>
      <c r="L1506" s="13">
        <f t="shared" si="308"/>
        <v>122122.46251142053</v>
      </c>
      <c r="M1506" s="14">
        <f t="shared" si="309"/>
        <v>229.68950013947122</v>
      </c>
      <c r="N1506" s="14">
        <f t="shared" si="310"/>
        <v>33.181102015076107</v>
      </c>
      <c r="O1506" s="1">
        <f t="shared" si="311"/>
        <v>3.4487912933853409</v>
      </c>
      <c r="P1506" s="1">
        <f t="shared" si="312"/>
        <v>1554.8782575010678</v>
      </c>
      <c r="S1506" s="6">
        <f t="shared" si="306"/>
        <v>0.48195434623218741</v>
      </c>
      <c r="T1506" s="6">
        <f t="shared" si="307"/>
        <v>0.51804565376781264</v>
      </c>
      <c r="V1506" s="1">
        <f t="shared" si="313"/>
        <v>130396.73731015262</v>
      </c>
      <c r="W1506" s="7">
        <f t="shared" si="314"/>
        <v>2.1548363833129992E-3</v>
      </c>
      <c r="X1506" s="7">
        <f t="shared" si="315"/>
        <v>1.5456261917782641E-3</v>
      </c>
      <c r="Y1506">
        <f>LN(B1506/B1505)</f>
        <v>3.9101055465021323E-3</v>
      </c>
      <c r="Z1506">
        <f>LN(C1506/C1505)</f>
        <v>5.2461551729655464E-4</v>
      </c>
    </row>
    <row r="1507" spans="1:26" x14ac:dyDescent="0.3">
      <c r="A1507" s="9">
        <v>42402</v>
      </c>
      <c r="B1507" s="1">
        <v>16288.28</v>
      </c>
      <c r="C1507" s="1">
        <v>40.709420000000001</v>
      </c>
      <c r="D1507" s="6">
        <f t="shared" si="317"/>
        <v>-4.5577463171162069E-2</v>
      </c>
      <c r="E1507" s="5">
        <f t="shared" si="316"/>
        <v>5.2447793063725712E-4</v>
      </c>
      <c r="G1507" s="25" t="str">
        <f>IF(VLOOKUP(A1507,Aux!B:C,2,FALSE)=0,"",VLOOKUP(A1507,Aux!B:C,2,FALSE))</f>
        <v/>
      </c>
      <c r="H1507" s="25" t="str">
        <f t="shared" si="305"/>
        <v/>
      </c>
      <c r="L1507" s="13">
        <f t="shared" si="308"/>
        <v>119473.07028170169</v>
      </c>
      <c r="M1507" s="14">
        <f t="shared" si="309"/>
        <v>-2682.5733317339195</v>
      </c>
      <c r="N1507" s="14">
        <f t="shared" si="310"/>
        <v>33.181102015076107</v>
      </c>
      <c r="O1507" s="1">
        <f t="shared" si="311"/>
        <v>3.4487912933853409</v>
      </c>
      <c r="P1507" s="1">
        <f t="shared" si="312"/>
        <v>1554.8782575010678</v>
      </c>
      <c r="S1507" s="6">
        <f t="shared" si="306"/>
        <v>0.47018862171843123</v>
      </c>
      <c r="T1507" s="6">
        <f t="shared" si="307"/>
        <v>0.52981137828156888</v>
      </c>
      <c r="V1507" s="1">
        <f t="shared" si="313"/>
        <v>128649.9966982422</v>
      </c>
      <c r="W1507" s="7">
        <f t="shared" si="314"/>
        <v>-2.1933339664598071E-2</v>
      </c>
      <c r="X1507" s="7">
        <f t="shared" si="315"/>
        <v>-1.3486115488769063E-2</v>
      </c>
      <c r="Y1507">
        <f>LN(B1507/B1506)</f>
        <v>-4.6648794867799742E-2</v>
      </c>
      <c r="Z1507">
        <f>LN(C1507/C1506)</f>
        <v>5.2434044015910815E-4</v>
      </c>
    </row>
    <row r="1508" spans="1:26" x14ac:dyDescent="0.3">
      <c r="A1508" s="11">
        <v>42403</v>
      </c>
      <c r="B1508" s="12">
        <v>16664.88</v>
      </c>
      <c r="C1508" s="12">
        <v>40.730780000000003</v>
      </c>
      <c r="D1508" s="16">
        <f t="shared" si="317"/>
        <v>2.3120918844715455E-2</v>
      </c>
      <c r="E1508" s="15">
        <f t="shared" si="316"/>
        <v>5.2469428451695777E-4</v>
      </c>
      <c r="G1508" s="25" t="str">
        <f>IF(VLOOKUP(A1508,Aux!B:C,2,FALSE)=0,"",VLOOKUP(A1508,Aux!B:C,2,FALSE))</f>
        <v/>
      </c>
      <c r="H1508" s="25" t="str">
        <f t="shared" si="305"/>
        <v/>
      </c>
      <c r="L1508" s="13">
        <f t="shared" si="308"/>
        <v>120805.09728237084</v>
      </c>
      <c r="M1508" s="14">
        <f t="shared" si="309"/>
        <v>1298.8148010889206</v>
      </c>
      <c r="N1508" s="14">
        <f t="shared" si="310"/>
        <v>33.212199580224947</v>
      </c>
      <c r="O1508" s="1">
        <f t="shared" si="311"/>
        <v>3.4487912933853409</v>
      </c>
      <c r="P1508" s="1">
        <f t="shared" si="312"/>
        <v>1554.8782575010678</v>
      </c>
      <c r="S1508" s="6">
        <f t="shared" si="306"/>
        <v>0.47575552971057183</v>
      </c>
      <c r="T1508" s="6">
        <f t="shared" si="307"/>
        <v>0.52424447028942822</v>
      </c>
      <c r="V1508" s="1">
        <f t="shared" si="313"/>
        <v>129566.6112211585</v>
      </c>
      <c r="W1508" s="7">
        <f t="shared" si="314"/>
        <v>1.1087487972104895E-2</v>
      </c>
      <c r="X1508" s="7">
        <f t="shared" si="315"/>
        <v>7.0996081965344435E-3</v>
      </c>
      <c r="Y1508">
        <f>LN(B1508/B1507)</f>
        <v>2.2857680223605119E-2</v>
      </c>
      <c r="Z1508">
        <f>LN(C1508/C1507)</f>
        <v>5.2455668060207646E-4</v>
      </c>
    </row>
    <row r="1509" spans="1:26" x14ac:dyDescent="0.3">
      <c r="A1509" s="9">
        <v>42404</v>
      </c>
      <c r="B1509" s="1">
        <v>17144.38</v>
      </c>
      <c r="C1509" s="1">
        <v>40.752139999999997</v>
      </c>
      <c r="D1509" s="6">
        <f t="shared" si="317"/>
        <v>2.8773084474655652E-2</v>
      </c>
      <c r="E1509" s="5">
        <f t="shared" si="316"/>
        <v>5.2441912479928021E-4</v>
      </c>
      <c r="G1509" s="25" t="str">
        <f>IF(VLOOKUP(A1509,Aux!B:C,2,FALSE)=0,"",VLOOKUP(A1509,Aux!B:C,2,FALSE))</f>
        <v/>
      </c>
      <c r="H1509" s="25" t="str">
        <f t="shared" si="305"/>
        <v/>
      </c>
      <c r="L1509" s="13">
        <f t="shared" si="308"/>
        <v>122492.00490712933</v>
      </c>
      <c r="M1509" s="14">
        <f t="shared" si="309"/>
        <v>1653.6954251782709</v>
      </c>
      <c r="N1509" s="14">
        <f t="shared" si="310"/>
        <v>33.212199580213898</v>
      </c>
      <c r="O1509" s="1">
        <f t="shared" si="311"/>
        <v>3.4487912933853409</v>
      </c>
      <c r="P1509" s="1">
        <f t="shared" si="312"/>
        <v>1554.8782575010678</v>
      </c>
      <c r="S1509" s="6">
        <f t="shared" si="306"/>
        <v>0.48270406316982745</v>
      </c>
      <c r="T1509" s="6">
        <f t="shared" si="307"/>
        <v>0.5172959368301725</v>
      </c>
      <c r="V1509" s="1">
        <f t="shared" si="313"/>
        <v>130720.61964353605</v>
      </c>
      <c r="W1509" s="7">
        <f t="shared" si="314"/>
        <v>1.3867281134006286E-2</v>
      </c>
      <c r="X1509" s="7">
        <f t="shared" si="315"/>
        <v>8.8672500759540591E-3</v>
      </c>
      <c r="Y1509">
        <f>LN(B1509/B1508)</f>
        <v>2.83669121009134E-2</v>
      </c>
      <c r="Z1509">
        <f>LN(C1509/C1508)</f>
        <v>5.2428166514560052E-4</v>
      </c>
    </row>
    <row r="1510" spans="1:26" x14ac:dyDescent="0.3">
      <c r="A1510" s="11">
        <v>42405</v>
      </c>
      <c r="B1510" s="12">
        <v>17057.73</v>
      </c>
      <c r="C1510" s="12">
        <v>40.773530000000001</v>
      </c>
      <c r="D1510" s="16">
        <f t="shared" si="317"/>
        <v>-5.0541343577312769E-3</v>
      </c>
      <c r="E1510" s="15">
        <f t="shared" si="316"/>
        <v>5.2488041118836648E-4</v>
      </c>
      <c r="G1510" s="25" t="str">
        <f>IF(VLOOKUP(A1510,Aux!B:C,2,FALSE)=0,"",VLOOKUP(A1510,Aux!B:C,2,FALSE))</f>
        <v/>
      </c>
      <c r="H1510" s="25" t="str">
        <f t="shared" si="305"/>
        <v/>
      </c>
      <c r="L1510" s="13">
        <f t="shared" si="308"/>
        <v>122226.42598748543</v>
      </c>
      <c r="M1510" s="14">
        <f t="shared" si="309"/>
        <v>-298.83776557184478</v>
      </c>
      <c r="N1510" s="14">
        <f t="shared" si="310"/>
        <v>33.258845927953743</v>
      </c>
      <c r="O1510" s="1">
        <f t="shared" si="311"/>
        <v>3.4487912933853409</v>
      </c>
      <c r="P1510" s="1">
        <f t="shared" si="312"/>
        <v>1554.8782575010678</v>
      </c>
      <c r="S1510" s="6">
        <f t="shared" si="306"/>
        <v>0.48130795148130479</v>
      </c>
      <c r="T1510" s="6">
        <f t="shared" si="307"/>
        <v>0.51869204851869521</v>
      </c>
      <c r="V1510" s="1">
        <f t="shared" si="313"/>
        <v>130568.5673258545</v>
      </c>
      <c r="W1510" s="7">
        <f t="shared" si="314"/>
        <v>-2.1704864887791926E-3</v>
      </c>
      <c r="X1510" s="7">
        <f t="shared" si="315"/>
        <v>-1.1638624361690068E-3</v>
      </c>
      <c r="Y1510">
        <f>LN(B1510/B1509)</f>
        <v>-5.0669496933052607E-3</v>
      </c>
      <c r="Z1510">
        <f>LN(C1510/C1509)</f>
        <v>5.2474270964779563E-4</v>
      </c>
    </row>
    <row r="1511" spans="1:26" x14ac:dyDescent="0.3">
      <c r="A1511" s="9">
        <v>42410</v>
      </c>
      <c r="B1511" s="1">
        <v>16965.259999999998</v>
      </c>
      <c r="C1511" s="1">
        <v>40.794910000000002</v>
      </c>
      <c r="D1511" s="6">
        <f t="shared" si="317"/>
        <v>-5.4210026773785502E-3</v>
      </c>
      <c r="E1511" s="5">
        <f t="shared" si="316"/>
        <v>5.243597991146931E-4</v>
      </c>
      <c r="G1511" s="25" t="str">
        <f>IF(VLOOKUP(A1511,Aux!B:C,2,FALSE)=0,"",VLOOKUP(A1511,Aux!B:C,2,FALSE))</f>
        <v/>
      </c>
      <c r="H1511" s="25" t="str">
        <f t="shared" si="305"/>
        <v/>
      </c>
      <c r="L1511" s="13">
        <f t="shared" si="308"/>
        <v>121940.75955373145</v>
      </c>
      <c r="M1511" s="14">
        <f t="shared" si="309"/>
        <v>-318.90973089934647</v>
      </c>
      <c r="N1511" s="14">
        <f t="shared" si="310"/>
        <v>33.243297145373795</v>
      </c>
      <c r="O1511" s="1">
        <f t="shared" si="311"/>
        <v>3.4487912933853409</v>
      </c>
      <c r="P1511" s="1">
        <f t="shared" si="312"/>
        <v>1554.8782575010678</v>
      </c>
      <c r="S1511" s="6">
        <f t="shared" si="306"/>
        <v>0.47982021099546412</v>
      </c>
      <c r="T1511" s="6">
        <f t="shared" si="307"/>
        <v>0.52017978900453599</v>
      </c>
      <c r="V1511" s="1">
        <f t="shared" si="313"/>
        <v>130403.0656932636</v>
      </c>
      <c r="W1511" s="7">
        <f t="shared" si="314"/>
        <v>-2.3399259279014871E-3</v>
      </c>
      <c r="X1511" s="7">
        <f t="shared" si="315"/>
        <v>-1.2683497655532133E-3</v>
      </c>
      <c r="Y1511">
        <f>LN(B1511/B1510)</f>
        <v>-5.4357496320592783E-3</v>
      </c>
      <c r="Z1511">
        <f>LN(C1511/C1510)</f>
        <v>5.2422237055447217E-4</v>
      </c>
    </row>
    <row r="1512" spans="1:26" x14ac:dyDescent="0.3">
      <c r="A1512" s="11">
        <v>42411</v>
      </c>
      <c r="B1512" s="12">
        <v>16547.599999999999</v>
      </c>
      <c r="C1512" s="12">
        <v>40.816310000000001</v>
      </c>
      <c r="D1512" s="16">
        <f t="shared" si="317"/>
        <v>-2.461854401288277E-2</v>
      </c>
      <c r="E1512" s="15">
        <f t="shared" si="316"/>
        <v>5.2457524725513238E-4</v>
      </c>
      <c r="G1512" s="25" t="str">
        <f>IF(VLOOKUP(A1512,Aux!B:C,2,FALSE)=0,"",VLOOKUP(A1512,Aux!B:C,2,FALSE))</f>
        <v/>
      </c>
      <c r="H1512" s="25" t="str">
        <f t="shared" si="305"/>
        <v/>
      </c>
      <c r="L1512" s="13">
        <f t="shared" si="308"/>
        <v>120533.61177684665</v>
      </c>
      <c r="M1512" s="14">
        <f t="shared" si="309"/>
        <v>-1440.4221715953211</v>
      </c>
      <c r="N1512" s="14">
        <f t="shared" si="310"/>
        <v>33.274394710522635</v>
      </c>
      <c r="O1512" s="1">
        <f t="shared" si="311"/>
        <v>3.4487912933853409</v>
      </c>
      <c r="P1512" s="1">
        <f t="shared" si="312"/>
        <v>1554.8782575010678</v>
      </c>
      <c r="S1512" s="6">
        <f t="shared" si="306"/>
        <v>0.47347140739530807</v>
      </c>
      <c r="T1512" s="6">
        <f t="shared" si="307"/>
        <v>0.52652859260469209</v>
      </c>
      <c r="V1512" s="1">
        <f t="shared" si="313"/>
        <v>129487.38409811491</v>
      </c>
      <c r="W1512" s="7">
        <f t="shared" si="314"/>
        <v>-1.16066994311651E-2</v>
      </c>
      <c r="X1512" s="7">
        <f t="shared" si="315"/>
        <v>-7.0467028316941833E-3</v>
      </c>
      <c r="Y1512">
        <f>LN(B1512/B1511)</f>
        <v>-2.4926647587629993E-2</v>
      </c>
      <c r="Z1512">
        <f>LN(C1512/C1511)</f>
        <v>5.2443770575859023E-4</v>
      </c>
    </row>
    <row r="1513" spans="1:26" x14ac:dyDescent="0.3">
      <c r="A1513" s="9">
        <v>42412</v>
      </c>
      <c r="B1513" s="1">
        <v>16732.88</v>
      </c>
      <c r="C1513" s="1">
        <v>40.837730000000001</v>
      </c>
      <c r="D1513" s="6">
        <f t="shared" si="317"/>
        <v>1.119678986680861E-2</v>
      </c>
      <c r="E1513" s="5">
        <f t="shared" si="316"/>
        <v>5.2479021254003833E-4</v>
      </c>
      <c r="G1513" s="25" t="str">
        <f>IF(VLOOKUP(A1513,Aux!B:C,2,FALSE)=0,"",VLOOKUP(A1513,Aux!B:C,2,FALSE))</f>
        <v/>
      </c>
      <c r="H1513" s="25" t="str">
        <f t="shared" si="305"/>
        <v/>
      </c>
      <c r="L1513" s="13">
        <f t="shared" si="308"/>
        <v>121205.90931996076</v>
      </c>
      <c r="M1513" s="14">
        <f t="shared" si="309"/>
        <v>638.99205083844447</v>
      </c>
      <c r="N1513" s="14">
        <f t="shared" si="310"/>
        <v>33.305492275671483</v>
      </c>
      <c r="O1513" s="1">
        <f t="shared" si="311"/>
        <v>3.4487912933853409</v>
      </c>
      <c r="P1513" s="1">
        <f t="shared" si="312"/>
        <v>1554.8782575010678</v>
      </c>
      <c r="S1513" s="6">
        <f t="shared" si="306"/>
        <v>0.47611713967611025</v>
      </c>
      <c r="T1513" s="6">
        <f t="shared" si="307"/>
        <v>0.52388286032388998</v>
      </c>
      <c r="V1513" s="1">
        <f t="shared" si="313"/>
        <v>129962.75091656949</v>
      </c>
      <c r="W1513" s="7">
        <f t="shared" si="314"/>
        <v>5.5621792692311144E-3</v>
      </c>
      <c r="X1513" s="7">
        <f t="shared" si="315"/>
        <v>3.6644216844403093E-3</v>
      </c>
      <c r="Y1513">
        <f>LN(B1513/B1512)</f>
        <v>1.113456982749824E-2</v>
      </c>
      <c r="Z1513">
        <f>LN(C1513/C1512)</f>
        <v>5.2465255831407088E-4</v>
      </c>
    </row>
    <row r="1514" spans="1:26" x14ac:dyDescent="0.3">
      <c r="A1514" s="11">
        <v>42415</v>
      </c>
      <c r="B1514" s="12">
        <v>16837.650000000001</v>
      </c>
      <c r="C1514" s="12">
        <v>40.85915</v>
      </c>
      <c r="D1514" s="16">
        <f t="shared" si="317"/>
        <v>6.261325008008134E-3</v>
      </c>
      <c r="E1514" s="15">
        <f t="shared" si="316"/>
        <v>5.2451495222682887E-4</v>
      </c>
      <c r="G1514" s="25" t="str">
        <f>IF(VLOOKUP(A1514,Aux!B:C,2,FALSE)=0,"",VLOOKUP(A1514,Aux!B:C,2,FALSE))</f>
        <v/>
      </c>
      <c r="H1514" s="25" t="str">
        <f t="shared" si="305"/>
        <v/>
      </c>
      <c r="L1514" s="13">
        <f t="shared" si="308"/>
        <v>121600.54467604442</v>
      </c>
      <c r="M1514" s="14">
        <f t="shared" si="309"/>
        <v>361.32986380798366</v>
      </c>
      <c r="N1514" s="14">
        <f t="shared" si="310"/>
        <v>33.305492275671483</v>
      </c>
      <c r="O1514" s="1">
        <f t="shared" si="311"/>
        <v>3.4487912933853409</v>
      </c>
      <c r="P1514" s="1">
        <f t="shared" si="312"/>
        <v>1554.8782575010678</v>
      </c>
      <c r="S1514" s="6">
        <f t="shared" si="306"/>
        <v>0.47754342610695161</v>
      </c>
      <c r="T1514" s="6">
        <f t="shared" si="307"/>
        <v>0.52245657389304856</v>
      </c>
      <c r="V1514" s="1">
        <f t="shared" si="313"/>
        <v>130252.37834876921</v>
      </c>
      <c r="W1514" s="7">
        <f t="shared" si="314"/>
        <v>3.2506195538268079E-3</v>
      </c>
      <c r="X1514" s="7">
        <f t="shared" si="315"/>
        <v>2.2260623555434927E-3</v>
      </c>
      <c r="Y1514">
        <f>LN(B1514/B1513)</f>
        <v>6.241804353646279E-3</v>
      </c>
      <c r="Z1514">
        <f>LN(C1514/C1513)</f>
        <v>5.2437744234116708E-4</v>
      </c>
    </row>
    <row r="1515" spans="1:26" x14ac:dyDescent="0.3">
      <c r="A1515" s="9">
        <v>42416</v>
      </c>
      <c r="B1515" s="1">
        <v>17181.689999999999</v>
      </c>
      <c r="C1515" s="1">
        <v>40.880580000000002</v>
      </c>
      <c r="D1515" s="6">
        <f t="shared" si="317"/>
        <v>2.0432780108863069E-2</v>
      </c>
      <c r="E1515" s="5">
        <f t="shared" si="316"/>
        <v>5.244847237400041E-4</v>
      </c>
      <c r="G1515" s="25" t="str">
        <f>IF(VLOOKUP(A1515,Aux!B:C,2,FALSE)=0,"",VLOOKUP(A1515,Aux!B:C,2,FALSE))</f>
        <v/>
      </c>
      <c r="H1515" s="25" t="str">
        <f t="shared" si="305"/>
        <v/>
      </c>
      <c r="L1515" s="13">
        <f t="shared" si="308"/>
        <v>122820.38787367895</v>
      </c>
      <c r="M1515" s="14">
        <f t="shared" si="309"/>
        <v>1186.5221565762831</v>
      </c>
      <c r="N1515" s="14">
        <f t="shared" si="310"/>
        <v>33.321041058251431</v>
      </c>
      <c r="O1515" s="1">
        <f t="shared" si="311"/>
        <v>3.4487912933853409</v>
      </c>
      <c r="P1515" s="1">
        <f t="shared" si="312"/>
        <v>1554.8782575010678</v>
      </c>
      <c r="S1515" s="6">
        <f t="shared" si="306"/>
        <v>0.48246112802209162</v>
      </c>
      <c r="T1515" s="6">
        <f t="shared" si="307"/>
        <v>0.5175388719779086</v>
      </c>
      <c r="V1515" s="1">
        <f t="shared" si="313"/>
        <v>131094.03241200291</v>
      </c>
      <c r="W1515" s="7">
        <f t="shared" si="314"/>
        <v>9.9815781965497362E-3</v>
      </c>
      <c r="X1515" s="7">
        <f t="shared" si="315"/>
        <v>6.4409300322168317E-3</v>
      </c>
      <c r="Y1515">
        <f>LN(B1515/B1514)</f>
        <v>2.0226831533214026E-2</v>
      </c>
      <c r="Z1515">
        <f>LN(C1515/C1514)</f>
        <v>5.2434722970086725E-4</v>
      </c>
    </row>
    <row r="1516" spans="1:26" x14ac:dyDescent="0.3">
      <c r="A1516" s="11">
        <v>42417</v>
      </c>
      <c r="B1516" s="12">
        <v>17456.43</v>
      </c>
      <c r="C1516" s="12">
        <v>40.902030000000003</v>
      </c>
      <c r="D1516" s="16">
        <f t="shared" si="317"/>
        <v>1.5990278022709248E-2</v>
      </c>
      <c r="E1516" s="15">
        <f t="shared" si="316"/>
        <v>5.24699013565888E-4</v>
      </c>
      <c r="G1516" s="25" t="str">
        <f>IF(VLOOKUP(A1516,Aux!B:C,2,FALSE)=0,"",VLOOKUP(A1516,Aux!B:C,2,FALSE))</f>
        <v/>
      </c>
      <c r="H1516" s="25" t="str">
        <f t="shared" si="305"/>
        <v/>
      </c>
      <c r="L1516" s="13">
        <f t="shared" si="308"/>
        <v>123801.26093224705</v>
      </c>
      <c r="M1516" s="14">
        <f t="shared" si="309"/>
        <v>947.52091994469401</v>
      </c>
      <c r="N1516" s="14">
        <f t="shared" si="310"/>
        <v>33.352138623400272</v>
      </c>
      <c r="O1516" s="1">
        <f t="shared" si="311"/>
        <v>3.4487912933853409</v>
      </c>
      <c r="P1516" s="1">
        <f t="shared" si="312"/>
        <v>1554.8782575010678</v>
      </c>
      <c r="S1516" s="6">
        <f t="shared" si="306"/>
        <v>0.48629216975858103</v>
      </c>
      <c r="T1516" s="6">
        <f t="shared" si="307"/>
        <v>0.51370783024141919</v>
      </c>
      <c r="V1516" s="1">
        <f t="shared" si="313"/>
        <v>131775.85369375889</v>
      </c>
      <c r="W1516" s="7">
        <f t="shared" si="314"/>
        <v>7.9545184725000606E-3</v>
      </c>
      <c r="X1516" s="7">
        <f t="shared" si="315"/>
        <v>5.1875307656367425E-3</v>
      </c>
      <c r="Y1516">
        <f>LN(B1516/B1515)</f>
        <v>1.5863780235221996E-2</v>
      </c>
      <c r="Z1516">
        <f>LN(C1516/C1515)</f>
        <v>5.245614071709918E-4</v>
      </c>
    </row>
    <row r="1517" spans="1:26" x14ac:dyDescent="0.3">
      <c r="A1517" s="9">
        <v>42418</v>
      </c>
      <c r="B1517" s="1">
        <v>17425.41</v>
      </c>
      <c r="C1517" s="1">
        <v>40.923490000000001</v>
      </c>
      <c r="D1517" s="6">
        <f t="shared" si="317"/>
        <v>-1.7769956400019993E-3</v>
      </c>
      <c r="E1517" s="5">
        <f t="shared" si="316"/>
        <v>5.2466833553244108E-4</v>
      </c>
      <c r="G1517" s="25" t="str">
        <f>IF(VLOOKUP(A1517,Aux!B:C,2,FALSE)=0,"",VLOOKUP(A1517,Aux!B:C,2,FALSE))</f>
        <v/>
      </c>
      <c r="H1517" s="25" t="str">
        <f t="shared" si="305"/>
        <v/>
      </c>
      <c r="L1517" s="13">
        <f t="shared" si="308"/>
        <v>123727.64711373221</v>
      </c>
      <c r="M1517" s="14">
        <f t="shared" si="309"/>
        <v>-106.98150592081478</v>
      </c>
      <c r="N1517" s="14">
        <f t="shared" si="310"/>
        <v>33.367687405969171</v>
      </c>
      <c r="O1517" s="1">
        <f t="shared" si="311"/>
        <v>3.4487912933853409</v>
      </c>
      <c r="P1517" s="1">
        <f t="shared" si="312"/>
        <v>1554.8782575010678</v>
      </c>
      <c r="S1517" s="6">
        <f t="shared" si="306"/>
        <v>0.48571684416198591</v>
      </c>
      <c r="T1517" s="6">
        <f t="shared" si="307"/>
        <v>0.51428315583801421</v>
      </c>
      <c r="V1517" s="1">
        <f t="shared" si="313"/>
        <v>131752.29833129744</v>
      </c>
      <c r="W1517" s="7">
        <f t="shared" si="314"/>
        <v>-5.9478968550534593E-4</v>
      </c>
      <c r="X1517" s="7">
        <f t="shared" si="315"/>
        <v>-1.7876923086343851E-4</v>
      </c>
      <c r="Y1517">
        <f>LN(B1517/B1516)</f>
        <v>-1.7785763696650068E-3</v>
      </c>
      <c r="Z1517">
        <f>LN(C1517/C1516)</f>
        <v>5.2453074522536725E-4</v>
      </c>
    </row>
    <row r="1518" spans="1:26" x14ac:dyDescent="0.3">
      <c r="A1518" s="11">
        <v>42419</v>
      </c>
      <c r="B1518" s="12">
        <v>17441.57</v>
      </c>
      <c r="C1518" s="12">
        <v>40.944960000000002</v>
      </c>
      <c r="D1518" s="16">
        <f t="shared" si="317"/>
        <v>9.2738133564718161E-4</v>
      </c>
      <c r="E1518" s="15">
        <f t="shared" si="316"/>
        <v>5.2463756145915141E-4</v>
      </c>
      <c r="G1518" s="25" t="str">
        <f>IF(VLOOKUP(A1518,Aux!B:C,2,FALSE)=0,"",VLOOKUP(A1518,Aux!B:C,2,FALSE))</f>
        <v/>
      </c>
      <c r="H1518" s="25" t="str">
        <f t="shared" si="305"/>
        <v/>
      </c>
      <c r="L1518" s="13">
        <f t="shared" si="308"/>
        <v>123816.76281722185</v>
      </c>
      <c r="M1518" s="14">
        <f t="shared" si="309"/>
        <v>55.73246730110661</v>
      </c>
      <c r="N1518" s="14">
        <f t="shared" si="310"/>
        <v>33.38323618854912</v>
      </c>
      <c r="O1518" s="1">
        <f t="shared" si="311"/>
        <v>3.4487912933853409</v>
      </c>
      <c r="P1518" s="1">
        <f t="shared" si="312"/>
        <v>1554.8782575010678</v>
      </c>
      <c r="S1518" s="6">
        <f t="shared" si="306"/>
        <v>0.48581737553393928</v>
      </c>
      <c r="T1518" s="6">
        <f t="shared" si="307"/>
        <v>0.514182624466061</v>
      </c>
      <c r="V1518" s="1">
        <f t="shared" si="313"/>
        <v>131837.61125052584</v>
      </c>
      <c r="W1518" s="7">
        <f t="shared" si="314"/>
        <v>7.1999773587505284E-4</v>
      </c>
      <c r="X1518" s="7">
        <f t="shared" si="315"/>
        <v>6.4731553907130786E-4</v>
      </c>
      <c r="Y1518">
        <f>LN(B1518/B1517)</f>
        <v>9.2695158325203843E-4</v>
      </c>
      <c r="Z1518">
        <f>LN(C1518/C1517)</f>
        <v>5.2449998728931941E-4</v>
      </c>
    </row>
    <row r="1519" spans="1:26" x14ac:dyDescent="0.3">
      <c r="A1519" s="9">
        <v>42422</v>
      </c>
      <c r="B1519" s="1">
        <v>18112.439999999999</v>
      </c>
      <c r="C1519" s="1">
        <v>40.966439999999999</v>
      </c>
      <c r="D1519" s="6">
        <f t="shared" si="317"/>
        <v>3.8463853884713295E-2</v>
      </c>
      <c r="E1519" s="5">
        <f t="shared" si="316"/>
        <v>5.2460669151943584E-4</v>
      </c>
      <c r="G1519" s="25" t="str">
        <f>IF(VLOOKUP(A1519,Aux!B:C,2,FALSE)=0,"",VLOOKUP(A1519,Aux!B:C,2,FALSE))</f>
        <v/>
      </c>
      <c r="H1519" s="25" t="str">
        <f t="shared" si="305"/>
        <v/>
      </c>
      <c r="L1519" s="13">
        <f t="shared" si="308"/>
        <v>126163.85221718639</v>
      </c>
      <c r="M1519" s="14">
        <f t="shared" si="309"/>
        <v>2313.6906149934202</v>
      </c>
      <c r="N1519" s="14">
        <f t="shared" si="310"/>
        <v>33.398784971118012</v>
      </c>
      <c r="O1519" s="1">
        <f t="shared" si="311"/>
        <v>3.4487912933853409</v>
      </c>
      <c r="P1519" s="1">
        <f t="shared" si="312"/>
        <v>1554.8782575010678</v>
      </c>
      <c r="S1519" s="6">
        <f t="shared" si="306"/>
        <v>0.49511824723322045</v>
      </c>
      <c r="T1519" s="6">
        <f t="shared" si="307"/>
        <v>0.50488175276677982</v>
      </c>
      <c r="V1519" s="1">
        <f t="shared" si="313"/>
        <v>133433.3854129572</v>
      </c>
      <c r="W1519" s="7">
        <f t="shared" si="314"/>
        <v>1.8778723081836521E-2</v>
      </c>
      <c r="X1519" s="7">
        <f t="shared" si="315"/>
        <v>1.2031420186576817E-2</v>
      </c>
      <c r="Y1519">
        <f>LN(B1519/B1518)</f>
        <v>3.7742557647122275E-2</v>
      </c>
      <c r="Z1519">
        <f>LN(C1519/C1518)</f>
        <v>5.2446913353616537E-4</v>
      </c>
    </row>
    <row r="1520" spans="1:26" x14ac:dyDescent="0.3">
      <c r="A1520" s="11">
        <v>42423</v>
      </c>
      <c r="B1520" s="12">
        <v>17827.330000000002</v>
      </c>
      <c r="C1520" s="12">
        <v>40.987929999999999</v>
      </c>
      <c r="D1520" s="16">
        <f t="shared" si="317"/>
        <v>-1.5741114946412393E-2</v>
      </c>
      <c r="E1520" s="15">
        <f t="shared" si="316"/>
        <v>5.2457572588693324E-4</v>
      </c>
      <c r="G1520" s="25" t="str">
        <f>IF(VLOOKUP(A1520,Aux!B:C,2,FALSE)=0,"",VLOOKUP(A1520,Aux!B:C,2,FALSE))</f>
        <v/>
      </c>
      <c r="H1520" s="25" t="str">
        <f t="shared" si="305"/>
        <v/>
      </c>
      <c r="L1520" s="13">
        <f t="shared" si="308"/>
        <v>125213.981665283</v>
      </c>
      <c r="M1520" s="14">
        <f t="shared" si="309"/>
        <v>-983.28488565708403</v>
      </c>
      <c r="N1520" s="14">
        <f t="shared" si="310"/>
        <v>33.41433375369796</v>
      </c>
      <c r="O1520" s="1">
        <f t="shared" si="311"/>
        <v>3.4487912933853409</v>
      </c>
      <c r="P1520" s="1">
        <f t="shared" si="312"/>
        <v>1554.8782575010678</v>
      </c>
      <c r="S1520" s="6">
        <f t="shared" si="306"/>
        <v>0.49102136734746199</v>
      </c>
      <c r="T1520" s="6">
        <f t="shared" si="307"/>
        <v>0.50897863265253829</v>
      </c>
      <c r="V1520" s="1">
        <f t="shared" si="313"/>
        <v>132823.70264635384</v>
      </c>
      <c r="W1520" s="7">
        <f t="shared" si="314"/>
        <v>-7.5573494933923232E-3</v>
      </c>
      <c r="X1520" s="7">
        <f t="shared" si="315"/>
        <v>-4.5796627360097219E-3</v>
      </c>
      <c r="Y1520">
        <f>LN(B1520/B1519)</f>
        <v>-1.5866321966535896E-2</v>
      </c>
      <c r="Z1520">
        <f>LN(C1520/C1519)</f>
        <v>5.2443818413944426E-4</v>
      </c>
    </row>
    <row r="1521" spans="1:26" x14ac:dyDescent="0.3">
      <c r="A1521" s="9">
        <v>42424</v>
      </c>
      <c r="B1521" s="1">
        <v>17640.36</v>
      </c>
      <c r="C1521" s="1">
        <v>41.009430000000002</v>
      </c>
      <c r="D1521" s="6">
        <f t="shared" si="317"/>
        <v>-1.0487829641342872E-2</v>
      </c>
      <c r="E1521" s="5">
        <f t="shared" si="316"/>
        <v>5.2454466473439432E-4</v>
      </c>
      <c r="G1521" s="25" t="str">
        <f>IF(VLOOKUP(A1521,Aux!B:C,2,FALSE)=0,"",VLOOKUP(A1521,Aux!B:C,2,FALSE))</f>
        <v/>
      </c>
      <c r="H1521" s="25" t="str">
        <f t="shared" si="305"/>
        <v/>
      </c>
      <c r="L1521" s="13">
        <f t="shared" si="308"/>
        <v>124602.59103969502</v>
      </c>
      <c r="M1521" s="14">
        <f t="shared" si="309"/>
        <v>-644.82050812426121</v>
      </c>
      <c r="N1521" s="14">
        <f t="shared" si="310"/>
        <v>33.429882536277908</v>
      </c>
      <c r="O1521" s="1">
        <f t="shared" si="311"/>
        <v>3.4487912933853409</v>
      </c>
      <c r="P1521" s="1">
        <f t="shared" si="312"/>
        <v>1554.8782575010678</v>
      </c>
      <c r="S1521" s="6">
        <f t="shared" si="306"/>
        <v>0.48825565722627479</v>
      </c>
      <c r="T1521" s="6">
        <f t="shared" si="307"/>
        <v>0.51174434277372538</v>
      </c>
      <c r="V1521" s="1">
        <f t="shared" si="313"/>
        <v>132440.45466403067</v>
      </c>
      <c r="W1521" s="7">
        <f t="shared" si="314"/>
        <v>-4.8947260754265793E-3</v>
      </c>
      <c r="X1521" s="7">
        <f t="shared" si="315"/>
        <v>-2.8895592444261892E-3</v>
      </c>
      <c r="Y1521">
        <f>LN(B1521/B1520)</f>
        <v>-1.0543214511711623E-2</v>
      </c>
      <c r="Z1521">
        <f>LN(C1521/C1520)</f>
        <v>5.2440713927180715E-4</v>
      </c>
    </row>
    <row r="1522" spans="1:26" x14ac:dyDescent="0.3">
      <c r="A1522" s="11">
        <v>42425</v>
      </c>
      <c r="B1522" s="12">
        <v>17564.34</v>
      </c>
      <c r="C1522" s="12">
        <v>41.030949999999997</v>
      </c>
      <c r="D1522" s="16">
        <f t="shared" si="317"/>
        <v>-4.3094358618531725E-3</v>
      </c>
      <c r="E1522" s="15">
        <f t="shared" si="316"/>
        <v>5.2475735458878958E-4</v>
      </c>
      <c r="G1522" s="25" t="str">
        <f>IF(VLOOKUP(A1522,Aux!B:C,2,FALSE)=0,"",VLOOKUP(A1522,Aux!B:C,2,FALSE))</f>
        <v/>
      </c>
      <c r="H1522" s="25" t="str">
        <f t="shared" si="305"/>
        <v/>
      </c>
      <c r="L1522" s="13">
        <f t="shared" si="308"/>
        <v>124373.87490567328</v>
      </c>
      <c r="M1522" s="14">
        <f t="shared" si="309"/>
        <v>-262.17711412315509</v>
      </c>
      <c r="N1522" s="14">
        <f t="shared" si="310"/>
        <v>33.4609801014157</v>
      </c>
      <c r="O1522" s="1">
        <f t="shared" si="311"/>
        <v>3.4487912933853409</v>
      </c>
      <c r="P1522" s="1">
        <f t="shared" si="312"/>
        <v>1554.8782575010678</v>
      </c>
      <c r="S1522" s="6">
        <f t="shared" si="306"/>
        <v>0.48704555447839259</v>
      </c>
      <c r="T1522" s="6">
        <f t="shared" si="307"/>
        <v>0.51295444552160774</v>
      </c>
      <c r="V1522" s="1">
        <f t="shared" si="313"/>
        <v>132313.21695540848</v>
      </c>
      <c r="W1522" s="7">
        <f t="shared" si="314"/>
        <v>-1.8372515449531159E-3</v>
      </c>
      <c r="X1522" s="7">
        <f t="shared" si="315"/>
        <v>-9.6117812183497292E-4</v>
      </c>
      <c r="Y1522">
        <f>LN(B1522/B1521)</f>
        <v>-4.3187482442834805E-3</v>
      </c>
      <c r="Z1522">
        <f>LN(C1522/C1521)</f>
        <v>5.2461971759676959E-4</v>
      </c>
    </row>
    <row r="1523" spans="1:26" x14ac:dyDescent="0.3">
      <c r="A1523" s="9">
        <v>42426</v>
      </c>
      <c r="B1523" s="1">
        <v>17430.79</v>
      </c>
      <c r="C1523" s="1">
        <v>41.05247</v>
      </c>
      <c r="D1523" s="6">
        <f t="shared" si="317"/>
        <v>-7.6034738566891358E-3</v>
      </c>
      <c r="E1523" s="5">
        <f t="shared" si="316"/>
        <v>5.2448212873468236E-4</v>
      </c>
      <c r="G1523" s="25" t="str">
        <f>IF(VLOOKUP(A1523,Aux!B:C,2,FALSE)=0,"",VLOOKUP(A1523,Aux!B:C,2,FALSE))</f>
        <v/>
      </c>
      <c r="H1523" s="25" t="str">
        <f t="shared" si="305"/>
        <v/>
      </c>
      <c r="L1523" s="13">
        <f t="shared" si="308"/>
        <v>123946.7498085431</v>
      </c>
      <c r="M1523" s="14">
        <f t="shared" si="309"/>
        <v>-460.58607723160975</v>
      </c>
      <c r="N1523" s="14">
        <f t="shared" si="310"/>
        <v>33.460980101426749</v>
      </c>
      <c r="O1523" s="1">
        <f t="shared" si="311"/>
        <v>3.4487912933853409</v>
      </c>
      <c r="P1523" s="1">
        <f t="shared" si="312"/>
        <v>1554.8782575010678</v>
      </c>
      <c r="S1523" s="6">
        <f t="shared" si="306"/>
        <v>0.48500793188757574</v>
      </c>
      <c r="T1523" s="6">
        <f t="shared" si="307"/>
        <v>0.51499206811242437</v>
      </c>
      <c r="V1523" s="1">
        <f t="shared" si="313"/>
        <v>132053.25552437612</v>
      </c>
      <c r="W1523" s="7">
        <f t="shared" si="314"/>
        <v>-3.4401131106339415E-3</v>
      </c>
      <c r="X1523" s="7">
        <f t="shared" si="315"/>
        <v>-1.9666753683555333E-3</v>
      </c>
      <c r="Y1523">
        <f>LN(B1523/B1522)</f>
        <v>-7.6325276308042899E-3</v>
      </c>
      <c r="Z1523">
        <f>LN(C1523/C1522)</f>
        <v>5.2434463605586926E-4</v>
      </c>
    </row>
    <row r="1524" spans="1:26" x14ac:dyDescent="0.3">
      <c r="A1524" s="11">
        <v>42429</v>
      </c>
      <c r="B1524" s="12">
        <v>17899.490000000002</v>
      </c>
      <c r="C1524" s="12">
        <v>41.074010000000001</v>
      </c>
      <c r="D1524" s="16">
        <f t="shared" si="317"/>
        <v>2.6889200087890419E-2</v>
      </c>
      <c r="E1524" s="15">
        <f t="shared" si="316"/>
        <v>5.2469437283564346E-4</v>
      </c>
      <c r="G1524" s="25" t="str">
        <f>IF(VLOOKUP(A1524,Aux!B:C,2,FALSE)=0,"",VLOOKUP(A1524,Aux!B:C,2,FALSE))</f>
        <v/>
      </c>
      <c r="H1524" s="25" t="str">
        <f t="shared" si="305"/>
        <v/>
      </c>
      <c r="L1524" s="13">
        <f t="shared" si="308"/>
        <v>125596.69036541939</v>
      </c>
      <c r="M1524" s="14">
        <f t="shared" si="309"/>
        <v>1616.4484792097119</v>
      </c>
      <c r="N1524" s="14">
        <f t="shared" si="310"/>
        <v>33.492077666575597</v>
      </c>
      <c r="O1524" s="1">
        <f t="shared" si="311"/>
        <v>3.4487912933853409</v>
      </c>
      <c r="P1524" s="1">
        <f t="shared" si="312"/>
        <v>1554.8782575010678</v>
      </c>
      <c r="S1524" s="6">
        <f t="shared" si="306"/>
        <v>0.49150662400762257</v>
      </c>
      <c r="T1524" s="6">
        <f t="shared" si="307"/>
        <v>0.50849337599237765</v>
      </c>
      <c r="V1524" s="1">
        <f t="shared" si="313"/>
        <v>133182.75065281076</v>
      </c>
      <c r="W1524" s="7">
        <f t="shared" si="314"/>
        <v>1.3223866750449275E-2</v>
      </c>
      <c r="X1524" s="7">
        <f t="shared" si="315"/>
        <v>8.5169579528018395E-3</v>
      </c>
      <c r="Y1524">
        <f>LN(B1524/B1523)</f>
        <v>2.6534038162124612E-2</v>
      </c>
      <c r="Z1524">
        <f>LN(C1524/C1523)</f>
        <v>5.2455676887444612E-4</v>
      </c>
    </row>
    <row r="1525" spans="1:26" x14ac:dyDescent="0.3">
      <c r="A1525" s="9">
        <v>42430</v>
      </c>
      <c r="B1525" s="1">
        <v>18428.14</v>
      </c>
      <c r="C1525" s="1">
        <v>41.095559999999999</v>
      </c>
      <c r="D1525" s="6">
        <f t="shared" si="317"/>
        <v>2.9534361034867285E-2</v>
      </c>
      <c r="E1525" s="5">
        <f t="shared" si="316"/>
        <v>5.2466267598405558E-4</v>
      </c>
      <c r="G1525" s="25" t="str">
        <f>IF(VLOOKUP(A1525,Aux!B:C,2,FALSE)=0,"",VLOOKUP(A1525,Aux!B:C,2,FALSE))</f>
        <v/>
      </c>
      <c r="H1525" s="25" t="str">
        <f t="shared" si="305"/>
        <v/>
      </c>
      <c r="L1525" s="13">
        <f t="shared" si="308"/>
        <v>127453.40150911669</v>
      </c>
      <c r="M1525" s="14">
        <f t="shared" si="309"/>
        <v>1823.2035172481528</v>
      </c>
      <c r="N1525" s="14">
        <f t="shared" si="310"/>
        <v>33.507626449144496</v>
      </c>
      <c r="O1525" s="1">
        <f t="shared" si="311"/>
        <v>3.4487912933853409</v>
      </c>
      <c r="P1525" s="1">
        <f t="shared" si="312"/>
        <v>1554.8782575010678</v>
      </c>
      <c r="S1525" s="6">
        <f t="shared" si="306"/>
        <v>0.49865133478403151</v>
      </c>
      <c r="T1525" s="6">
        <f t="shared" si="307"/>
        <v>0.50134866521596866</v>
      </c>
      <c r="V1525" s="1">
        <f t="shared" si="313"/>
        <v>134450.57489963219</v>
      </c>
      <c r="W1525" s="7">
        <f t="shared" si="314"/>
        <v>1.4674916341998127E-2</v>
      </c>
      <c r="X1525" s="7">
        <f t="shared" si="315"/>
        <v>9.4744085250387435E-3</v>
      </c>
      <c r="Y1525">
        <f>LN(B1525/B1524)</f>
        <v>2.9106623358903495E-2</v>
      </c>
      <c r="Z1525">
        <f>LN(C1525/C1524)</f>
        <v>5.2452508864479438E-4</v>
      </c>
    </row>
    <row r="1526" spans="1:26" x14ac:dyDescent="0.3">
      <c r="A1526" s="11">
        <v>42431</v>
      </c>
      <c r="B1526" s="12">
        <v>18717.82</v>
      </c>
      <c r="C1526" s="12">
        <v>41.11712</v>
      </c>
      <c r="D1526" s="16">
        <f t="shared" si="317"/>
        <v>1.5719437772884204E-2</v>
      </c>
      <c r="E1526" s="15">
        <f t="shared" si="316"/>
        <v>5.2463088469889563E-4</v>
      </c>
      <c r="G1526" s="25" t="str">
        <f>IF(VLOOKUP(A1526,Aux!B:C,2,FALSE)=0,"",VLOOKUP(A1526,Aux!B:C,2,FALSE))</f>
        <v/>
      </c>
      <c r="H1526" s="25" t="str">
        <f t="shared" si="305"/>
        <v/>
      </c>
      <c r="L1526" s="13">
        <f t="shared" si="308"/>
        <v>128485.97054621628</v>
      </c>
      <c r="M1526" s="14">
        <f t="shared" si="309"/>
        <v>999.04586186786651</v>
      </c>
      <c r="N1526" s="14">
        <f t="shared" si="310"/>
        <v>33.523175231724437</v>
      </c>
      <c r="O1526" s="1">
        <f t="shared" si="311"/>
        <v>3.4487912933853409</v>
      </c>
      <c r="P1526" s="1">
        <f t="shared" si="312"/>
        <v>1554.8782575010678</v>
      </c>
      <c r="S1526" s="6">
        <f t="shared" si="306"/>
        <v>0.50241948107427059</v>
      </c>
      <c r="T1526" s="6">
        <f t="shared" si="307"/>
        <v>0.49758051892572958</v>
      </c>
      <c r="V1526" s="1">
        <f t="shared" si="313"/>
        <v>135167.10936856293</v>
      </c>
      <c r="W1526" s="7">
        <f t="shared" si="314"/>
        <v>8.0689003110684249E-3</v>
      </c>
      <c r="X1526" s="7">
        <f t="shared" si="315"/>
        <v>5.3152014697995182E-3</v>
      </c>
      <c r="Y1526">
        <f>LN(B1526/B1525)</f>
        <v>1.5597167097209493E-2</v>
      </c>
      <c r="Z1526">
        <f>LN(C1526/C1525)</f>
        <v>5.2449331403008374E-4</v>
      </c>
    </row>
    <row r="1527" spans="1:26" x14ac:dyDescent="0.3">
      <c r="A1527" s="9">
        <v>42432</v>
      </c>
      <c r="B1527" s="1">
        <v>19581.39</v>
      </c>
      <c r="C1527" s="1">
        <v>41.138689999999997</v>
      </c>
      <c r="D1527" s="6">
        <f t="shared" si="317"/>
        <v>4.6136248772560062E-2</v>
      </c>
      <c r="E1527" s="5">
        <f t="shared" si="316"/>
        <v>5.2459899915158203E-4</v>
      </c>
      <c r="G1527" s="25" t="str">
        <f>IF(VLOOKUP(A1527,Aux!B:C,2,FALSE)=0,"",VLOOKUP(A1527,Aux!B:C,2,FALSE))</f>
        <v/>
      </c>
      <c r="H1527" s="25" t="str">
        <f t="shared" si="305"/>
        <v/>
      </c>
      <c r="L1527" s="13">
        <f t="shared" si="308"/>
        <v>131497.78196745936</v>
      </c>
      <c r="M1527" s="14">
        <f t="shared" si="309"/>
        <v>2978.2726972287778</v>
      </c>
      <c r="N1527" s="14">
        <f t="shared" si="310"/>
        <v>33.538724014293336</v>
      </c>
      <c r="O1527" s="1">
        <f t="shared" si="311"/>
        <v>3.4487912933853409</v>
      </c>
      <c r="P1527" s="1">
        <f t="shared" si="312"/>
        <v>1554.8782575010678</v>
      </c>
      <c r="S1527" s="6">
        <f t="shared" si="306"/>
        <v>0.51356096151564279</v>
      </c>
      <c r="T1527" s="6">
        <f t="shared" si="307"/>
        <v>0.48643903848435732</v>
      </c>
      <c r="V1527" s="1">
        <f t="shared" si="313"/>
        <v>137207.65051359788</v>
      </c>
      <c r="W1527" s="7">
        <f t="shared" si="314"/>
        <v>2.3170264561770439E-2</v>
      </c>
      <c r="X1527" s="7">
        <f t="shared" si="315"/>
        <v>1.498361538626671E-2</v>
      </c>
      <c r="Y1527">
        <f>LN(B1527/B1526)</f>
        <v>4.5103614112765186E-2</v>
      </c>
      <c r="Z1527">
        <f>LN(C1527/C1526)</f>
        <v>5.2446144520163374E-4</v>
      </c>
    </row>
    <row r="1528" spans="1:26" x14ac:dyDescent="0.3">
      <c r="A1528" s="11">
        <v>42433</v>
      </c>
      <c r="B1528" s="12">
        <v>20302.12</v>
      </c>
      <c r="C1528" s="12">
        <v>41.160269999999997</v>
      </c>
      <c r="D1528" s="16">
        <f t="shared" si="317"/>
        <v>3.6806886538698125E-2</v>
      </c>
      <c r="E1528" s="15">
        <f t="shared" si="316"/>
        <v>5.2456701951375528E-4</v>
      </c>
      <c r="G1528" s="25" t="str">
        <f>IF(VLOOKUP(A1528,Aux!B:C,2,FALSE)=0,"",VLOOKUP(A1528,Aux!B:C,2,FALSE))</f>
        <v/>
      </c>
      <c r="H1528" s="25" t="str">
        <f t="shared" si="305"/>
        <v/>
      </c>
      <c r="L1528" s="13">
        <f t="shared" si="308"/>
        <v>134016.98358913785</v>
      </c>
      <c r="M1528" s="14">
        <f t="shared" si="309"/>
        <v>2485.647348881615</v>
      </c>
      <c r="N1528" s="14">
        <f t="shared" si="310"/>
        <v>33.554272796873285</v>
      </c>
      <c r="O1528" s="1">
        <f t="shared" si="311"/>
        <v>3.4487912933853409</v>
      </c>
      <c r="P1528" s="1">
        <f t="shared" si="312"/>
        <v>1554.8782575010678</v>
      </c>
      <c r="S1528" s="6">
        <f t="shared" si="306"/>
        <v>0.52245448911103065</v>
      </c>
      <c r="T1528" s="6">
        <f t="shared" si="307"/>
        <v>0.47754551088896946</v>
      </c>
      <c r="V1528" s="1">
        <f t="shared" si="313"/>
        <v>138918.67715338754</v>
      </c>
      <c r="W1528" s="7">
        <f t="shared" si="314"/>
        <v>1.8976550814234043E-2</v>
      </c>
      <c r="X1528" s="7">
        <f t="shared" si="315"/>
        <v>1.2393229969861572E-2</v>
      </c>
      <c r="Y1528">
        <f>LN(B1528/B1527)</f>
        <v>3.6145688702898325E-2</v>
      </c>
      <c r="Z1528">
        <f>LN(C1528/C1527)</f>
        <v>5.2442948233098589E-4</v>
      </c>
    </row>
    <row r="1529" spans="1:26" x14ac:dyDescent="0.3">
      <c r="A1529" s="9">
        <v>42436</v>
      </c>
      <c r="B1529" s="1">
        <v>20363.34</v>
      </c>
      <c r="C1529" s="1">
        <v>41.18186</v>
      </c>
      <c r="D1529" s="6">
        <f t="shared" si="317"/>
        <v>3.015448632950779E-3</v>
      </c>
      <c r="E1529" s="5">
        <f t="shared" si="316"/>
        <v>5.2453494595638972E-4</v>
      </c>
      <c r="G1529" s="25" t="str">
        <f>IF(VLOOKUP(A1529,Aux!B:C,2,FALSE)=0,"",VLOOKUP(A1529,Aux!B:C,2,FALSE))</f>
        <v/>
      </c>
      <c r="H1529" s="25" t="str">
        <f t="shared" si="305"/>
        <v/>
      </c>
      <c r="L1529" s="13">
        <f t="shared" si="308"/>
        <v>134261.68841369834</v>
      </c>
      <c r="M1529" s="14">
        <f t="shared" si="309"/>
        <v>211.13500298105458</v>
      </c>
      <c r="N1529" s="14">
        <f t="shared" si="310"/>
        <v>33.569821579453226</v>
      </c>
      <c r="O1529" s="1">
        <f t="shared" si="311"/>
        <v>3.4487912933853409</v>
      </c>
      <c r="P1529" s="1">
        <f t="shared" si="312"/>
        <v>1554.8782575010678</v>
      </c>
      <c r="S1529" s="6">
        <f t="shared" si="306"/>
        <v>0.52307482891061419</v>
      </c>
      <c r="T1529" s="6">
        <f t="shared" si="307"/>
        <v>0.47692517108938604</v>
      </c>
      <c r="V1529" s="1">
        <f t="shared" si="313"/>
        <v>139108.21352471857</v>
      </c>
      <c r="W1529" s="7">
        <f t="shared" si="314"/>
        <v>1.8242590109518414E-3</v>
      </c>
      <c r="X1529" s="7">
        <f t="shared" si="315"/>
        <v>1.363439343802868E-3</v>
      </c>
      <c r="Y1529">
        <f>LN(B1529/B1528)</f>
        <v>3.0109112868560964E-3</v>
      </c>
      <c r="Z1529">
        <f>LN(C1529/C1528)</f>
        <v>5.2439742558901587E-4</v>
      </c>
    </row>
    <row r="1530" spans="1:26" x14ac:dyDescent="0.3">
      <c r="A1530" s="11">
        <v>42437</v>
      </c>
      <c r="B1530" s="12">
        <v>20308.62</v>
      </c>
      <c r="C1530" s="12">
        <v>41.20346</v>
      </c>
      <c r="D1530" s="16">
        <f t="shared" si="317"/>
        <v>-2.6871819652375395E-3</v>
      </c>
      <c r="E1530" s="15">
        <f t="shared" si="316"/>
        <v>5.2450277865068173E-4</v>
      </c>
      <c r="G1530" s="25" t="str">
        <f>IF(VLOOKUP(A1530,Aux!B:C,2,FALSE)=0,"",VLOOKUP(A1530,Aux!B:C,2,FALSE))</f>
        <v/>
      </c>
      <c r="H1530" s="25" t="str">
        <f t="shared" si="305"/>
        <v/>
      </c>
      <c r="L1530" s="13">
        <f t="shared" si="308"/>
        <v>134106.55592448631</v>
      </c>
      <c r="M1530" s="14">
        <f t="shared" si="309"/>
        <v>-188.71785957404987</v>
      </c>
      <c r="N1530" s="14">
        <f t="shared" si="310"/>
        <v>33.585370362022125</v>
      </c>
      <c r="O1530" s="1">
        <f t="shared" si="311"/>
        <v>3.4487912933853409</v>
      </c>
      <c r="P1530" s="1">
        <f t="shared" si="312"/>
        <v>1554.8782575010678</v>
      </c>
      <c r="S1530" s="6">
        <f t="shared" si="306"/>
        <v>0.52227269094965145</v>
      </c>
      <c r="T1530" s="6">
        <f t="shared" si="307"/>
        <v>0.47772730905034871</v>
      </c>
      <c r="V1530" s="1">
        <f t="shared" si="313"/>
        <v>139030.29463177128</v>
      </c>
      <c r="W1530" s="7">
        <f t="shared" si="314"/>
        <v>-1.1561167147315951E-3</v>
      </c>
      <c r="X1530" s="7">
        <f t="shared" si="315"/>
        <v>-5.6028843688074549E-4</v>
      </c>
      <c r="Y1530">
        <f>LN(B1530/B1529)</f>
        <v>-2.690798919757733E-3</v>
      </c>
      <c r="Z1530">
        <f>LN(C1530/C1529)</f>
        <v>5.2436527514682118E-4</v>
      </c>
    </row>
    <row r="1531" spans="1:26" x14ac:dyDescent="0.3">
      <c r="A1531" s="9">
        <v>42438</v>
      </c>
      <c r="B1531" s="1">
        <v>20152.95</v>
      </c>
      <c r="C1531" s="1">
        <v>41.225079999999998</v>
      </c>
      <c r="D1531" s="6">
        <f t="shared" si="317"/>
        <v>-7.6652180207221754E-3</v>
      </c>
      <c r="E1531" s="5">
        <f t="shared" si="316"/>
        <v>5.2471321583191788E-4</v>
      </c>
      <c r="G1531" s="25" t="str">
        <f>IF(VLOOKUP(A1531,Aux!B:C,2,FALSE)=0,"",VLOOKUP(A1531,Aux!B:C,2,FALSE))</f>
        <v/>
      </c>
      <c r="H1531" s="25" t="str">
        <f t="shared" si="305"/>
        <v/>
      </c>
      <c r="L1531" s="13">
        <f t="shared" si="308"/>
        <v>133603.29905177219</v>
      </c>
      <c r="M1531" s="14">
        <f t="shared" si="309"/>
        <v>-536.87334064129004</v>
      </c>
      <c r="N1531" s="14">
        <f t="shared" si="310"/>
        <v>33.616467927170973</v>
      </c>
      <c r="O1531" s="1">
        <f t="shared" si="311"/>
        <v>3.4487912933853409</v>
      </c>
      <c r="P1531" s="1">
        <f t="shared" si="312"/>
        <v>1554.8782575010678</v>
      </c>
      <c r="S1531" s="6">
        <f t="shared" si="306"/>
        <v>0.52022157378836198</v>
      </c>
      <c r="T1531" s="6">
        <f t="shared" si="307"/>
        <v>0.47977842621163819</v>
      </c>
      <c r="V1531" s="1">
        <f t="shared" si="313"/>
        <v>138719.52530022335</v>
      </c>
      <c r="W1531" s="7">
        <f t="shared" si="314"/>
        <v>-3.7597231194569963E-3</v>
      </c>
      <c r="X1531" s="7">
        <f t="shared" si="315"/>
        <v>-2.2377653480235298E-3</v>
      </c>
      <c r="Y1531">
        <f>LN(B1531/B1530)</f>
        <v>-7.6947467974998202E-3</v>
      </c>
      <c r="Z1531">
        <f>LN(C1531/C1530)</f>
        <v>5.2457560198891401E-4</v>
      </c>
    </row>
    <row r="1532" spans="1:26" x14ac:dyDescent="0.3">
      <c r="A1532" s="11">
        <v>42439</v>
      </c>
      <c r="B1532" s="12">
        <v>20497.38</v>
      </c>
      <c r="C1532" s="12">
        <v>41.24671</v>
      </c>
      <c r="D1532" s="16">
        <f t="shared" si="317"/>
        <v>1.7090798121366824E-2</v>
      </c>
      <c r="E1532" s="15">
        <f t="shared" si="316"/>
        <v>5.2468060704802255E-4</v>
      </c>
      <c r="G1532" s="25" t="str">
        <f>IF(VLOOKUP(A1532,Aux!B:C,2,FALSE)=0,"",VLOOKUP(A1532,Aux!B:C,2,FALSE))</f>
        <v/>
      </c>
      <c r="H1532" s="25" t="str">
        <f t="shared" si="305"/>
        <v/>
      </c>
      <c r="L1532" s="13">
        <f t="shared" si="308"/>
        <v>134824.79825366265</v>
      </c>
      <c r="M1532" s="14">
        <f t="shared" si="309"/>
        <v>1187.8671851807139</v>
      </c>
      <c r="N1532" s="14">
        <f t="shared" si="310"/>
        <v>33.632016709750914</v>
      </c>
      <c r="O1532" s="1">
        <f t="shared" si="311"/>
        <v>3.4487912933853409</v>
      </c>
      <c r="P1532" s="1">
        <f t="shared" si="312"/>
        <v>1554.8782575010678</v>
      </c>
      <c r="S1532" s="6">
        <f t="shared" si="306"/>
        <v>0.52431886861206867</v>
      </c>
      <c r="T1532" s="6">
        <f t="shared" si="307"/>
        <v>0.4756811313879315</v>
      </c>
      <c r="V1532" s="1">
        <f t="shared" si="313"/>
        <v>139562.52653359165</v>
      </c>
      <c r="W1532" s="7">
        <f t="shared" si="314"/>
        <v>9.101190566180568E-3</v>
      </c>
      <c r="X1532" s="7">
        <f t="shared" si="315"/>
        <v>6.0586286933042282E-3</v>
      </c>
      <c r="Y1532">
        <f>LN(B1532/B1531)</f>
        <v>1.6946393436495455E-2</v>
      </c>
      <c r="Z1532">
        <f>LN(C1532/C1531)</f>
        <v>5.2454301030577407E-4</v>
      </c>
    </row>
    <row r="1533" spans="1:26" x14ac:dyDescent="0.3">
      <c r="A1533" s="9">
        <v>42440</v>
      </c>
      <c r="B1533" s="1">
        <v>20510.689999999999</v>
      </c>
      <c r="C1533" s="1">
        <v>41.268349999999998</v>
      </c>
      <c r="D1533" s="6">
        <f t="shared" si="317"/>
        <v>6.4935128294441036E-4</v>
      </c>
      <c r="E1533" s="5">
        <f t="shared" si="316"/>
        <v>5.2464790525097449E-4</v>
      </c>
      <c r="G1533" s="25" t="str">
        <f>IF(VLOOKUP(A1533,Aux!B:C,2,FALSE)=0,"",VLOOKUP(A1533,Aux!B:C,2,FALSE))</f>
        <v/>
      </c>
      <c r="H1533" s="25" t="str">
        <f t="shared" si="305"/>
        <v/>
      </c>
      <c r="L1533" s="13">
        <f t="shared" si="308"/>
        <v>134904.34923126991</v>
      </c>
      <c r="M1533" s="14">
        <f t="shared" si="309"/>
        <v>45.903412114950854</v>
      </c>
      <c r="N1533" s="14">
        <f t="shared" si="310"/>
        <v>33.647565492319814</v>
      </c>
      <c r="O1533" s="1">
        <f t="shared" si="311"/>
        <v>3.4487912933853409</v>
      </c>
      <c r="P1533" s="1">
        <f t="shared" si="312"/>
        <v>1554.8782575010678</v>
      </c>
      <c r="S1533" s="6">
        <f t="shared" si="306"/>
        <v>0.5243499523655788</v>
      </c>
      <c r="T1533" s="6">
        <f t="shared" si="307"/>
        <v>0.47565004763442165</v>
      </c>
      <c r="V1533" s="1">
        <f t="shared" si="313"/>
        <v>139641.64471564494</v>
      </c>
      <c r="W1533" s="7">
        <f t="shared" si="314"/>
        <v>5.8985823857419649E-4</v>
      </c>
      <c r="X1533" s="7">
        <f t="shared" si="315"/>
        <v>5.6674070317066269E-4</v>
      </c>
      <c r="Y1533">
        <f>LN(B1533/B1532)</f>
        <v>6.491405456235112E-4</v>
      </c>
      <c r="Z1533">
        <f>LN(C1533/C1532)</f>
        <v>5.2451032565719289E-4</v>
      </c>
    </row>
    <row r="1534" spans="1:26" x14ac:dyDescent="0.3">
      <c r="A1534" s="11">
        <v>42443</v>
      </c>
      <c r="B1534" s="12">
        <v>20206.599999999999</v>
      </c>
      <c r="C1534" s="12">
        <v>41.29</v>
      </c>
      <c r="D1534" s="16">
        <f t="shared" si="317"/>
        <v>-1.4825927357880242E-2</v>
      </c>
      <c r="E1534" s="15">
        <f t="shared" si="316"/>
        <v>5.2461511061152599E-4</v>
      </c>
      <c r="G1534" s="25" t="str">
        <f>IF(VLOOKUP(A1534,Aux!B:C,2,FALSE)=0,"",VLOOKUP(A1534,Aux!B:C,2,FALSE))</f>
        <v/>
      </c>
      <c r="H1534" s="25" t="str">
        <f t="shared" si="305"/>
        <v/>
      </c>
      <c r="L1534" s="13">
        <f t="shared" si="308"/>
        <v>133889.26940113926</v>
      </c>
      <c r="M1534" s="14">
        <f t="shared" si="309"/>
        <v>-1048.7429444055488</v>
      </c>
      <c r="N1534" s="14">
        <f t="shared" si="310"/>
        <v>33.663114274899762</v>
      </c>
      <c r="O1534" s="1">
        <f t="shared" si="311"/>
        <v>3.4487912933853409</v>
      </c>
      <c r="P1534" s="1">
        <f t="shared" si="312"/>
        <v>1554.8782575010678</v>
      </c>
      <c r="S1534" s="6">
        <f t="shared" si="306"/>
        <v>0.52049239241219758</v>
      </c>
      <c r="T1534" s="6">
        <f t="shared" si="307"/>
        <v>0.4795076075878027</v>
      </c>
      <c r="V1534" s="1">
        <f t="shared" si="313"/>
        <v>138988.53236631147</v>
      </c>
      <c r="W1534" s="7">
        <f t="shared" si="314"/>
        <v>-7.5528925190018149E-3</v>
      </c>
      <c r="X1534" s="7">
        <f t="shared" si="315"/>
        <v>-4.6880316577959241E-3</v>
      </c>
      <c r="Y1534">
        <f>LN(B1534/B1533)</f>
        <v>-1.4936929929267588E-2</v>
      </c>
      <c r="Z1534">
        <f>LN(C1534/C1533)</f>
        <v>5.2447754821382392E-4</v>
      </c>
    </row>
    <row r="1535" spans="1:26" x14ac:dyDescent="0.3">
      <c r="A1535" s="9">
        <v>42444</v>
      </c>
      <c r="B1535" s="1">
        <v>19545.22</v>
      </c>
      <c r="C1535" s="1">
        <v>41.311660000000003</v>
      </c>
      <c r="D1535" s="6">
        <f t="shared" si="317"/>
        <v>-3.2730889907257921E-2</v>
      </c>
      <c r="E1535" s="5">
        <f t="shared" si="316"/>
        <v>5.2458222329865301E-4</v>
      </c>
      <c r="G1535" s="25" t="str">
        <f>IF(VLOOKUP(A1535,Aux!B:C,2,FALSE)=0,"",VLOOKUP(A1535,Aux!B:C,2,FALSE))</f>
        <v/>
      </c>
      <c r="H1535" s="25" t="str">
        <f t="shared" si="305"/>
        <v/>
      </c>
      <c r="L1535" s="13">
        <f t="shared" si="308"/>
        <v>131641.98647857754</v>
      </c>
      <c r="M1535" s="14">
        <f t="shared" si="309"/>
        <v>-2280.9615856191876</v>
      </c>
      <c r="N1535" s="14">
        <f t="shared" si="310"/>
        <v>33.67866305747971</v>
      </c>
      <c r="O1535" s="1">
        <f t="shared" si="311"/>
        <v>3.4487912933853409</v>
      </c>
      <c r="P1535" s="1">
        <f t="shared" si="312"/>
        <v>1554.8782575010678</v>
      </c>
      <c r="S1535" s="6">
        <f t="shared" si="306"/>
        <v>0.51205080055724028</v>
      </c>
      <c r="T1535" s="6">
        <f t="shared" si="307"/>
        <v>0.48794919944276011</v>
      </c>
      <c r="V1535" s="1">
        <f t="shared" si="313"/>
        <v>137511.16186023157</v>
      </c>
      <c r="W1535" s="7">
        <f t="shared" si="314"/>
        <v>-1.692709638810487E-2</v>
      </c>
      <c r="X1535" s="7">
        <f t="shared" si="315"/>
        <v>-1.0686337788253515E-2</v>
      </c>
      <c r="Y1535">
        <f>LN(B1535/B1534)</f>
        <v>-3.3278528457638581E-2</v>
      </c>
      <c r="Z1535">
        <f>LN(C1535/C1534)</f>
        <v>5.244446781445455E-4</v>
      </c>
    </row>
    <row r="1536" spans="1:26" x14ac:dyDescent="0.3">
      <c r="A1536" s="11">
        <v>42445</v>
      </c>
      <c r="B1536" s="12">
        <v>19792.63</v>
      </c>
      <c r="C1536" s="12">
        <v>41.333329999999997</v>
      </c>
      <c r="D1536" s="16">
        <f t="shared" si="317"/>
        <v>1.2658337946567011E-2</v>
      </c>
      <c r="E1536" s="15">
        <f t="shared" si="316"/>
        <v>5.2454924348221965E-4</v>
      </c>
      <c r="G1536" s="25" t="str">
        <f>IF(VLOOKUP(A1536,Aux!B:C,2,FALSE)=0,"",VLOOKUP(A1536,Aux!B:C,2,FALSE))</f>
        <v/>
      </c>
      <c r="H1536" s="25" t="str">
        <f t="shared" si="305"/>
        <v/>
      </c>
      <c r="L1536" s="13">
        <f t="shared" si="308"/>
        <v>132528.94614431405</v>
      </c>
      <c r="M1536" s="14">
        <f t="shared" si="309"/>
        <v>853.26545389646662</v>
      </c>
      <c r="N1536" s="14">
        <f t="shared" si="310"/>
        <v>33.694211840037561</v>
      </c>
      <c r="O1536" s="1">
        <f t="shared" si="311"/>
        <v>3.4487912933853409</v>
      </c>
      <c r="P1536" s="1">
        <f t="shared" si="312"/>
        <v>1554.8782575010678</v>
      </c>
      <c r="S1536" s="6">
        <f t="shared" si="306"/>
        <v>0.51506219586826563</v>
      </c>
      <c r="T1536" s="6">
        <f t="shared" si="307"/>
        <v>0.48493780413173487</v>
      </c>
      <c r="V1536" s="1">
        <f t="shared" si="313"/>
        <v>138130.42404512054</v>
      </c>
      <c r="W1536" s="7">
        <f t="shared" si="314"/>
        <v>6.715068836963798E-3</v>
      </c>
      <c r="X1536" s="7">
        <f t="shared" si="315"/>
        <v>4.4932496286925229E-3</v>
      </c>
      <c r="Y1536">
        <f>LN(B1536/B1535)</f>
        <v>1.2578890929089131E-2</v>
      </c>
      <c r="Z1536">
        <f>LN(C1536/C1535)</f>
        <v>5.2441171561912344E-4</v>
      </c>
    </row>
    <row r="1537" spans="1:26" x14ac:dyDescent="0.3">
      <c r="A1537" s="9">
        <v>42446</v>
      </c>
      <c r="B1537" s="1">
        <v>21011.46</v>
      </c>
      <c r="C1537" s="1">
        <v>41.35501</v>
      </c>
      <c r="D1537" s="6">
        <f t="shared" si="317"/>
        <v>6.1579992148592666E-2</v>
      </c>
      <c r="E1537" s="5">
        <f t="shared" si="316"/>
        <v>5.2451617133209005E-4</v>
      </c>
      <c r="G1537" s="25" t="str">
        <f>IF(VLOOKUP(A1537,Aux!B:C,2,FALSE)=0,"",VLOOKUP(A1537,Aux!B:C,2,FALSE))</f>
        <v/>
      </c>
      <c r="H1537" s="25" t="str">
        <f t="shared" si="305"/>
        <v/>
      </c>
      <c r="L1537" s="13">
        <f t="shared" si="308"/>
        <v>136766.14619705352</v>
      </c>
      <c r="M1537" s="14">
        <f t="shared" si="309"/>
        <v>4203.4902921168487</v>
      </c>
      <c r="N1537" s="14">
        <f t="shared" si="310"/>
        <v>33.709760622628551</v>
      </c>
      <c r="O1537" s="1">
        <f t="shared" si="311"/>
        <v>3.4487912933853409</v>
      </c>
      <c r="P1537" s="1">
        <f t="shared" si="312"/>
        <v>1554.8782575010678</v>
      </c>
      <c r="S1537" s="6">
        <f t="shared" si="306"/>
        <v>0.52983974707386694</v>
      </c>
      <c r="T1537" s="6">
        <f t="shared" si="307"/>
        <v>0.47016025292613345</v>
      </c>
      <c r="V1537" s="1">
        <f t="shared" si="313"/>
        <v>140990.80852178758</v>
      </c>
      <c r="W1537" s="7">
        <f t="shared" si="314"/>
        <v>3.1471422209514342E-2</v>
      </c>
      <c r="X1537" s="7">
        <f t="shared" si="315"/>
        <v>2.0496359858660322E-2</v>
      </c>
      <c r="Y1537">
        <f>LN(B1537/B1536)</f>
        <v>5.9758356974865486E-2</v>
      </c>
      <c r="Z1537">
        <f>LN(C1537/C1536)</f>
        <v>5.2437866080732372E-4</v>
      </c>
    </row>
    <row r="1538" spans="1:26" x14ac:dyDescent="0.3">
      <c r="A1538" s="11">
        <v>42447</v>
      </c>
      <c r="B1538" s="12">
        <v>20959.080000000002</v>
      </c>
      <c r="C1538" s="12">
        <v>41.376710000000003</v>
      </c>
      <c r="D1538" s="16">
        <f t="shared" si="317"/>
        <v>-2.492925289341974E-3</v>
      </c>
      <c r="E1538" s="15">
        <f t="shared" si="316"/>
        <v>5.2472481568743845E-4</v>
      </c>
      <c r="G1538" s="25" t="str">
        <f>IF(VLOOKUP(A1538,Aux!B:C,2,FALSE)=0,"",VLOOKUP(A1538,Aux!B:C,2,FALSE))</f>
        <v/>
      </c>
      <c r="H1538" s="25" t="str">
        <f t="shared" si="305"/>
        <v/>
      </c>
      <c r="L1538" s="13">
        <f t="shared" si="308"/>
        <v>136619.23936729378</v>
      </c>
      <c r="M1538" s="14">
        <f t="shared" si="309"/>
        <v>-180.64768794751512</v>
      </c>
      <c r="N1538" s="14">
        <f t="shared" si="310"/>
        <v>33.740858187777398</v>
      </c>
      <c r="O1538" s="1">
        <f t="shared" si="311"/>
        <v>3.4487912933853409</v>
      </c>
      <c r="P1538" s="1">
        <f t="shared" si="312"/>
        <v>1554.8782575010678</v>
      </c>
      <c r="S1538" s="6">
        <f t="shared" si="306"/>
        <v>0.52908721316356033</v>
      </c>
      <c r="T1538" s="6">
        <f t="shared" si="307"/>
        <v>0.47091278683644017</v>
      </c>
      <c r="V1538" s="1">
        <f t="shared" si="313"/>
        <v>140918.51180394011</v>
      </c>
      <c r="W1538" s="7">
        <f t="shared" si="314"/>
        <v>-1.0747234611436446E-3</v>
      </c>
      <c r="X1538" s="7">
        <f t="shared" si="315"/>
        <v>-5.1290762113779143E-4</v>
      </c>
      <c r="Y1538">
        <f>LN(B1538/B1537)</f>
        <v>-2.4960378015073444E-3</v>
      </c>
      <c r="Z1538">
        <f>LN(C1538/C1537)</f>
        <v>5.2458719576096188E-4</v>
      </c>
    </row>
    <row r="1539" spans="1:26" x14ac:dyDescent="0.3">
      <c r="A1539" s="9">
        <v>42450</v>
      </c>
      <c r="B1539" s="1">
        <v>21122.54</v>
      </c>
      <c r="C1539" s="1">
        <v>41.398420000000002</v>
      </c>
      <c r="D1539" s="6">
        <f t="shared" si="317"/>
        <v>7.7990064449393603E-3</v>
      </c>
      <c r="E1539" s="5">
        <f t="shared" si="316"/>
        <v>5.2469130580945489E-4</v>
      </c>
      <c r="G1539" s="25" t="str">
        <f>IF(VLOOKUP(A1539,Aux!B:C,2,FALSE)=0,"",VLOOKUP(A1539,Aux!B:C,2,FALSE))</f>
        <v/>
      </c>
      <c r="H1539" s="25" t="str">
        <f t="shared" ref="H1539:H1602" si="318">IF(ISNUMBER(G1539),1-G1539,"")</f>
        <v/>
      </c>
      <c r="L1539" s="13">
        <f t="shared" si="308"/>
        <v>137216.7351990809</v>
      </c>
      <c r="M1539" s="14">
        <f t="shared" si="309"/>
        <v>563.73942481676477</v>
      </c>
      <c r="N1539" s="14">
        <f t="shared" si="310"/>
        <v>33.756406970346291</v>
      </c>
      <c r="O1539" s="1">
        <f t="shared" si="311"/>
        <v>3.4487912933853409</v>
      </c>
      <c r="P1539" s="1">
        <f t="shared" si="312"/>
        <v>1554.8782575010678</v>
      </c>
      <c r="S1539" s="6">
        <f t="shared" ref="S1539:S1602" si="319">O1539*B1539/L1539</f>
        <v>0.53089174538727513</v>
      </c>
      <c r="T1539" s="6">
        <f t="shared" ref="T1539:T1602" si="320">P1539*C1539/L1539</f>
        <v>0.46910825461272537</v>
      </c>
      <c r="V1539" s="1">
        <f t="shared" si="313"/>
        <v>141344.18788754084</v>
      </c>
      <c r="W1539" s="7">
        <f t="shared" si="314"/>
        <v>4.3639027409841519E-3</v>
      </c>
      <c r="X1539" s="7">
        <f t="shared" si="315"/>
        <v>3.0161718624124641E-3</v>
      </c>
      <c r="Y1539">
        <f>LN(B1539/B1538)</f>
        <v>7.7687513985634869E-3</v>
      </c>
      <c r="Z1539">
        <f>LN(C1539/C1538)</f>
        <v>5.245537034566603E-4</v>
      </c>
    </row>
    <row r="1540" spans="1:26" x14ac:dyDescent="0.3">
      <c r="A1540" s="11">
        <v>42451</v>
      </c>
      <c r="B1540" s="12">
        <v>21064.83</v>
      </c>
      <c r="C1540" s="12">
        <v>41.420140000000004</v>
      </c>
      <c r="D1540" s="16">
        <f t="shared" si="317"/>
        <v>-2.7321524778742834E-3</v>
      </c>
      <c r="E1540" s="15">
        <f t="shared" si="316"/>
        <v>5.2465770432785774E-4</v>
      </c>
      <c r="G1540" s="25" t="str">
        <f>IF(VLOOKUP(A1540,Aux!B:C,2,FALSE)=0,"",VLOOKUP(A1540,Aux!B:C,2,FALSE))</f>
        <v/>
      </c>
      <c r="H1540" s="25" t="str">
        <f t="shared" si="318"/>
        <v/>
      </c>
      <c r="L1540" s="13">
        <f t="shared" ref="L1540:L1603" si="321">L1539+M1540+N1540</f>
        <v>137051.47740929257</v>
      </c>
      <c r="M1540" s="14">
        <f t="shared" ref="M1540:M1603" si="322">O1539*(B1540-B1539)</f>
        <v>-199.02974554126502</v>
      </c>
      <c r="N1540" s="14">
        <f t="shared" ref="N1540:N1603" si="323">P1539*(C1540-C1539)</f>
        <v>33.771955752926239</v>
      </c>
      <c r="O1540" s="1">
        <f t="shared" ref="O1540:O1603" si="324">IF(ISNUMBER(G1540),L1540*G1540/B1540,O1539)</f>
        <v>3.4487912933853409</v>
      </c>
      <c r="P1540" s="1">
        <f t="shared" ref="P1540:P1603" si="325">IF(ISNUMBER(H1540),L1540*H1540/C1540,P1539)</f>
        <v>1554.8782575010678</v>
      </c>
      <c r="S1540" s="6">
        <f t="shared" si="319"/>
        <v>0.53007967279101031</v>
      </c>
      <c r="T1540" s="6">
        <f t="shared" si="320"/>
        <v>0.46992032720899013</v>
      </c>
      <c r="V1540" s="1">
        <f t="shared" ref="V1540:V1603" si="326">$O$2*B1540+$P$2*C1540</f>
        <v>141259.63941589819</v>
      </c>
      <c r="W1540" s="7">
        <f t="shared" ref="W1540:W1603" si="327">LN(L1540/L1539)</f>
        <v>-1.2050817571305655E-3</v>
      </c>
      <c r="X1540" s="7">
        <f t="shared" ref="X1540:X1603" si="328">LN(V1540/V1539)</f>
        <v>-5.9835335545133767E-4</v>
      </c>
      <c r="Y1540">
        <f>LN(B1540/B1539)</f>
        <v>-2.7358916186101087E-3</v>
      </c>
      <c r="Z1540">
        <f>LN(C1540/C1539)</f>
        <v>5.245201195956589E-4</v>
      </c>
    </row>
    <row r="1541" spans="1:26" x14ac:dyDescent="0.3">
      <c r="A1541" s="9">
        <v>42452</v>
      </c>
      <c r="B1541" s="1">
        <v>20559.580000000002</v>
      </c>
      <c r="C1541" s="1">
        <v>41.441859999999998</v>
      </c>
      <c r="D1541" s="6">
        <f t="shared" si="317"/>
        <v>-2.398547721486477E-2</v>
      </c>
      <c r="E1541" s="5">
        <f t="shared" ref="E1541:E1604" si="329">C1541/C1540-1</f>
        <v>5.2438258296549911E-4</v>
      </c>
      <c r="G1541" s="25" t="str">
        <f>IF(VLOOKUP(A1541,Aux!B:C,2,FALSE)=0,"",VLOOKUP(A1541,Aux!B:C,2,FALSE))</f>
        <v/>
      </c>
      <c r="H1541" s="25" t="str">
        <f t="shared" si="318"/>
        <v/>
      </c>
      <c r="L1541" s="13">
        <f t="shared" si="321"/>
        <v>135342.74756406253</v>
      </c>
      <c r="M1541" s="14">
        <f t="shared" si="322"/>
        <v>-1742.5018009829435</v>
      </c>
      <c r="N1541" s="14">
        <f t="shared" si="323"/>
        <v>33.77195575291519</v>
      </c>
      <c r="O1541" s="1">
        <f t="shared" si="324"/>
        <v>3.4487912933853409</v>
      </c>
      <c r="P1541" s="1">
        <f t="shared" si="325"/>
        <v>1554.8782575010678</v>
      </c>
      <c r="S1541" s="6">
        <f t="shared" si="319"/>
        <v>0.52389730351895802</v>
      </c>
      <c r="T1541" s="6">
        <f t="shared" si="320"/>
        <v>0.47610269648104231</v>
      </c>
      <c r="V1541" s="1">
        <f t="shared" si="326"/>
        <v>140142.60050922254</v>
      </c>
      <c r="W1541" s="7">
        <f t="shared" si="327"/>
        <v>-1.2546170970330605E-2</v>
      </c>
      <c r="X1541" s="7">
        <f t="shared" si="328"/>
        <v>-7.9391320708509152E-3</v>
      </c>
      <c r="Y1541">
        <f>LN(B1541/B1540)</f>
        <v>-2.4277812776946732E-2</v>
      </c>
      <c r="Z1541">
        <f>LN(C1541/C1540)</f>
        <v>5.2424514246434469E-4</v>
      </c>
    </row>
    <row r="1542" spans="1:26" x14ac:dyDescent="0.3">
      <c r="A1542" s="11">
        <v>42453</v>
      </c>
      <c r="B1542" s="12">
        <v>20541.169999999998</v>
      </c>
      <c r="C1542" s="12">
        <v>41.4636</v>
      </c>
      <c r="D1542" s="16">
        <f t="shared" si="317"/>
        <v>-8.9544630775550971E-4</v>
      </c>
      <c r="E1542" s="15">
        <f t="shared" si="329"/>
        <v>5.2459035381136054E-4</v>
      </c>
      <c r="G1542" s="25" t="str">
        <f>IF(VLOOKUP(A1542,Aux!B:C,2,FALSE)=0,"",VLOOKUP(A1542,Aux!B:C,2,FALSE))</f>
        <v/>
      </c>
      <c r="H1542" s="25" t="str">
        <f t="shared" si="318"/>
        <v/>
      </c>
      <c r="L1542" s="13">
        <f t="shared" si="321"/>
        <v>135313.05836966939</v>
      </c>
      <c r="M1542" s="14">
        <f t="shared" si="322"/>
        <v>-63.492247711236168</v>
      </c>
      <c r="N1542" s="14">
        <f t="shared" si="323"/>
        <v>33.803053318075087</v>
      </c>
      <c r="O1542" s="1">
        <f t="shared" si="324"/>
        <v>3.4487912933853409</v>
      </c>
      <c r="P1542" s="1">
        <f t="shared" si="325"/>
        <v>1554.8782575010678</v>
      </c>
      <c r="S1542" s="6">
        <f t="shared" si="319"/>
        <v>0.52354302759464888</v>
      </c>
      <c r="T1542" s="6">
        <f t="shared" si="320"/>
        <v>0.4764569724053514</v>
      </c>
      <c r="V1542" s="1">
        <f t="shared" si="326"/>
        <v>140148.76325495049</v>
      </c>
      <c r="W1542" s="7">
        <f t="shared" si="327"/>
        <v>-2.1938708766877044E-4</v>
      </c>
      <c r="X1542" s="7">
        <f t="shared" si="328"/>
        <v>4.3973853822549745E-5</v>
      </c>
      <c r="Y1542">
        <f>LN(B1542/B1541)</f>
        <v>-8.9584745929153218E-4</v>
      </c>
      <c r="Z1542">
        <f>LN(C1542/C1541)</f>
        <v>5.2445280439433382E-4</v>
      </c>
    </row>
    <row r="1543" spans="1:26" x14ac:dyDescent="0.3">
      <c r="A1543" s="9">
        <v>42457</v>
      </c>
      <c r="B1543" s="1">
        <v>21002.02</v>
      </c>
      <c r="C1543" s="1">
        <v>41.48536</v>
      </c>
      <c r="D1543" s="6">
        <f t="shared" si="317"/>
        <v>2.2435430893177122E-2</v>
      </c>
      <c r="E1543" s="5">
        <f t="shared" si="329"/>
        <v>5.247976538458321E-4</v>
      </c>
      <c r="G1543" s="25" t="str">
        <f>IF(VLOOKUP(A1543,Aux!B:C,2,FALSE)=0,"",VLOOKUP(A1543,Aux!B:C,2,FALSE))</f>
        <v/>
      </c>
      <c r="H1543" s="25" t="str">
        <f t="shared" si="318"/>
        <v/>
      </c>
      <c r="L1543" s="13">
        <f t="shared" si="321"/>
        <v>136936.26798810926</v>
      </c>
      <c r="M1543" s="14">
        <f t="shared" si="322"/>
        <v>1589.3754675566418</v>
      </c>
      <c r="N1543" s="14">
        <f t="shared" si="323"/>
        <v>33.834150883223927</v>
      </c>
      <c r="O1543" s="1">
        <f t="shared" si="324"/>
        <v>3.4487912933853409</v>
      </c>
      <c r="P1543" s="1">
        <f t="shared" si="325"/>
        <v>1554.8782575010678</v>
      </c>
      <c r="S1543" s="6">
        <f t="shared" si="319"/>
        <v>0.52894375451939679</v>
      </c>
      <c r="T1543" s="6">
        <f t="shared" si="320"/>
        <v>0.47105624548060349</v>
      </c>
      <c r="V1543" s="1">
        <f t="shared" si="326"/>
        <v>141260.64032793217</v>
      </c>
      <c r="W1543" s="7">
        <f t="shared" si="327"/>
        <v>1.1924575715476369E-2</v>
      </c>
      <c r="X1543" s="7">
        <f t="shared" si="328"/>
        <v>7.902243811272306E-3</v>
      </c>
      <c r="Y1543">
        <f>LN(B1543/B1542)</f>
        <v>2.2187458670152347E-2</v>
      </c>
      <c r="Z1543">
        <f>LN(C1543/C1542)</f>
        <v>5.246599957167608E-4</v>
      </c>
    </row>
    <row r="1544" spans="1:26" x14ac:dyDescent="0.3">
      <c r="A1544" s="11">
        <v>42458</v>
      </c>
      <c r="B1544" s="12">
        <v>21131.93</v>
      </c>
      <c r="C1544" s="12">
        <v>41.50712</v>
      </c>
      <c r="D1544" s="16">
        <f t="shared" si="317"/>
        <v>6.1855954808156532E-3</v>
      </c>
      <c r="E1544" s="15">
        <f t="shared" si="329"/>
        <v>5.2452238572842091E-4</v>
      </c>
      <c r="G1544" s="25" t="str">
        <f>IF(VLOOKUP(A1544,Aux!B:C,2,FALSE)=0,"",VLOOKUP(A1544,Aux!B:C,2,FALSE))</f>
        <v/>
      </c>
      <c r="H1544" s="25" t="str">
        <f t="shared" si="318"/>
        <v/>
      </c>
      <c r="L1544" s="13">
        <f t="shared" si="321"/>
        <v>137418.13461591618</v>
      </c>
      <c r="M1544" s="14">
        <f t="shared" si="322"/>
        <v>448.0324769236891</v>
      </c>
      <c r="N1544" s="14">
        <f t="shared" si="323"/>
        <v>33.834150883223927</v>
      </c>
      <c r="O1544" s="1">
        <f t="shared" si="324"/>
        <v>3.4487912933853409</v>
      </c>
      <c r="P1544" s="1">
        <f t="shared" si="325"/>
        <v>1554.8782575010678</v>
      </c>
      <c r="S1544" s="6">
        <f t="shared" si="319"/>
        <v>0.53034933416995567</v>
      </c>
      <c r="T1544" s="6">
        <f t="shared" si="320"/>
        <v>0.4696506658300445</v>
      </c>
      <c r="V1544" s="1">
        <f t="shared" si="326"/>
        <v>141609.02724457069</v>
      </c>
      <c r="W1544" s="7">
        <f t="shared" si="327"/>
        <v>3.5127347600389333E-3</v>
      </c>
      <c r="X1544" s="7">
        <f t="shared" si="328"/>
        <v>2.4632340100797703E-3</v>
      </c>
      <c r="Y1544">
        <f>LN(B1544/B1543)</f>
        <v>6.1665432111463504E-3</v>
      </c>
      <c r="Z1544">
        <f>LN(C1544/C1543)</f>
        <v>5.2438487194579272E-4</v>
      </c>
    </row>
    <row r="1545" spans="1:26" x14ac:dyDescent="0.3">
      <c r="A1545" s="9">
        <v>42459</v>
      </c>
      <c r="B1545" s="1">
        <v>21150.01</v>
      </c>
      <c r="C1545" s="1">
        <v>41.5289</v>
      </c>
      <c r="D1545" s="6">
        <f t="shared" si="317"/>
        <v>8.5557731830454564E-4</v>
      </c>
      <c r="E1545" s="5">
        <f t="shared" si="329"/>
        <v>5.2472925127067249E-4</v>
      </c>
      <c r="G1545" s="25" t="str">
        <f>IF(VLOOKUP(A1545,Aux!B:C,2,FALSE)=0,"",VLOOKUP(A1545,Aux!B:C,2,FALSE))</f>
        <v/>
      </c>
      <c r="H1545" s="25" t="str">
        <f t="shared" si="318"/>
        <v/>
      </c>
      <c r="L1545" s="13">
        <f t="shared" si="321"/>
        <v>137514.35401094894</v>
      </c>
      <c r="M1545" s="14">
        <f t="shared" si="322"/>
        <v>62.354146584400439</v>
      </c>
      <c r="N1545" s="14">
        <f t="shared" si="323"/>
        <v>33.865248448372775</v>
      </c>
      <c r="O1545" s="1">
        <f t="shared" si="324"/>
        <v>3.4487912933853409</v>
      </c>
      <c r="P1545" s="1">
        <f t="shared" si="325"/>
        <v>1554.8782575010678</v>
      </c>
      <c r="S1545" s="6">
        <f t="shared" si="319"/>
        <v>0.53043168378775374</v>
      </c>
      <c r="T1545" s="6">
        <f t="shared" si="320"/>
        <v>0.46956831621224659</v>
      </c>
      <c r="V1545" s="1">
        <f t="shared" si="326"/>
        <v>141699.4631820241</v>
      </c>
      <c r="W1545" s="7">
        <f t="shared" si="327"/>
        <v>6.9994928167064585E-4</v>
      </c>
      <c r="X1545" s="7">
        <f t="shared" si="328"/>
        <v>6.3842732273201386E-4</v>
      </c>
      <c r="Y1545">
        <f>LN(B1545/B1544)</f>
        <v>8.5521152066132225E-4</v>
      </c>
      <c r="Z1545">
        <f>LN(C1545/C1544)</f>
        <v>5.2459162901794616E-4</v>
      </c>
    </row>
    <row r="1546" spans="1:26" x14ac:dyDescent="0.3">
      <c r="A1546" s="11">
        <v>42460</v>
      </c>
      <c r="B1546" s="12">
        <v>20658.580000000002</v>
      </c>
      <c r="C1546" s="12">
        <v>41.55068</v>
      </c>
      <c r="D1546" s="16">
        <f t="shared" si="317"/>
        <v>-2.3235450006879321E-2</v>
      </c>
      <c r="E1546" s="15">
        <f t="shared" si="329"/>
        <v>5.2445405488699137E-4</v>
      </c>
      <c r="G1546" s="25" t="str">
        <f>IF(VLOOKUP(A1546,Aux!B:C,2,FALSE)=0,"",VLOOKUP(A1546,Aux!B:C,2,FALSE))</f>
        <v/>
      </c>
      <c r="H1546" s="25" t="str">
        <f t="shared" si="318"/>
        <v/>
      </c>
      <c r="L1546" s="13">
        <f t="shared" si="321"/>
        <v>135853.37975408896</v>
      </c>
      <c r="M1546" s="14">
        <f t="shared" si="322"/>
        <v>-1694.8395053083466</v>
      </c>
      <c r="N1546" s="14">
        <f t="shared" si="323"/>
        <v>33.865248448372775</v>
      </c>
      <c r="O1546" s="1">
        <f t="shared" si="324"/>
        <v>3.4487912933853409</v>
      </c>
      <c r="P1546" s="1">
        <f t="shared" si="325"/>
        <v>1554.8782575010678</v>
      </c>
      <c r="S1546" s="6">
        <f t="shared" si="319"/>
        <v>0.52444135704735839</v>
      </c>
      <c r="T1546" s="6">
        <f t="shared" si="320"/>
        <v>0.47555864295264194</v>
      </c>
      <c r="V1546" s="1">
        <f t="shared" si="326"/>
        <v>140614.44172672238</v>
      </c>
      <c r="W1546" s="7">
        <f t="shared" si="327"/>
        <v>-1.2152090329478057E-2</v>
      </c>
      <c r="X1546" s="7">
        <f t="shared" si="328"/>
        <v>-7.686669191948021E-3</v>
      </c>
      <c r="Y1546">
        <f>LN(B1546/B1545)</f>
        <v>-2.3509648825046685E-2</v>
      </c>
      <c r="Z1546">
        <f>LN(C1546/C1545)</f>
        <v>5.2431657692429755E-4</v>
      </c>
    </row>
    <row r="1547" spans="1:26" x14ac:dyDescent="0.3">
      <c r="A1547" s="9">
        <v>42461</v>
      </c>
      <c r="B1547" s="1">
        <v>20858.87</v>
      </c>
      <c r="C1547" s="1">
        <v>41.572479999999999</v>
      </c>
      <c r="D1547" s="6">
        <f t="shared" si="317"/>
        <v>9.6952452685516999E-3</v>
      </c>
      <c r="E1547" s="5">
        <f t="shared" si="329"/>
        <v>5.2466048690424927E-4</v>
      </c>
      <c r="G1547" s="25" t="str">
        <f>IF(VLOOKUP(A1547,Aux!B:C,2,FALSE)=0,"",VLOOKUP(A1547,Aux!B:C,2,FALSE))</f>
        <v/>
      </c>
      <c r="H1547" s="25" t="str">
        <f t="shared" si="318"/>
        <v/>
      </c>
      <c r="L1547" s="13">
        <f t="shared" si="321"/>
        <v>136578.03450825464</v>
      </c>
      <c r="M1547" s="14">
        <f t="shared" si="322"/>
        <v>690.75840815214042</v>
      </c>
      <c r="N1547" s="14">
        <f t="shared" si="323"/>
        <v>33.896346013521615</v>
      </c>
      <c r="O1547" s="1">
        <f t="shared" si="324"/>
        <v>3.4487912933853409</v>
      </c>
      <c r="P1547" s="1">
        <f t="shared" si="325"/>
        <v>1554.8782575010678</v>
      </c>
      <c r="S1547" s="6">
        <f t="shared" si="319"/>
        <v>0.52671638968057366</v>
      </c>
      <c r="T1547" s="6">
        <f t="shared" si="320"/>
        <v>0.47328361031942656</v>
      </c>
      <c r="V1547" s="1">
        <f t="shared" si="326"/>
        <v>141125.28725056493</v>
      </c>
      <c r="W1547" s="7">
        <f t="shared" si="327"/>
        <v>5.3199185211224099E-3</v>
      </c>
      <c r="X1547" s="7">
        <f t="shared" si="328"/>
        <v>3.6263688157987754E-3</v>
      </c>
      <c r="Y1547">
        <f>LN(B1547/B1546)</f>
        <v>9.6485479634225695E-3</v>
      </c>
      <c r="Z1547">
        <f>LN(C1547/C1546)</f>
        <v>5.2452290071291195E-4</v>
      </c>
    </row>
    <row r="1548" spans="1:26" x14ac:dyDescent="0.3">
      <c r="A1548" s="11">
        <v>42464</v>
      </c>
      <c r="B1548" s="12">
        <v>20153.41</v>
      </c>
      <c r="C1548" s="12">
        <v>41.594290000000001</v>
      </c>
      <c r="D1548" s="16">
        <f t="shared" si="317"/>
        <v>-3.3820624031886681E-2</v>
      </c>
      <c r="E1548" s="15">
        <f t="shared" si="329"/>
        <v>5.2462590636892514E-4</v>
      </c>
      <c r="G1548" s="25" t="str">
        <f>IF(VLOOKUP(A1548,Aux!B:C,2,FALSE)=0,"",VLOOKUP(A1548,Aux!B:C,2,FALSE))</f>
        <v/>
      </c>
      <c r="H1548" s="25" t="str">
        <f t="shared" si="318"/>
        <v/>
      </c>
      <c r="L1548" s="13">
        <f t="shared" si="321"/>
        <v>134178.9620972191</v>
      </c>
      <c r="M1548" s="14">
        <f t="shared" si="322"/>
        <v>-2432.9843058316196</v>
      </c>
      <c r="N1548" s="14">
        <f t="shared" si="323"/>
        <v>33.911894796101564</v>
      </c>
      <c r="O1548" s="1">
        <f t="shared" si="324"/>
        <v>3.4487912933853409</v>
      </c>
      <c r="P1548" s="1">
        <f t="shared" si="325"/>
        <v>1554.8782575010678</v>
      </c>
      <c r="S1548" s="6">
        <f t="shared" si="319"/>
        <v>0.51800150972747439</v>
      </c>
      <c r="T1548" s="6">
        <f t="shared" si="320"/>
        <v>0.48199849027252595</v>
      </c>
      <c r="V1548" s="1">
        <f t="shared" si="326"/>
        <v>139546.55821242757</v>
      </c>
      <c r="W1548" s="7">
        <f t="shared" si="327"/>
        <v>-1.7721685704433825E-2</v>
      </c>
      <c r="X1548" s="7">
        <f t="shared" si="328"/>
        <v>-1.124976169555148E-2</v>
      </c>
      <c r="Y1548">
        <f>LN(B1548/B1547)</f>
        <v>-3.4405772599778443E-2</v>
      </c>
      <c r="Z1548">
        <f>LN(C1548/C1547)</f>
        <v>5.2448833831051712E-4</v>
      </c>
    </row>
    <row r="1549" spans="1:26" x14ac:dyDescent="0.3">
      <c r="A1549" s="9">
        <v>42465</v>
      </c>
      <c r="B1549" s="1">
        <v>20265.02</v>
      </c>
      <c r="C1549" s="1">
        <v>41.616109999999999</v>
      </c>
      <c r="D1549" s="6">
        <f t="shared" si="317"/>
        <v>5.5380206128887721E-3</v>
      </c>
      <c r="E1549" s="5">
        <f t="shared" si="329"/>
        <v>5.2459123596038104E-4</v>
      </c>
      <c r="G1549" s="25" t="str">
        <f>IF(VLOOKUP(A1549,Aux!B:C,2,FALSE)=0,"",VLOOKUP(A1549,Aux!B:C,2,FALSE))</f>
        <v/>
      </c>
      <c r="H1549" s="25" t="str">
        <f t="shared" si="318"/>
        <v/>
      </c>
      <c r="L1549" s="13">
        <f t="shared" si="321"/>
        <v>134597.80913705251</v>
      </c>
      <c r="M1549" s="14">
        <f t="shared" si="322"/>
        <v>384.91959625473987</v>
      </c>
      <c r="N1549" s="14">
        <f t="shared" si="323"/>
        <v>33.927443578670463</v>
      </c>
      <c r="O1549" s="1">
        <f t="shared" si="324"/>
        <v>3.4487912933853409</v>
      </c>
      <c r="P1549" s="1">
        <f t="shared" si="325"/>
        <v>1554.8782575010678</v>
      </c>
      <c r="S1549" s="6">
        <f t="shared" si="319"/>
        <v>0.51924934725434779</v>
      </c>
      <c r="T1549" s="6">
        <f t="shared" si="320"/>
        <v>0.48075065274565265</v>
      </c>
      <c r="V1549" s="1">
        <f t="shared" si="326"/>
        <v>139852.86061687637</v>
      </c>
      <c r="W1549" s="7">
        <f t="shared" si="327"/>
        <v>3.1166932838638628E-3</v>
      </c>
      <c r="X1549" s="7">
        <f t="shared" si="328"/>
        <v>2.1925781266261338E-3</v>
      </c>
      <c r="Y1549">
        <f>LN(B1549/B1548)</f>
        <v>5.5227421590400526E-3</v>
      </c>
      <c r="Z1549">
        <f>LN(C1549/C1548)</f>
        <v>5.2445368608082966E-4</v>
      </c>
    </row>
    <row r="1550" spans="1:26" x14ac:dyDescent="0.3">
      <c r="A1550" s="11">
        <v>42466</v>
      </c>
      <c r="B1550" s="12">
        <v>19893.91</v>
      </c>
      <c r="C1550" s="12">
        <v>41.63794</v>
      </c>
      <c r="D1550" s="16">
        <f t="shared" si="317"/>
        <v>-1.8312836602184523E-2</v>
      </c>
      <c r="E1550" s="15">
        <f t="shared" si="329"/>
        <v>5.2455647584559451E-4</v>
      </c>
      <c r="G1550" s="25" t="str">
        <f>IF(VLOOKUP(A1550,Aux!B:C,2,FALSE)=0,"",VLOOKUP(A1550,Aux!B:C,2,FALSE))</f>
        <v/>
      </c>
      <c r="H1550" s="25" t="str">
        <f t="shared" si="318"/>
        <v/>
      </c>
      <c r="L1550" s="13">
        <f t="shared" si="321"/>
        <v>133351.87119252555</v>
      </c>
      <c r="M1550" s="14">
        <f t="shared" si="322"/>
        <v>-1279.8809368882357</v>
      </c>
      <c r="N1550" s="14">
        <f t="shared" si="323"/>
        <v>33.942992361250404</v>
      </c>
      <c r="O1550" s="1">
        <f t="shared" si="324"/>
        <v>3.4487912933853409</v>
      </c>
      <c r="P1550" s="1">
        <f t="shared" si="325"/>
        <v>1554.8782575010678</v>
      </c>
      <c r="S1550" s="6">
        <f t="shared" si="319"/>
        <v>0.51450304360811394</v>
      </c>
      <c r="T1550" s="6">
        <f t="shared" si="320"/>
        <v>0.48549695639188628</v>
      </c>
      <c r="V1550" s="1">
        <f t="shared" si="326"/>
        <v>139045.53346701383</v>
      </c>
      <c r="W1550" s="7">
        <f t="shared" si="327"/>
        <v>-9.2998575165611514E-3</v>
      </c>
      <c r="X1550" s="7">
        <f t="shared" si="328"/>
        <v>-5.7894159445975616E-3</v>
      </c>
      <c r="Y1550">
        <f>LN(B1550/B1549)</f>
        <v>-1.8482592260141182E-2</v>
      </c>
      <c r="Z1550">
        <f>LN(C1550/C1549)</f>
        <v>5.2441894419073039E-4</v>
      </c>
    </row>
    <row r="1551" spans="1:26" x14ac:dyDescent="0.3">
      <c r="A1551" s="9">
        <v>42467</v>
      </c>
      <c r="B1551" s="1">
        <v>20055.02</v>
      </c>
      <c r="C1551" s="1">
        <v>41.659790000000001</v>
      </c>
      <c r="D1551" s="6">
        <f t="shared" si="317"/>
        <v>8.0984582719032527E-3</v>
      </c>
      <c r="E1551" s="5">
        <f t="shared" si="329"/>
        <v>5.2476179176963456E-4</v>
      </c>
      <c r="G1551" s="25" t="str">
        <f>IF(VLOOKUP(A1551,Aux!B:C,2,FALSE)=0,"",VLOOKUP(A1551,Aux!B:C,2,FALSE))</f>
        <v/>
      </c>
      <c r="H1551" s="25" t="str">
        <f t="shared" si="318"/>
        <v/>
      </c>
      <c r="L1551" s="13">
        <f t="shared" si="321"/>
        <v>133941.48004772927</v>
      </c>
      <c r="M1551" s="14">
        <f t="shared" si="322"/>
        <v>555.63476527731427</v>
      </c>
      <c r="N1551" s="14">
        <f t="shared" si="323"/>
        <v>33.974089926399252</v>
      </c>
      <c r="O1551" s="1">
        <f t="shared" si="324"/>
        <v>3.4487912933853409</v>
      </c>
      <c r="P1551" s="1">
        <f t="shared" si="325"/>
        <v>1554.8782575010678</v>
      </c>
      <c r="S1551" s="6">
        <f t="shared" si="319"/>
        <v>0.51638654687123153</v>
      </c>
      <c r="T1551" s="6">
        <f t="shared" si="320"/>
        <v>0.48361345312876852</v>
      </c>
      <c r="V1551" s="1">
        <f t="shared" si="326"/>
        <v>139466.10121695572</v>
      </c>
      <c r="W1551" s="7">
        <f t="shared" si="327"/>
        <v>4.4117057814665765E-3</v>
      </c>
      <c r="X1551" s="7">
        <f t="shared" si="328"/>
        <v>3.0201113148334317E-3</v>
      </c>
      <c r="Y1551">
        <f>LN(B1551/B1550)</f>
        <v>8.0658417361501641E-3</v>
      </c>
      <c r="Z1551">
        <f>LN(C1551/C1550)</f>
        <v>5.2462415245038262E-4</v>
      </c>
    </row>
    <row r="1552" spans="1:26" x14ac:dyDescent="0.3">
      <c r="A1552" s="11">
        <v>42468</v>
      </c>
      <c r="B1552" s="12">
        <v>20736.080000000002</v>
      </c>
      <c r="C1552" s="12">
        <v>41.681640000000002</v>
      </c>
      <c r="D1552" s="16">
        <f t="shared" si="317"/>
        <v>3.3959577203114266E-2</v>
      </c>
      <c r="E1552" s="15">
        <f t="shared" si="329"/>
        <v>5.2448656126213855E-4</v>
      </c>
      <c r="G1552" s="25" t="str">
        <f>IF(VLOOKUP(A1552,Aux!B:C,2,FALSE)=0,"",VLOOKUP(A1552,Aux!B:C,2,FALSE))</f>
        <v/>
      </c>
      <c r="H1552" s="25" t="str">
        <f t="shared" si="318"/>
        <v/>
      </c>
      <c r="L1552" s="13">
        <f t="shared" si="321"/>
        <v>136324.2879359287</v>
      </c>
      <c r="M1552" s="14">
        <f t="shared" si="322"/>
        <v>2348.833798273025</v>
      </c>
      <c r="N1552" s="14">
        <f t="shared" si="323"/>
        <v>33.974089926399252</v>
      </c>
      <c r="O1552" s="1">
        <f t="shared" si="324"/>
        <v>3.4487912933853409</v>
      </c>
      <c r="P1552" s="1">
        <f t="shared" si="325"/>
        <v>1554.8782575010678</v>
      </c>
      <c r="S1552" s="6">
        <f t="shared" si="319"/>
        <v>0.52459039578151401</v>
      </c>
      <c r="T1552" s="6">
        <f t="shared" si="320"/>
        <v>0.4754096042184861</v>
      </c>
      <c r="V1552" s="1">
        <f t="shared" si="326"/>
        <v>141086.21180484595</v>
      </c>
      <c r="W1552" s="7">
        <f t="shared" si="327"/>
        <v>1.7633529014406579E-2</v>
      </c>
      <c r="X1552" s="7">
        <f t="shared" si="328"/>
        <v>1.1549565067637107E-2</v>
      </c>
      <c r="Y1552">
        <f>LN(B1552/B1551)</f>
        <v>3.3395681708052731E-2</v>
      </c>
      <c r="Z1552">
        <f>LN(C1552/C1551)</f>
        <v>5.2434906625975291E-4</v>
      </c>
    </row>
    <row r="1553" spans="1:26" x14ac:dyDescent="0.3">
      <c r="A1553" s="9">
        <v>42471</v>
      </c>
      <c r="B1553" s="1">
        <v>20664.849999999999</v>
      </c>
      <c r="C1553" s="1">
        <v>41.703510000000001</v>
      </c>
      <c r="D1553" s="6">
        <f t="shared" si="317"/>
        <v>-3.43507548196198E-3</v>
      </c>
      <c r="E1553" s="5">
        <f t="shared" si="329"/>
        <v>5.2469144688171987E-4</v>
      </c>
      <c r="G1553" s="25" t="str">
        <f>IF(VLOOKUP(A1553,Aux!B:C,2,FALSE)=0,"",VLOOKUP(A1553,Aux!B:C,2,FALSE))</f>
        <v/>
      </c>
      <c r="H1553" s="25" t="str">
        <f t="shared" si="318"/>
        <v/>
      </c>
      <c r="L1553" s="13">
        <f t="shared" si="321"/>
        <v>136112.63571959239</v>
      </c>
      <c r="M1553" s="14">
        <f t="shared" si="322"/>
        <v>-245.65740382784887</v>
      </c>
      <c r="N1553" s="14">
        <f t="shared" si="323"/>
        <v>34.005187491548092</v>
      </c>
      <c r="O1553" s="1">
        <f t="shared" si="324"/>
        <v>3.4487912933853409</v>
      </c>
      <c r="P1553" s="1">
        <f t="shared" si="325"/>
        <v>1554.8782575010678</v>
      </c>
      <c r="S1553" s="6">
        <f t="shared" si="319"/>
        <v>0.5236013128563306</v>
      </c>
      <c r="T1553" s="6">
        <f t="shared" si="320"/>
        <v>0.47639868714366956</v>
      </c>
      <c r="V1553" s="1">
        <f t="shared" si="326"/>
        <v>140970.80779014039</v>
      </c>
      <c r="W1553" s="7">
        <f t="shared" si="327"/>
        <v>-1.5537707303206482E-3</v>
      </c>
      <c r="X1553" s="7">
        <f t="shared" si="328"/>
        <v>-8.1830277658754592E-4</v>
      </c>
      <c r="Y1553">
        <f>LN(B1553/B1552)</f>
        <v>-3.4409888996530589E-3</v>
      </c>
      <c r="Z1553">
        <f>LN(C1553/C1552)</f>
        <v>5.2455384445494475E-4</v>
      </c>
    </row>
    <row r="1554" spans="1:26" x14ac:dyDescent="0.3">
      <c r="A1554" s="11">
        <v>42472</v>
      </c>
      <c r="B1554" s="12">
        <v>21361.22</v>
      </c>
      <c r="C1554" s="12">
        <v>41.725389999999997</v>
      </c>
      <c r="D1554" s="16">
        <f t="shared" si="317"/>
        <v>3.36982847685805E-2</v>
      </c>
      <c r="E1554" s="15">
        <f t="shared" si="329"/>
        <v>5.2465607810936454E-4</v>
      </c>
      <c r="G1554" s="25" t="str">
        <f>IF(VLOOKUP(A1554,Aux!B:C,2,FALSE)=0,"",VLOOKUP(A1554,Aux!B:C,2,FALSE))</f>
        <v/>
      </c>
      <c r="H1554" s="25" t="str">
        <f t="shared" si="318"/>
        <v/>
      </c>
      <c r="L1554" s="13">
        <f t="shared" si="321"/>
        <v>138548.29124884127</v>
      </c>
      <c r="M1554" s="14">
        <f t="shared" si="322"/>
        <v>2401.634792974759</v>
      </c>
      <c r="N1554" s="14">
        <f t="shared" si="323"/>
        <v>34.020736274116992</v>
      </c>
      <c r="O1554" s="1">
        <f t="shared" si="324"/>
        <v>3.4487912933853409</v>
      </c>
      <c r="P1554" s="1">
        <f t="shared" si="325"/>
        <v>1554.8782575010678</v>
      </c>
      <c r="S1554" s="6">
        <f t="shared" si="319"/>
        <v>0.53173076974130451</v>
      </c>
      <c r="T1554" s="6">
        <f t="shared" si="320"/>
        <v>0.4682692302586956</v>
      </c>
      <c r="V1554" s="1">
        <f t="shared" si="326"/>
        <v>142626.30619755114</v>
      </c>
      <c r="W1554" s="7">
        <f t="shared" si="327"/>
        <v>1.7736191346780922E-2</v>
      </c>
      <c r="X1554" s="7">
        <f t="shared" si="328"/>
        <v>1.1675134411640224E-2</v>
      </c>
      <c r="Y1554">
        <f>LN(B1554/B1553)</f>
        <v>3.3142939278339993E-2</v>
      </c>
      <c r="Z1554">
        <f>LN(C1554/C1553)</f>
        <v>5.2451849422992497E-4</v>
      </c>
    </row>
    <row r="1555" spans="1:26" x14ac:dyDescent="0.3">
      <c r="A1555" s="9">
        <v>42473</v>
      </c>
      <c r="B1555" s="1">
        <v>21813.48</v>
      </c>
      <c r="C1555" s="1">
        <v>41.747280000000003</v>
      </c>
      <c r="D1555" s="6">
        <f t="shared" si="317"/>
        <v>2.1172011710941518E-2</v>
      </c>
      <c r="E1555" s="5">
        <f t="shared" si="329"/>
        <v>5.2462062068214799E-4</v>
      </c>
      <c r="G1555" s="25" t="str">
        <f>IF(VLOOKUP(A1555,Aux!B:C,2,FALSE)=0,"",VLOOKUP(A1555,Aux!B:C,2,FALSE))</f>
        <v/>
      </c>
      <c r="H1555" s="25" t="str">
        <f t="shared" si="318"/>
        <v/>
      </c>
      <c r="L1555" s="13">
        <f t="shared" si="321"/>
        <v>140142.07788424441</v>
      </c>
      <c r="M1555" s="14">
        <f t="shared" si="322"/>
        <v>1559.7503503464488</v>
      </c>
      <c r="N1555" s="14">
        <f t="shared" si="323"/>
        <v>34.036285056707989</v>
      </c>
      <c r="O1555" s="1">
        <f t="shared" si="324"/>
        <v>3.4487912933853409</v>
      </c>
      <c r="P1555" s="1">
        <f t="shared" si="325"/>
        <v>1554.8782575010678</v>
      </c>
      <c r="S1555" s="6">
        <f t="shared" si="319"/>
        <v>0.53681336139866864</v>
      </c>
      <c r="T1555" s="6">
        <f t="shared" si="320"/>
        <v>0.46318663860133164</v>
      </c>
      <c r="V1555" s="1">
        <f t="shared" si="326"/>
        <v>143718.656667273</v>
      </c>
      <c r="W1555" s="7">
        <f t="shared" si="327"/>
        <v>1.143781190375542E-2</v>
      </c>
      <c r="X1555" s="7">
        <f t="shared" si="328"/>
        <v>7.6296489223238373E-3</v>
      </c>
      <c r="Y1555">
        <f>LN(B1555/B1554)</f>
        <v>2.0950998754358786E-2</v>
      </c>
      <c r="Z1555">
        <f>LN(C1555/C1554)</f>
        <v>5.2448305539528012E-4</v>
      </c>
    </row>
    <row r="1556" spans="1:26" x14ac:dyDescent="0.3">
      <c r="A1556" s="11">
        <v>42474</v>
      </c>
      <c r="B1556" s="12">
        <v>21544.53</v>
      </c>
      <c r="C1556" s="12">
        <v>41.769179999999999</v>
      </c>
      <c r="D1556" s="16">
        <f t="shared" si="317"/>
        <v>-1.2329532014149103E-2</v>
      </c>
      <c r="E1556" s="15">
        <f t="shared" si="329"/>
        <v>5.2458507476393912E-4</v>
      </c>
      <c r="G1556" s="25" t="str">
        <f>IF(VLOOKUP(A1556,Aux!B:C,2,FALSE)=0,"",VLOOKUP(A1556,Aux!B:C,2,FALSE))</f>
        <v/>
      </c>
      <c r="H1556" s="25" t="str">
        <f t="shared" si="318"/>
        <v/>
      </c>
      <c r="L1556" s="13">
        <f t="shared" si="321"/>
        <v>139248.57729972771</v>
      </c>
      <c r="M1556" s="14">
        <f t="shared" si="322"/>
        <v>-927.55241835598997</v>
      </c>
      <c r="N1556" s="14">
        <f t="shared" si="323"/>
        <v>34.051833839265839</v>
      </c>
      <c r="O1556" s="1">
        <f t="shared" si="324"/>
        <v>3.4487912933853409</v>
      </c>
      <c r="P1556" s="1">
        <f t="shared" si="325"/>
        <v>1554.8782575010678</v>
      </c>
      <c r="S1556" s="6">
        <f t="shared" si="319"/>
        <v>0.53359674421768444</v>
      </c>
      <c r="T1556" s="6">
        <f t="shared" si="320"/>
        <v>0.46640325578231562</v>
      </c>
      <c r="V1556" s="1">
        <f t="shared" si="326"/>
        <v>143147.17281025869</v>
      </c>
      <c r="W1556" s="7">
        <f t="shared" si="327"/>
        <v>-6.39608815845682E-3</v>
      </c>
      <c r="X1556" s="7">
        <f t="shared" si="328"/>
        <v>-3.9843338195871304E-3</v>
      </c>
      <c r="Y1556">
        <f>LN(B1556/B1555)</f>
        <v>-1.2406171296523877E-2</v>
      </c>
      <c r="Z1556">
        <f>LN(C1556/C1555)</f>
        <v>5.2444752811478383E-4</v>
      </c>
    </row>
    <row r="1557" spans="1:26" x14ac:dyDescent="0.3">
      <c r="A1557" s="9">
        <v>42475</v>
      </c>
      <c r="B1557" s="1">
        <v>21878.34</v>
      </c>
      <c r="C1557" s="1">
        <v>41.791089999999997</v>
      </c>
      <c r="D1557" s="6">
        <f t="shared" si="317"/>
        <v>1.5493956006466636E-2</v>
      </c>
      <c r="E1557" s="5">
        <f t="shared" si="329"/>
        <v>5.2454944052038321E-4</v>
      </c>
      <c r="G1557" s="25" t="str">
        <f>IF(VLOOKUP(A1557,Aux!B:C,2,FALSE)=0,"",VLOOKUP(A1557,Aux!B:C,2,FALSE))</f>
        <v/>
      </c>
      <c r="H1557" s="25" t="str">
        <f t="shared" si="318"/>
        <v/>
      </c>
      <c r="L1557" s="13">
        <f t="shared" si="321"/>
        <v>140433.88570399451</v>
      </c>
      <c r="M1557" s="14">
        <f t="shared" si="322"/>
        <v>1151.2410216449653</v>
      </c>
      <c r="N1557" s="14">
        <f t="shared" si="323"/>
        <v>34.06738262184578</v>
      </c>
      <c r="O1557" s="1">
        <f t="shared" si="324"/>
        <v>3.4487912933853409</v>
      </c>
      <c r="P1557" s="1">
        <f t="shared" si="325"/>
        <v>1554.8782575010678</v>
      </c>
      <c r="S1557" s="6">
        <f t="shared" si="319"/>
        <v>0.53729075520110037</v>
      </c>
      <c r="T1557" s="6">
        <f t="shared" si="320"/>
        <v>0.46270924479889969</v>
      </c>
      <c r="V1557" s="1">
        <f t="shared" si="326"/>
        <v>143966.29972922659</v>
      </c>
      <c r="W1557" s="7">
        <f t="shared" si="327"/>
        <v>8.4761517621318797E-3</v>
      </c>
      <c r="X1557" s="7">
        <f t="shared" si="328"/>
        <v>5.7059610205597577E-3</v>
      </c>
      <c r="Y1557">
        <f>LN(B1557/B1556)</f>
        <v>1.5375150279051137E-2</v>
      </c>
      <c r="Z1557">
        <f>LN(C1557/C1556)</f>
        <v>5.2441191255398498E-4</v>
      </c>
    </row>
    <row r="1558" spans="1:26" x14ac:dyDescent="0.3">
      <c r="A1558" s="11">
        <v>42478</v>
      </c>
      <c r="B1558" s="12">
        <v>21752.54</v>
      </c>
      <c r="C1558" s="12">
        <v>41.813009999999998</v>
      </c>
      <c r="D1558" s="16">
        <f t="shared" si="317"/>
        <v>-5.7499792031753261E-3</v>
      </c>
      <c r="E1558" s="15">
        <f t="shared" si="329"/>
        <v>5.2451371811557124E-4</v>
      </c>
      <c r="G1558" s="25" t="str">
        <f>IF(VLOOKUP(A1558,Aux!B:C,2,FALSE)=0,"",VLOOKUP(A1558,Aux!B:C,2,FALSE))</f>
        <v/>
      </c>
      <c r="H1558" s="25" t="str">
        <f t="shared" si="318"/>
        <v/>
      </c>
      <c r="L1558" s="13">
        <f t="shared" si="321"/>
        <v>140034.11069069107</v>
      </c>
      <c r="M1558" s="14">
        <f t="shared" si="322"/>
        <v>-433.85794470787334</v>
      </c>
      <c r="N1558" s="14">
        <f t="shared" si="323"/>
        <v>34.082931404425729</v>
      </c>
      <c r="O1558" s="1">
        <f t="shared" si="324"/>
        <v>3.4487912933853409</v>
      </c>
      <c r="P1558" s="1">
        <f t="shared" si="325"/>
        <v>1554.8782575010678</v>
      </c>
      <c r="S1558" s="6">
        <f t="shared" si="319"/>
        <v>0.53572640402395477</v>
      </c>
      <c r="T1558" s="6">
        <f t="shared" si="320"/>
        <v>0.46427359597604534</v>
      </c>
      <c r="V1558" s="1">
        <f t="shared" si="326"/>
        <v>143725.11267227531</v>
      </c>
      <c r="W1558" s="7">
        <f t="shared" si="327"/>
        <v>-2.8507729166027938E-3</v>
      </c>
      <c r="X1558" s="7">
        <f t="shared" si="328"/>
        <v>-1.6767070761202606E-3</v>
      </c>
      <c r="Y1558">
        <f>LN(B1558/B1557)</f>
        <v>-5.7665739772392761E-3</v>
      </c>
      <c r="Z1558">
        <f>LN(C1558/C1557)</f>
        <v>5.2437620887687913E-4</v>
      </c>
    </row>
    <row r="1559" spans="1:26" x14ac:dyDescent="0.3">
      <c r="A1559" s="9">
        <v>42479</v>
      </c>
      <c r="B1559" s="1">
        <v>22051.42</v>
      </c>
      <c r="C1559" s="1">
        <v>41.834949999999999</v>
      </c>
      <c r="D1559" s="6">
        <f t="shared" si="317"/>
        <v>1.3740004615552914E-2</v>
      </c>
      <c r="E1559" s="5">
        <f t="shared" si="329"/>
        <v>5.2471706772605486E-4</v>
      </c>
      <c r="G1559" s="25" t="str">
        <f>IF(VLOOKUP(A1559,Aux!B:C,2,FALSE)=0,"",VLOOKUP(A1559,Aux!B:C,2,FALSE))</f>
        <v/>
      </c>
      <c r="H1559" s="25" t="str">
        <f t="shared" si="318"/>
        <v/>
      </c>
      <c r="L1559" s="13">
        <f t="shared" si="321"/>
        <v>141098.99946142765</v>
      </c>
      <c r="M1559" s="14">
        <f t="shared" si="322"/>
        <v>1030.7747417670016</v>
      </c>
      <c r="N1559" s="14">
        <f t="shared" si="323"/>
        <v>34.114028969574569</v>
      </c>
      <c r="O1559" s="1">
        <f t="shared" si="324"/>
        <v>3.4487912933853409</v>
      </c>
      <c r="P1559" s="1">
        <f t="shared" si="325"/>
        <v>1554.8782575010678</v>
      </c>
      <c r="S1559" s="6">
        <f t="shared" si="319"/>
        <v>0.53898855125172895</v>
      </c>
      <c r="T1559" s="6">
        <f t="shared" si="320"/>
        <v>0.46101144874827116</v>
      </c>
      <c r="V1559" s="1">
        <f t="shared" si="326"/>
        <v>144463.72197335912</v>
      </c>
      <c r="W1559" s="7">
        <f t="shared" si="327"/>
        <v>7.5757271218015775E-3</v>
      </c>
      <c r="X1559" s="7">
        <f t="shared" si="328"/>
        <v>5.1258815714850621E-3</v>
      </c>
      <c r="Y1559">
        <f>LN(B1559/B1558)</f>
        <v>1.3646466586845709E-2</v>
      </c>
      <c r="Z1559">
        <f>LN(C1559/C1558)</f>
        <v>5.2457945186296377E-4</v>
      </c>
    </row>
    <row r="1560" spans="1:26" x14ac:dyDescent="0.3">
      <c r="A1560" s="11">
        <v>42480</v>
      </c>
      <c r="B1560" s="12">
        <v>22011.68</v>
      </c>
      <c r="C1560" s="12">
        <v>41.856900000000003</v>
      </c>
      <c r="D1560" s="16">
        <f t="shared" si="317"/>
        <v>-1.8021515167729873E-3</v>
      </c>
      <c r="E1560" s="15">
        <f t="shared" si="329"/>
        <v>5.2468091870561118E-4</v>
      </c>
      <c r="G1560" s="25" t="str">
        <f>IF(VLOOKUP(A1560,Aux!B:C,2,FALSE)=0,"",VLOOKUP(A1560,Aux!B:C,2,FALSE))</f>
        <v/>
      </c>
      <c r="H1560" s="25" t="str">
        <f t="shared" si="318"/>
        <v/>
      </c>
      <c r="L1560" s="13">
        <f t="shared" si="321"/>
        <v>140996.07407318067</v>
      </c>
      <c r="M1560" s="14">
        <f t="shared" si="322"/>
        <v>-137.05496599912641</v>
      </c>
      <c r="N1560" s="14">
        <f t="shared" si="323"/>
        <v>34.129577752154518</v>
      </c>
      <c r="O1560" s="1">
        <f t="shared" si="324"/>
        <v>3.4487912933853409</v>
      </c>
      <c r="P1560" s="1">
        <f t="shared" si="325"/>
        <v>1554.8782575010678</v>
      </c>
      <c r="S1560" s="6">
        <f t="shared" si="319"/>
        <v>0.53840995811970649</v>
      </c>
      <c r="T1560" s="6">
        <f t="shared" si="320"/>
        <v>0.46159004188029362</v>
      </c>
      <c r="V1560" s="1">
        <f t="shared" si="326"/>
        <v>144421.14546077661</v>
      </c>
      <c r="W1560" s="7">
        <f t="shared" si="327"/>
        <v>-7.2972130654106045E-4</v>
      </c>
      <c r="X1560" s="7">
        <f t="shared" si="328"/>
        <v>-2.9476457710609592E-4</v>
      </c>
      <c r="Y1560">
        <f>LN(B1560/B1559)</f>
        <v>-1.8037773454377185E-3</v>
      </c>
      <c r="Z1560">
        <f>LN(C1560/C1559)</f>
        <v>5.2454332179992778E-4</v>
      </c>
    </row>
    <row r="1561" spans="1:26" x14ac:dyDescent="0.3">
      <c r="A1561" s="9">
        <v>42482</v>
      </c>
      <c r="B1561" s="1">
        <v>21761.18</v>
      </c>
      <c r="C1561" s="1">
        <v>41.87885</v>
      </c>
      <c r="D1561" s="6">
        <f t="shared" si="317"/>
        <v>-1.1380321720104947E-2</v>
      </c>
      <c r="E1561" s="5">
        <f t="shared" si="329"/>
        <v>5.2440577300272295E-4</v>
      </c>
      <c r="G1561" s="25" t="str">
        <f>IF(VLOOKUP(A1561,Aux!B:C,2,FALSE)=0,"",VLOOKUP(A1561,Aux!B:C,2,FALSE))</f>
        <v/>
      </c>
      <c r="H1561" s="25" t="str">
        <f t="shared" si="318"/>
        <v/>
      </c>
      <c r="L1561" s="13">
        <f t="shared" si="321"/>
        <v>140166.2814319398</v>
      </c>
      <c r="M1561" s="14">
        <f t="shared" si="322"/>
        <v>-863.92221899302785</v>
      </c>
      <c r="N1561" s="14">
        <f t="shared" si="323"/>
        <v>34.129577752143469</v>
      </c>
      <c r="O1561" s="1">
        <f t="shared" si="324"/>
        <v>3.4487912933853409</v>
      </c>
      <c r="P1561" s="1">
        <f t="shared" si="325"/>
        <v>1554.8782575010678</v>
      </c>
      <c r="S1561" s="6">
        <f t="shared" si="319"/>
        <v>0.53543382439116038</v>
      </c>
      <c r="T1561" s="6">
        <f t="shared" si="320"/>
        <v>0.46456617560883967</v>
      </c>
      <c r="V1561" s="1">
        <f t="shared" si="326"/>
        <v>143892.33825576981</v>
      </c>
      <c r="W1561" s="7">
        <f t="shared" si="327"/>
        <v>-5.9026042015067138E-3</v>
      </c>
      <c r="X1561" s="7">
        <f t="shared" si="328"/>
        <v>-3.6682835028908822E-3</v>
      </c>
      <c r="Y1561">
        <f>LN(B1561/B1560)</f>
        <v>-1.1445573108218438E-2</v>
      </c>
      <c r="Z1561">
        <f>LN(C1561/C1560)</f>
        <v>5.2426832034722167E-4</v>
      </c>
    </row>
    <row r="1562" spans="1:26" x14ac:dyDescent="0.3">
      <c r="A1562" s="11">
        <v>42485</v>
      </c>
      <c r="B1562" s="12">
        <v>21361.200000000001</v>
      </c>
      <c r="C1562" s="12">
        <v>41.900829999999999</v>
      </c>
      <c r="D1562" s="16">
        <f t="shared" si="317"/>
        <v>-1.8380437090268043E-2</v>
      </c>
      <c r="E1562" s="15">
        <f t="shared" si="329"/>
        <v>5.2484726777346502E-4</v>
      </c>
      <c r="G1562" s="25" t="str">
        <f>IF(VLOOKUP(A1562,Aux!B:C,2,FALSE)=0,"",VLOOKUP(A1562,Aux!B:C,2,FALSE))</f>
        <v/>
      </c>
      <c r="H1562" s="25" t="str">
        <f t="shared" si="318"/>
        <v/>
      </c>
      <c r="L1562" s="13">
        <f t="shared" si="321"/>
        <v>138821.01011451142</v>
      </c>
      <c r="M1562" s="14">
        <f t="shared" si="322"/>
        <v>-1379.447541528267</v>
      </c>
      <c r="N1562" s="14">
        <f t="shared" si="323"/>
        <v>34.176224099872258</v>
      </c>
      <c r="O1562" s="1">
        <f t="shared" si="324"/>
        <v>3.4487912933853409</v>
      </c>
      <c r="P1562" s="1">
        <f t="shared" si="325"/>
        <v>1554.8782575010678</v>
      </c>
      <c r="S1562" s="6">
        <f t="shared" si="319"/>
        <v>0.53068566865702382</v>
      </c>
      <c r="T1562" s="6">
        <f t="shared" si="320"/>
        <v>0.46931433134297623</v>
      </c>
      <c r="V1562" s="1">
        <f t="shared" si="326"/>
        <v>143018.74257589848</v>
      </c>
      <c r="W1562" s="7">
        <f t="shared" si="327"/>
        <v>-9.6440360178482471E-3</v>
      </c>
      <c r="X1562" s="7">
        <f t="shared" si="328"/>
        <v>-6.0896803082977641E-3</v>
      </c>
      <c r="Y1562">
        <f>LN(B1562/B1561)</f>
        <v>-1.8551456169386145E-2</v>
      </c>
      <c r="Z1562">
        <f>LN(C1562/C1561)</f>
        <v>5.2470958361954857E-4</v>
      </c>
    </row>
    <row r="1563" spans="1:26" x14ac:dyDescent="0.3">
      <c r="A1563" s="9">
        <v>42486</v>
      </c>
      <c r="B1563" s="1">
        <v>21834.43</v>
      </c>
      <c r="C1563" s="1">
        <v>41.922809999999998</v>
      </c>
      <c r="D1563" s="6">
        <f t="shared" ref="D1563:D1626" si="330">B1563/B1562-1</f>
        <v>2.2153717955920138E-2</v>
      </c>
      <c r="E1563" s="5">
        <f t="shared" si="329"/>
        <v>5.2457194762012271E-4</v>
      </c>
      <c r="G1563" s="25" t="str">
        <f>IF(VLOOKUP(A1563,Aux!B:C,2,FALSE)=0,"",VLOOKUP(A1563,Aux!B:C,2,FALSE))</f>
        <v/>
      </c>
      <c r="H1563" s="25" t="str">
        <f t="shared" si="318"/>
        <v/>
      </c>
      <c r="L1563" s="13">
        <f t="shared" si="321"/>
        <v>140487.25784238003</v>
      </c>
      <c r="M1563" s="14">
        <f t="shared" si="322"/>
        <v>1632.0715037687432</v>
      </c>
      <c r="N1563" s="14">
        <f t="shared" si="323"/>
        <v>34.176224099872258</v>
      </c>
      <c r="O1563" s="1">
        <f t="shared" si="324"/>
        <v>3.4487912933853409</v>
      </c>
      <c r="P1563" s="1">
        <f t="shared" si="325"/>
        <v>1554.8782575010678</v>
      </c>
      <c r="S1563" s="6">
        <f t="shared" si="319"/>
        <v>0.53600869741878909</v>
      </c>
      <c r="T1563" s="6">
        <f t="shared" si="320"/>
        <v>0.46399130258121085</v>
      </c>
      <c r="V1563" s="1">
        <f t="shared" si="326"/>
        <v>144159.6729110764</v>
      </c>
      <c r="W1563" s="7">
        <f t="shared" si="327"/>
        <v>1.1931386829209212E-2</v>
      </c>
      <c r="X1563" s="7">
        <f t="shared" si="328"/>
        <v>7.9458362919203294E-3</v>
      </c>
      <c r="Y1563">
        <f>LN(B1563/B1562)</f>
        <v>2.1911889430045309E-2</v>
      </c>
      <c r="Z1563">
        <f>LN(C1563/C1562)</f>
        <v>5.2443440785357454E-4</v>
      </c>
    </row>
    <row r="1564" spans="1:26" x14ac:dyDescent="0.3">
      <c r="A1564" s="11">
        <v>42487</v>
      </c>
      <c r="B1564" s="12">
        <v>22375.31</v>
      </c>
      <c r="C1564" s="12">
        <v>41.944800000000001</v>
      </c>
      <c r="D1564" s="16">
        <f t="shared" si="330"/>
        <v>2.4771885503766411E-2</v>
      </c>
      <c r="E1564" s="15">
        <f t="shared" si="329"/>
        <v>5.2453544979447209E-4</v>
      </c>
      <c r="G1564" s="25" t="str">
        <f>IF(VLOOKUP(A1564,Aux!B:C,2,FALSE)=0,"",VLOOKUP(A1564,Aux!B:C,2,FALSE))</f>
        <v/>
      </c>
      <c r="H1564" s="25" t="str">
        <f t="shared" si="318"/>
        <v/>
      </c>
      <c r="L1564" s="13">
        <f t="shared" si="321"/>
        <v>142386.83185002874</v>
      </c>
      <c r="M1564" s="14">
        <f t="shared" si="322"/>
        <v>1865.3822347662667</v>
      </c>
      <c r="N1564" s="14">
        <f t="shared" si="323"/>
        <v>34.191772882452206</v>
      </c>
      <c r="O1564" s="1">
        <f t="shared" si="324"/>
        <v>3.4487912933853409</v>
      </c>
      <c r="P1564" s="1">
        <f t="shared" si="325"/>
        <v>1554.8782575010678</v>
      </c>
      <c r="S1564" s="6">
        <f t="shared" si="319"/>
        <v>0.54195864401334648</v>
      </c>
      <c r="T1564" s="6">
        <f t="shared" si="320"/>
        <v>0.45804135598665346</v>
      </c>
      <c r="V1564" s="1">
        <f t="shared" si="326"/>
        <v>145456.69653398861</v>
      </c>
      <c r="W1564" s="7">
        <f t="shared" si="327"/>
        <v>1.3430728590938877E-2</v>
      </c>
      <c r="X1564" s="7">
        <f t="shared" si="328"/>
        <v>8.956899063693971E-3</v>
      </c>
      <c r="Y1564">
        <f>LN(B1564/B1563)</f>
        <v>2.4470037094250618E-2</v>
      </c>
      <c r="Z1564">
        <f>LN(C1564/C1563)</f>
        <v>5.243979291629559E-4</v>
      </c>
    </row>
    <row r="1565" spans="1:26" x14ac:dyDescent="0.3">
      <c r="A1565" s="9">
        <v>42488</v>
      </c>
      <c r="B1565" s="1">
        <v>22294.83</v>
      </c>
      <c r="C1565" s="1">
        <v>41.966799999999999</v>
      </c>
      <c r="D1565" s="6">
        <f t="shared" si="330"/>
        <v>-3.5968216753198279E-3</v>
      </c>
      <c r="E1565" s="5">
        <f t="shared" si="329"/>
        <v>5.2449886517513811E-4</v>
      </c>
      <c r="G1565" s="25" t="str">
        <f>IF(VLOOKUP(A1565,Aux!B:C,2,FALSE)=0,"",VLOOKUP(A1565,Aux!B:C,2,FALSE))</f>
        <v/>
      </c>
      <c r="H1565" s="25" t="str">
        <f t="shared" si="318"/>
        <v/>
      </c>
      <c r="L1565" s="13">
        <f t="shared" si="321"/>
        <v>142143.48044840212</v>
      </c>
      <c r="M1565" s="14">
        <f t="shared" si="322"/>
        <v>-277.55872329165072</v>
      </c>
      <c r="N1565" s="14">
        <f t="shared" si="323"/>
        <v>34.207321665021105</v>
      </c>
      <c r="O1565" s="1">
        <f t="shared" si="324"/>
        <v>3.4487912933853409</v>
      </c>
      <c r="P1565" s="1">
        <f t="shared" si="325"/>
        <v>1554.8782575010678</v>
      </c>
      <c r="S1565" s="6">
        <f t="shared" si="319"/>
        <v>0.54093381806151386</v>
      </c>
      <c r="T1565" s="6">
        <f t="shared" si="320"/>
        <v>0.45906618193848614</v>
      </c>
      <c r="V1565" s="1">
        <f t="shared" si="326"/>
        <v>145320.24327293632</v>
      </c>
      <c r="W1565" s="7">
        <f t="shared" si="327"/>
        <v>-1.7105485809054185E-3</v>
      </c>
      <c r="X1565" s="7">
        <f t="shared" si="328"/>
        <v>-9.3854258978905169E-4</v>
      </c>
      <c r="Y1565">
        <f>LN(B1565/B1564)</f>
        <v>-3.6033057912101905E-3</v>
      </c>
      <c r="Z1565">
        <f>LN(C1565/C1564)</f>
        <v>5.2436136372282268E-4</v>
      </c>
    </row>
    <row r="1566" spans="1:26" x14ac:dyDescent="0.3">
      <c r="A1566" s="11">
        <v>42489</v>
      </c>
      <c r="B1566" s="12">
        <v>22133.32</v>
      </c>
      <c r="C1566" s="12">
        <v>41.988819999999997</v>
      </c>
      <c r="D1566" s="16">
        <f t="shared" si="330"/>
        <v>-7.2442804004337891E-3</v>
      </c>
      <c r="E1566" s="15">
        <f t="shared" si="329"/>
        <v>5.2470047752017912E-4</v>
      </c>
      <c r="G1566" s="25" t="str">
        <f>IF(VLOOKUP(A1566,Aux!B:C,2,FALSE)=0,"",VLOOKUP(A1566,Aux!B:C,2,FALSE))</f>
        <v/>
      </c>
      <c r="H1566" s="25" t="str">
        <f t="shared" si="318"/>
        <v/>
      </c>
      <c r="L1566" s="13">
        <f t="shared" si="321"/>
        <v>141620.70458583764</v>
      </c>
      <c r="M1566" s="14">
        <f t="shared" si="322"/>
        <v>-557.01428179467348</v>
      </c>
      <c r="N1566" s="14">
        <f t="shared" si="323"/>
        <v>34.238419230169946</v>
      </c>
      <c r="O1566" s="1">
        <f t="shared" si="324"/>
        <v>3.4487912933853409</v>
      </c>
      <c r="P1566" s="1">
        <f t="shared" si="325"/>
        <v>1554.8782575010678</v>
      </c>
      <c r="S1566" s="6">
        <f t="shared" si="319"/>
        <v>0.53899746885841371</v>
      </c>
      <c r="T1566" s="6">
        <f t="shared" si="320"/>
        <v>0.46100253114158607</v>
      </c>
      <c r="V1566" s="1">
        <f t="shared" si="326"/>
        <v>144996.89571008869</v>
      </c>
      <c r="W1566" s="7">
        <f t="shared" si="327"/>
        <v>-3.684583760574863E-3</v>
      </c>
      <c r="X1566" s="7">
        <f t="shared" si="328"/>
        <v>-2.2275481060726968E-3</v>
      </c>
      <c r="Y1566">
        <f>LN(B1566/B1565)</f>
        <v>-7.2706476178777827E-3</v>
      </c>
      <c r="Z1566">
        <f>LN(C1566/C1565)</f>
        <v>5.2456287035754939E-4</v>
      </c>
    </row>
    <row r="1567" spans="1:26" x14ac:dyDescent="0.3">
      <c r="A1567" s="9">
        <v>42492</v>
      </c>
      <c r="B1567" s="1">
        <v>22005.96</v>
      </c>
      <c r="C1567" s="1">
        <v>42.010849999999998</v>
      </c>
      <c r="D1567" s="6">
        <f t="shared" si="330"/>
        <v>-5.7542203338677433E-3</v>
      </c>
      <c r="E1567" s="5">
        <f t="shared" si="329"/>
        <v>5.2466346994273216E-4</v>
      </c>
      <c r="G1567" s="25" t="str">
        <f>IF(VLOOKUP(A1567,Aux!B:C,2,FALSE)=0,"",VLOOKUP(A1567,Aux!B:C,2,FALSE))</f>
        <v/>
      </c>
      <c r="H1567" s="25" t="str">
        <f t="shared" si="318"/>
        <v/>
      </c>
      <c r="L1567" s="13">
        <f t="shared" si="321"/>
        <v>141215.72049472484</v>
      </c>
      <c r="M1567" s="14">
        <f t="shared" si="322"/>
        <v>-439.238059125559</v>
      </c>
      <c r="N1567" s="14">
        <f t="shared" si="323"/>
        <v>34.253968012749894</v>
      </c>
      <c r="O1567" s="1">
        <f t="shared" si="324"/>
        <v>3.4487912933853409</v>
      </c>
      <c r="P1567" s="1">
        <f t="shared" si="325"/>
        <v>1554.8782575010678</v>
      </c>
      <c r="S1567" s="6">
        <f t="shared" si="319"/>
        <v>0.53743282252644897</v>
      </c>
      <c r="T1567" s="6">
        <f t="shared" si="320"/>
        <v>0.46256717747355081</v>
      </c>
      <c r="V1567" s="1">
        <f t="shared" si="326"/>
        <v>144752.35576313906</v>
      </c>
      <c r="W1567" s="7">
        <f t="shared" si="327"/>
        <v>-2.8637355868832287E-3</v>
      </c>
      <c r="X1567" s="7">
        <f t="shared" si="328"/>
        <v>-1.6879422726179239E-3</v>
      </c>
      <c r="Y1567">
        <f>LN(B1567/B1566)</f>
        <v>-5.7708396444752204E-3</v>
      </c>
      <c r="Z1567">
        <f>LN(C1567/C1566)</f>
        <v>5.2452588218712866E-4</v>
      </c>
    </row>
    <row r="1568" spans="1:26" x14ac:dyDescent="0.3">
      <c r="A1568" s="11">
        <v>42493</v>
      </c>
      <c r="B1568" s="12">
        <v>21509.82</v>
      </c>
      <c r="C1568" s="12">
        <v>42.032890000000002</v>
      </c>
      <c r="D1568" s="16">
        <f t="shared" si="330"/>
        <v>-2.2545710343924941E-2</v>
      </c>
      <c r="E1568" s="15">
        <f t="shared" si="329"/>
        <v>5.2462637628147846E-4</v>
      </c>
      <c r="G1568" s="25" t="str">
        <f>IF(VLOOKUP(A1568,Aux!B:C,2,FALSE)=0,"",VLOOKUP(A1568,Aux!B:C,2,FALSE))</f>
        <v/>
      </c>
      <c r="H1568" s="25" t="str">
        <f t="shared" si="318"/>
        <v/>
      </c>
      <c r="L1568" s="13">
        <f t="shared" si="321"/>
        <v>139538.90669921995</v>
      </c>
      <c r="M1568" s="14">
        <f t="shared" si="322"/>
        <v>-1711.083312300201</v>
      </c>
      <c r="N1568" s="14">
        <f t="shared" si="323"/>
        <v>34.269516795329842</v>
      </c>
      <c r="O1568" s="1">
        <f t="shared" si="324"/>
        <v>3.4487912933853409</v>
      </c>
      <c r="P1568" s="1">
        <f t="shared" si="325"/>
        <v>1554.8782575010678</v>
      </c>
      <c r="S1568" s="6">
        <f t="shared" si="319"/>
        <v>0.53162864532247744</v>
      </c>
      <c r="T1568" s="6">
        <f t="shared" si="320"/>
        <v>0.46837135467752244</v>
      </c>
      <c r="V1568" s="1">
        <f t="shared" si="326"/>
        <v>143657.04982752062</v>
      </c>
      <c r="W1568" s="7">
        <f t="shared" si="327"/>
        <v>-1.1945190364918453E-2</v>
      </c>
      <c r="X1568" s="7">
        <f t="shared" si="328"/>
        <v>-7.5955303832307367E-3</v>
      </c>
      <c r="Y1568">
        <f>LN(B1568/B1567)</f>
        <v>-2.2803750716194983E-2</v>
      </c>
      <c r="Z1568">
        <f>LN(C1568/C1567)</f>
        <v>5.2448880797667128E-4</v>
      </c>
    </row>
    <row r="1569" spans="1:26" x14ac:dyDescent="0.3">
      <c r="A1569" s="9">
        <v>42494</v>
      </c>
      <c r="B1569" s="1">
        <v>21627.68</v>
      </c>
      <c r="C1569" s="1">
        <v>42.054940000000002</v>
      </c>
      <c r="D1569" s="6">
        <f t="shared" si="330"/>
        <v>5.479357800297846E-3</v>
      </c>
      <c r="E1569" s="5">
        <f t="shared" si="329"/>
        <v>5.2458919669806647E-4</v>
      </c>
      <c r="G1569" s="25" t="str">
        <f>IF(VLOOKUP(A1569,Aux!B:C,2,FALSE)=0,"",VLOOKUP(A1569,Aux!B:C,2,FALSE))</f>
        <v/>
      </c>
      <c r="H1569" s="25" t="str">
        <f t="shared" si="318"/>
        <v/>
      </c>
      <c r="L1569" s="13">
        <f t="shared" si="321"/>
        <v>139979.66630663624</v>
      </c>
      <c r="M1569" s="14">
        <f t="shared" si="322"/>
        <v>406.4745418383983</v>
      </c>
      <c r="N1569" s="14">
        <f t="shared" si="323"/>
        <v>34.285065577898742</v>
      </c>
      <c r="O1569" s="1">
        <f t="shared" si="324"/>
        <v>3.4487912933853409</v>
      </c>
      <c r="P1569" s="1">
        <f t="shared" si="325"/>
        <v>1554.8782575010678</v>
      </c>
      <c r="S1569" s="6">
        <f t="shared" si="319"/>
        <v>0.53285849615279512</v>
      </c>
      <c r="T1569" s="6">
        <f t="shared" si="320"/>
        <v>0.46714150384720482</v>
      </c>
      <c r="V1569" s="1">
        <f t="shared" si="326"/>
        <v>143978.28574106173</v>
      </c>
      <c r="W1569" s="7">
        <f t="shared" si="327"/>
        <v>3.1537079485491888E-3</v>
      </c>
      <c r="X1569" s="7">
        <f t="shared" si="328"/>
        <v>2.2336341010617718E-3</v>
      </c>
      <c r="Y1569">
        <f>LN(B1569/B1568)</f>
        <v>5.4644007312261832E-3</v>
      </c>
      <c r="Z1569">
        <f>LN(C1569/C1568)</f>
        <v>5.2445164788773131E-4</v>
      </c>
    </row>
    <row r="1570" spans="1:26" x14ac:dyDescent="0.3">
      <c r="A1570" s="11">
        <v>42495</v>
      </c>
      <c r="B1570" s="12">
        <v>21275.5</v>
      </c>
      <c r="C1570" s="12">
        <v>42.076999999999998</v>
      </c>
      <c r="D1570" s="16">
        <f t="shared" si="330"/>
        <v>-1.6283762289806436E-2</v>
      </c>
      <c r="E1570" s="15">
        <f t="shared" si="329"/>
        <v>5.2455193135436673E-4</v>
      </c>
      <c r="G1570" s="25" t="str">
        <f>IF(VLOOKUP(A1570,Aux!B:C,2,FALSE)=0,"",VLOOKUP(A1570,Aux!B:C,2,FALSE))</f>
        <v/>
      </c>
      <c r="H1570" s="25" t="str">
        <f t="shared" si="318"/>
        <v/>
      </c>
      <c r="L1570" s="13">
        <f t="shared" si="321"/>
        <v>138799.37160329224</v>
      </c>
      <c r="M1570" s="14">
        <f t="shared" si="322"/>
        <v>-1214.5953177044503</v>
      </c>
      <c r="N1570" s="14">
        <f t="shared" si="323"/>
        <v>34.300614360467634</v>
      </c>
      <c r="O1570" s="1">
        <f t="shared" si="324"/>
        <v>3.4487912933853409</v>
      </c>
      <c r="P1570" s="1">
        <f t="shared" si="325"/>
        <v>1554.8782575010678</v>
      </c>
      <c r="S1570" s="6">
        <f t="shared" si="319"/>
        <v>0.52863898672491838</v>
      </c>
      <c r="T1570" s="6">
        <f t="shared" si="320"/>
        <v>0.47136101327508168</v>
      </c>
      <c r="V1570" s="1">
        <f t="shared" si="326"/>
        <v>143215.14530384028</v>
      </c>
      <c r="W1570" s="7">
        <f t="shared" si="327"/>
        <v>-8.4676506853199572E-3</v>
      </c>
      <c r="X1570" s="7">
        <f t="shared" si="328"/>
        <v>-5.3144825116975417E-3</v>
      </c>
      <c r="Y1570">
        <f>LN(B1570/B1569)</f>
        <v>-1.6417799829106444E-2</v>
      </c>
      <c r="Z1570">
        <f>LN(C1570/C1569)</f>
        <v>5.2441440208208481E-4</v>
      </c>
    </row>
    <row r="1571" spans="1:26" x14ac:dyDescent="0.3">
      <c r="A1571" s="9">
        <v>42496</v>
      </c>
      <c r="B1571" s="1">
        <v>21283.99</v>
      </c>
      <c r="C1571" s="1">
        <v>42.099080000000001</v>
      </c>
      <c r="D1571" s="6">
        <f t="shared" si="330"/>
        <v>3.9905055110356358E-4</v>
      </c>
      <c r="E1571" s="5">
        <f t="shared" si="329"/>
        <v>5.2475223994119524E-4</v>
      </c>
      <c r="G1571" s="25" t="str">
        <f>IF(VLOOKUP(A1571,Aux!B:C,2,FALSE)=0,"",VLOOKUP(A1571,Aux!B:C,2,FALSE))</f>
        <v/>
      </c>
      <c r="H1571" s="25" t="str">
        <f t="shared" si="318"/>
        <v/>
      </c>
      <c r="L1571" s="13">
        <f t="shared" si="321"/>
        <v>138862.98355329872</v>
      </c>
      <c r="M1571" s="14">
        <f t="shared" si="322"/>
        <v>29.280238080847063</v>
      </c>
      <c r="N1571" s="14">
        <f t="shared" si="323"/>
        <v>34.33171192562753</v>
      </c>
      <c r="O1571" s="1">
        <f t="shared" si="324"/>
        <v>3.4487912933853409</v>
      </c>
      <c r="P1571" s="1">
        <f t="shared" si="325"/>
        <v>1554.8782575010678</v>
      </c>
      <c r="S1571" s="6">
        <f t="shared" si="319"/>
        <v>0.5286076787506625</v>
      </c>
      <c r="T1571" s="6">
        <f t="shared" si="320"/>
        <v>0.47139232124933744</v>
      </c>
      <c r="V1571" s="1">
        <f t="shared" si="326"/>
        <v>143284.12791557217</v>
      </c>
      <c r="W1571" s="7">
        <f t="shared" si="327"/>
        <v>4.5819643850191508E-4</v>
      </c>
      <c r="X1571" s="7">
        <f t="shared" si="328"/>
        <v>4.8155523949365195E-4</v>
      </c>
      <c r="Y1571">
        <f>LN(B1571/B1570)</f>
        <v>3.989709516078399E-4</v>
      </c>
      <c r="Z1571">
        <f>LN(C1571/C1570)</f>
        <v>5.2461460563170349E-4</v>
      </c>
    </row>
    <row r="1572" spans="1:26" x14ac:dyDescent="0.3">
      <c r="A1572" s="11">
        <v>42499</v>
      </c>
      <c r="B1572" s="12">
        <v>20994.720000000001</v>
      </c>
      <c r="C1572" s="12">
        <v>42.121160000000003</v>
      </c>
      <c r="D1572" s="16">
        <f t="shared" si="330"/>
        <v>-1.3590966731331866E-2</v>
      </c>
      <c r="E1572" s="15">
        <f t="shared" si="329"/>
        <v>5.2447701945035341E-4</v>
      </c>
      <c r="G1572" s="25" t="str">
        <f>IF(VLOOKUP(A1572,Aux!B:C,2,FALSE)=0,"",VLOOKUP(A1572,Aux!B:C,2,FALSE))</f>
        <v/>
      </c>
      <c r="H1572" s="25" t="str">
        <f t="shared" si="318"/>
        <v/>
      </c>
      <c r="L1572" s="13">
        <f t="shared" si="321"/>
        <v>137899.68340778677</v>
      </c>
      <c r="M1572" s="14">
        <f t="shared" si="322"/>
        <v>-997.63185743757901</v>
      </c>
      <c r="N1572" s="14">
        <f t="shared" si="323"/>
        <v>34.33171192562753</v>
      </c>
      <c r="O1572" s="1">
        <f t="shared" si="324"/>
        <v>3.4487912933853409</v>
      </c>
      <c r="P1572" s="1">
        <f t="shared" si="325"/>
        <v>1554.8782575010678</v>
      </c>
      <c r="S1572" s="6">
        <f t="shared" si="319"/>
        <v>0.52506579967227485</v>
      </c>
      <c r="T1572" s="6">
        <f t="shared" si="320"/>
        <v>0.47493420032772515</v>
      </c>
      <c r="V1572" s="1">
        <f t="shared" si="326"/>
        <v>142666.16779160354</v>
      </c>
      <c r="W1572" s="7">
        <f t="shared" si="327"/>
        <v>-6.9612281606376749E-3</v>
      </c>
      <c r="X1572" s="7">
        <f t="shared" si="328"/>
        <v>-4.3221573487222309E-3</v>
      </c>
      <c r="Y1572">
        <f>LN(B1572/B1571)</f>
        <v>-1.3684169358983566E-2</v>
      </c>
      <c r="Z1572">
        <f>LN(C1572/C1571)</f>
        <v>5.243395294498509E-4</v>
      </c>
    </row>
    <row r="1573" spans="1:26" x14ac:dyDescent="0.3">
      <c r="A1573" s="9">
        <v>42500</v>
      </c>
      <c r="B1573" s="1">
        <v>21810.79</v>
      </c>
      <c r="C1573" s="1">
        <v>42.143259999999998</v>
      </c>
      <c r="D1573" s="6">
        <f t="shared" si="330"/>
        <v>3.8870249281724112E-2</v>
      </c>
      <c r="E1573" s="5">
        <f t="shared" si="329"/>
        <v>5.2467690823321256E-4</v>
      </c>
      <c r="G1573" s="25" t="str">
        <f>IF(VLOOKUP(A1573,Aux!B:C,2,FALSE)=0,"",VLOOKUP(A1573,Aux!B:C,2,FALSE))</f>
        <v/>
      </c>
      <c r="H1573" s="25" t="str">
        <f t="shared" si="318"/>
        <v/>
      </c>
      <c r="L1573" s="13">
        <f t="shared" si="321"/>
        <v>140748.5013280705</v>
      </c>
      <c r="M1573" s="14">
        <f t="shared" si="322"/>
        <v>2814.4551107929742</v>
      </c>
      <c r="N1573" s="14">
        <f t="shared" si="323"/>
        <v>34.362809490765322</v>
      </c>
      <c r="O1573" s="1">
        <f t="shared" si="324"/>
        <v>3.4487912933853409</v>
      </c>
      <c r="P1573" s="1">
        <f t="shared" si="325"/>
        <v>1554.8782575010678</v>
      </c>
      <c r="S1573" s="6">
        <f t="shared" si="319"/>
        <v>0.53443455485557068</v>
      </c>
      <c r="T1573" s="6">
        <f t="shared" si="320"/>
        <v>0.46556544514442932</v>
      </c>
      <c r="V1573" s="1">
        <f t="shared" si="326"/>
        <v>144598.3104552842</v>
      </c>
      <c r="W1573" s="7">
        <f t="shared" si="327"/>
        <v>2.0448130218658447E-2</v>
      </c>
      <c r="X1573" s="7">
        <f t="shared" si="328"/>
        <v>1.3452215271677153E-2</v>
      </c>
      <c r="Y1573">
        <f>LN(B1573/B1572)</f>
        <v>3.813382393555987E-2</v>
      </c>
      <c r="Z1573">
        <f>LN(C1573/C1572)</f>
        <v>5.2453931343063602E-4</v>
      </c>
    </row>
    <row r="1574" spans="1:26" x14ac:dyDescent="0.3">
      <c r="A1574" s="11">
        <v>42501</v>
      </c>
      <c r="B1574" s="12">
        <v>21713.16</v>
      </c>
      <c r="C1574" s="12">
        <v>42.165370000000003</v>
      </c>
      <c r="D1574" s="16">
        <f t="shared" si="330"/>
        <v>-4.4762248410076255E-3</v>
      </c>
      <c r="E1574" s="15">
        <f t="shared" si="329"/>
        <v>5.2463905260302646E-4</v>
      </c>
      <c r="G1574" s="25" t="str">
        <f>IF(VLOOKUP(A1574,Aux!B:C,2,FALSE)=0,"",VLOOKUP(A1574,Aux!B:C,2,FALSE))</f>
        <v/>
      </c>
      <c r="H1574" s="25" t="str">
        <f t="shared" si="318"/>
        <v/>
      </c>
      <c r="L1574" s="13">
        <f t="shared" si="321"/>
        <v>140446.17419237064</v>
      </c>
      <c r="M1574" s="14">
        <f t="shared" si="322"/>
        <v>-336.70549397321435</v>
      </c>
      <c r="N1574" s="14">
        <f t="shared" si="323"/>
        <v>34.378358273356319</v>
      </c>
      <c r="O1574" s="1">
        <f t="shared" si="324"/>
        <v>3.4487912933853409</v>
      </c>
      <c r="P1574" s="1">
        <f t="shared" si="325"/>
        <v>1554.8782575010678</v>
      </c>
      <c r="S1574" s="6">
        <f t="shared" si="319"/>
        <v>0.53318759012483463</v>
      </c>
      <c r="T1574" s="6">
        <f t="shared" si="320"/>
        <v>0.46681240987516537</v>
      </c>
      <c r="V1574" s="1">
        <f t="shared" si="326"/>
        <v>144422.53762889246</v>
      </c>
      <c r="W1574" s="7">
        <f t="shared" si="327"/>
        <v>-2.150305667291508E-3</v>
      </c>
      <c r="X1574" s="7">
        <f t="shared" si="328"/>
        <v>-1.2163333491526358E-3</v>
      </c>
      <c r="Y1574">
        <f>LN(B1574/B1573)</f>
        <v>-4.4862731322404432E-3</v>
      </c>
      <c r="Z1574">
        <f>LN(C1574/C1573)</f>
        <v>5.2450147765129343E-4</v>
      </c>
    </row>
    <row r="1575" spans="1:26" x14ac:dyDescent="0.3">
      <c r="A1575" s="9">
        <v>42502</v>
      </c>
      <c r="B1575" s="1">
        <v>21928.14</v>
      </c>
      <c r="C1575" s="1">
        <v>42.187480000000001</v>
      </c>
      <c r="D1575" s="6">
        <f t="shared" si="330"/>
        <v>9.900908020757937E-3</v>
      </c>
      <c r="E1575" s="5">
        <f t="shared" si="329"/>
        <v>5.2436395079658027E-4</v>
      </c>
      <c r="G1575" s="25" t="str">
        <f>IF(VLOOKUP(A1575,Aux!B:C,2,FALSE)=0,"",VLOOKUP(A1575,Aux!B:C,2,FALSE))</f>
        <v/>
      </c>
      <c r="H1575" s="25" t="str">
        <f t="shared" si="318"/>
        <v/>
      </c>
      <c r="L1575" s="13">
        <f t="shared" si="321"/>
        <v>141221.97370289598</v>
      </c>
      <c r="M1575" s="14">
        <f t="shared" si="322"/>
        <v>741.42115225197904</v>
      </c>
      <c r="N1575" s="14">
        <f t="shared" si="323"/>
        <v>34.37835827334527</v>
      </c>
      <c r="O1575" s="1">
        <f t="shared" si="324"/>
        <v>3.4487912933853409</v>
      </c>
      <c r="P1575" s="1">
        <f t="shared" si="325"/>
        <v>1554.8782575010678</v>
      </c>
      <c r="S1575" s="6">
        <f t="shared" si="319"/>
        <v>0.53550857794436846</v>
      </c>
      <c r="T1575" s="6">
        <f t="shared" si="320"/>
        <v>0.46449142205563143</v>
      </c>
      <c r="V1575" s="1">
        <f t="shared" si="326"/>
        <v>144967.96700765705</v>
      </c>
      <c r="W1575" s="7">
        <f t="shared" si="327"/>
        <v>5.5086205388716952E-3</v>
      </c>
      <c r="X1575" s="7">
        <f t="shared" si="328"/>
        <v>3.7695087839333774E-3</v>
      </c>
      <c r="Y1575">
        <f>LN(B1575/B1574)</f>
        <v>9.8522151694451082E-3</v>
      </c>
      <c r="Z1575">
        <f>LN(C1575/C1574)</f>
        <v>5.2422652006051649E-4</v>
      </c>
    </row>
    <row r="1576" spans="1:26" x14ac:dyDescent="0.3">
      <c r="A1576" s="11">
        <v>42503</v>
      </c>
      <c r="B1576" s="12">
        <v>21357.279999999999</v>
      </c>
      <c r="C1576" s="12">
        <v>42.209620000000001</v>
      </c>
      <c r="D1576" s="16">
        <f t="shared" si="330"/>
        <v>-2.6033215767502393E-2</v>
      </c>
      <c r="E1576" s="15">
        <f t="shared" si="329"/>
        <v>5.2480024879408838E-4</v>
      </c>
      <c r="G1576" s="25" t="str">
        <f>IF(VLOOKUP(A1576,Aux!B:C,2,FALSE)=0,"",VLOOKUP(A1576,Aux!B:C,2,FALSE))</f>
        <v/>
      </c>
      <c r="H1576" s="25" t="str">
        <f t="shared" si="318"/>
        <v/>
      </c>
      <c r="L1576" s="13">
        <f t="shared" si="321"/>
        <v>139287.62170977509</v>
      </c>
      <c r="M1576" s="14">
        <f t="shared" si="322"/>
        <v>-1968.7769977419578</v>
      </c>
      <c r="N1576" s="14">
        <f t="shared" si="323"/>
        <v>34.425004621074059</v>
      </c>
      <c r="O1576" s="1">
        <f t="shared" si="324"/>
        <v>3.4487912933853409</v>
      </c>
      <c r="P1576" s="1">
        <f t="shared" si="325"/>
        <v>1554.8782575010678</v>
      </c>
      <c r="S1576" s="6">
        <f t="shared" si="319"/>
        <v>0.52881081901065796</v>
      </c>
      <c r="T1576" s="6">
        <f t="shared" si="320"/>
        <v>0.47118918098934204</v>
      </c>
      <c r="V1576" s="1">
        <f t="shared" si="326"/>
        <v>143700.50313156517</v>
      </c>
      <c r="W1576" s="7">
        <f t="shared" si="327"/>
        <v>-1.379191790139829E-2</v>
      </c>
      <c r="X1576" s="7">
        <f t="shared" si="328"/>
        <v>-8.7815064838542706E-3</v>
      </c>
      <c r="Y1576">
        <f>LN(B1576/B1575)</f>
        <v>-2.6378078351803672E-2</v>
      </c>
      <c r="Z1576">
        <f>LN(C1576/C1575)</f>
        <v>5.2466258930390533E-4</v>
      </c>
    </row>
    <row r="1577" spans="1:26" x14ac:dyDescent="0.3">
      <c r="A1577" s="9">
        <v>42506</v>
      </c>
      <c r="B1577" s="1">
        <v>21346.1</v>
      </c>
      <c r="C1577" s="1">
        <v>42.231760000000001</v>
      </c>
      <c r="D1577" s="6">
        <f t="shared" si="330"/>
        <v>-5.2347489942539127E-4</v>
      </c>
      <c r="E1577" s="5">
        <f t="shared" si="329"/>
        <v>5.2452497795529851E-4</v>
      </c>
      <c r="G1577" s="25" t="str">
        <f>IF(VLOOKUP(A1577,Aux!B:C,2,FALSE)=0,"",VLOOKUP(A1577,Aux!B:C,2,FALSE))</f>
        <v/>
      </c>
      <c r="H1577" s="25" t="str">
        <f t="shared" si="318"/>
        <v/>
      </c>
      <c r="L1577" s="13">
        <f t="shared" si="321"/>
        <v>139283.48922773611</v>
      </c>
      <c r="M1577" s="14">
        <f t="shared" si="322"/>
        <v>-38.557486660049115</v>
      </c>
      <c r="N1577" s="14">
        <f t="shared" si="323"/>
        <v>34.425004621074059</v>
      </c>
      <c r="O1577" s="1">
        <f t="shared" si="324"/>
        <v>3.4487912933853409</v>
      </c>
      <c r="P1577" s="1">
        <f t="shared" si="325"/>
        <v>1554.8782575010678</v>
      </c>
      <c r="S1577" s="6">
        <f t="shared" si="319"/>
        <v>0.52854968119992296</v>
      </c>
      <c r="T1577" s="6">
        <f t="shared" si="320"/>
        <v>0.4714503188000771</v>
      </c>
      <c r="V1577" s="1">
        <f t="shared" si="326"/>
        <v>143724.24059318446</v>
      </c>
      <c r="W1577" s="7">
        <f t="shared" si="327"/>
        <v>-2.9669135650016678E-5</v>
      </c>
      <c r="X1577" s="7">
        <f t="shared" si="328"/>
        <v>1.6517340411020812E-4</v>
      </c>
      <c r="Y1577">
        <f>LN(B1577/B1576)</f>
        <v>-5.2361196024457504E-4</v>
      </c>
      <c r="Z1577">
        <f>LN(C1577/C1576)</f>
        <v>5.2438746281369879E-4</v>
      </c>
    </row>
    <row r="1578" spans="1:26" x14ac:dyDescent="0.3">
      <c r="A1578" s="11">
        <v>42507</v>
      </c>
      <c r="B1578" s="12">
        <v>20962.34</v>
      </c>
      <c r="C1578" s="12">
        <v>42.253920000000001</v>
      </c>
      <c r="D1578" s="16">
        <f t="shared" si="330"/>
        <v>-1.7977991295833773E-2</v>
      </c>
      <c r="E1578" s="15">
        <f t="shared" si="329"/>
        <v>5.2472357296973193E-4</v>
      </c>
      <c r="G1578" s="25" t="str">
        <f>IF(VLOOKUP(A1578,Aux!B:C,2,FALSE)=0,"",VLOOKUP(A1578,Aux!B:C,2,FALSE))</f>
        <v/>
      </c>
      <c r="H1578" s="25" t="str">
        <f t="shared" si="318"/>
        <v/>
      </c>
      <c r="L1578" s="13">
        <f t="shared" si="321"/>
        <v>137994.43718317279</v>
      </c>
      <c r="M1578" s="14">
        <f t="shared" si="322"/>
        <v>-1323.5081467495529</v>
      </c>
      <c r="N1578" s="14">
        <f t="shared" si="323"/>
        <v>34.456102186222907</v>
      </c>
      <c r="O1578" s="1">
        <f t="shared" si="324"/>
        <v>3.4487912933853409</v>
      </c>
      <c r="P1578" s="1">
        <f t="shared" si="325"/>
        <v>1554.8782575010678</v>
      </c>
      <c r="S1578" s="6">
        <f t="shared" si="319"/>
        <v>0.52389601462716773</v>
      </c>
      <c r="T1578" s="6">
        <f t="shared" si="320"/>
        <v>0.47610398537283227</v>
      </c>
      <c r="V1578" s="1">
        <f t="shared" si="326"/>
        <v>142888.46770453485</v>
      </c>
      <c r="W1578" s="7">
        <f t="shared" si="327"/>
        <v>-9.2979729618476656E-3</v>
      </c>
      <c r="X1578" s="7">
        <f t="shared" si="328"/>
        <v>-5.8320879249086485E-3</v>
      </c>
      <c r="Y1578">
        <f>LN(B1578/B1577)</f>
        <v>-1.8141558756450158E-2</v>
      </c>
      <c r="Z1578">
        <f>LN(C1578/C1577)</f>
        <v>5.2458595369499737E-4</v>
      </c>
    </row>
    <row r="1579" spans="1:26" x14ac:dyDescent="0.3">
      <c r="A1579" s="9">
        <v>42508</v>
      </c>
      <c r="B1579" s="1">
        <v>20841.560000000001</v>
      </c>
      <c r="C1579" s="1">
        <v>42.27608</v>
      </c>
      <c r="D1579" s="6">
        <f t="shared" si="330"/>
        <v>-5.7617613300804393E-3</v>
      </c>
      <c r="E1579" s="5">
        <f t="shared" si="329"/>
        <v>5.2444838254062098E-4</v>
      </c>
      <c r="G1579" s="25" t="str">
        <f>IF(VLOOKUP(A1579,Aux!B:C,2,FALSE)=0,"",VLOOKUP(A1579,Aux!B:C,2,FALSE))</f>
        <v/>
      </c>
      <c r="H1579" s="25" t="str">
        <f t="shared" si="318"/>
        <v/>
      </c>
      <c r="L1579" s="13">
        <f t="shared" si="321"/>
        <v>137612.34827294396</v>
      </c>
      <c r="M1579" s="14">
        <f t="shared" si="322"/>
        <v>-416.54501241507745</v>
      </c>
      <c r="N1579" s="14">
        <f t="shared" si="323"/>
        <v>34.456102186222907</v>
      </c>
      <c r="O1579" s="1">
        <f t="shared" si="324"/>
        <v>3.4487912933853409</v>
      </c>
      <c r="P1579" s="1">
        <f t="shared" si="325"/>
        <v>1554.8782575010678</v>
      </c>
      <c r="S1579" s="6">
        <f t="shared" si="319"/>
        <v>0.52232369820477953</v>
      </c>
      <c r="T1579" s="6">
        <f t="shared" si="320"/>
        <v>0.4776763017952203</v>
      </c>
      <c r="V1579" s="1">
        <f t="shared" si="326"/>
        <v>142659.39887497484</v>
      </c>
      <c r="W1579" s="7">
        <f t="shared" si="327"/>
        <v>-2.7727122493443786E-3</v>
      </c>
      <c r="X1579" s="7">
        <f t="shared" si="328"/>
        <v>-1.6044166706068587E-3</v>
      </c>
      <c r="Y1579">
        <f>LN(B1579/B1578)</f>
        <v>-5.7784243131405915E-3</v>
      </c>
      <c r="Z1579">
        <f>LN(C1579/C1578)</f>
        <v>5.2431090755123669E-4</v>
      </c>
    </row>
    <row r="1580" spans="1:26" x14ac:dyDescent="0.3">
      <c r="A1580" s="11">
        <v>42509</v>
      </c>
      <c r="B1580" s="12">
        <v>20673.099999999999</v>
      </c>
      <c r="C1580" s="12">
        <v>42.298259999999999</v>
      </c>
      <c r="D1580" s="16">
        <f t="shared" si="330"/>
        <v>-8.0828882290961968E-3</v>
      </c>
      <c r="E1580" s="15">
        <f t="shared" si="329"/>
        <v>5.2464656136508303E-4</v>
      </c>
      <c r="G1580" s="25" t="str">
        <f>IF(VLOOKUP(A1580,Aux!B:C,2,FALSE)=0,"",VLOOKUP(A1580,Aux!B:C,2,FALSE))</f>
        <v/>
      </c>
      <c r="H1580" s="25" t="str">
        <f t="shared" si="318"/>
        <v/>
      </c>
      <c r="L1580" s="13">
        <f t="shared" si="321"/>
        <v>137065.85209141162</v>
      </c>
      <c r="M1580" s="14">
        <f t="shared" si="322"/>
        <v>-580.98338128370403</v>
      </c>
      <c r="N1580" s="14">
        <f t="shared" si="323"/>
        <v>34.487199751371747</v>
      </c>
      <c r="O1580" s="1">
        <f t="shared" si="324"/>
        <v>3.4487912933853409</v>
      </c>
      <c r="P1580" s="1">
        <f t="shared" si="325"/>
        <v>1554.8782575010678</v>
      </c>
      <c r="S1580" s="6">
        <f t="shared" si="319"/>
        <v>0.52016754136351284</v>
      </c>
      <c r="T1580" s="6">
        <f t="shared" si="320"/>
        <v>0.47983245863648694</v>
      </c>
      <c r="V1580" s="1">
        <f t="shared" si="326"/>
        <v>142320.37536020877</v>
      </c>
      <c r="W1580" s="7">
        <f t="shared" si="327"/>
        <v>-3.979179286182289E-3</v>
      </c>
      <c r="X1580" s="7">
        <f t="shared" si="328"/>
        <v>-2.3792823586151978E-3</v>
      </c>
      <c r="Y1580">
        <f>LN(B1580/B1579)</f>
        <v>-8.1157318708749773E-3</v>
      </c>
      <c r="Z1580">
        <f>LN(C1580/C1579)</f>
        <v>5.2450898247599772E-4</v>
      </c>
    </row>
    <row r="1581" spans="1:26" x14ac:dyDescent="0.3">
      <c r="A1581" s="9">
        <v>42510</v>
      </c>
      <c r="B1581" s="1">
        <v>20528.57</v>
      </c>
      <c r="C1581" s="1">
        <v>42.320450000000001</v>
      </c>
      <c r="D1581" s="6">
        <f t="shared" si="330"/>
        <v>-6.9912108005087958E-3</v>
      </c>
      <c r="E1581" s="5">
        <f t="shared" si="329"/>
        <v>5.246078680305466E-4</v>
      </c>
      <c r="G1581" s="25" t="str">
        <f>IF(VLOOKUP(A1581,Aux!B:C,2,FALSE)=0,"",VLOOKUP(A1581,Aux!B:C,2,FALSE))</f>
        <v/>
      </c>
      <c r="H1581" s="25" t="str">
        <f t="shared" si="318"/>
        <v/>
      </c>
      <c r="L1581" s="13">
        <f t="shared" si="321"/>
        <v>136601.90103431258</v>
      </c>
      <c r="M1581" s="14">
        <f t="shared" si="322"/>
        <v>-498.45380563297931</v>
      </c>
      <c r="N1581" s="14">
        <f t="shared" si="323"/>
        <v>34.502748533951696</v>
      </c>
      <c r="O1581" s="1">
        <f t="shared" si="324"/>
        <v>3.4487912933853409</v>
      </c>
      <c r="P1581" s="1">
        <f t="shared" si="325"/>
        <v>1554.8782575010678</v>
      </c>
      <c r="S1581" s="6">
        <f t="shared" si="319"/>
        <v>0.51828527235406341</v>
      </c>
      <c r="T1581" s="6">
        <f t="shared" si="320"/>
        <v>0.48171472764593654</v>
      </c>
      <c r="V1581" s="1">
        <f t="shared" si="326"/>
        <v>142036.58156384318</v>
      </c>
      <c r="W1581" s="7">
        <f t="shared" si="327"/>
        <v>-3.3906187066354556E-3</v>
      </c>
      <c r="X1581" s="7">
        <f t="shared" si="328"/>
        <v>-1.9960397217574852E-3</v>
      </c>
      <c r="Y1581">
        <f>LN(B1581/B1580)</f>
        <v>-7.0157638185413592E-3</v>
      </c>
      <c r="Z1581">
        <f>LN(C1581/C1580)</f>
        <v>5.244703094303935E-4</v>
      </c>
    </row>
    <row r="1582" spans="1:26" x14ac:dyDescent="0.3">
      <c r="A1582" s="11">
        <v>42513</v>
      </c>
      <c r="B1582" s="12">
        <v>20369.96</v>
      </c>
      <c r="C1582" s="12">
        <v>42.342660000000002</v>
      </c>
      <c r="D1582" s="16">
        <f t="shared" si="330"/>
        <v>-7.7263053393392678E-3</v>
      </c>
      <c r="E1582" s="15">
        <f t="shared" si="329"/>
        <v>5.2480538368571139E-4</v>
      </c>
      <c r="G1582" s="25" t="str">
        <f>IF(VLOOKUP(A1582,Aux!B:C,2,FALSE)=0,"",VLOOKUP(A1582,Aux!B:C,2,FALSE))</f>
        <v/>
      </c>
      <c r="H1582" s="25" t="str">
        <f t="shared" si="318"/>
        <v/>
      </c>
      <c r="L1582" s="13">
        <f t="shared" si="321"/>
        <v>136089.42209336784</v>
      </c>
      <c r="M1582" s="14">
        <f t="shared" si="322"/>
        <v>-547.01278704385095</v>
      </c>
      <c r="N1582" s="14">
        <f t="shared" si="323"/>
        <v>34.533846099100536</v>
      </c>
      <c r="O1582" s="1">
        <f t="shared" si="324"/>
        <v>3.4487912933853409</v>
      </c>
      <c r="P1582" s="1">
        <f t="shared" si="325"/>
        <v>1554.8782575010678</v>
      </c>
      <c r="S1582" s="6">
        <f t="shared" si="319"/>
        <v>0.51621749592271426</v>
      </c>
      <c r="T1582" s="6">
        <f t="shared" si="320"/>
        <v>0.48378250407728557</v>
      </c>
      <c r="V1582" s="1">
        <f t="shared" si="326"/>
        <v>141720.34945760577</v>
      </c>
      <c r="W1582" s="7">
        <f t="shared" si="327"/>
        <v>-3.7586787757740853E-3</v>
      </c>
      <c r="X1582" s="7">
        <f t="shared" si="328"/>
        <v>-2.2288952450849617E-3</v>
      </c>
      <c r="Y1582">
        <f>LN(B1582/B1581)</f>
        <v>-7.7563078755214249E-3</v>
      </c>
      <c r="Z1582">
        <f>LN(C1582/C1581)</f>
        <v>5.2466772150213618E-4</v>
      </c>
    </row>
    <row r="1583" spans="1:26" x14ac:dyDescent="0.3">
      <c r="A1583" s="9">
        <v>42514</v>
      </c>
      <c r="B1583" s="1">
        <v>20386.099999999999</v>
      </c>
      <c r="C1583" s="1">
        <v>42.364870000000003</v>
      </c>
      <c r="D1583" s="6">
        <f t="shared" si="330"/>
        <v>7.9234323484178582E-4</v>
      </c>
      <c r="E1583" s="5">
        <f t="shared" si="329"/>
        <v>5.2453010746145168E-4</v>
      </c>
      <c r="G1583" s="25" t="str">
        <f>IF(VLOOKUP(A1583,Aux!B:C,2,FALSE)=0,"",VLOOKUP(A1583,Aux!B:C,2,FALSE))</f>
        <v/>
      </c>
      <c r="H1583" s="25" t="str">
        <f t="shared" si="318"/>
        <v/>
      </c>
      <c r="L1583" s="13">
        <f t="shared" si="321"/>
        <v>136179.6194309422</v>
      </c>
      <c r="M1583" s="14">
        <f t="shared" si="322"/>
        <v>55.663491475237393</v>
      </c>
      <c r="N1583" s="14">
        <f t="shared" si="323"/>
        <v>34.533846099100536</v>
      </c>
      <c r="O1583" s="1">
        <f t="shared" si="324"/>
        <v>3.4487912933853409</v>
      </c>
      <c r="P1583" s="1">
        <f t="shared" si="325"/>
        <v>1554.8782575010678</v>
      </c>
      <c r="S1583" s="6">
        <f t="shared" si="319"/>
        <v>0.51628433446853883</v>
      </c>
      <c r="T1583" s="6">
        <f t="shared" si="320"/>
        <v>0.48371566553146089</v>
      </c>
      <c r="V1583" s="1">
        <f t="shared" si="326"/>
        <v>141807.27171415609</v>
      </c>
      <c r="W1583" s="7">
        <f t="shared" si="327"/>
        <v>6.6256038783556973E-4</v>
      </c>
      <c r="X1583" s="7">
        <f t="shared" si="328"/>
        <v>6.1314843974834667E-4</v>
      </c>
      <c r="Y1583">
        <f>LN(B1583/B1582)</f>
        <v>7.9202949665550099E-4</v>
      </c>
      <c r="Z1583">
        <f>LN(C1583/C1582)</f>
        <v>5.2439258963069522E-4</v>
      </c>
    </row>
    <row r="1584" spans="1:26" x14ac:dyDescent="0.3">
      <c r="A1584" s="11">
        <v>42515</v>
      </c>
      <c r="B1584" s="12">
        <v>20435.990000000002</v>
      </c>
      <c r="C1584" s="12">
        <v>42.387090000000001</v>
      </c>
      <c r="D1584" s="16">
        <f t="shared" si="330"/>
        <v>2.4472557281678409E-3</v>
      </c>
      <c r="E1584" s="15">
        <f t="shared" si="329"/>
        <v>5.244911644954886E-4</v>
      </c>
      <c r="G1584" s="25" t="str">
        <f>IF(VLOOKUP(A1584,Aux!B:C,2,FALSE)=0,"",VLOOKUP(A1584,Aux!B:C,2,FALSE))</f>
        <v/>
      </c>
      <c r="H1584" s="25" t="str">
        <f t="shared" si="318"/>
        <v/>
      </c>
      <c r="L1584" s="13">
        <f t="shared" si="321"/>
        <v>136386.22902345087</v>
      </c>
      <c r="M1584" s="14">
        <f t="shared" si="322"/>
        <v>172.06019762700518</v>
      </c>
      <c r="N1584" s="14">
        <f t="shared" si="323"/>
        <v>34.549394881669436</v>
      </c>
      <c r="O1584" s="1">
        <f t="shared" si="324"/>
        <v>3.4487912933853409</v>
      </c>
      <c r="P1584" s="1">
        <f t="shared" si="325"/>
        <v>1554.8782575010678</v>
      </c>
      <c r="S1584" s="6">
        <f t="shared" si="319"/>
        <v>0.51676378831173153</v>
      </c>
      <c r="T1584" s="6">
        <f t="shared" si="320"/>
        <v>0.48323621168826825</v>
      </c>
      <c r="V1584" s="1">
        <f t="shared" si="326"/>
        <v>141972.07877261232</v>
      </c>
      <c r="W1584" s="7">
        <f t="shared" si="327"/>
        <v>1.516034626144265E-3</v>
      </c>
      <c r="X1584" s="7">
        <f t="shared" si="328"/>
        <v>1.1615156402481792E-3</v>
      </c>
      <c r="Y1584">
        <f>LN(B1584/B1583)</f>
        <v>2.4442660745062432E-3</v>
      </c>
      <c r="Z1584">
        <f>LN(C1584/C1583)</f>
        <v>5.24353667080024E-4</v>
      </c>
    </row>
    <row r="1585" spans="1:26" x14ac:dyDescent="0.3">
      <c r="A1585" s="9">
        <v>42517</v>
      </c>
      <c r="B1585" s="1">
        <v>20278.88</v>
      </c>
      <c r="C1585" s="1">
        <v>42.409329999999997</v>
      </c>
      <c r="D1585" s="6">
        <f t="shared" si="330"/>
        <v>-7.6879074612974385E-3</v>
      </c>
      <c r="E1585" s="5">
        <f t="shared" si="329"/>
        <v>5.2468805950112163E-4</v>
      </c>
      <c r="G1585" s="25" t="str">
        <f>IF(VLOOKUP(A1585,Aux!B:C,2,FALSE)=0,"",VLOOKUP(A1585,Aux!B:C,2,FALSE))</f>
        <v/>
      </c>
      <c r="H1585" s="25" t="str">
        <f t="shared" si="318"/>
        <v/>
      </c>
      <c r="L1585" s="13">
        <f t="shared" si="321"/>
        <v>135878.96991579392</v>
      </c>
      <c r="M1585" s="14">
        <f t="shared" si="322"/>
        <v>-541.83960010377291</v>
      </c>
      <c r="N1585" s="14">
        <f t="shared" si="323"/>
        <v>34.580492446818283</v>
      </c>
      <c r="O1585" s="1">
        <f t="shared" si="324"/>
        <v>3.4487912933853409</v>
      </c>
      <c r="P1585" s="1">
        <f t="shared" si="325"/>
        <v>1554.8782575010678</v>
      </c>
      <c r="S1585" s="6">
        <f t="shared" si="319"/>
        <v>0.51470529123783793</v>
      </c>
      <c r="T1585" s="6">
        <f t="shared" si="320"/>
        <v>0.4852947087621618</v>
      </c>
      <c r="V1585" s="1">
        <f t="shared" si="326"/>
        <v>141659.37433281905</v>
      </c>
      <c r="W1585" s="7">
        <f t="shared" si="327"/>
        <v>-3.726217647803716E-3</v>
      </c>
      <c r="X1585" s="7">
        <f t="shared" si="328"/>
        <v>-2.2050062718242686E-3</v>
      </c>
      <c r="Y1585">
        <f>LN(B1585/B1584)</f>
        <v>-7.7176117624138049E-3</v>
      </c>
      <c r="Z1585">
        <f>LN(C1585/C1584)</f>
        <v>5.2455045885073837E-4</v>
      </c>
    </row>
    <row r="1586" spans="1:26" x14ac:dyDescent="0.3">
      <c r="A1586" s="11">
        <v>42520</v>
      </c>
      <c r="B1586" s="12">
        <v>20238.3</v>
      </c>
      <c r="C1586" s="12">
        <v>42.431579999999997</v>
      </c>
      <c r="D1586" s="16">
        <f t="shared" si="330"/>
        <v>-2.0010967075105857E-3</v>
      </c>
      <c r="E1586" s="15">
        <f t="shared" si="329"/>
        <v>5.2464870348112314E-4</v>
      </c>
      <c r="G1586" s="25" t="str">
        <f>IF(VLOOKUP(A1586,Aux!B:C,2,FALSE)=0,"",VLOOKUP(A1586,Aux!B:C,2,FALSE))</f>
        <v/>
      </c>
      <c r="H1586" s="25" t="str">
        <f t="shared" si="318"/>
        <v/>
      </c>
      <c r="L1586" s="13">
        <f t="shared" si="321"/>
        <v>135773.61400633774</v>
      </c>
      <c r="M1586" s="14">
        <f t="shared" si="322"/>
        <v>-139.95195068558314</v>
      </c>
      <c r="N1586" s="14">
        <f t="shared" si="323"/>
        <v>34.596041229398224</v>
      </c>
      <c r="O1586" s="1">
        <f t="shared" si="324"/>
        <v>3.4487912933853409</v>
      </c>
      <c r="P1586" s="1">
        <f t="shared" si="325"/>
        <v>1554.8782575010678</v>
      </c>
      <c r="S1586" s="6">
        <f t="shared" si="319"/>
        <v>0.51407391151613946</v>
      </c>
      <c r="T1586" s="6">
        <f t="shared" si="320"/>
        <v>0.48592608848386026</v>
      </c>
      <c r="V1586" s="1">
        <f t="shared" si="326"/>
        <v>141615.53105059161</v>
      </c>
      <c r="W1586" s="7">
        <f t="shared" si="327"/>
        <v>-7.7566657542805627E-4</v>
      </c>
      <c r="X1586" s="7">
        <f t="shared" si="328"/>
        <v>-3.0954582805823406E-4</v>
      </c>
      <c r="Y1586">
        <f>LN(B1586/B1585)</f>
        <v>-2.0031015765981024E-3</v>
      </c>
      <c r="Z1586">
        <f>LN(C1586/C1585)</f>
        <v>5.2451112346877109E-4</v>
      </c>
    </row>
    <row r="1587" spans="1:26" x14ac:dyDescent="0.3">
      <c r="A1587" s="9">
        <v>42521</v>
      </c>
      <c r="B1587" s="1">
        <v>20051.349999999999</v>
      </c>
      <c r="C1587" s="1">
        <v>42.45384</v>
      </c>
      <c r="D1587" s="6">
        <f t="shared" si="330"/>
        <v>-9.2374359506480763E-3</v>
      </c>
      <c r="E1587" s="5">
        <f t="shared" si="329"/>
        <v>5.2460926508035577E-4</v>
      </c>
      <c r="G1587" s="25" t="str">
        <f>IF(VLOOKUP(A1587,Aux!B:C,2,FALSE)=0,"",VLOOKUP(A1587,Aux!B:C,2,FALSE))</f>
        <v/>
      </c>
      <c r="H1587" s="25" t="str">
        <f t="shared" si="318"/>
        <v/>
      </c>
      <c r="L1587" s="13">
        <f t="shared" si="321"/>
        <v>135163.47406405132</v>
      </c>
      <c r="M1587" s="14">
        <f t="shared" si="322"/>
        <v>-644.75153229839202</v>
      </c>
      <c r="N1587" s="14">
        <f t="shared" si="323"/>
        <v>34.611590011978173</v>
      </c>
      <c r="O1587" s="1">
        <f t="shared" si="324"/>
        <v>3.4487912933853409</v>
      </c>
      <c r="P1587" s="1">
        <f t="shared" si="325"/>
        <v>1554.8782575010678</v>
      </c>
      <c r="S1587" s="6">
        <f t="shared" si="319"/>
        <v>0.51162432587262396</v>
      </c>
      <c r="T1587" s="6">
        <f t="shared" si="320"/>
        <v>0.48837567412737576</v>
      </c>
      <c r="V1587" s="1">
        <f t="shared" si="326"/>
        <v>141234.02942963876</v>
      </c>
      <c r="W1587" s="7">
        <f t="shared" si="327"/>
        <v>-4.503930990343707E-3</v>
      </c>
      <c r="X1587" s="7">
        <f t="shared" si="328"/>
        <v>-2.6975601563507248E-3</v>
      </c>
      <c r="Y1587">
        <f>LN(B1587/B1586)</f>
        <v>-9.2803656401437267E-3</v>
      </c>
      <c r="Z1587">
        <f>LN(C1587/C1586)</f>
        <v>5.2447170574768261E-4</v>
      </c>
    </row>
    <row r="1588" spans="1:26" x14ac:dyDescent="0.3">
      <c r="A1588" s="11">
        <v>42522</v>
      </c>
      <c r="B1588" s="12">
        <v>20263.53</v>
      </c>
      <c r="C1588" s="12">
        <v>42.476109999999998</v>
      </c>
      <c r="D1588" s="16">
        <f t="shared" si="330"/>
        <v>1.0581831148526177E-2</v>
      </c>
      <c r="E1588" s="15">
        <f t="shared" si="329"/>
        <v>5.245697444564712E-4</v>
      </c>
      <c r="G1588" s="25" t="str">
        <f>IF(VLOOKUP(A1588,Aux!B:C,2,FALSE)=0,"",VLOOKUP(A1588,Aux!B:C,2,FALSE))</f>
        <v/>
      </c>
      <c r="H1588" s="25" t="str">
        <f t="shared" si="318"/>
        <v/>
      </c>
      <c r="L1588" s="13">
        <f t="shared" si="321"/>
        <v>135929.86573947637</v>
      </c>
      <c r="M1588" s="14">
        <f t="shared" si="322"/>
        <v>731.76453663050268</v>
      </c>
      <c r="N1588" s="14">
        <f t="shared" si="323"/>
        <v>34.627138794547072</v>
      </c>
      <c r="O1588" s="1">
        <f t="shared" si="324"/>
        <v>3.4487912933853409</v>
      </c>
      <c r="P1588" s="1">
        <f t="shared" si="325"/>
        <v>1554.8782575010678</v>
      </c>
      <c r="S1588" s="6">
        <f t="shared" si="319"/>
        <v>0.5141231138357325</v>
      </c>
      <c r="T1588" s="6">
        <f t="shared" si="320"/>
        <v>0.48587688616426716</v>
      </c>
      <c r="V1588" s="1">
        <f t="shared" si="326"/>
        <v>141773.35705165268</v>
      </c>
      <c r="W1588" s="7">
        <f t="shared" si="327"/>
        <v>5.6540947682236784E-3</v>
      </c>
      <c r="X1588" s="7">
        <f t="shared" si="328"/>
        <v>3.811407762975603E-3</v>
      </c>
      <c r="Y1588">
        <f>LN(B1588/B1587)</f>
        <v>1.052623543237198E-2</v>
      </c>
      <c r="Z1588">
        <f>LN(C1588/C1587)</f>
        <v>5.2443220584503245E-4</v>
      </c>
    </row>
    <row r="1589" spans="1:26" x14ac:dyDescent="0.3">
      <c r="A1589" s="9">
        <v>42523</v>
      </c>
      <c r="B1589" s="1">
        <v>20607.48</v>
      </c>
      <c r="C1589" s="1">
        <v>42.498390000000001</v>
      </c>
      <c r="D1589" s="6">
        <f t="shared" si="330"/>
        <v>1.6973844142654348E-2</v>
      </c>
      <c r="E1589" s="5">
        <f t="shared" si="329"/>
        <v>5.2453014176689905E-4</v>
      </c>
      <c r="G1589" s="25" t="str">
        <f>IF(VLOOKUP(A1589,Aux!B:C,2,FALSE)=0,"",VLOOKUP(A1589,Aux!B:C,2,FALSE))</f>
        <v/>
      </c>
      <c r="H1589" s="25" t="str">
        <f t="shared" si="318"/>
        <v/>
      </c>
      <c r="L1589" s="13">
        <f t="shared" si="321"/>
        <v>137150.72019241337</v>
      </c>
      <c r="M1589" s="14">
        <f t="shared" si="322"/>
        <v>1186.2117653598905</v>
      </c>
      <c r="N1589" s="14">
        <f t="shared" si="323"/>
        <v>34.64268757712702</v>
      </c>
      <c r="O1589" s="1">
        <f t="shared" si="324"/>
        <v>3.4487912933853409</v>
      </c>
      <c r="P1589" s="1">
        <f t="shared" si="325"/>
        <v>1554.8782575010678</v>
      </c>
      <c r="S1589" s="6">
        <f t="shared" si="319"/>
        <v>0.5181955844118411</v>
      </c>
      <c r="T1589" s="6">
        <f t="shared" si="320"/>
        <v>0.48180441558815879</v>
      </c>
      <c r="V1589" s="1">
        <f t="shared" si="326"/>
        <v>142616.70504433045</v>
      </c>
      <c r="W1589" s="7">
        <f t="shared" si="327"/>
        <v>8.941408870791076E-3</v>
      </c>
      <c r="X1589" s="7">
        <f t="shared" si="328"/>
        <v>5.9309418803165353E-3</v>
      </c>
      <c r="Y1589">
        <f>LN(B1589/B1588)</f>
        <v>1.6831398095235126E-2</v>
      </c>
      <c r="Z1589">
        <f>LN(C1589/C1588)</f>
        <v>5.2439262391815774E-4</v>
      </c>
    </row>
    <row r="1590" spans="1:26" x14ac:dyDescent="0.3">
      <c r="A1590" s="11">
        <v>42524</v>
      </c>
      <c r="B1590" s="12">
        <v>20899.71</v>
      </c>
      <c r="C1590" s="12">
        <v>42.520690000000002</v>
      </c>
      <c r="D1590" s="16">
        <f t="shared" si="330"/>
        <v>1.4180773194975682E-2</v>
      </c>
      <c r="E1590" s="15">
        <f t="shared" si="329"/>
        <v>5.247257601994626E-4</v>
      </c>
      <c r="G1590" s="25" t="str">
        <f>IF(VLOOKUP(A1590,Aux!B:C,2,FALSE)=0,"",VLOOKUP(A1590,Aux!B:C,2,FALSE))</f>
        <v/>
      </c>
      <c r="H1590" s="25" t="str">
        <f t="shared" si="318"/>
        <v/>
      </c>
      <c r="L1590" s="13">
        <f t="shared" si="321"/>
        <v>138193.23425722166</v>
      </c>
      <c r="M1590" s="14">
        <f t="shared" si="322"/>
        <v>1007.8402796659966</v>
      </c>
      <c r="N1590" s="14">
        <f t="shared" si="323"/>
        <v>34.673785142275861</v>
      </c>
      <c r="O1590" s="1">
        <f t="shared" si="324"/>
        <v>3.4487912933853409</v>
      </c>
      <c r="P1590" s="1">
        <f t="shared" si="325"/>
        <v>1554.8782575010678</v>
      </c>
      <c r="S1590" s="6">
        <f t="shared" si="319"/>
        <v>0.52157935422596036</v>
      </c>
      <c r="T1590" s="6">
        <f t="shared" si="320"/>
        <v>0.47842064577403931</v>
      </c>
      <c r="V1590" s="1">
        <f t="shared" si="326"/>
        <v>143340.77793048217</v>
      </c>
      <c r="W1590" s="7">
        <f t="shared" si="327"/>
        <v>7.5724854652239439E-3</v>
      </c>
      <c r="X1590" s="7">
        <f t="shared" si="328"/>
        <v>5.06421042804451E-3</v>
      </c>
      <c r="Y1590">
        <f>LN(B1590/B1589)</f>
        <v>1.4081166592079085E-2</v>
      </c>
      <c r="Z1590">
        <f>LN(C1590/C1589)</f>
        <v>5.2458813977763661E-4</v>
      </c>
    </row>
    <row r="1591" spans="1:26" x14ac:dyDescent="0.3">
      <c r="A1591" s="9">
        <v>42527</v>
      </c>
      <c r="B1591" s="1">
        <v>20820.32</v>
      </c>
      <c r="C1591" s="1">
        <v>42.542999999999999</v>
      </c>
      <c r="D1591" s="6">
        <f t="shared" si="330"/>
        <v>-3.7986173013884184E-3</v>
      </c>
      <c r="E1591" s="5">
        <f t="shared" si="329"/>
        <v>5.2468574710329285E-4</v>
      </c>
      <c r="G1591" s="25" t="str">
        <f>IF(VLOOKUP(A1591,Aux!B:C,2,FALSE)=0,"",VLOOKUP(A1591,Aux!B:C,2,FALSE))</f>
        <v/>
      </c>
      <c r="H1591" s="25" t="str">
        <f t="shared" si="318"/>
        <v/>
      </c>
      <c r="L1591" s="13">
        <f t="shared" si="321"/>
        <v>137954.12405036465</v>
      </c>
      <c r="M1591" s="14">
        <f t="shared" si="322"/>
        <v>-273.79954078186023</v>
      </c>
      <c r="N1591" s="14">
        <f t="shared" si="323"/>
        <v>34.68933392484476</v>
      </c>
      <c r="O1591" s="1">
        <f t="shared" si="324"/>
        <v>3.4487912933853409</v>
      </c>
      <c r="P1591" s="1">
        <f t="shared" si="325"/>
        <v>1554.8782575010678</v>
      </c>
      <c r="S1591" s="6">
        <f t="shared" si="319"/>
        <v>0.52049867182862863</v>
      </c>
      <c r="T1591" s="6">
        <f t="shared" si="320"/>
        <v>0.47950132817137098</v>
      </c>
      <c r="V1591" s="1">
        <f t="shared" si="326"/>
        <v>143207.53284862137</v>
      </c>
      <c r="W1591" s="7">
        <f t="shared" si="327"/>
        <v>-1.7317584935796948E-3</v>
      </c>
      <c r="X1591" s="7">
        <f t="shared" si="328"/>
        <v>-9.3000088607872347E-4</v>
      </c>
      <c r="Y1591">
        <f>LN(B1591/B1590)</f>
        <v>-3.8058503710086396E-3</v>
      </c>
      <c r="Z1591">
        <f>LN(C1591/C1590)</f>
        <v>5.2454814766555817E-4</v>
      </c>
    </row>
    <row r="1592" spans="1:26" x14ac:dyDescent="0.3">
      <c r="A1592" s="11">
        <v>42528</v>
      </c>
      <c r="B1592" s="12">
        <v>20832.64</v>
      </c>
      <c r="C1592" s="12">
        <v>42.565309999999997</v>
      </c>
      <c r="D1592" s="16">
        <f t="shared" si="330"/>
        <v>5.9172961798847901E-4</v>
      </c>
      <c r="E1592" s="15">
        <f t="shared" si="329"/>
        <v>5.2441059633778764E-4</v>
      </c>
      <c r="G1592" s="25" t="str">
        <f>IF(VLOOKUP(A1592,Aux!B:C,2,FALSE)=0,"",VLOOKUP(A1592,Aux!B:C,2,FALSE))</f>
        <v/>
      </c>
      <c r="H1592" s="25" t="str">
        <f t="shared" si="318"/>
        <v/>
      </c>
      <c r="L1592" s="13">
        <f t="shared" si="321"/>
        <v>138031.30249302401</v>
      </c>
      <c r="M1592" s="14">
        <f t="shared" si="322"/>
        <v>42.489108734506395</v>
      </c>
      <c r="N1592" s="14">
        <f t="shared" si="323"/>
        <v>34.68933392484476</v>
      </c>
      <c r="O1592" s="1">
        <f t="shared" si="324"/>
        <v>3.4487912933853409</v>
      </c>
      <c r="P1592" s="1">
        <f t="shared" si="325"/>
        <v>1554.8782575010678</v>
      </c>
      <c r="S1592" s="6">
        <f t="shared" si="319"/>
        <v>0.52051546390256154</v>
      </c>
      <c r="T1592" s="6">
        <f t="shared" si="320"/>
        <v>0.47948453609743813</v>
      </c>
      <c r="V1592" s="1">
        <f t="shared" si="326"/>
        <v>143285.86594479351</v>
      </c>
      <c r="W1592" s="7">
        <f t="shared" si="327"/>
        <v>5.5929362385412123E-4</v>
      </c>
      <c r="X1592" s="7">
        <f t="shared" si="328"/>
        <v>5.4684050979223733E-4</v>
      </c>
      <c r="Y1592">
        <f>LN(B1592/B1591)</f>
        <v>5.9155461505095439E-4</v>
      </c>
      <c r="Z1592">
        <f>LN(C1592/C1591)</f>
        <v>5.2427314115421572E-4</v>
      </c>
    </row>
    <row r="1593" spans="1:26" x14ac:dyDescent="0.3">
      <c r="A1593" s="9">
        <v>42529</v>
      </c>
      <c r="B1593" s="1">
        <v>21279.45</v>
      </c>
      <c r="C1593" s="1">
        <v>42.58764</v>
      </c>
      <c r="D1593" s="6">
        <f t="shared" si="330"/>
        <v>2.144759377592087E-2</v>
      </c>
      <c r="E1593" s="5">
        <f t="shared" si="329"/>
        <v>5.2460560019418345E-4</v>
      </c>
      <c r="G1593" s="25" t="str">
        <f>IF(VLOOKUP(A1593,Aux!B:C,2,FALSE)=0,"",VLOOKUP(A1593,Aux!B:C,2,FALSE))</f>
        <v/>
      </c>
      <c r="H1593" s="25" t="str">
        <f t="shared" si="318"/>
        <v/>
      </c>
      <c r="L1593" s="13">
        <f t="shared" si="321"/>
        <v>139606.97736231153</v>
      </c>
      <c r="M1593" s="14">
        <f t="shared" si="322"/>
        <v>1540.9544377975087</v>
      </c>
      <c r="N1593" s="14">
        <f t="shared" si="323"/>
        <v>34.72043149000465</v>
      </c>
      <c r="O1593" s="1">
        <f t="shared" si="324"/>
        <v>3.4487912933853409</v>
      </c>
      <c r="P1593" s="1">
        <f t="shared" si="325"/>
        <v>1554.8782575010678</v>
      </c>
      <c r="S1593" s="6">
        <f t="shared" si="319"/>
        <v>0.52567846732738388</v>
      </c>
      <c r="T1593" s="6">
        <f t="shared" si="320"/>
        <v>0.47432153267261573</v>
      </c>
      <c r="V1593" s="1">
        <f t="shared" si="326"/>
        <v>144366.62741215643</v>
      </c>
      <c r="W1593" s="7">
        <f t="shared" si="327"/>
        <v>1.1350681089800368E-2</v>
      </c>
      <c r="X1593" s="7">
        <f t="shared" si="328"/>
        <v>7.5143902997263784E-3</v>
      </c>
      <c r="Y1593">
        <f>LN(B1593/B1592)</f>
        <v>2.1220830754317237E-2</v>
      </c>
      <c r="Z1593">
        <f>LN(C1593/C1592)</f>
        <v>5.2446804278312876E-4</v>
      </c>
    </row>
    <row r="1594" spans="1:26" x14ac:dyDescent="0.3">
      <c r="A1594" s="11">
        <v>42530</v>
      </c>
      <c r="B1594" s="12">
        <v>21086.85</v>
      </c>
      <c r="C1594" s="12">
        <v>42.609990000000003</v>
      </c>
      <c r="D1594" s="16">
        <f t="shared" si="330"/>
        <v>-9.0509858102536533E-3</v>
      </c>
      <c r="E1594" s="15">
        <f t="shared" si="329"/>
        <v>5.2480015328404406E-4</v>
      </c>
      <c r="G1594" s="25" t="str">
        <f>IF(VLOOKUP(A1594,Aux!B:C,2,FALSE)=0,"",VLOOKUP(A1594,Aux!B:C,2,FALSE))</f>
        <v/>
      </c>
      <c r="H1594" s="25" t="str">
        <f t="shared" si="318"/>
        <v/>
      </c>
      <c r="L1594" s="13">
        <f t="shared" si="321"/>
        <v>138977.49168826066</v>
      </c>
      <c r="M1594" s="14">
        <f t="shared" si="322"/>
        <v>-664.23720310602414</v>
      </c>
      <c r="N1594" s="14">
        <f t="shared" si="323"/>
        <v>34.751529055153497</v>
      </c>
      <c r="O1594" s="1">
        <f t="shared" si="324"/>
        <v>3.4487912933853409</v>
      </c>
      <c r="P1594" s="1">
        <f t="shared" si="325"/>
        <v>1554.8782575010678</v>
      </c>
      <c r="S1594" s="6">
        <f t="shared" si="319"/>
        <v>0.52328002039387522</v>
      </c>
      <c r="T1594" s="6">
        <f t="shared" si="320"/>
        <v>0.47671997960612428</v>
      </c>
      <c r="V1594" s="1">
        <f t="shared" si="326"/>
        <v>143972.29238548706</v>
      </c>
      <c r="W1594" s="7">
        <f t="shared" si="327"/>
        <v>-4.5191804663595476E-3</v>
      </c>
      <c r="X1594" s="7">
        <f t="shared" si="328"/>
        <v>-2.7352205716474139E-3</v>
      </c>
      <c r="Y1594">
        <f>LN(B1594/B1593)</f>
        <v>-9.0921948255893153E-3</v>
      </c>
      <c r="Z1594">
        <f>LN(C1594/C1593)</f>
        <v>5.2466249384395842E-4</v>
      </c>
    </row>
    <row r="1595" spans="1:26" x14ac:dyDescent="0.3">
      <c r="A1595" s="9">
        <v>42531</v>
      </c>
      <c r="B1595" s="1">
        <v>20419.02</v>
      </c>
      <c r="C1595" s="1">
        <v>42.632339999999999</v>
      </c>
      <c r="D1595" s="6">
        <f t="shared" si="330"/>
        <v>-3.1670448644534277E-2</v>
      </c>
      <c r="E1595" s="5">
        <f t="shared" si="329"/>
        <v>5.2452488254495222E-4</v>
      </c>
      <c r="G1595" s="25" t="str">
        <f>IF(VLOOKUP(A1595,Aux!B:C,2,FALSE)=0,"",VLOOKUP(A1595,Aux!B:C,2,FALSE))</f>
        <v/>
      </c>
      <c r="H1595" s="25" t="str">
        <f t="shared" si="318"/>
        <v/>
      </c>
      <c r="L1595" s="13">
        <f t="shared" si="321"/>
        <v>136709.03692785429</v>
      </c>
      <c r="M1595" s="14">
        <f t="shared" si="322"/>
        <v>-2303.2062894615256</v>
      </c>
      <c r="N1595" s="14">
        <f t="shared" si="323"/>
        <v>34.751529055142448</v>
      </c>
      <c r="O1595" s="1">
        <f t="shared" si="324"/>
        <v>3.4487912933853409</v>
      </c>
      <c r="P1595" s="1">
        <f t="shared" si="325"/>
        <v>1554.8782575010678</v>
      </c>
      <c r="S1595" s="6">
        <f t="shared" si="319"/>
        <v>0.5151154596504437</v>
      </c>
      <c r="T1595" s="6">
        <f t="shared" si="320"/>
        <v>0.48488454034955569</v>
      </c>
      <c r="V1595" s="1">
        <f t="shared" si="326"/>
        <v>142481.58512518337</v>
      </c>
      <c r="W1595" s="7">
        <f t="shared" si="327"/>
        <v>-1.6457140434888745E-2</v>
      </c>
      <c r="X1595" s="7">
        <f t="shared" si="328"/>
        <v>-1.0408102905924255E-2</v>
      </c>
      <c r="Y1595">
        <f>LN(B1595/B1594)</f>
        <v>-3.2182804028868375E-2</v>
      </c>
      <c r="Z1595">
        <f>LN(C1595/C1594)</f>
        <v>5.2438736745337141E-4</v>
      </c>
    </row>
    <row r="1596" spans="1:26" x14ac:dyDescent="0.3">
      <c r="A1596" s="11">
        <v>42534</v>
      </c>
      <c r="B1596" s="12">
        <v>20526.72</v>
      </c>
      <c r="C1596" s="12">
        <v>42.654710000000001</v>
      </c>
      <c r="D1596" s="16">
        <f t="shared" si="330"/>
        <v>5.2744940746423108E-3</v>
      </c>
      <c r="E1596" s="15">
        <f t="shared" si="329"/>
        <v>5.24719027855447E-4</v>
      </c>
      <c r="G1596" s="25" t="str">
        <f>IF(VLOOKUP(A1596,Aux!B:C,2,FALSE)=0,"",VLOOKUP(A1596,Aux!B:C,2,FALSE))</f>
        <v/>
      </c>
      <c r="H1596" s="25" t="str">
        <f t="shared" si="318"/>
        <v/>
      </c>
      <c r="L1596" s="13">
        <f t="shared" si="321"/>
        <v>137115.25437677218</v>
      </c>
      <c r="M1596" s="14">
        <f t="shared" si="322"/>
        <v>371.43482229760372</v>
      </c>
      <c r="N1596" s="14">
        <f t="shared" si="323"/>
        <v>34.782626620302338</v>
      </c>
      <c r="O1596" s="1">
        <f t="shared" si="324"/>
        <v>3.4487912933853409</v>
      </c>
      <c r="P1596" s="1">
        <f t="shared" si="325"/>
        <v>1554.8782575010678</v>
      </c>
      <c r="S1596" s="6">
        <f t="shared" si="319"/>
        <v>0.51629830349314687</v>
      </c>
      <c r="T1596" s="6">
        <f t="shared" si="320"/>
        <v>0.48370169650685274</v>
      </c>
      <c r="V1596" s="1">
        <f t="shared" si="326"/>
        <v>142780.09744571344</v>
      </c>
      <c r="W1596" s="7">
        <f t="shared" si="327"/>
        <v>2.9669956962467968E-3</v>
      </c>
      <c r="X1596" s="7">
        <f t="shared" si="328"/>
        <v>2.0929023961629096E-3</v>
      </c>
      <c r="Y1596">
        <f>LN(B1596/B1595)</f>
        <v>5.2606326507389951E-3</v>
      </c>
      <c r="Z1596">
        <f>LN(C1596/C1595)</f>
        <v>5.2458141096438002E-4</v>
      </c>
    </row>
    <row r="1597" spans="1:26" x14ac:dyDescent="0.3">
      <c r="A1597" s="9">
        <v>42535</v>
      </c>
      <c r="B1597" s="1">
        <v>20112.400000000001</v>
      </c>
      <c r="C1597" s="1">
        <v>42.677079999999997</v>
      </c>
      <c r="D1597" s="6">
        <f t="shared" si="330"/>
        <v>-2.0184423034951493E-2</v>
      </c>
      <c r="E1597" s="5">
        <f t="shared" si="329"/>
        <v>5.2444384219230145E-4</v>
      </c>
      <c r="G1597" s="25" t="str">
        <f>IF(VLOOKUP(A1597,Aux!B:C,2,FALSE)=0,"",VLOOKUP(A1597,Aux!B:C,2,FALSE))</f>
        <v/>
      </c>
      <c r="H1597" s="25" t="str">
        <f t="shared" si="318"/>
        <v/>
      </c>
      <c r="L1597" s="13">
        <f t="shared" si="321"/>
        <v>135721.13379471705</v>
      </c>
      <c r="M1597" s="14">
        <f t="shared" si="322"/>
        <v>-1428.9032086754135</v>
      </c>
      <c r="N1597" s="14">
        <f t="shared" si="323"/>
        <v>34.782626620291289</v>
      </c>
      <c r="O1597" s="1">
        <f t="shared" si="324"/>
        <v>3.4487912933853409</v>
      </c>
      <c r="P1597" s="1">
        <f t="shared" si="325"/>
        <v>1554.8782575010678</v>
      </c>
      <c r="S1597" s="6">
        <f t="shared" si="319"/>
        <v>0.51107346416659027</v>
      </c>
      <c r="T1597" s="6">
        <f t="shared" si="320"/>
        <v>0.48892653583340928</v>
      </c>
      <c r="V1597" s="1">
        <f t="shared" si="326"/>
        <v>141874.29136588622</v>
      </c>
      <c r="W1597" s="7">
        <f t="shared" si="327"/>
        <v>-1.0219551173386498E-2</v>
      </c>
      <c r="X1597" s="7">
        <f t="shared" si="328"/>
        <v>-6.3642731173208129E-3</v>
      </c>
      <c r="Y1597">
        <f>LN(B1597/B1596)</f>
        <v>-2.0390911797230196E-2</v>
      </c>
      <c r="Z1597">
        <f>LN(C1597/C1596)</f>
        <v>5.2430636958283709E-4</v>
      </c>
    </row>
    <row r="1598" spans="1:26" x14ac:dyDescent="0.3">
      <c r="A1598" s="11">
        <v>42536</v>
      </c>
      <c r="B1598" s="12">
        <v>20218.43</v>
      </c>
      <c r="C1598" s="12">
        <v>42.699469999999998</v>
      </c>
      <c r="D1598" s="16">
        <f t="shared" si="330"/>
        <v>5.2718720789164397E-3</v>
      </c>
      <c r="E1598" s="15">
        <f t="shared" si="329"/>
        <v>5.2463758064047461E-4</v>
      </c>
      <c r="G1598" s="25" t="str">
        <f>IF(VLOOKUP(A1598,Aux!B:C,2,FALSE)=0,"",VLOOKUP(A1598,Aux!B:C,2,FALSE))</f>
        <v/>
      </c>
      <c r="H1598" s="25" t="str">
        <f t="shared" si="318"/>
        <v/>
      </c>
      <c r="L1598" s="13">
        <f t="shared" si="321"/>
        <v>136121.62285974016</v>
      </c>
      <c r="M1598" s="14">
        <f t="shared" si="322"/>
        <v>365.67534083764366</v>
      </c>
      <c r="N1598" s="14">
        <f t="shared" si="323"/>
        <v>34.813724185451186</v>
      </c>
      <c r="O1598" s="1">
        <f t="shared" si="324"/>
        <v>3.4487912933853409</v>
      </c>
      <c r="P1598" s="1">
        <f t="shared" si="325"/>
        <v>1554.8782575010678</v>
      </c>
      <c r="S1598" s="6">
        <f t="shared" si="319"/>
        <v>0.51225620063147459</v>
      </c>
      <c r="T1598" s="6">
        <f t="shared" si="320"/>
        <v>0.48774379936852486</v>
      </c>
      <c r="V1598" s="1">
        <f t="shared" si="326"/>
        <v>142168.99568064863</v>
      </c>
      <c r="W1598" s="7">
        <f t="shared" si="327"/>
        <v>2.9464780279362828E-3</v>
      </c>
      <c r="X1598" s="7">
        <f t="shared" si="328"/>
        <v>2.0750669630256085E-3</v>
      </c>
      <c r="Y1598">
        <f>LN(B1598/B1597)</f>
        <v>5.2580244087506358E-3</v>
      </c>
      <c r="Z1598">
        <f>LN(C1598/C1597)</f>
        <v>5.2450000646058457E-4</v>
      </c>
    </row>
    <row r="1599" spans="1:26" x14ac:dyDescent="0.3">
      <c r="A1599" s="9">
        <v>42537</v>
      </c>
      <c r="B1599" s="1">
        <v>20414.88</v>
      </c>
      <c r="C1599" s="1">
        <v>42.721870000000003</v>
      </c>
      <c r="D1599" s="6">
        <f t="shared" si="330"/>
        <v>9.7163825282180483E-3</v>
      </c>
      <c r="E1599" s="5">
        <f t="shared" si="329"/>
        <v>5.2459667532178678E-4</v>
      </c>
      <c r="G1599" s="25" t="str">
        <f>IF(VLOOKUP(A1599,Aux!B:C,2,FALSE)=0,"",VLOOKUP(A1599,Aux!B:C,2,FALSE))</f>
        <v/>
      </c>
      <c r="H1599" s="25" t="str">
        <f t="shared" si="318"/>
        <v/>
      </c>
      <c r="L1599" s="13">
        <f t="shared" si="321"/>
        <v>136833.96718229374</v>
      </c>
      <c r="M1599" s="14">
        <f t="shared" si="322"/>
        <v>677.51504958555267</v>
      </c>
      <c r="N1599" s="14">
        <f t="shared" si="323"/>
        <v>34.829272968031127</v>
      </c>
      <c r="O1599" s="1">
        <f t="shared" si="324"/>
        <v>3.4487912933853409</v>
      </c>
      <c r="P1599" s="1">
        <f t="shared" si="325"/>
        <v>1554.8782575010678</v>
      </c>
      <c r="S1599" s="6">
        <f t="shared" si="319"/>
        <v>0.51454081065784618</v>
      </c>
      <c r="T1599" s="6">
        <f t="shared" si="320"/>
        <v>0.48545918934215343</v>
      </c>
      <c r="V1599" s="1">
        <f t="shared" si="326"/>
        <v>142672.3244696442</v>
      </c>
      <c r="W1599" s="7">
        <f t="shared" si="327"/>
        <v>5.2195006495668059E-3</v>
      </c>
      <c r="X1599" s="7">
        <f t="shared" si="328"/>
        <v>3.5341032165310099E-3</v>
      </c>
      <c r="Y1599">
        <f>LN(B1599/B1598)</f>
        <v>9.6694820408302368E-3</v>
      </c>
      <c r="Z1599">
        <f>LN(C1599/C1598)</f>
        <v>5.244591225902754E-4</v>
      </c>
    </row>
    <row r="1600" spans="1:26" x14ac:dyDescent="0.3">
      <c r="A1600" s="11">
        <v>42538</v>
      </c>
      <c r="B1600" s="12">
        <v>20457.32</v>
      </c>
      <c r="C1600" s="12">
        <v>42.744280000000003</v>
      </c>
      <c r="D1600" s="16">
        <f t="shared" si="330"/>
        <v>2.0788758003964514E-3</v>
      </c>
      <c r="E1600" s="15">
        <f t="shared" si="329"/>
        <v>5.2455569009501879E-4</v>
      </c>
      <c r="G1600" s="25" t="str">
        <f>IF(VLOOKUP(A1600,Aux!B:C,2,FALSE)=0,"",VLOOKUP(A1600,Aux!B:C,2,FALSE))</f>
        <v/>
      </c>
      <c r="H1600" s="25" t="str">
        <f t="shared" si="318"/>
        <v/>
      </c>
      <c r="L1600" s="13">
        <f t="shared" si="321"/>
        <v>137015.1787065356</v>
      </c>
      <c r="M1600" s="14">
        <f t="shared" si="322"/>
        <v>146.36670249126934</v>
      </c>
      <c r="N1600" s="14">
        <f t="shared" si="323"/>
        <v>34.844821750600026</v>
      </c>
      <c r="O1600" s="1">
        <f t="shared" si="324"/>
        <v>3.4487912933853409</v>
      </c>
      <c r="P1600" s="1">
        <f t="shared" si="325"/>
        <v>1554.8782575010678</v>
      </c>
      <c r="S1600" s="6">
        <f t="shared" si="319"/>
        <v>0.51492854855965253</v>
      </c>
      <c r="T1600" s="6">
        <f t="shared" si="320"/>
        <v>0.48507145144034697</v>
      </c>
      <c r="V1600" s="1">
        <f t="shared" si="326"/>
        <v>142820.36917266573</v>
      </c>
      <c r="W1600" s="7">
        <f t="shared" si="327"/>
        <v>1.3234406855859337E-3</v>
      </c>
      <c r="X1600" s="7">
        <f t="shared" si="328"/>
        <v>1.0371173734968573E-3</v>
      </c>
      <c r="Y1600">
        <f>LN(B1600/B1599)</f>
        <v>2.0767179282143652E-3</v>
      </c>
      <c r="Z1600">
        <f>LN(C1600/C1599)</f>
        <v>5.2441815885210879E-4</v>
      </c>
    </row>
    <row r="1601" spans="1:26" x14ac:dyDescent="0.3">
      <c r="A1601" s="9">
        <v>42541</v>
      </c>
      <c r="B1601" s="1">
        <v>20781.8</v>
      </c>
      <c r="C1601" s="1">
        <v>42.766710000000003</v>
      </c>
      <c r="D1601" s="6">
        <f t="shared" si="330"/>
        <v>1.5861315167382539E-2</v>
      </c>
      <c r="E1601" s="5">
        <f t="shared" si="329"/>
        <v>5.2474857454609669E-4</v>
      </c>
      <c r="G1601" s="25" t="str">
        <f>IF(VLOOKUP(A1601,Aux!B:C,2,FALSE)=0,"",VLOOKUP(A1601,Aux!B:C,2,FALSE))</f>
        <v/>
      </c>
      <c r="H1601" s="25" t="str">
        <f t="shared" si="318"/>
        <v/>
      </c>
      <c r="L1601" s="13">
        <f t="shared" si="321"/>
        <v>138169.11842472904</v>
      </c>
      <c r="M1601" s="14">
        <f t="shared" si="322"/>
        <v>1119.0637988776739</v>
      </c>
      <c r="N1601" s="14">
        <f t="shared" si="323"/>
        <v>34.875919315748874</v>
      </c>
      <c r="O1601" s="1">
        <f t="shared" si="324"/>
        <v>3.4487912933853409</v>
      </c>
      <c r="P1601" s="1">
        <f t="shared" si="325"/>
        <v>1554.8782575010678</v>
      </c>
      <c r="S1601" s="6">
        <f t="shared" si="319"/>
        <v>0.51872727942402386</v>
      </c>
      <c r="T1601" s="6">
        <f t="shared" si="320"/>
        <v>0.48127272057597559</v>
      </c>
      <c r="V1601" s="1">
        <f t="shared" si="326"/>
        <v>143619.1347641485</v>
      </c>
      <c r="W1601" s="7">
        <f t="shared" si="327"/>
        <v>8.3867175121515227E-3</v>
      </c>
      <c r="X1601" s="7">
        <f t="shared" si="328"/>
        <v>5.5772171854360734E-3</v>
      </c>
      <c r="Y1601">
        <f>LN(B1601/B1600)</f>
        <v>1.5736839019700043E-2</v>
      </c>
      <c r="Z1601">
        <f>LN(C1601/C1600)</f>
        <v>5.2461094215901368E-4</v>
      </c>
    </row>
    <row r="1602" spans="1:26" x14ac:dyDescent="0.3">
      <c r="A1602" s="11">
        <v>42542</v>
      </c>
      <c r="B1602" s="12">
        <v>21001.88</v>
      </c>
      <c r="C1602" s="12">
        <v>42.789140000000003</v>
      </c>
      <c r="D1602" s="16">
        <f t="shared" si="330"/>
        <v>1.0590035511842233E-2</v>
      </c>
      <c r="E1602" s="15">
        <f t="shared" si="329"/>
        <v>5.2447335789906901E-4</v>
      </c>
      <c r="G1602" s="25" t="str">
        <f>IF(VLOOKUP(A1602,Aux!B:C,2,FALSE)=0,"",VLOOKUP(A1602,Aux!B:C,2,FALSE))</f>
        <v/>
      </c>
      <c r="H1602" s="25" t="str">
        <f t="shared" si="318"/>
        <v/>
      </c>
      <c r="L1602" s="13">
        <f t="shared" si="321"/>
        <v>138963.00433189305</v>
      </c>
      <c r="M1602" s="14">
        <f t="shared" si="322"/>
        <v>759.00998784825185</v>
      </c>
      <c r="N1602" s="14">
        <f t="shared" si="323"/>
        <v>34.875919315748874</v>
      </c>
      <c r="O1602" s="1">
        <f t="shared" si="324"/>
        <v>3.4487912933853409</v>
      </c>
      <c r="P1602" s="1">
        <f t="shared" si="325"/>
        <v>1554.8782575010678</v>
      </c>
      <c r="S1602" s="6">
        <f t="shared" si="319"/>
        <v>0.5212257840635951</v>
      </c>
      <c r="T1602" s="6">
        <f t="shared" si="320"/>
        <v>0.47877421593640423</v>
      </c>
      <c r="V1602" s="1">
        <f t="shared" si="326"/>
        <v>144177.04590369971</v>
      </c>
      <c r="W1602" s="7">
        <f t="shared" si="327"/>
        <v>5.7293111377721886E-3</v>
      </c>
      <c r="X1602" s="7">
        <f t="shared" si="328"/>
        <v>3.8771316362850345E-3</v>
      </c>
      <c r="Y1602">
        <f>LN(B1602/B1601)</f>
        <v>1.0534353854611506E-2</v>
      </c>
      <c r="Z1602">
        <f>LN(C1602/C1601)</f>
        <v>5.243358698179526E-4</v>
      </c>
    </row>
    <row r="1603" spans="1:26" x14ac:dyDescent="0.3">
      <c r="A1603" s="9">
        <v>42543</v>
      </c>
      <c r="B1603" s="1">
        <v>20752</v>
      </c>
      <c r="C1603" s="1">
        <v>42.811590000000002</v>
      </c>
      <c r="D1603" s="6">
        <f t="shared" si="330"/>
        <v>-1.1897982466331669E-2</v>
      </c>
      <c r="E1603" s="5">
        <f t="shared" si="329"/>
        <v>5.2466583810750755E-4</v>
      </c>
      <c r="G1603" s="25" t="str">
        <f>IF(VLOOKUP(A1603,Aux!B:C,2,FALSE)=0,"",VLOOKUP(A1603,Aux!B:C,2,FALSE))</f>
        <v/>
      </c>
      <c r="H1603" s="25" t="str">
        <f t="shared" ref="H1603:H1666" si="331">IF(ISNUMBER(G1603),1-G1603,"")</f>
        <v/>
      </c>
      <c r="L1603" s="13">
        <f t="shared" si="321"/>
        <v>138136.12738038282</v>
      </c>
      <c r="M1603" s="14">
        <f t="shared" si="322"/>
        <v>-861.78396839113248</v>
      </c>
      <c r="N1603" s="14">
        <f t="shared" si="323"/>
        <v>34.907016880897714</v>
      </c>
      <c r="O1603" s="1">
        <f t="shared" si="324"/>
        <v>3.4487912933853409</v>
      </c>
      <c r="P1603" s="1">
        <f t="shared" si="325"/>
        <v>1554.8782575010678</v>
      </c>
      <c r="S1603" s="6">
        <f t="shared" ref="S1603:S1666" si="332">O1603*B1603/L1603</f>
        <v>0.5181071619537555</v>
      </c>
      <c r="T1603" s="6">
        <f t="shared" ref="T1603:T1666" si="333">P1603*C1603/L1603</f>
        <v>0.48189283804624389</v>
      </c>
      <c r="V1603" s="1">
        <f t="shared" si="326"/>
        <v>143650.78762661139</v>
      </c>
      <c r="W1603" s="7">
        <f t="shared" si="327"/>
        <v>-5.9681125720834642E-3</v>
      </c>
      <c r="X1603" s="7">
        <f t="shared" si="328"/>
        <v>-3.656761453931547E-3</v>
      </c>
      <c r="Y1603">
        <f>LN(B1603/B1602)</f>
        <v>-1.1969329951841735E-2</v>
      </c>
      <c r="Z1603">
        <f>LN(C1603/C1602)</f>
        <v>5.2452824911006321E-4</v>
      </c>
    </row>
    <row r="1604" spans="1:26" x14ac:dyDescent="0.3">
      <c r="A1604" s="11">
        <v>42544</v>
      </c>
      <c r="B1604" s="12">
        <v>21330.25</v>
      </c>
      <c r="C1604" s="12">
        <v>42.834049999999998</v>
      </c>
      <c r="D1604" s="16">
        <f t="shared" si="330"/>
        <v>2.7864784117193508E-2</v>
      </c>
      <c r="E1604" s="15">
        <f t="shared" si="329"/>
        <v>5.2462428982424925E-4</v>
      </c>
      <c r="G1604" s="25" t="str">
        <f>IF(VLOOKUP(A1604,Aux!B:C,2,FALSE)=0,"",VLOOKUP(A1604,Aux!B:C,2,FALSE))</f>
        <v/>
      </c>
      <c r="H1604" s="25" t="str">
        <f t="shared" si="331"/>
        <v/>
      </c>
      <c r="L1604" s="13">
        <f t="shared" ref="L1604:L1667" si="334">L1603+M1604+N1604</f>
        <v>140165.31351144635</v>
      </c>
      <c r="M1604" s="14">
        <f t="shared" ref="M1604:M1667" si="335">O1603*(B1604-B1603)</f>
        <v>1994.2635654000733</v>
      </c>
      <c r="N1604" s="14">
        <f t="shared" ref="N1604:N1667" si="336">P1603*(C1604-C1603)</f>
        <v>34.922565663466614</v>
      </c>
      <c r="O1604" s="1">
        <f t="shared" ref="O1604:O1667" si="337">IF(ISNUMBER(G1604),L1604*G1604/B1604,O1603)</f>
        <v>3.4487912933853409</v>
      </c>
      <c r="P1604" s="1">
        <f t="shared" ref="P1604:P1667" si="338">IF(ISNUMBER(H1604),L1604*H1604/C1604,P1603)</f>
        <v>1554.8782575010678</v>
      </c>
      <c r="S1604" s="6">
        <f t="shared" si="332"/>
        <v>0.52483441618189819</v>
      </c>
      <c r="T1604" s="6">
        <f t="shared" si="333"/>
        <v>0.47516558381810126</v>
      </c>
      <c r="V1604" s="1">
        <f t="shared" ref="V1604:V1667" si="339">$O$2*B1604+$P$2*C1604</f>
        <v>145035.0765989901</v>
      </c>
      <c r="W1604" s="7">
        <f t="shared" ref="W1604:W1667" si="340">LN(L1604/L1603)</f>
        <v>1.4582907549420038E-2</v>
      </c>
      <c r="X1604" s="7">
        <f t="shared" ref="X1604:X1667" si="341">LN(V1604/V1603)</f>
        <v>9.5903523787541235E-3</v>
      </c>
      <c r="Y1604">
        <f>LN(B1604/B1603)</f>
        <v>2.7483625421826474E-2</v>
      </c>
      <c r="Z1604">
        <f>LN(C1604/C1603)</f>
        <v>5.2448672261347644E-4</v>
      </c>
    </row>
    <row r="1605" spans="1:26" x14ac:dyDescent="0.3">
      <c r="A1605" s="9">
        <v>42545</v>
      </c>
      <c r="B1605" s="1">
        <v>20763.57</v>
      </c>
      <c r="C1605" s="1">
        <v>42.856520000000003</v>
      </c>
      <c r="D1605" s="6">
        <f t="shared" si="330"/>
        <v>-2.6566964756625011E-2</v>
      </c>
      <c r="E1605" s="5">
        <f t="shared" ref="E1605:E1668" si="342">C1605/C1604-1</f>
        <v>5.2458266262478404E-4</v>
      </c>
      <c r="G1605" s="25" t="str">
        <f>IF(VLOOKUP(A1605,Aux!B:C,2,FALSE)=0,"",VLOOKUP(A1605,Aux!B:C,2,FALSE))</f>
        <v/>
      </c>
      <c r="H1605" s="25" t="str">
        <f t="shared" si="331"/>
        <v/>
      </c>
      <c r="L1605" s="13">
        <f t="shared" si="334"/>
        <v>138245.89057575681</v>
      </c>
      <c r="M1605" s="14">
        <f t="shared" si="335"/>
        <v>-1954.3610501356059</v>
      </c>
      <c r="N1605" s="14">
        <f t="shared" si="336"/>
        <v>34.938114446057611</v>
      </c>
      <c r="O1605" s="1">
        <f t="shared" si="337"/>
        <v>3.4487912933853409</v>
      </c>
      <c r="P1605" s="1">
        <f t="shared" si="338"/>
        <v>1554.8782575010678</v>
      </c>
      <c r="S1605" s="6">
        <f t="shared" si="332"/>
        <v>0.51798443438256281</v>
      </c>
      <c r="T1605" s="6">
        <f t="shared" si="333"/>
        <v>0.48201556561743658</v>
      </c>
      <c r="V1605" s="1">
        <f t="shared" si="339"/>
        <v>143777.99438282772</v>
      </c>
      <c r="W1605" s="7">
        <f t="shared" si="340"/>
        <v>-1.3788621423597438E-2</v>
      </c>
      <c r="X1605" s="7">
        <f t="shared" si="341"/>
        <v>-8.7052164947817243E-3</v>
      </c>
      <c r="Y1605">
        <f>LN(B1605/B1604)</f>
        <v>-2.6926244164648002E-2</v>
      </c>
      <c r="Z1605">
        <f>LN(C1605/C1604)</f>
        <v>5.2444511724033453E-4</v>
      </c>
    </row>
    <row r="1606" spans="1:26" x14ac:dyDescent="0.3">
      <c r="A1606" s="11">
        <v>42548</v>
      </c>
      <c r="B1606" s="12">
        <v>20427.830000000002</v>
      </c>
      <c r="C1606" s="12">
        <v>42.879010000000001</v>
      </c>
      <c r="D1606" s="16">
        <f t="shared" si="330"/>
        <v>-1.6169666391665727E-2</v>
      </c>
      <c r="E1606" s="15">
        <f t="shared" si="342"/>
        <v>5.2477429338626536E-4</v>
      </c>
      <c r="G1606" s="25" t="str">
        <f>IF(VLOOKUP(A1606,Aux!B:C,2,FALSE)=0,"",VLOOKUP(A1606,Aux!B:C,2,FALSE))</f>
        <v/>
      </c>
      <c r="H1606" s="25" t="str">
        <f t="shared" si="331"/>
        <v/>
      </c>
      <c r="L1606" s="13">
        <f t="shared" si="334"/>
        <v>137122.96259892682</v>
      </c>
      <c r="M1606" s="14">
        <f t="shared" si="335"/>
        <v>-1157.8971888411872</v>
      </c>
      <c r="N1606" s="14">
        <f t="shared" si="336"/>
        <v>34.969212011195403</v>
      </c>
      <c r="O1606" s="1">
        <f t="shared" si="337"/>
        <v>3.4487912933853409</v>
      </c>
      <c r="P1606" s="1">
        <f t="shared" si="338"/>
        <v>1554.8782575010678</v>
      </c>
      <c r="S1606" s="6">
        <f t="shared" si="332"/>
        <v>0.51378208953098603</v>
      </c>
      <c r="T1606" s="6">
        <f t="shared" si="333"/>
        <v>0.48621791046901325</v>
      </c>
      <c r="V1606" s="1">
        <f t="shared" si="339"/>
        <v>143053.74356763897</v>
      </c>
      <c r="W1606" s="7">
        <f t="shared" si="340"/>
        <v>-8.1558548721176165E-3</v>
      </c>
      <c r="X1606" s="7">
        <f t="shared" si="341"/>
        <v>-5.0500154519612052E-3</v>
      </c>
      <c r="Y1606">
        <f>LN(B1606/B1605)</f>
        <v>-1.6301821991598749E-2</v>
      </c>
      <c r="Z1606">
        <f>LN(C1606/C1605)</f>
        <v>5.2463664751000545E-4</v>
      </c>
    </row>
    <row r="1607" spans="1:26" x14ac:dyDescent="0.3">
      <c r="A1607" s="9">
        <v>42549</v>
      </c>
      <c r="B1607" s="1">
        <v>20744.810000000001</v>
      </c>
      <c r="C1607" s="1">
        <v>42.901499999999999</v>
      </c>
      <c r="D1607" s="6">
        <f t="shared" si="330"/>
        <v>1.5517066668363722E-2</v>
      </c>
      <c r="E1607" s="5">
        <f t="shared" si="342"/>
        <v>5.2449904976814565E-4</v>
      </c>
      <c r="G1607" s="25" t="str">
        <f>IF(VLOOKUP(A1607,Aux!B:C,2,FALSE)=0,"",VLOOKUP(A1607,Aux!B:C,2,FALSE))</f>
        <v/>
      </c>
      <c r="H1607" s="25" t="str">
        <f t="shared" si="331"/>
        <v/>
      </c>
      <c r="L1607" s="13">
        <f t="shared" si="334"/>
        <v>138251.12967511531</v>
      </c>
      <c r="M1607" s="14">
        <f t="shared" si="335"/>
        <v>1093.1978641772839</v>
      </c>
      <c r="N1607" s="14">
        <f t="shared" si="336"/>
        <v>34.969212011195403</v>
      </c>
      <c r="O1607" s="1">
        <f t="shared" si="337"/>
        <v>3.4487912933853409</v>
      </c>
      <c r="P1607" s="1">
        <f t="shared" si="338"/>
        <v>1554.8782575010678</v>
      </c>
      <c r="S1607" s="6">
        <f t="shared" si="332"/>
        <v>0.51749682103184214</v>
      </c>
      <c r="T1607" s="6">
        <f t="shared" si="333"/>
        <v>0.48250317896815709</v>
      </c>
      <c r="V1607" s="1">
        <f t="shared" si="339"/>
        <v>143835.34062471802</v>
      </c>
      <c r="W1607" s="7">
        <f t="shared" si="340"/>
        <v>8.1937511167452567E-3</v>
      </c>
      <c r="X1607" s="7">
        <f t="shared" si="341"/>
        <v>5.4487886357480015E-3</v>
      </c>
      <c r="Y1607">
        <f>LN(B1607/B1606)</f>
        <v>1.5397908069767256E-2</v>
      </c>
      <c r="Z1607">
        <f>LN(C1607/C1606)</f>
        <v>5.2436154821906215E-4</v>
      </c>
    </row>
    <row r="1608" spans="1:26" x14ac:dyDescent="0.3">
      <c r="A1608" s="11">
        <v>42550</v>
      </c>
      <c r="B1608" s="12">
        <v>21136</v>
      </c>
      <c r="C1608" s="12">
        <v>42.923999999999999</v>
      </c>
      <c r="D1608" s="16">
        <f t="shared" si="330"/>
        <v>1.885724670411526E-2</v>
      </c>
      <c r="E1608" s="15">
        <f t="shared" si="342"/>
        <v>5.2445718681171094E-4</v>
      </c>
      <c r="G1608" s="25" t="str">
        <f>IF(VLOOKUP(A1608,Aux!B:C,2,FALSE)=0,"",VLOOKUP(A1608,Aux!B:C,2,FALSE))</f>
        <v/>
      </c>
      <c r="H1608" s="25" t="str">
        <f t="shared" si="331"/>
        <v/>
      </c>
      <c r="L1608" s="13">
        <f t="shared" si="334"/>
        <v>139635.2471019685</v>
      </c>
      <c r="M1608" s="14">
        <f t="shared" si="335"/>
        <v>1349.132666059407</v>
      </c>
      <c r="N1608" s="14">
        <f t="shared" si="336"/>
        <v>34.984760793775351</v>
      </c>
      <c r="O1608" s="1">
        <f t="shared" si="337"/>
        <v>3.4487912933853409</v>
      </c>
      <c r="P1608" s="1">
        <f t="shared" si="338"/>
        <v>1554.8782575010678</v>
      </c>
      <c r="S1608" s="6">
        <f t="shared" si="332"/>
        <v>0.52202903127862865</v>
      </c>
      <c r="T1608" s="6">
        <f t="shared" si="333"/>
        <v>0.47797096872137051</v>
      </c>
      <c r="V1608" s="1">
        <f t="shared" si="339"/>
        <v>144788.16511900135</v>
      </c>
      <c r="W1608" s="7">
        <f t="shared" si="340"/>
        <v>9.9618332450968315E-3</v>
      </c>
      <c r="X1608" s="7">
        <f t="shared" si="341"/>
        <v>6.6025665738419989E-3</v>
      </c>
      <c r="Y1608">
        <f>LN(B1608/B1607)</f>
        <v>1.8681652870534367E-2</v>
      </c>
      <c r="Z1608">
        <f>LN(C1608/C1607)</f>
        <v>5.2431970720732252E-4</v>
      </c>
    </row>
    <row r="1609" spans="1:26" x14ac:dyDescent="0.3">
      <c r="A1609" s="9">
        <v>42551</v>
      </c>
      <c r="B1609" s="1">
        <v>21350.09</v>
      </c>
      <c r="C1609" s="1">
        <v>42.94652</v>
      </c>
      <c r="D1609" s="6">
        <f t="shared" si="330"/>
        <v>1.0129163512490491E-2</v>
      </c>
      <c r="E1609" s="5">
        <f t="shared" si="342"/>
        <v>5.2464821545061824E-4</v>
      </c>
      <c r="G1609" s="25" t="str">
        <f>IF(VLOOKUP(A1609,Aux!B:C,2,FALSE)=0,"",VLOOKUP(A1609,Aux!B:C,2,FALSE))</f>
        <v/>
      </c>
      <c r="H1609" s="25" t="str">
        <f t="shared" si="331"/>
        <v/>
      </c>
      <c r="L1609" s="13">
        <f t="shared" si="334"/>
        <v>140408.61468832832</v>
      </c>
      <c r="M1609" s="14">
        <f t="shared" si="335"/>
        <v>738.35172800086809</v>
      </c>
      <c r="N1609" s="14">
        <f t="shared" si="336"/>
        <v>35.015858358924191</v>
      </c>
      <c r="O1609" s="1">
        <f t="shared" si="337"/>
        <v>3.4487912933853409</v>
      </c>
      <c r="P1609" s="1">
        <f t="shared" si="338"/>
        <v>1554.8782575010678</v>
      </c>
      <c r="S1609" s="6">
        <f t="shared" si="332"/>
        <v>0.52441229954755897</v>
      </c>
      <c r="T1609" s="6">
        <f t="shared" si="333"/>
        <v>0.47558770045243992</v>
      </c>
      <c r="V1609" s="1">
        <f t="shared" si="339"/>
        <v>145332.45846094278</v>
      </c>
      <c r="W1609" s="7">
        <f t="shared" si="340"/>
        <v>5.5232030256211657E-3</v>
      </c>
      <c r="X1609" s="7">
        <f t="shared" si="341"/>
        <v>3.7521908909078088E-3</v>
      </c>
      <c r="Y1609">
        <f>LN(B1609/B1608)</f>
        <v>1.0078207342453471E-2</v>
      </c>
      <c r="Z1609">
        <f>LN(C1609/C1608)</f>
        <v>5.2451063569417629E-4</v>
      </c>
    </row>
    <row r="1610" spans="1:26" x14ac:dyDescent="0.3">
      <c r="A1610" s="11">
        <v>42552</v>
      </c>
      <c r="B1610" s="12">
        <v>21615.63</v>
      </c>
      <c r="C1610" s="12">
        <v>42.969059999999999</v>
      </c>
      <c r="D1610" s="16">
        <f t="shared" si="330"/>
        <v>1.2437418296597391E-2</v>
      </c>
      <c r="E1610" s="15">
        <f t="shared" si="342"/>
        <v>5.2483879951159551E-4</v>
      </c>
      <c r="G1610" s="25" t="str">
        <f>IF(VLOOKUP(A1610,Aux!B:C,2,FALSE)=0,"",VLOOKUP(A1610,Aux!B:C,2,FALSE))</f>
        <v/>
      </c>
      <c r="H1610" s="25" t="str">
        <f t="shared" si="331"/>
        <v/>
      </c>
      <c r="L1610" s="13">
        <f t="shared" si="334"/>
        <v>141359.45368429794</v>
      </c>
      <c r="M1610" s="14">
        <f t="shared" si="335"/>
        <v>915.7920400455464</v>
      </c>
      <c r="N1610" s="14">
        <f t="shared" si="336"/>
        <v>35.046955924073039</v>
      </c>
      <c r="O1610" s="1">
        <f t="shared" si="337"/>
        <v>3.4487912933853409</v>
      </c>
      <c r="P1610" s="1">
        <f t="shared" si="338"/>
        <v>1554.8782575010678</v>
      </c>
      <c r="S1610" s="6">
        <f t="shared" si="332"/>
        <v>0.5273633605823681</v>
      </c>
      <c r="T1610" s="6">
        <f t="shared" si="333"/>
        <v>0.4726366394176309</v>
      </c>
      <c r="V1610" s="1">
        <f t="shared" si="339"/>
        <v>145995.49349526409</v>
      </c>
      <c r="W1610" s="7">
        <f t="shared" si="340"/>
        <v>6.749115403524476E-3</v>
      </c>
      <c r="X1610" s="7">
        <f t="shared" si="341"/>
        <v>4.5518198625125695E-3</v>
      </c>
      <c r="Y1610">
        <f>LN(B1610/B1609)</f>
        <v>1.2360708998516294E-2</v>
      </c>
      <c r="Z1610">
        <f>LN(C1610/C1609)</f>
        <v>5.2470111979985583E-4</v>
      </c>
    </row>
    <row r="1611" spans="1:26" x14ac:dyDescent="0.3">
      <c r="A1611" s="9">
        <v>42555</v>
      </c>
      <c r="B1611" s="1">
        <v>21757.99</v>
      </c>
      <c r="C1611" s="1">
        <v>42.991599999999998</v>
      </c>
      <c r="D1611" s="6">
        <f t="shared" si="330"/>
        <v>6.5859750560126606E-3</v>
      </c>
      <c r="E1611" s="5">
        <f t="shared" si="342"/>
        <v>5.245634882400374E-4</v>
      </c>
      <c r="G1611" s="25" t="str">
        <f>IF(VLOOKUP(A1611,Aux!B:C,2,FALSE)=0,"",VLOOKUP(A1611,Aux!B:C,2,FALSE))</f>
        <v/>
      </c>
      <c r="H1611" s="25" t="str">
        <f t="shared" si="331"/>
        <v/>
      </c>
      <c r="L1611" s="13">
        <f t="shared" si="334"/>
        <v>141885.47056874837</v>
      </c>
      <c r="M1611" s="14">
        <f t="shared" si="335"/>
        <v>490.96992852633912</v>
      </c>
      <c r="N1611" s="14">
        <f t="shared" si="336"/>
        <v>35.046955924073039</v>
      </c>
      <c r="O1611" s="1">
        <f t="shared" si="337"/>
        <v>3.4487912933853409</v>
      </c>
      <c r="P1611" s="1">
        <f t="shared" si="338"/>
        <v>1554.8782575010678</v>
      </c>
      <c r="S1611" s="6">
        <f t="shared" si="332"/>
        <v>0.52886857387703046</v>
      </c>
      <c r="T1611" s="6">
        <f t="shared" si="333"/>
        <v>0.47113142612296854</v>
      </c>
      <c r="V1611" s="1">
        <f t="shared" si="339"/>
        <v>146374.34796072592</v>
      </c>
      <c r="W1611" s="7">
        <f t="shared" si="340"/>
        <v>3.714223586231712E-3</v>
      </c>
      <c r="X1611" s="7">
        <f t="shared" si="341"/>
        <v>2.5916125659317495E-3</v>
      </c>
      <c r="Y1611">
        <f>LN(B1611/B1610)</f>
        <v>6.5643822767797065E-3</v>
      </c>
      <c r="Z1611">
        <f>LN(C1611/C1610)</f>
        <v>5.2442595290868037E-4</v>
      </c>
    </row>
    <row r="1612" spans="1:26" x14ac:dyDescent="0.3">
      <c r="A1612" s="11">
        <v>42556</v>
      </c>
      <c r="B1612" s="12">
        <v>21496.97</v>
      </c>
      <c r="C1612" s="12">
        <v>43.014150000000001</v>
      </c>
      <c r="D1612" s="16">
        <f t="shared" si="330"/>
        <v>-1.1996512545506266E-2</v>
      </c>
      <c r="E1612" s="15">
        <f t="shared" si="342"/>
        <v>5.2452106923217556E-4</v>
      </c>
      <c r="G1612" s="25" t="str">
        <f>IF(VLOOKUP(A1612,Aux!B:C,2,FALSE)=0,"",VLOOKUP(A1612,Aux!B:C,2,FALSE))</f>
        <v/>
      </c>
      <c r="H1612" s="25" t="str">
        <f t="shared" si="331"/>
        <v/>
      </c>
      <c r="L1612" s="13">
        <f t="shared" si="334"/>
        <v>141020.32957005556</v>
      </c>
      <c r="M1612" s="14">
        <f t="shared" si="335"/>
        <v>-900.20350339944321</v>
      </c>
      <c r="N1612" s="14">
        <f t="shared" si="336"/>
        <v>35.062504706652987</v>
      </c>
      <c r="O1612" s="1">
        <f t="shared" si="337"/>
        <v>3.4487912933853409</v>
      </c>
      <c r="P1612" s="1">
        <f t="shared" si="338"/>
        <v>1554.8782575010678</v>
      </c>
      <c r="S1612" s="6">
        <f t="shared" si="332"/>
        <v>0.52572961073201574</v>
      </c>
      <c r="T1612" s="6">
        <f t="shared" si="333"/>
        <v>0.47427038926798337</v>
      </c>
      <c r="V1612" s="1">
        <f t="shared" si="339"/>
        <v>145822.61302720447</v>
      </c>
      <c r="W1612" s="7">
        <f t="shared" si="340"/>
        <v>-6.1161255451590802E-3</v>
      </c>
      <c r="X1612" s="7">
        <f t="shared" si="341"/>
        <v>-3.7764635701752502E-3</v>
      </c>
      <c r="Y1612">
        <f>LN(B1612/B1611)</f>
        <v>-1.2069051428258388E-2</v>
      </c>
      <c r="Z1612">
        <f>LN(C1612/C1611)</f>
        <v>5.2438355613971632E-4</v>
      </c>
    </row>
    <row r="1613" spans="1:26" x14ac:dyDescent="0.3">
      <c r="A1613" s="9">
        <v>42557</v>
      </c>
      <c r="B1613" s="1">
        <v>21512.63</v>
      </c>
      <c r="C1613" s="1">
        <v>43.036720000000003</v>
      </c>
      <c r="D1613" s="6">
        <f t="shared" si="330"/>
        <v>7.2847475714010734E-4</v>
      </c>
      <c r="E1613" s="5">
        <f t="shared" si="342"/>
        <v>5.2471105438556265E-4</v>
      </c>
      <c r="G1613" s="25" t="str">
        <f>IF(VLOOKUP(A1613,Aux!B:C,2,FALSE)=0,"",VLOOKUP(A1613,Aux!B:C,2,FALSE))</f>
        <v/>
      </c>
      <c r="H1613" s="25" t="str">
        <f t="shared" si="331"/>
        <v/>
      </c>
      <c r="L1613" s="13">
        <f t="shared" si="334"/>
        <v>141109.43124398179</v>
      </c>
      <c r="M1613" s="14">
        <f t="shared" si="335"/>
        <v>54.008071654413939</v>
      </c>
      <c r="N1613" s="14">
        <f t="shared" si="336"/>
        <v>35.093602271801828</v>
      </c>
      <c r="O1613" s="1">
        <f t="shared" si="337"/>
        <v>3.4487912933853409</v>
      </c>
      <c r="P1613" s="1">
        <f t="shared" si="338"/>
        <v>1554.8782575010678</v>
      </c>
      <c r="S1613" s="6">
        <f t="shared" si="332"/>
        <v>0.52578038468271804</v>
      </c>
      <c r="T1613" s="6">
        <f t="shared" si="333"/>
        <v>0.47421961531728107</v>
      </c>
      <c r="V1613" s="1">
        <f t="shared" si="339"/>
        <v>145909.23327465044</v>
      </c>
      <c r="W1613" s="7">
        <f t="shared" si="340"/>
        <v>6.3163614240139285E-4</v>
      </c>
      <c r="X1613" s="7">
        <f t="shared" si="341"/>
        <v>5.9383472246508885E-4</v>
      </c>
      <c r="Y1613">
        <f>LN(B1613/B1612)</f>
        <v>7.282095481950775E-4</v>
      </c>
      <c r="Z1613">
        <f>LN(C1613/C1612)</f>
        <v>5.2457344167610104E-4</v>
      </c>
    </row>
    <row r="1614" spans="1:26" x14ac:dyDescent="0.3">
      <c r="A1614" s="11">
        <v>42558</v>
      </c>
      <c r="B1614" s="12">
        <v>21566.85</v>
      </c>
      <c r="C1614" s="12">
        <v>43.059289999999997</v>
      </c>
      <c r="D1614" s="16">
        <f t="shared" si="330"/>
        <v>2.5203798884654294E-3</v>
      </c>
      <c r="E1614" s="15">
        <f t="shared" si="342"/>
        <v>5.244358770835067E-4</v>
      </c>
      <c r="G1614" s="25" t="str">
        <f>IF(VLOOKUP(A1614,Aux!B:C,2,FALSE)=0,"",VLOOKUP(A1614,Aux!B:C,2,FALSE))</f>
        <v/>
      </c>
      <c r="H1614" s="25" t="str">
        <f t="shared" si="331"/>
        <v/>
      </c>
      <c r="L1614" s="13">
        <f t="shared" si="334"/>
        <v>141331.51831018092</v>
      </c>
      <c r="M1614" s="14">
        <f t="shared" si="335"/>
        <v>186.99346392734464</v>
      </c>
      <c r="N1614" s="14">
        <f t="shared" si="336"/>
        <v>35.093602271790779</v>
      </c>
      <c r="O1614" s="1">
        <f t="shared" si="337"/>
        <v>3.4487912933853409</v>
      </c>
      <c r="P1614" s="1">
        <f t="shared" si="338"/>
        <v>1554.8782575010678</v>
      </c>
      <c r="S1614" s="6">
        <f t="shared" si="332"/>
        <v>0.52627726210728498</v>
      </c>
      <c r="T1614" s="6">
        <f t="shared" si="333"/>
        <v>0.47372273789271396</v>
      </c>
      <c r="V1614" s="1">
        <f t="shared" si="339"/>
        <v>146084.8127909324</v>
      </c>
      <c r="W1614" s="7">
        <f t="shared" si="340"/>
        <v>1.5726268610908476E-3</v>
      </c>
      <c r="X1614" s="7">
        <f t="shared" si="341"/>
        <v>1.2026240932619687E-3</v>
      </c>
      <c r="Y1614">
        <f>LN(B1614/B1613)</f>
        <v>2.5172090577554682E-3</v>
      </c>
      <c r="Z1614">
        <f>LN(C1614/C1613)</f>
        <v>5.2429840864907332E-4</v>
      </c>
    </row>
    <row r="1615" spans="1:26" x14ac:dyDescent="0.3">
      <c r="A1615" s="9">
        <v>42559</v>
      </c>
      <c r="B1615" s="1">
        <v>22018.7</v>
      </c>
      <c r="C1615" s="1">
        <v>43.081879999999998</v>
      </c>
      <c r="D1615" s="6">
        <f t="shared" si="330"/>
        <v>2.0951135654952102E-2</v>
      </c>
      <c r="E1615" s="5">
        <f t="shared" si="342"/>
        <v>5.2462546409848265E-4</v>
      </c>
      <c r="G1615" s="25" t="str">
        <f>IF(VLOOKUP(A1615,Aux!B:C,2,FALSE)=0,"",VLOOKUP(A1615,Aux!B:C,2,FALSE))</f>
        <v/>
      </c>
      <c r="H1615" s="25" t="str">
        <f t="shared" si="331"/>
        <v/>
      </c>
      <c r="L1615" s="13">
        <f t="shared" si="334"/>
        <v>142924.97935593405</v>
      </c>
      <c r="M1615" s="14">
        <f t="shared" si="335"/>
        <v>1558.3363459161737</v>
      </c>
      <c r="N1615" s="14">
        <f t="shared" si="336"/>
        <v>35.124699836950676</v>
      </c>
      <c r="O1615" s="1">
        <f t="shared" si="337"/>
        <v>3.4487912933853409</v>
      </c>
      <c r="P1615" s="1">
        <f t="shared" si="338"/>
        <v>1554.8782575010678</v>
      </c>
      <c r="S1615" s="6">
        <f t="shared" si="332"/>
        <v>0.53131300906156809</v>
      </c>
      <c r="T1615" s="6">
        <f t="shared" si="333"/>
        <v>0.46868699093843103</v>
      </c>
      <c r="V1615" s="1">
        <f t="shared" si="339"/>
        <v>147177.78336903546</v>
      </c>
      <c r="W1615" s="7">
        <f t="shared" si="340"/>
        <v>1.1211548373731147E-2</v>
      </c>
      <c r="X1615" s="7">
        <f t="shared" si="341"/>
        <v>7.4539041318348953E-3</v>
      </c>
      <c r="Y1615">
        <f>LN(B1615/B1614)</f>
        <v>2.0734678737482592E-2</v>
      </c>
      <c r="Z1615">
        <f>LN(C1615/C1614)</f>
        <v>5.244878962719794E-4</v>
      </c>
    </row>
    <row r="1616" spans="1:26" x14ac:dyDescent="0.3">
      <c r="A1616" s="11">
        <v>42562</v>
      </c>
      <c r="B1616" s="12">
        <v>22363.74</v>
      </c>
      <c r="C1616" s="12">
        <v>43.104480000000002</v>
      </c>
      <c r="D1616" s="16">
        <f t="shared" si="330"/>
        <v>1.5670316594531108E-2</v>
      </c>
      <c r="E1616" s="15">
        <f t="shared" si="342"/>
        <v>5.2458249268605428E-4</v>
      </c>
      <c r="G1616" s="25" t="str">
        <f>IF(VLOOKUP(A1616,Aux!B:C,2,FALSE)=0,"",VLOOKUP(A1616,Aux!B:C,2,FALSE))</f>
        <v/>
      </c>
      <c r="H1616" s="25" t="str">
        <f t="shared" si="331"/>
        <v/>
      </c>
      <c r="L1616" s="13">
        <f t="shared" si="334"/>
        <v>144150.09055242327</v>
      </c>
      <c r="M1616" s="14">
        <f t="shared" si="335"/>
        <v>1189.9709478696809</v>
      </c>
      <c r="N1616" s="14">
        <f t="shared" si="336"/>
        <v>35.140248619530617</v>
      </c>
      <c r="O1616" s="1">
        <f t="shared" si="337"/>
        <v>3.4487912933853409</v>
      </c>
      <c r="P1616" s="1">
        <f t="shared" si="338"/>
        <v>1554.8782575010678</v>
      </c>
      <c r="S1616" s="6">
        <f t="shared" si="332"/>
        <v>0.53505253797592511</v>
      </c>
      <c r="T1616" s="6">
        <f t="shared" si="333"/>
        <v>0.46494746202407389</v>
      </c>
      <c r="V1616" s="1">
        <f t="shared" si="339"/>
        <v>148024.36191222933</v>
      </c>
      <c r="W1616" s="7">
        <f t="shared" si="340"/>
        <v>8.5351795559586285E-3</v>
      </c>
      <c r="X1616" s="7">
        <f t="shared" si="341"/>
        <v>5.7356010283659206E-3</v>
      </c>
      <c r="Y1616">
        <f>LN(B1616/B1615)</f>
        <v>1.5548804956702422E-2</v>
      </c>
      <c r="Z1616">
        <f>LN(C1616/C1615)</f>
        <v>5.2444494739070494E-4</v>
      </c>
    </row>
    <row r="1617" spans="1:26" x14ac:dyDescent="0.3">
      <c r="A1617" s="9">
        <v>42563</v>
      </c>
      <c r="B1617" s="1">
        <v>22487.33</v>
      </c>
      <c r="C1617" s="1">
        <v>43.127099999999999</v>
      </c>
      <c r="D1617" s="6">
        <f t="shared" si="330"/>
        <v>5.5263565038763396E-3</v>
      </c>
      <c r="E1617" s="5">
        <f t="shared" si="342"/>
        <v>5.2477143907081469E-4</v>
      </c>
      <c r="G1617" s="25" t="str">
        <f>IF(VLOOKUP(A1617,Aux!B:C,2,FALSE)=0,"",VLOOKUP(A1617,Aux!B:C,2,FALSE))</f>
        <v/>
      </c>
      <c r="H1617" s="25" t="str">
        <f t="shared" si="331"/>
        <v/>
      </c>
      <c r="L1617" s="13">
        <f t="shared" si="334"/>
        <v>144611.49801455744</v>
      </c>
      <c r="M1617" s="14">
        <f t="shared" si="335"/>
        <v>426.23611594949477</v>
      </c>
      <c r="N1617" s="14">
        <f t="shared" si="336"/>
        <v>35.171346184668415</v>
      </c>
      <c r="O1617" s="1">
        <f t="shared" si="337"/>
        <v>3.4487912933853409</v>
      </c>
      <c r="P1617" s="1">
        <f t="shared" si="338"/>
        <v>1554.8782575010678</v>
      </c>
      <c r="S1617" s="6">
        <f t="shared" si="332"/>
        <v>0.53629281889933766</v>
      </c>
      <c r="T1617" s="6">
        <f t="shared" si="333"/>
        <v>0.46370718110066123</v>
      </c>
      <c r="V1617" s="1">
        <f t="shared" si="339"/>
        <v>148360.09230170996</v>
      </c>
      <c r="W1617" s="7">
        <f t="shared" si="340"/>
        <v>3.1957703039252089E-3</v>
      </c>
      <c r="X1617" s="7">
        <f t="shared" si="341"/>
        <v>2.2655070352209632E-3</v>
      </c>
      <c r="Y1617">
        <f>LN(B1617/B1616)</f>
        <v>5.5111422230605927E-3</v>
      </c>
      <c r="Z1617">
        <f>LN(C1617/C1616)</f>
        <v>5.2463379469163654E-4</v>
      </c>
    </row>
    <row r="1618" spans="1:26" x14ac:dyDescent="0.3">
      <c r="A1618" s="11">
        <v>42564</v>
      </c>
      <c r="B1618" s="12">
        <v>22621.07</v>
      </c>
      <c r="C1618" s="12">
        <v>43.149720000000002</v>
      </c>
      <c r="D1618" s="16">
        <f t="shared" si="330"/>
        <v>5.9473490183137301E-3</v>
      </c>
      <c r="E1618" s="15">
        <f t="shared" si="342"/>
        <v>5.2449619844607831E-4</v>
      </c>
      <c r="G1618" s="25" t="str">
        <f>IF(VLOOKUP(A1618,Aux!B:C,2,FALSE)=0,"",VLOOKUP(A1618,Aux!B:C,2,FALSE))</f>
        <v/>
      </c>
      <c r="H1618" s="25" t="str">
        <f t="shared" si="331"/>
        <v/>
      </c>
      <c r="L1618" s="13">
        <f t="shared" si="334"/>
        <v>145107.91070831945</v>
      </c>
      <c r="M1618" s="14">
        <f t="shared" si="335"/>
        <v>461.24134757734845</v>
      </c>
      <c r="N1618" s="14">
        <f t="shared" si="336"/>
        <v>35.171346184679464</v>
      </c>
      <c r="O1618" s="1">
        <f t="shared" si="337"/>
        <v>3.4487912933853409</v>
      </c>
      <c r="P1618" s="1">
        <f t="shared" si="338"/>
        <v>1554.8782575010678</v>
      </c>
      <c r="S1618" s="6">
        <f t="shared" si="332"/>
        <v>0.53763677584662162</v>
      </c>
      <c r="T1618" s="6">
        <f t="shared" si="333"/>
        <v>0.46236322415337738</v>
      </c>
      <c r="V1618" s="1">
        <f t="shared" si="339"/>
        <v>148719.2390962395</v>
      </c>
      <c r="W1618" s="7">
        <f t="shared" si="340"/>
        <v>3.4268548437619488E-3</v>
      </c>
      <c r="X1618" s="7">
        <f t="shared" si="341"/>
        <v>2.4178522807637923E-3</v>
      </c>
      <c r="Y1618">
        <f>LN(B1618/B1617)</f>
        <v>5.9297333479942788E-3</v>
      </c>
      <c r="Z1618">
        <f>LN(C1618/C1617)</f>
        <v>5.2435869839172243E-4</v>
      </c>
    </row>
    <row r="1619" spans="1:26" x14ac:dyDescent="0.3">
      <c r="A1619" s="9">
        <v>42565</v>
      </c>
      <c r="B1619" s="1">
        <v>22980.639999999999</v>
      </c>
      <c r="C1619" s="1">
        <v>43.172359999999998</v>
      </c>
      <c r="D1619" s="6">
        <f t="shared" si="330"/>
        <v>1.5895357735067339E-2</v>
      </c>
      <c r="E1619" s="5">
        <f t="shared" si="342"/>
        <v>5.2468474882338967E-4</v>
      </c>
      <c r="G1619" s="25" t="str">
        <f>IF(VLOOKUP(A1619,Aux!B:C,2,FALSE)=0,"",VLOOKUP(A1619,Aux!B:C,2,FALSE))</f>
        <v/>
      </c>
      <c r="H1619" s="25" t="str">
        <f t="shared" si="331"/>
        <v/>
      </c>
      <c r="L1619" s="13">
        <f t="shared" si="334"/>
        <v>146383.19503743184</v>
      </c>
      <c r="M1619" s="14">
        <f t="shared" si="335"/>
        <v>1240.081885362566</v>
      </c>
      <c r="N1619" s="14">
        <f t="shared" si="336"/>
        <v>35.202443749817256</v>
      </c>
      <c r="O1619" s="1">
        <f t="shared" si="337"/>
        <v>3.4487912933853409</v>
      </c>
      <c r="P1619" s="1">
        <f t="shared" si="338"/>
        <v>1554.8782575010678</v>
      </c>
      <c r="S1619" s="6">
        <f t="shared" si="332"/>
        <v>0.54142438364018752</v>
      </c>
      <c r="T1619" s="6">
        <f t="shared" si="333"/>
        <v>0.45857561635981142</v>
      </c>
      <c r="V1619" s="1">
        <f t="shared" si="339"/>
        <v>149599.42834299395</v>
      </c>
      <c r="W1619" s="7">
        <f t="shared" si="340"/>
        <v>8.7501295290633302E-3</v>
      </c>
      <c r="X1619" s="7">
        <f t="shared" si="341"/>
        <v>5.9010172475719514E-3</v>
      </c>
      <c r="Y1619">
        <f>LN(B1619/B1618)</f>
        <v>1.5770349496758651E-2</v>
      </c>
      <c r="Z1619">
        <f>LN(C1619/C1618)</f>
        <v>5.2454714990916309E-4</v>
      </c>
    </row>
    <row r="1620" spans="1:26" x14ac:dyDescent="0.3">
      <c r="A1620" s="11">
        <v>42566</v>
      </c>
      <c r="B1620" s="12">
        <v>23018.17</v>
      </c>
      <c r="C1620" s="12">
        <v>43.195010000000003</v>
      </c>
      <c r="D1620" s="16">
        <f t="shared" si="330"/>
        <v>1.633113786213114E-3</v>
      </c>
      <c r="E1620" s="15">
        <f t="shared" si="342"/>
        <v>5.2464122878626007E-4</v>
      </c>
      <c r="G1620" s="25" t="str">
        <f>IF(VLOOKUP(A1620,Aux!B:C,2,FALSE)=0,"",VLOOKUP(A1620,Aux!B:C,2,FALSE))</f>
        <v/>
      </c>
      <c r="H1620" s="25" t="str">
        <f t="shared" si="331"/>
        <v/>
      </c>
      <c r="L1620" s="13">
        <f t="shared" si="334"/>
        <v>146547.84616720502</v>
      </c>
      <c r="M1620" s="14">
        <f t="shared" si="335"/>
        <v>129.43313724074784</v>
      </c>
      <c r="N1620" s="14">
        <f t="shared" si="336"/>
        <v>35.217992532408253</v>
      </c>
      <c r="O1620" s="1">
        <f t="shared" si="337"/>
        <v>3.4487912933853409</v>
      </c>
      <c r="P1620" s="1">
        <f t="shared" si="338"/>
        <v>1554.8782575010678</v>
      </c>
      <c r="S1620" s="6">
        <f t="shared" si="332"/>
        <v>0.5416992904494059</v>
      </c>
      <c r="T1620" s="6">
        <f t="shared" si="333"/>
        <v>0.45830070955059293</v>
      </c>
      <c r="V1620" s="1">
        <f t="shared" si="339"/>
        <v>149736.68241605355</v>
      </c>
      <c r="W1620" s="7">
        <f t="shared" si="340"/>
        <v>1.1241631916904628E-3</v>
      </c>
      <c r="X1620" s="7">
        <f t="shared" si="341"/>
        <v>9.1705663129443922E-4</v>
      </c>
      <c r="Y1620">
        <f>LN(B1620/B1619)</f>
        <v>1.6317817059889373E-3</v>
      </c>
      <c r="Z1620">
        <f>LN(C1620/C1619)</f>
        <v>5.2450365269341261E-4</v>
      </c>
    </row>
    <row r="1621" spans="1:26" x14ac:dyDescent="0.3">
      <c r="A1621" s="9">
        <v>42569</v>
      </c>
      <c r="B1621" s="1">
        <v>23384.73</v>
      </c>
      <c r="C1621" s="1">
        <v>43.217669999999998</v>
      </c>
      <c r="D1621" s="6">
        <f t="shared" si="330"/>
        <v>1.5924810703891845E-2</v>
      </c>
      <c r="E1621" s="5">
        <f t="shared" si="342"/>
        <v>5.2459763292089789E-4</v>
      </c>
      <c r="G1621" s="25" t="str">
        <f>IF(VLOOKUP(A1621,Aux!B:C,2,FALSE)=0,"",VLOOKUP(A1621,Aux!B:C,2,FALSE))</f>
        <v/>
      </c>
      <c r="H1621" s="25" t="str">
        <f t="shared" si="331"/>
        <v/>
      </c>
      <c r="L1621" s="13">
        <f t="shared" si="334"/>
        <v>147847.26864502332</v>
      </c>
      <c r="M1621" s="14">
        <f t="shared" si="335"/>
        <v>1264.1889365033351</v>
      </c>
      <c r="N1621" s="14">
        <f t="shared" si="336"/>
        <v>35.233541314966104</v>
      </c>
      <c r="O1621" s="1">
        <f t="shared" si="337"/>
        <v>3.4487912933853409</v>
      </c>
      <c r="P1621" s="1">
        <f t="shared" si="338"/>
        <v>1554.8782575010678</v>
      </c>
      <c r="S1621" s="6">
        <f t="shared" si="332"/>
        <v>0.54548896277416425</v>
      </c>
      <c r="T1621" s="6">
        <f t="shared" si="333"/>
        <v>0.45451103722583469</v>
      </c>
      <c r="V1621" s="1">
        <f t="shared" si="339"/>
        <v>150633.04257996869</v>
      </c>
      <c r="W1621" s="7">
        <f t="shared" si="340"/>
        <v>8.8278021686069349E-3</v>
      </c>
      <c r="X1621" s="7">
        <f t="shared" si="341"/>
        <v>5.9683966135568754E-3</v>
      </c>
      <c r="Y1621">
        <f>LN(B1621/B1620)</f>
        <v>1.5799341205064408E-2</v>
      </c>
      <c r="Z1621">
        <f>LN(C1621/C1620)</f>
        <v>5.2446007968729618E-4</v>
      </c>
    </row>
    <row r="1622" spans="1:26" x14ac:dyDescent="0.3">
      <c r="A1622" s="11">
        <v>42570</v>
      </c>
      <c r="B1622" s="12">
        <v>23477.97</v>
      </c>
      <c r="C1622" s="12">
        <v>43.240340000000003</v>
      </c>
      <c r="D1622" s="16">
        <f t="shared" si="330"/>
        <v>3.9872172994941391E-3</v>
      </c>
      <c r="E1622" s="15">
        <f t="shared" si="342"/>
        <v>5.2455396137740529E-4</v>
      </c>
      <c r="G1622" s="25" t="str">
        <f>IF(VLOOKUP(A1622,Aux!B:C,2,FALSE)=0,"",VLOOKUP(A1622,Aux!B:C,2,FALSE))</f>
        <v/>
      </c>
      <c r="H1622" s="25" t="str">
        <f t="shared" si="331"/>
        <v/>
      </c>
      <c r="L1622" s="13">
        <f t="shared" si="334"/>
        <v>148204.08303531611</v>
      </c>
      <c r="M1622" s="14">
        <f t="shared" si="335"/>
        <v>321.56530019525468</v>
      </c>
      <c r="N1622" s="14">
        <f t="shared" si="336"/>
        <v>35.249090097557094</v>
      </c>
      <c r="O1622" s="1">
        <f t="shared" si="337"/>
        <v>3.4487912933853409</v>
      </c>
      <c r="P1622" s="1">
        <f t="shared" si="338"/>
        <v>1554.8782575010678</v>
      </c>
      <c r="S1622" s="6">
        <f t="shared" si="332"/>
        <v>0.54634539659118186</v>
      </c>
      <c r="T1622" s="6">
        <f t="shared" si="333"/>
        <v>0.45365460340881708</v>
      </c>
      <c r="V1622" s="1">
        <f t="shared" si="339"/>
        <v>150898.86631442377</v>
      </c>
      <c r="W1622" s="7">
        <f t="shared" si="340"/>
        <v>2.4104910248784811E-3</v>
      </c>
      <c r="X1622" s="7">
        <f t="shared" si="341"/>
        <v>1.7631553774457331E-3</v>
      </c>
      <c r="Y1622">
        <f>LN(B1622/B1621)</f>
        <v>3.9792894150755256E-3</v>
      </c>
      <c r="Z1622">
        <f>LN(C1622/C1621)</f>
        <v>5.2441643104082704E-4</v>
      </c>
    </row>
    <row r="1623" spans="1:26" x14ac:dyDescent="0.3">
      <c r="A1623" s="9">
        <v>42571</v>
      </c>
      <c r="B1623" s="1">
        <v>23431.61</v>
      </c>
      <c r="C1623" s="1">
        <v>43.263019999999997</v>
      </c>
      <c r="D1623" s="6">
        <f t="shared" si="330"/>
        <v>-1.97461705590396E-3</v>
      </c>
      <c r="E1623" s="5">
        <f t="shared" si="342"/>
        <v>5.2451021430433009E-4</v>
      </c>
      <c r="G1623" s="25" t="str">
        <f>IF(VLOOKUP(A1623,Aux!B:C,2,FALSE)=0,"",VLOOKUP(A1623,Aux!B:C,2,FALSE))</f>
        <v/>
      </c>
      <c r="H1623" s="25" t="str">
        <f t="shared" si="331"/>
        <v/>
      </c>
      <c r="L1623" s="13">
        <f t="shared" si="334"/>
        <v>148079.4617098349</v>
      </c>
      <c r="M1623" s="14">
        <f t="shared" si="335"/>
        <v>-159.8859643613464</v>
      </c>
      <c r="N1623" s="14">
        <f t="shared" si="336"/>
        <v>35.264638880114944</v>
      </c>
      <c r="O1623" s="1">
        <f t="shared" si="337"/>
        <v>3.4487912933853409</v>
      </c>
      <c r="P1623" s="1">
        <f t="shared" si="338"/>
        <v>1554.8782575010678</v>
      </c>
      <c r="S1623" s="6">
        <f t="shared" si="332"/>
        <v>0.54572546134960553</v>
      </c>
      <c r="T1623" s="6">
        <f t="shared" si="333"/>
        <v>0.45427453865039341</v>
      </c>
      <c r="V1623" s="1">
        <f t="shared" si="339"/>
        <v>150842.65033696927</v>
      </c>
      <c r="W1623" s="7">
        <f t="shared" si="340"/>
        <v>-8.4123020019638702E-4</v>
      </c>
      <c r="X1623" s="7">
        <f t="shared" si="341"/>
        <v>-3.7261016467851816E-4</v>
      </c>
      <c r="Y1623">
        <f>LN(B1623/B1622)</f>
        <v>-1.9765691823875036E-3</v>
      </c>
      <c r="Z1623">
        <f>LN(C1623/C1622)</f>
        <v>5.2437270690246544E-4</v>
      </c>
    </row>
    <row r="1624" spans="1:26" x14ac:dyDescent="0.3">
      <c r="A1624" s="11">
        <v>42572</v>
      </c>
      <c r="B1624" s="12">
        <v>23461.65</v>
      </c>
      <c r="C1624" s="12">
        <v>43.285719999999998</v>
      </c>
      <c r="D1624" s="16">
        <f t="shared" si="330"/>
        <v>1.2820288490633658E-3</v>
      </c>
      <c r="E1624" s="15">
        <f t="shared" si="342"/>
        <v>5.2469753614059478E-4</v>
      </c>
      <c r="G1624" s="25" t="str">
        <f>IF(VLOOKUP(A1624,Aux!B:C,2,FALSE)=0,"",VLOOKUP(A1624,Aux!B:C,2,FALSE))</f>
        <v/>
      </c>
      <c r="H1624" s="25" t="str">
        <f t="shared" si="331"/>
        <v/>
      </c>
      <c r="L1624" s="13">
        <f t="shared" si="334"/>
        <v>148218.35913673349</v>
      </c>
      <c r="M1624" s="14">
        <f t="shared" si="335"/>
        <v>103.60169045329864</v>
      </c>
      <c r="N1624" s="14">
        <f t="shared" si="336"/>
        <v>35.295736445274841</v>
      </c>
      <c r="O1624" s="1">
        <f t="shared" si="337"/>
        <v>3.4487912933853409</v>
      </c>
      <c r="P1624" s="1">
        <f t="shared" si="338"/>
        <v>1554.8782575010678</v>
      </c>
      <c r="S1624" s="6">
        <f t="shared" si="332"/>
        <v>0.54591303479354802</v>
      </c>
      <c r="T1624" s="6">
        <f t="shared" si="333"/>
        <v>0.45408696520645075</v>
      </c>
      <c r="V1624" s="1">
        <f t="shared" si="339"/>
        <v>150962.73657465033</v>
      </c>
      <c r="W1624" s="7">
        <f t="shared" si="340"/>
        <v>9.3755287619764485E-4</v>
      </c>
      <c r="X1624" s="7">
        <f t="shared" si="341"/>
        <v>7.9578595496397186E-4</v>
      </c>
      <c r="Y1624">
        <f>LN(B1624/B1623)</f>
        <v>1.2812077517837933E-3</v>
      </c>
      <c r="Z1624">
        <f>LN(C1624/C1623)</f>
        <v>5.245599305204946E-4</v>
      </c>
    </row>
    <row r="1625" spans="1:26" x14ac:dyDescent="0.3">
      <c r="A1625" s="9">
        <v>42573</v>
      </c>
      <c r="B1625" s="1">
        <v>23613.64</v>
      </c>
      <c r="C1625" s="1">
        <v>43.308430000000001</v>
      </c>
      <c r="D1625" s="6">
        <f t="shared" si="330"/>
        <v>6.478231496932052E-3</v>
      </c>
      <c r="E1625" s="5">
        <f t="shared" si="342"/>
        <v>5.2465339608542827E-4</v>
      </c>
      <c r="G1625" s="25" t="str">
        <f>IF(VLOOKUP(A1625,Aux!B:C,2,FALSE)=0,"",VLOOKUP(A1625,Aux!B:C,2,FALSE))</f>
        <v/>
      </c>
      <c r="H1625" s="25" t="str">
        <f t="shared" si="331"/>
        <v/>
      </c>
      <c r="L1625" s="13">
        <f t="shared" si="334"/>
        <v>148777.85221064297</v>
      </c>
      <c r="M1625" s="14">
        <f t="shared" si="335"/>
        <v>524.18178868163091</v>
      </c>
      <c r="N1625" s="14">
        <f t="shared" si="336"/>
        <v>35.311285227854782</v>
      </c>
      <c r="O1625" s="1">
        <f t="shared" si="337"/>
        <v>3.4487912933853409</v>
      </c>
      <c r="P1625" s="1">
        <f t="shared" si="338"/>
        <v>1554.8782575010678</v>
      </c>
      <c r="S1625" s="6">
        <f t="shared" si="332"/>
        <v>0.54738332908471732</v>
      </c>
      <c r="T1625" s="6">
        <f t="shared" si="333"/>
        <v>0.45261667091528152</v>
      </c>
      <c r="V1625" s="1">
        <f t="shared" si="339"/>
        <v>151364.18809948984</v>
      </c>
      <c r="W1625" s="7">
        <f t="shared" si="340"/>
        <v>3.7676826463538728E-3</v>
      </c>
      <c r="X1625" s="7">
        <f t="shared" si="341"/>
        <v>2.6557460022778655E-3</v>
      </c>
      <c r="Y1625">
        <f>LN(B1625/B1624)</f>
        <v>6.4573379422445615E-3</v>
      </c>
      <c r="Z1625">
        <f>LN(C1625/C1624)</f>
        <v>5.2451581361238745E-4</v>
      </c>
    </row>
    <row r="1626" spans="1:26" x14ac:dyDescent="0.3">
      <c r="A1626" s="11">
        <v>42576</v>
      </c>
      <c r="B1626" s="12">
        <v>23563.85</v>
      </c>
      <c r="C1626" s="12">
        <v>43.331150000000001</v>
      </c>
      <c r="D1626" s="16">
        <f t="shared" si="330"/>
        <v>-2.1085271055204524E-3</v>
      </c>
      <c r="E1626" s="15">
        <f t="shared" si="342"/>
        <v>5.2460918116858934E-4</v>
      </c>
      <c r="G1626" s="25" t="str">
        <f>IF(VLOOKUP(A1626,Aux!B:C,2,FALSE)=0,"",VLOOKUP(A1626,Aux!B:C,2,FALSE))</f>
        <v/>
      </c>
      <c r="H1626" s="25" t="str">
        <f t="shared" si="331"/>
        <v/>
      </c>
      <c r="L1626" s="13">
        <f t="shared" si="334"/>
        <v>148641.46372615575</v>
      </c>
      <c r="M1626" s="14">
        <f t="shared" si="335"/>
        <v>-171.71531849765913</v>
      </c>
      <c r="N1626" s="14">
        <f t="shared" si="336"/>
        <v>35.326834010423681</v>
      </c>
      <c r="O1626" s="1">
        <f t="shared" si="337"/>
        <v>3.4487912933853409</v>
      </c>
      <c r="P1626" s="1">
        <f t="shared" si="338"/>
        <v>1554.8782575010678</v>
      </c>
      <c r="S1626" s="6">
        <f t="shared" si="332"/>
        <v>0.54673035828251204</v>
      </c>
      <c r="T1626" s="6">
        <f t="shared" si="333"/>
        <v>0.45326964171748652</v>
      </c>
      <c r="V1626" s="1">
        <f t="shared" si="339"/>
        <v>151300.14847735176</v>
      </c>
      <c r="W1626" s="7">
        <f t="shared" si="340"/>
        <v>-9.1714617537857969E-4</v>
      </c>
      <c r="X1626" s="7">
        <f t="shared" si="341"/>
        <v>-4.2317257340607098E-4</v>
      </c>
      <c r="Y1626">
        <f>LN(B1626/B1625)</f>
        <v>-2.1107531785050726E-3</v>
      </c>
      <c r="Z1626">
        <f>LN(C1626/C1625)</f>
        <v>5.2447162187991398E-4</v>
      </c>
    </row>
    <row r="1627" spans="1:26" x14ac:dyDescent="0.3">
      <c r="A1627" s="9">
        <v>42577</v>
      </c>
      <c r="B1627" s="1">
        <v>23517.27</v>
      </c>
      <c r="C1627" s="1">
        <v>43.353879999999997</v>
      </c>
      <c r="D1627" s="6">
        <f t="shared" ref="D1627:D1690" si="343">B1627/B1626-1</f>
        <v>-1.9767567693733668E-3</v>
      </c>
      <c r="E1627" s="5">
        <f t="shared" si="342"/>
        <v>5.2456489153862584E-4</v>
      </c>
      <c r="G1627" s="25" t="str">
        <f>IF(VLOOKUP(A1627,Aux!B:C,2,FALSE)=0,"",VLOOKUP(A1627,Aux!B:C,2,FALSE))</f>
        <v/>
      </c>
      <c r="H1627" s="25" t="str">
        <f t="shared" si="331"/>
        <v/>
      </c>
      <c r="L1627" s="13">
        <f t="shared" si="334"/>
        <v>148516.16141050286</v>
      </c>
      <c r="M1627" s="14">
        <f t="shared" si="335"/>
        <v>-160.64469844588265</v>
      </c>
      <c r="N1627" s="14">
        <f t="shared" si="336"/>
        <v>35.342382792992581</v>
      </c>
      <c r="O1627" s="1">
        <f t="shared" si="337"/>
        <v>3.4487912933853409</v>
      </c>
      <c r="P1627" s="1">
        <f t="shared" si="338"/>
        <v>1554.8782575010678</v>
      </c>
      <c r="S1627" s="6">
        <f t="shared" si="332"/>
        <v>0.54610996708979409</v>
      </c>
      <c r="T1627" s="6">
        <f t="shared" si="333"/>
        <v>0.45389003291020447</v>
      </c>
      <c r="V1627" s="1">
        <f t="shared" si="339"/>
        <v>151243.53680882469</v>
      </c>
      <c r="W1627" s="7">
        <f t="shared" si="340"/>
        <v>-8.4333910679049867E-4</v>
      </c>
      <c r="X1627" s="7">
        <f t="shared" si="341"/>
        <v>-3.7423798242056512E-4</v>
      </c>
      <c r="Y1627">
        <f>LN(B1627/B1626)</f>
        <v>-1.9787131316293697E-3</v>
      </c>
      <c r="Z1627">
        <f>LN(C1627/C1626)</f>
        <v>5.2442735547153453E-4</v>
      </c>
    </row>
    <row r="1628" spans="1:26" x14ac:dyDescent="0.3">
      <c r="A1628" s="11">
        <v>42578</v>
      </c>
      <c r="B1628" s="12">
        <v>23550.41</v>
      </c>
      <c r="C1628" s="12">
        <v>43.376629999999999</v>
      </c>
      <c r="D1628" s="16">
        <f t="shared" si="343"/>
        <v>1.4091771706494782E-3</v>
      </c>
      <c r="E1628" s="15">
        <f t="shared" si="342"/>
        <v>5.2475118720640701E-4</v>
      </c>
      <c r="G1628" s="25" t="str">
        <f>IF(VLOOKUP(A1628,Aux!B:C,2,FALSE)=0,"",VLOOKUP(A1628,Aux!B:C,2,FALSE))</f>
        <v/>
      </c>
      <c r="H1628" s="25" t="str">
        <f t="shared" si="331"/>
        <v/>
      </c>
      <c r="L1628" s="13">
        <f t="shared" si="334"/>
        <v>148665.82783432381</v>
      </c>
      <c r="M1628" s="14">
        <f t="shared" si="335"/>
        <v>114.29294346278819</v>
      </c>
      <c r="N1628" s="14">
        <f t="shared" si="336"/>
        <v>35.37348035815247</v>
      </c>
      <c r="O1628" s="1">
        <f t="shared" si="337"/>
        <v>3.4487912933853409</v>
      </c>
      <c r="P1628" s="1">
        <f t="shared" si="338"/>
        <v>1554.8782575010678</v>
      </c>
      <c r="S1628" s="6">
        <f t="shared" si="332"/>
        <v>0.54632897248027146</v>
      </c>
      <c r="T1628" s="6">
        <f t="shared" si="333"/>
        <v>0.45367102751972721</v>
      </c>
      <c r="V1628" s="1">
        <f t="shared" si="339"/>
        <v>151370.88671156741</v>
      </c>
      <c r="W1628" s="7">
        <f t="shared" si="340"/>
        <v>1.0072375977741173E-3</v>
      </c>
      <c r="X1628" s="7">
        <f t="shared" si="341"/>
        <v>8.4166451009899505E-4</v>
      </c>
      <c r="Y1628">
        <f>LN(B1628/B1627)</f>
        <v>1.4081852122877049E-3</v>
      </c>
      <c r="Z1628">
        <f>LN(C1628/C1627)</f>
        <v>5.2461355344904988E-4</v>
      </c>
    </row>
    <row r="1629" spans="1:26" x14ac:dyDescent="0.3">
      <c r="A1629" s="9">
        <v>42579</v>
      </c>
      <c r="B1629" s="1">
        <v>23477.77</v>
      </c>
      <c r="C1629" s="1">
        <v>43.399380000000001</v>
      </c>
      <c r="D1629" s="6">
        <f t="shared" si="343"/>
        <v>-3.0844473620629254E-3</v>
      </c>
      <c r="E1629" s="5">
        <f t="shared" si="342"/>
        <v>5.2447596781957095E-4</v>
      </c>
      <c r="G1629" s="25" t="str">
        <f>IF(VLOOKUP(A1629,Aux!B:C,2,FALSE)=0,"",VLOOKUP(A1629,Aux!B:C,2,FALSE))</f>
        <v/>
      </c>
      <c r="H1629" s="25" t="str">
        <f t="shared" si="331"/>
        <v/>
      </c>
      <c r="L1629" s="13">
        <f t="shared" si="334"/>
        <v>148450.68111513046</v>
      </c>
      <c r="M1629" s="14">
        <f t="shared" si="335"/>
        <v>-250.52019955150917</v>
      </c>
      <c r="N1629" s="14">
        <f t="shared" si="336"/>
        <v>35.37348035815247</v>
      </c>
      <c r="O1629" s="1">
        <f t="shared" si="337"/>
        <v>3.4487912933853409</v>
      </c>
      <c r="P1629" s="1">
        <f t="shared" si="338"/>
        <v>1554.8782575010678</v>
      </c>
      <c r="S1629" s="6">
        <f t="shared" si="332"/>
        <v>0.54543319138635404</v>
      </c>
      <c r="T1629" s="6">
        <f t="shared" si="333"/>
        <v>0.45456680861364462</v>
      </c>
      <c r="V1629" s="1">
        <f t="shared" si="339"/>
        <v>151254.19845410594</v>
      </c>
      <c r="W1629" s="7">
        <f t="shared" si="340"/>
        <v>-1.4482315880572638E-3</v>
      </c>
      <c r="X1629" s="7">
        <f t="shared" si="341"/>
        <v>-7.7117376558893827E-4</v>
      </c>
      <c r="Y1629">
        <f>LN(B1629/B1628)</f>
        <v>-3.0892140741328165E-3</v>
      </c>
      <c r="Z1629">
        <f>LN(C1629/C1628)</f>
        <v>5.2433847837033494E-4</v>
      </c>
    </row>
    <row r="1630" spans="1:26" x14ac:dyDescent="0.3">
      <c r="A1630" s="11">
        <v>42580</v>
      </c>
      <c r="B1630" s="12">
        <v>23765.69</v>
      </c>
      <c r="C1630" s="12">
        <v>43.422150000000002</v>
      </c>
      <c r="D1630" s="16">
        <f t="shared" si="343"/>
        <v>1.2263515657577218E-2</v>
      </c>
      <c r="E1630" s="15">
        <f t="shared" si="342"/>
        <v>5.2466187304989198E-4</v>
      </c>
      <c r="G1630" s="25" t="str">
        <f>IF(VLOOKUP(A1630,Aux!B:C,2,FALSE)=0,"",VLOOKUP(A1630,Aux!B:C,2,FALSE))</f>
        <v/>
      </c>
      <c r="H1630" s="25" t="str">
        <f t="shared" si="331"/>
        <v/>
      </c>
      <c r="L1630" s="13">
        <f t="shared" si="334"/>
        <v>149479.06168224526</v>
      </c>
      <c r="M1630" s="14">
        <f t="shared" si="335"/>
        <v>992.9759891915013</v>
      </c>
      <c r="N1630" s="14">
        <f t="shared" si="336"/>
        <v>35.404577923301318</v>
      </c>
      <c r="O1630" s="1">
        <f t="shared" si="337"/>
        <v>3.4487912933853409</v>
      </c>
      <c r="P1630" s="1">
        <f t="shared" si="338"/>
        <v>1554.8782575010678</v>
      </c>
      <c r="S1630" s="6">
        <f t="shared" si="332"/>
        <v>0.54832365035530861</v>
      </c>
      <c r="T1630" s="6">
        <f t="shared" si="333"/>
        <v>0.45167634964469</v>
      </c>
      <c r="V1630" s="1">
        <f t="shared" si="339"/>
        <v>151969.37947174997</v>
      </c>
      <c r="W1630" s="7">
        <f t="shared" si="340"/>
        <v>6.9035380069193755E-3</v>
      </c>
      <c r="X1630" s="7">
        <f t="shared" si="341"/>
        <v>4.7171948086309826E-3</v>
      </c>
      <c r="Y1630">
        <f>LN(B1630/B1629)</f>
        <v>1.2188927935415598E-2</v>
      </c>
      <c r="Z1630">
        <f>LN(C1630/C1629)</f>
        <v>5.2452428613167918E-4</v>
      </c>
    </row>
    <row r="1631" spans="1:26" x14ac:dyDescent="0.3">
      <c r="A1631" s="9">
        <v>42583</v>
      </c>
      <c r="B1631" s="1">
        <v>23568.46</v>
      </c>
      <c r="C1631" s="1">
        <v>43.444929999999999</v>
      </c>
      <c r="D1631" s="6">
        <f t="shared" si="343"/>
        <v>-8.298938511778986E-3</v>
      </c>
      <c r="E1631" s="5">
        <f t="shared" si="342"/>
        <v>5.2461704452677616E-4</v>
      </c>
      <c r="G1631" s="25" t="str">
        <f>IF(VLOOKUP(A1631,Aux!B:C,2,FALSE)=0,"",VLOOKUP(A1631,Aux!B:C,2,FALSE))</f>
        <v/>
      </c>
      <c r="H1631" s="25" t="str">
        <f t="shared" si="331"/>
        <v/>
      </c>
      <c r="L1631" s="13">
        <f t="shared" si="334"/>
        <v>148834.27670215673</v>
      </c>
      <c r="M1631" s="14">
        <f t="shared" si="335"/>
        <v>-680.20510679438928</v>
      </c>
      <c r="N1631" s="14">
        <f t="shared" si="336"/>
        <v>35.420126705870217</v>
      </c>
      <c r="O1631" s="1">
        <f t="shared" si="337"/>
        <v>3.4487912933853409</v>
      </c>
      <c r="P1631" s="1">
        <f t="shared" si="338"/>
        <v>1554.8782575010678</v>
      </c>
      <c r="S1631" s="6">
        <f t="shared" si="332"/>
        <v>0.54612889885010485</v>
      </c>
      <c r="T1631" s="6">
        <f t="shared" si="333"/>
        <v>0.45387110114989376</v>
      </c>
      <c r="V1631" s="1">
        <f t="shared" si="339"/>
        <v>151565.32484008078</v>
      </c>
      <c r="W1631" s="7">
        <f t="shared" si="340"/>
        <v>-4.3228773321774558E-3</v>
      </c>
      <c r="X1631" s="7">
        <f t="shared" si="341"/>
        <v>-2.6623306303440557E-3</v>
      </c>
      <c r="Y1631">
        <f>LN(B1631/B1630)</f>
        <v>-8.3335664183193051E-3</v>
      </c>
      <c r="Z1631">
        <f>LN(C1631/C1630)</f>
        <v>5.2447948111504299E-4</v>
      </c>
    </row>
    <row r="1632" spans="1:26" x14ac:dyDescent="0.3">
      <c r="A1632" s="11">
        <v>42584</v>
      </c>
      <c r="B1632" s="12">
        <v>23333.9</v>
      </c>
      <c r="C1632" s="12">
        <v>43.46772</v>
      </c>
      <c r="D1632" s="16">
        <f t="shared" si="343"/>
        <v>-9.9522836876061449E-3</v>
      </c>
      <c r="E1632" s="15">
        <f t="shared" si="342"/>
        <v>5.2457214224999049E-4</v>
      </c>
      <c r="G1632" s="25" t="str">
        <f>IF(VLOOKUP(A1632,Aux!B:C,2,FALSE)=0,"",VLOOKUP(A1632,Aux!B:C,2,FALSE))</f>
        <v/>
      </c>
      <c r="H1632" s="25" t="str">
        <f t="shared" si="331"/>
        <v/>
      </c>
      <c r="L1632" s="13">
        <f t="shared" si="334"/>
        <v>148060.7638918687</v>
      </c>
      <c r="M1632" s="14">
        <f t="shared" si="335"/>
        <v>-808.94848577645757</v>
      </c>
      <c r="N1632" s="14">
        <f t="shared" si="336"/>
        <v>35.435675488450158</v>
      </c>
      <c r="O1632" s="1">
        <f t="shared" si="337"/>
        <v>3.4487912933853409</v>
      </c>
      <c r="P1632" s="1">
        <f t="shared" si="338"/>
        <v>1554.8782575010678</v>
      </c>
      <c r="S1632" s="6">
        <f t="shared" si="332"/>
        <v>0.54351841126184897</v>
      </c>
      <c r="T1632" s="6">
        <f t="shared" si="333"/>
        <v>0.45648158873814981</v>
      </c>
      <c r="V1632" s="1">
        <f t="shared" si="339"/>
        <v>151075.17096392586</v>
      </c>
      <c r="W1632" s="7">
        <f t="shared" si="340"/>
        <v>-5.2106937111376971E-3</v>
      </c>
      <c r="X1632" s="7">
        <f t="shared" si="341"/>
        <v>-3.2391851819013684E-3</v>
      </c>
      <c r="Y1632">
        <f>LN(B1632/B1631)</f>
        <v>-1.0002138719654628E-2</v>
      </c>
      <c r="Z1632">
        <f>LN(C1632/C1631)</f>
        <v>5.244346023813984E-4</v>
      </c>
    </row>
    <row r="1633" spans="1:26" x14ac:dyDescent="0.3">
      <c r="A1633" s="9">
        <v>42585</v>
      </c>
      <c r="B1633" s="1">
        <v>23677.88</v>
      </c>
      <c r="C1633" s="1">
        <v>43.490519999999997</v>
      </c>
      <c r="D1633" s="6">
        <f t="shared" si="343"/>
        <v>1.4741641988694543E-2</v>
      </c>
      <c r="E1633" s="5">
        <f t="shared" si="342"/>
        <v>5.2452716636608443E-4</v>
      </c>
      <c r="G1633" s="25" t="str">
        <f>IF(VLOOKUP(A1633,Aux!B:C,2,FALSE)=0,"",VLOOKUP(A1633,Aux!B:C,2,FALSE))</f>
        <v/>
      </c>
      <c r="H1633" s="25" t="str">
        <f t="shared" si="331"/>
        <v/>
      </c>
      <c r="L1633" s="13">
        <f t="shared" si="334"/>
        <v>149282.53034523843</v>
      </c>
      <c r="M1633" s="14">
        <f t="shared" si="335"/>
        <v>1186.315229098688</v>
      </c>
      <c r="N1633" s="14">
        <f t="shared" si="336"/>
        <v>35.451224271019058</v>
      </c>
      <c r="O1633" s="1">
        <f t="shared" si="337"/>
        <v>3.4487912933853409</v>
      </c>
      <c r="P1633" s="1">
        <f t="shared" si="338"/>
        <v>1554.8782575010678</v>
      </c>
      <c r="S1633" s="6">
        <f t="shared" si="332"/>
        <v>0.54701689608939263</v>
      </c>
      <c r="T1633" s="6">
        <f t="shared" si="333"/>
        <v>0.45298310391060598</v>
      </c>
      <c r="V1633" s="1">
        <f t="shared" si="339"/>
        <v>151919.75147653301</v>
      </c>
      <c r="W1633" s="7">
        <f t="shared" si="340"/>
        <v>8.2179309436538912E-3</v>
      </c>
      <c r="X1633" s="7">
        <f t="shared" si="341"/>
        <v>5.574896722557776E-3</v>
      </c>
      <c r="Y1633">
        <f>LN(B1633/B1632)</f>
        <v>1.4634040180352572E-2</v>
      </c>
      <c r="Z1633">
        <f>LN(C1633/C1632)</f>
        <v>5.2438965007720799E-4</v>
      </c>
    </row>
    <row r="1634" spans="1:26" x14ac:dyDescent="0.3">
      <c r="A1634" s="11">
        <v>42586</v>
      </c>
      <c r="B1634" s="12">
        <v>23903.34</v>
      </c>
      <c r="C1634" s="12">
        <v>43.513339999999999</v>
      </c>
      <c r="D1634" s="16">
        <f t="shared" si="343"/>
        <v>9.5219673382920256E-3</v>
      </c>
      <c r="E1634" s="15">
        <f t="shared" si="342"/>
        <v>5.2471205218984629E-4</v>
      </c>
      <c r="G1634" s="25" t="str">
        <f>IF(VLOOKUP(A1634,Aux!B:C,2,FALSE)=0,"",VLOOKUP(A1634,Aux!B:C,2,FALSE))</f>
        <v/>
      </c>
      <c r="H1634" s="25" t="str">
        <f t="shared" si="331"/>
        <v/>
      </c>
      <c r="L1634" s="13">
        <f t="shared" si="334"/>
        <v>150095.57715208124</v>
      </c>
      <c r="M1634" s="14">
        <f t="shared" si="335"/>
        <v>777.5644850066559</v>
      </c>
      <c r="N1634" s="14">
        <f t="shared" si="336"/>
        <v>35.482321836178954</v>
      </c>
      <c r="O1634" s="1">
        <f t="shared" si="337"/>
        <v>3.4487912933853409</v>
      </c>
      <c r="P1634" s="1">
        <f t="shared" si="338"/>
        <v>1554.8782575010678</v>
      </c>
      <c r="S1634" s="6">
        <f t="shared" si="332"/>
        <v>0.54923424419962308</v>
      </c>
      <c r="T1634" s="6">
        <f t="shared" si="333"/>
        <v>0.45076575580037576</v>
      </c>
      <c r="V1634" s="1">
        <f t="shared" si="339"/>
        <v>152490.94694593764</v>
      </c>
      <c r="W1634" s="7">
        <f t="shared" si="340"/>
        <v>5.4315849112812203E-3</v>
      </c>
      <c r="X1634" s="7">
        <f t="shared" si="341"/>
        <v>3.7527993775118276E-3</v>
      </c>
      <c r="Y1634">
        <f>LN(B1634/B1633)</f>
        <v>9.4769191464699684E-3</v>
      </c>
      <c r="Z1634">
        <f>LN(C1634/C1633)</f>
        <v>5.2457443895709982E-4</v>
      </c>
    </row>
    <row r="1635" spans="1:26" x14ac:dyDescent="0.3">
      <c r="A1635" s="9">
        <v>42587</v>
      </c>
      <c r="B1635" s="1">
        <v>23949.59</v>
      </c>
      <c r="C1635" s="1">
        <v>43.536169999999998</v>
      </c>
      <c r="D1635" s="6">
        <f t="shared" si="343"/>
        <v>1.9348760466111337E-3</v>
      </c>
      <c r="E1635" s="5">
        <f t="shared" si="342"/>
        <v>5.2466668842243713E-4</v>
      </c>
      <c r="G1635" s="25" t="str">
        <f>IF(VLOOKUP(A1635,Aux!B:C,2,FALSE)=0,"",VLOOKUP(A1635,Aux!B:C,2,FALSE))</f>
        <v/>
      </c>
      <c r="H1635" s="25" t="str">
        <f t="shared" si="331"/>
        <v/>
      </c>
      <c r="L1635" s="13">
        <f t="shared" si="334"/>
        <v>150290.58162001905</v>
      </c>
      <c r="M1635" s="14">
        <f t="shared" si="335"/>
        <v>159.506597319072</v>
      </c>
      <c r="N1635" s="14">
        <f t="shared" si="336"/>
        <v>35.497870618747847</v>
      </c>
      <c r="O1635" s="1">
        <f t="shared" si="337"/>
        <v>3.4487912933853409</v>
      </c>
      <c r="P1635" s="1">
        <f t="shared" si="338"/>
        <v>1554.8782575010678</v>
      </c>
      <c r="S1635" s="6">
        <f t="shared" si="332"/>
        <v>0.54958292516945384</v>
      </c>
      <c r="T1635" s="6">
        <f t="shared" si="333"/>
        <v>0.45041707483054511</v>
      </c>
      <c r="V1635" s="1">
        <f t="shared" si="339"/>
        <v>152648.7210478675</v>
      </c>
      <c r="W1635" s="7">
        <f t="shared" si="340"/>
        <v>1.2983587268384745E-3</v>
      </c>
      <c r="X1635" s="7">
        <f t="shared" si="341"/>
        <v>1.0341108190048999E-3</v>
      </c>
      <c r="Y1635">
        <f>LN(B1635/B1634)</f>
        <v>1.933006585015812E-3</v>
      </c>
      <c r="Z1635">
        <f>LN(C1635/C1634)</f>
        <v>5.2452909897909524E-4</v>
      </c>
    </row>
    <row r="1636" spans="1:26" x14ac:dyDescent="0.3">
      <c r="A1636" s="11">
        <v>42590</v>
      </c>
      <c r="B1636" s="12">
        <v>23930.48</v>
      </c>
      <c r="C1636" s="12">
        <v>43.559010000000001</v>
      </c>
      <c r="D1636" s="16">
        <f t="shared" si="343"/>
        <v>-7.9792597702088575E-4</v>
      </c>
      <c r="E1636" s="15">
        <f t="shared" si="342"/>
        <v>5.2462125170871232E-4</v>
      </c>
      <c r="G1636" s="25" t="str">
        <f>IF(VLOOKUP(A1636,Aux!B:C,2,FALSE)=0,"",VLOOKUP(A1636,Aux!B:C,2,FALSE))</f>
        <v/>
      </c>
      <c r="H1636" s="25" t="str">
        <f t="shared" si="331"/>
        <v/>
      </c>
      <c r="L1636" s="13">
        <f t="shared" si="334"/>
        <v>150260.18863780377</v>
      </c>
      <c r="M1636" s="14">
        <f t="shared" si="335"/>
        <v>-65.906401616595872</v>
      </c>
      <c r="N1636" s="14">
        <f t="shared" si="336"/>
        <v>35.513419401327795</v>
      </c>
      <c r="O1636" s="1">
        <f t="shared" si="337"/>
        <v>3.4487912933853409</v>
      </c>
      <c r="P1636" s="1">
        <f t="shared" si="338"/>
        <v>1554.8782575010678</v>
      </c>
      <c r="S1636" s="6">
        <f t="shared" si="332"/>
        <v>0.54925547358036586</v>
      </c>
      <c r="T1636" s="6">
        <f t="shared" si="333"/>
        <v>0.45074452641963303</v>
      </c>
      <c r="V1636" s="1">
        <f t="shared" si="339"/>
        <v>152655.72971481699</v>
      </c>
      <c r="W1636" s="7">
        <f t="shared" si="340"/>
        <v>-2.0224857379541681E-4</v>
      </c>
      <c r="X1636" s="7">
        <f t="shared" si="341"/>
        <v>4.5912641844695818E-5</v>
      </c>
      <c r="Y1636">
        <f>LN(B1636/B1635)</f>
        <v>-7.9824448939742529E-4</v>
      </c>
      <c r="Z1636">
        <f>LN(C1636/C1635)</f>
        <v>5.2448368609096829E-4</v>
      </c>
    </row>
    <row r="1637" spans="1:26" x14ac:dyDescent="0.3">
      <c r="A1637" s="9">
        <v>42591</v>
      </c>
      <c r="B1637" s="1">
        <v>23944.65</v>
      </c>
      <c r="C1637" s="1">
        <v>43.581859999999999</v>
      </c>
      <c r="D1637" s="6">
        <f t="shared" si="343"/>
        <v>5.9213187533235789E-4</v>
      </c>
      <c r="E1637" s="5">
        <f t="shared" si="342"/>
        <v>5.2457574219433312E-4</v>
      </c>
      <c r="G1637" s="25" t="str">
        <f>IF(VLOOKUP(A1637,Aux!B:C,2,FALSE)=0,"",VLOOKUP(A1637,Aux!B:C,2,FALSE))</f>
        <v/>
      </c>
      <c r="H1637" s="25" t="str">
        <f t="shared" si="331"/>
        <v/>
      </c>
      <c r="L1637" s="13">
        <f t="shared" si="334"/>
        <v>150344.58697861497</v>
      </c>
      <c r="M1637" s="14">
        <f t="shared" si="335"/>
        <v>48.869372627276803</v>
      </c>
      <c r="N1637" s="14">
        <f t="shared" si="336"/>
        <v>35.528968183896694</v>
      </c>
      <c r="O1637" s="1">
        <f t="shared" si="337"/>
        <v>3.4487912933853409</v>
      </c>
      <c r="P1637" s="1">
        <f t="shared" si="338"/>
        <v>1554.8782575010678</v>
      </c>
      <c r="S1637" s="6">
        <f t="shared" si="332"/>
        <v>0.54927218932667998</v>
      </c>
      <c r="T1637" s="6">
        <f t="shared" si="333"/>
        <v>0.4507278106733188</v>
      </c>
      <c r="V1637" s="1">
        <f t="shared" si="339"/>
        <v>152739.53887723168</v>
      </c>
      <c r="W1637" s="7">
        <f t="shared" si="340"/>
        <v>5.615236341855131E-4</v>
      </c>
      <c r="X1637" s="7">
        <f t="shared" si="341"/>
        <v>5.4885699379028587E-4</v>
      </c>
      <c r="Y1637">
        <f>LN(B1637/B1636)</f>
        <v>5.9195663442720373E-4</v>
      </c>
      <c r="Z1637">
        <f>LN(C1637/C1636)</f>
        <v>5.2443820043829412E-4</v>
      </c>
    </row>
    <row r="1638" spans="1:26" x14ac:dyDescent="0.3">
      <c r="A1638" s="11">
        <v>42592</v>
      </c>
      <c r="B1638" s="12">
        <v>23636.12</v>
      </c>
      <c r="C1638" s="12">
        <v>43.60472</v>
      </c>
      <c r="D1638" s="16">
        <f t="shared" si="343"/>
        <v>-1.2885133004658766E-2</v>
      </c>
      <c r="E1638" s="15">
        <f t="shared" si="342"/>
        <v>5.2453016002540487E-4</v>
      </c>
      <c r="G1638" s="25" t="str">
        <f>IF(VLOOKUP(A1638,Aux!B:C,2,FALSE)=0,"",VLOOKUP(A1638,Aux!B:C,2,FALSE))</f>
        <v/>
      </c>
      <c r="H1638" s="25" t="str">
        <f t="shared" si="331"/>
        <v/>
      </c>
      <c r="L1638" s="13">
        <f t="shared" si="334"/>
        <v>149316.07591783325</v>
      </c>
      <c r="M1638" s="14">
        <f t="shared" si="335"/>
        <v>-1064.0555777481877</v>
      </c>
      <c r="N1638" s="14">
        <f t="shared" si="336"/>
        <v>35.544516966476642</v>
      </c>
      <c r="O1638" s="1">
        <f t="shared" si="337"/>
        <v>3.4487912933853409</v>
      </c>
      <c r="P1638" s="1">
        <f t="shared" si="338"/>
        <v>1554.8782575010678</v>
      </c>
      <c r="S1638" s="6">
        <f t="shared" si="332"/>
        <v>0.5459294611403287</v>
      </c>
      <c r="T1638" s="6">
        <f t="shared" si="333"/>
        <v>0.45407053885967008</v>
      </c>
      <c r="V1638" s="1">
        <f t="shared" si="339"/>
        <v>152078.8902228646</v>
      </c>
      <c r="W1638" s="7">
        <f t="shared" si="340"/>
        <v>-6.8645319649997347E-3</v>
      </c>
      <c r="X1638" s="7">
        <f t="shared" si="341"/>
        <v>-4.3347096221625662E-3</v>
      </c>
      <c r="Y1638">
        <f>LN(B1638/B1637)</f>
        <v>-1.2968866385785064E-2</v>
      </c>
      <c r="Z1638">
        <f>LN(C1638/C1637)</f>
        <v>5.2439264216709146E-4</v>
      </c>
    </row>
    <row r="1639" spans="1:26" x14ac:dyDescent="0.3">
      <c r="A1639" s="9">
        <v>42593</v>
      </c>
      <c r="B1639" s="1">
        <v>24195.4</v>
      </c>
      <c r="C1639" s="1">
        <v>43.627589999999998</v>
      </c>
      <c r="D1639" s="6">
        <f t="shared" si="343"/>
        <v>2.3662090055389884E-2</v>
      </c>
      <c r="E1639" s="5">
        <f t="shared" si="342"/>
        <v>5.2448450534714475E-4</v>
      </c>
      <c r="G1639" s="25" t="str">
        <f>IF(VLOOKUP(A1639,Aux!B:C,2,FALSE)=0,"",VLOOKUP(A1639,Aux!B:C,2,FALSE))</f>
        <v/>
      </c>
      <c r="H1639" s="25" t="str">
        <f t="shared" si="331"/>
        <v/>
      </c>
      <c r="L1639" s="13">
        <f t="shared" si="334"/>
        <v>151280.47597814686</v>
      </c>
      <c r="M1639" s="14">
        <f t="shared" si="335"/>
        <v>1928.8399945645619</v>
      </c>
      <c r="N1639" s="14">
        <f t="shared" si="336"/>
        <v>35.560065749045535</v>
      </c>
      <c r="O1639" s="1">
        <f t="shared" si="337"/>
        <v>3.4487912933853409</v>
      </c>
      <c r="P1639" s="1">
        <f t="shared" si="338"/>
        <v>1554.8782575010678</v>
      </c>
      <c r="S1639" s="6">
        <f t="shared" si="332"/>
        <v>0.5515905758521652</v>
      </c>
      <c r="T1639" s="6">
        <f t="shared" si="333"/>
        <v>0.44840942414783364</v>
      </c>
      <c r="V1639" s="1">
        <f t="shared" si="339"/>
        <v>153420.33196597837</v>
      </c>
      <c r="W1639" s="7">
        <f t="shared" si="340"/>
        <v>1.3070196665411723E-2</v>
      </c>
      <c r="X1639" s="7">
        <f t="shared" si="341"/>
        <v>8.782021472437767E-3</v>
      </c>
      <c r="Y1639">
        <f>LN(B1639/B1638)</f>
        <v>2.3386481978292288E-2</v>
      </c>
      <c r="Z1639">
        <f>LN(C1639/C1638)</f>
        <v>5.2434701142249152E-4</v>
      </c>
    </row>
    <row r="1640" spans="1:26" x14ac:dyDescent="0.3">
      <c r="A1640" s="11">
        <v>42594</v>
      </c>
      <c r="B1640" s="12">
        <v>24197.91</v>
      </c>
      <c r="C1640" s="12">
        <v>43.650480000000002</v>
      </c>
      <c r="D1640" s="16">
        <f t="shared" si="343"/>
        <v>1.0373872719604549E-4</v>
      </c>
      <c r="E1640" s="15">
        <f t="shared" si="342"/>
        <v>5.2466799105799211E-4</v>
      </c>
      <c r="G1640" s="25" t="str">
        <f>IF(VLOOKUP(A1640,Aux!B:C,2,FALSE)=0,"",VLOOKUP(A1640,Aux!B:C,2,FALSE))</f>
        <v/>
      </c>
      <c r="H1640" s="25" t="str">
        <f t="shared" si="331"/>
        <v/>
      </c>
      <c r="L1640" s="13">
        <f t="shared" si="334"/>
        <v>151324.72360760745</v>
      </c>
      <c r="M1640" s="14">
        <f t="shared" si="335"/>
        <v>8.6564661463916845</v>
      </c>
      <c r="N1640" s="14">
        <f t="shared" si="336"/>
        <v>35.591163314205431</v>
      </c>
      <c r="O1640" s="1">
        <f t="shared" si="337"/>
        <v>3.4487912933853409</v>
      </c>
      <c r="P1640" s="1">
        <f t="shared" si="338"/>
        <v>1554.8782575010678</v>
      </c>
      <c r="S1640" s="6">
        <f t="shared" si="332"/>
        <v>0.55148649431880847</v>
      </c>
      <c r="T1640" s="6">
        <f t="shared" si="333"/>
        <v>0.44851350568119036</v>
      </c>
      <c r="V1640" s="1">
        <f t="shared" si="339"/>
        <v>153477.33058582258</v>
      </c>
      <c r="W1640" s="7">
        <f t="shared" si="340"/>
        <v>2.9244460991754778E-4</v>
      </c>
      <c r="X1640" s="7">
        <f t="shared" si="341"/>
        <v>3.7145033967103333E-4</v>
      </c>
      <c r="Y1640">
        <f>LN(B1640/B1639)</f>
        <v>1.0373334670639224E-4</v>
      </c>
      <c r="Z1640">
        <f>LN(C1640/C1639)</f>
        <v>5.2453040093155829E-4</v>
      </c>
    </row>
    <row r="1641" spans="1:26" x14ac:dyDescent="0.3">
      <c r="A1641" s="9">
        <v>42597</v>
      </c>
      <c r="B1641" s="1">
        <v>24518.98</v>
      </c>
      <c r="C1641" s="1">
        <v>43.673380000000002</v>
      </c>
      <c r="D1641" s="6">
        <f t="shared" si="343"/>
        <v>1.3268501287921231E-2</v>
      </c>
      <c r="E1641" s="5">
        <f t="shared" si="342"/>
        <v>5.2462195146540935E-4</v>
      </c>
      <c r="G1641" s="25" t="str">
        <f>IF(VLOOKUP(A1641,Aux!B:C,2,FALSE)=0,"",VLOOKUP(A1641,Aux!B:C,2,FALSE))</f>
        <v/>
      </c>
      <c r="H1641" s="25" t="str">
        <f t="shared" si="331"/>
        <v/>
      </c>
      <c r="L1641" s="13">
        <f t="shared" si="334"/>
        <v>152467.63374027147</v>
      </c>
      <c r="M1641" s="14">
        <f t="shared" si="335"/>
        <v>1107.3034205672304</v>
      </c>
      <c r="N1641" s="14">
        <f t="shared" si="336"/>
        <v>35.606712096774331</v>
      </c>
      <c r="O1641" s="1">
        <f t="shared" si="337"/>
        <v>3.4487912933853409</v>
      </c>
      <c r="P1641" s="1">
        <f t="shared" si="338"/>
        <v>1554.8782575010678</v>
      </c>
      <c r="S1641" s="6">
        <f t="shared" si="332"/>
        <v>0.55461505286255475</v>
      </c>
      <c r="T1641" s="6">
        <f t="shared" si="333"/>
        <v>0.44538494713744403</v>
      </c>
      <c r="V1641" s="1">
        <f t="shared" si="339"/>
        <v>154269.28064027979</v>
      </c>
      <c r="W1641" s="7">
        <f t="shared" si="340"/>
        <v>7.5243204590749665E-3</v>
      </c>
      <c r="X1641" s="7">
        <f t="shared" si="341"/>
        <v>5.1467783803471985E-3</v>
      </c>
      <c r="Y1641">
        <f>LN(B1641/B1640)</f>
        <v>1.3181245711094622E-2</v>
      </c>
      <c r="Z1641">
        <f>LN(C1641/C1640)</f>
        <v>5.2448438548075038E-4</v>
      </c>
    </row>
    <row r="1642" spans="1:26" x14ac:dyDescent="0.3">
      <c r="A1642" s="11">
        <v>42598</v>
      </c>
      <c r="B1642" s="12">
        <v>24410.7</v>
      </c>
      <c r="C1642" s="12">
        <v>43.696289999999998</v>
      </c>
      <c r="D1642" s="16">
        <f t="shared" si="343"/>
        <v>-4.4161706563649039E-3</v>
      </c>
      <c r="E1642" s="15">
        <f t="shared" si="342"/>
        <v>5.2457584001963653E-4</v>
      </c>
      <c r="G1642" s="25" t="str">
        <f>IF(VLOOKUP(A1642,Aux!B:C,2,FALSE)=0,"",VLOOKUP(A1642,Aux!B:C,2,FALSE))</f>
        <v/>
      </c>
      <c r="H1642" s="25" t="str">
        <f t="shared" si="331"/>
        <v/>
      </c>
      <c r="L1642" s="13">
        <f t="shared" si="334"/>
        <v>152129.82087990307</v>
      </c>
      <c r="M1642" s="14">
        <f t="shared" si="335"/>
        <v>-373.43512124776072</v>
      </c>
      <c r="N1642" s="14">
        <f t="shared" si="336"/>
        <v>35.622260879343223</v>
      </c>
      <c r="O1642" s="1">
        <f t="shared" si="337"/>
        <v>3.4487912933853409</v>
      </c>
      <c r="P1642" s="1">
        <f t="shared" si="338"/>
        <v>1554.8782575010678</v>
      </c>
      <c r="S1642" s="6">
        <f t="shared" si="332"/>
        <v>0.55339189344015738</v>
      </c>
      <c r="T1642" s="6">
        <f t="shared" si="333"/>
        <v>0.4466081065598414</v>
      </c>
      <c r="V1642" s="1">
        <f t="shared" si="339"/>
        <v>154070.72759731824</v>
      </c>
      <c r="W1642" s="7">
        <f t="shared" si="340"/>
        <v>-2.2180946934788294E-3</v>
      </c>
      <c r="X1642" s="7">
        <f t="shared" si="341"/>
        <v>-1.2878839274897756E-3</v>
      </c>
      <c r="Y1642">
        <f>LN(B1642/B1641)</f>
        <v>-4.4259507423051857E-3</v>
      </c>
      <c r="Z1642">
        <f>LN(C1642/C1641)</f>
        <v>5.2443829821230772E-4</v>
      </c>
    </row>
    <row r="1643" spans="1:26" x14ac:dyDescent="0.3">
      <c r="A1643" s="9">
        <v>42599</v>
      </c>
      <c r="B1643" s="1">
        <v>24587.54</v>
      </c>
      <c r="C1643" s="1">
        <v>43.71922</v>
      </c>
      <c r="D1643" s="6">
        <f t="shared" si="343"/>
        <v>7.2443641517858648E-3</v>
      </c>
      <c r="E1643" s="5">
        <f t="shared" si="342"/>
        <v>5.2475850924649237E-4</v>
      </c>
      <c r="G1643" s="25" t="str">
        <f>IF(VLOOKUP(A1643,Aux!B:C,2,FALSE)=0,"",VLOOKUP(A1643,Aux!B:C,2,FALSE))</f>
        <v/>
      </c>
      <c r="H1643" s="25" t="str">
        <f t="shared" si="331"/>
        <v/>
      </c>
      <c r="L1643" s="13">
        <f t="shared" si="334"/>
        <v>152775.35849066984</v>
      </c>
      <c r="M1643" s="14">
        <f t="shared" si="335"/>
        <v>609.88425232226416</v>
      </c>
      <c r="N1643" s="14">
        <f t="shared" si="336"/>
        <v>35.65335844450312</v>
      </c>
      <c r="O1643" s="1">
        <f t="shared" si="337"/>
        <v>3.4487912933853409</v>
      </c>
      <c r="P1643" s="1">
        <f t="shared" si="338"/>
        <v>1554.8782575010678</v>
      </c>
      <c r="S1643" s="6">
        <f t="shared" si="332"/>
        <v>0.55504562198715091</v>
      </c>
      <c r="T1643" s="6">
        <f t="shared" si="333"/>
        <v>0.44495437801284771</v>
      </c>
      <c r="V1643" s="1">
        <f t="shared" si="339"/>
        <v>154530.00111055694</v>
      </c>
      <c r="W1643" s="7">
        <f t="shared" si="340"/>
        <v>4.234356245621268E-3</v>
      </c>
      <c r="X1643" s="7">
        <f t="shared" si="341"/>
        <v>2.9764923384316042E-3</v>
      </c>
      <c r="Y1643">
        <f>LN(B1643/B1642)</f>
        <v>7.2182497912493294E-3</v>
      </c>
      <c r="Z1643">
        <f>LN(C1643/C1642)</f>
        <v>5.2462087164887434E-4</v>
      </c>
    </row>
    <row r="1644" spans="1:26" x14ac:dyDescent="0.3">
      <c r="A1644" s="11">
        <v>42600</v>
      </c>
      <c r="B1644" s="12">
        <v>24527.07</v>
      </c>
      <c r="C1644" s="12">
        <v>43.742150000000002</v>
      </c>
      <c r="D1644" s="16">
        <f t="shared" si="343"/>
        <v>-2.4593757651233394E-3</v>
      </c>
      <c r="E1644" s="15">
        <f t="shared" si="342"/>
        <v>5.2448328218113183E-4</v>
      </c>
      <c r="G1644" s="25" t="str">
        <f>IF(VLOOKUP(A1644,Aux!B:C,2,FALSE)=0,"",VLOOKUP(A1644,Aux!B:C,2,FALSE))</f>
        <v/>
      </c>
      <c r="H1644" s="25" t="str">
        <f t="shared" si="331"/>
        <v/>
      </c>
      <c r="L1644" s="13">
        <f t="shared" si="334"/>
        <v>152602.46343960334</v>
      </c>
      <c r="M1644" s="14">
        <f t="shared" si="335"/>
        <v>-208.54840951101556</v>
      </c>
      <c r="N1644" s="14">
        <f t="shared" si="336"/>
        <v>35.65335844450312</v>
      </c>
      <c r="O1644" s="1">
        <f t="shared" si="337"/>
        <v>3.4487912933853409</v>
      </c>
      <c r="P1644" s="1">
        <f t="shared" si="338"/>
        <v>1554.8782575010678</v>
      </c>
      <c r="S1644" s="6">
        <f t="shared" si="332"/>
        <v>0.55430786346205441</v>
      </c>
      <c r="T1644" s="6">
        <f t="shared" si="333"/>
        <v>0.44569213653794421</v>
      </c>
      <c r="V1644" s="1">
        <f t="shared" si="339"/>
        <v>154441.79215264739</v>
      </c>
      <c r="W1644" s="7">
        <f t="shared" si="340"/>
        <v>-1.1323354685500793E-3</v>
      </c>
      <c r="X1644" s="7">
        <f t="shared" si="341"/>
        <v>-5.7098390357541756E-4</v>
      </c>
      <c r="Y1644">
        <f>LN(B1644/B1643)</f>
        <v>-2.4624049973999244E-3</v>
      </c>
      <c r="Z1644">
        <f>LN(C1644/C1643)</f>
        <v>5.2434578889767316E-4</v>
      </c>
    </row>
    <row r="1645" spans="1:26" x14ac:dyDescent="0.3">
      <c r="A1645" s="9">
        <v>42601</v>
      </c>
      <c r="B1645" s="1">
        <v>24491.3</v>
      </c>
      <c r="C1645" s="1">
        <v>43.765099999999997</v>
      </c>
      <c r="D1645" s="6">
        <f t="shared" si="343"/>
        <v>-1.4583886293797477E-3</v>
      </c>
      <c r="E1645" s="5">
        <f t="shared" si="342"/>
        <v>5.2466556856467506E-4</v>
      </c>
      <c r="G1645" s="25" t="str">
        <f>IF(VLOOKUP(A1645,Aux!B:C,2,FALSE)=0,"",VLOOKUP(A1645,Aux!B:C,2,FALSE))</f>
        <v/>
      </c>
      <c r="H1645" s="25" t="str">
        <f t="shared" si="331"/>
        <v/>
      </c>
      <c r="L1645" s="13">
        <f t="shared" si="334"/>
        <v>152514.78463104859</v>
      </c>
      <c r="M1645" s="14">
        <f t="shared" si="335"/>
        <v>-123.36326456439515</v>
      </c>
      <c r="N1645" s="14">
        <f t="shared" si="336"/>
        <v>35.684456009640911</v>
      </c>
      <c r="O1645" s="1">
        <f t="shared" si="337"/>
        <v>3.4487912933853409</v>
      </c>
      <c r="P1645" s="1">
        <f t="shared" si="338"/>
        <v>1554.8782575010678</v>
      </c>
      <c r="S1645" s="6">
        <f t="shared" si="332"/>
        <v>0.55381766697582924</v>
      </c>
      <c r="T1645" s="6">
        <f t="shared" si="333"/>
        <v>0.44618233302416926</v>
      </c>
      <c r="V1645" s="1">
        <f t="shared" si="339"/>
        <v>154410.61170139769</v>
      </c>
      <c r="W1645" s="7">
        <f t="shared" si="340"/>
        <v>-5.7472208813210302E-4</v>
      </c>
      <c r="X1645" s="7">
        <f t="shared" si="341"/>
        <v>-2.0191166373671981E-4</v>
      </c>
      <c r="Y1645">
        <f>LN(B1645/B1644)</f>
        <v>-1.4594531131568026E-3</v>
      </c>
      <c r="Z1645">
        <f>LN(C1645/C1644)</f>
        <v>5.2452797970857642E-4</v>
      </c>
    </row>
    <row r="1646" spans="1:26" x14ac:dyDescent="0.3">
      <c r="A1646" s="11">
        <v>42604</v>
      </c>
      <c r="B1646" s="12">
        <v>23950.86</v>
      </c>
      <c r="C1646" s="12">
        <v>43.788060000000002</v>
      </c>
      <c r="D1646" s="16">
        <f t="shared" si="343"/>
        <v>-2.2066611408949277E-2</v>
      </c>
      <c r="E1646" s="15">
        <f t="shared" si="342"/>
        <v>5.2461893152311312E-4</v>
      </c>
      <c r="G1646" s="25" t="str">
        <f>IF(VLOOKUP(A1646,Aux!B:C,2,FALSE)=0,"",VLOOKUP(A1646,Aux!B:C,2,FALSE))</f>
        <v/>
      </c>
      <c r="H1646" s="25" t="str">
        <f t="shared" si="331"/>
        <v/>
      </c>
      <c r="L1646" s="13">
        <f t="shared" si="334"/>
        <v>150686.61986924364</v>
      </c>
      <c r="M1646" s="14">
        <f t="shared" si="335"/>
        <v>-1863.8647665971691</v>
      </c>
      <c r="N1646" s="14">
        <f t="shared" si="336"/>
        <v>35.700004792231908</v>
      </c>
      <c r="O1646" s="1">
        <f t="shared" si="337"/>
        <v>3.4487912933853409</v>
      </c>
      <c r="P1646" s="1">
        <f t="shared" si="338"/>
        <v>1554.8782575010678</v>
      </c>
      <c r="S1646" s="6">
        <f t="shared" si="332"/>
        <v>0.54816756463691085</v>
      </c>
      <c r="T1646" s="6">
        <f t="shared" si="333"/>
        <v>0.45183243536308781</v>
      </c>
      <c r="V1646" s="1">
        <f t="shared" si="339"/>
        <v>153215.16227802157</v>
      </c>
      <c r="W1646" s="7">
        <f t="shared" si="340"/>
        <v>-1.2059224592448221E-2</v>
      </c>
      <c r="X1646" s="7">
        <f t="shared" si="341"/>
        <v>-7.7721409725614466E-3</v>
      </c>
      <c r="Y1646">
        <f>LN(B1646/B1645)</f>
        <v>-2.231372109200069E-2</v>
      </c>
      <c r="Z1646">
        <f>LN(C1646/C1645)</f>
        <v>5.2448136712194681E-4</v>
      </c>
    </row>
    <row r="1647" spans="1:26" x14ac:dyDescent="0.3">
      <c r="A1647" s="9">
        <v>42605</v>
      </c>
      <c r="B1647" s="1">
        <v>24031</v>
      </c>
      <c r="C1647" s="1">
        <v>43.811030000000002</v>
      </c>
      <c r="D1647" s="6">
        <f t="shared" si="343"/>
        <v>3.3460176377799744E-3</v>
      </c>
      <c r="E1647" s="5">
        <f t="shared" si="342"/>
        <v>5.245722235696082E-4</v>
      </c>
      <c r="G1647" s="25" t="str">
        <f>IF(VLOOKUP(A1647,Aux!B:C,2,FALSE)=0,"",VLOOKUP(A1647,Aux!B:C,2,FALSE))</f>
        <v/>
      </c>
      <c r="H1647" s="25" t="str">
        <f t="shared" si="331"/>
        <v/>
      </c>
      <c r="L1647" s="13">
        <f t="shared" si="334"/>
        <v>150998.72155707033</v>
      </c>
      <c r="M1647" s="14">
        <f t="shared" si="335"/>
        <v>276.38613425189919</v>
      </c>
      <c r="N1647" s="14">
        <f t="shared" si="336"/>
        <v>35.715553574800808</v>
      </c>
      <c r="O1647" s="1">
        <f t="shared" si="337"/>
        <v>3.4487912933853409</v>
      </c>
      <c r="P1647" s="1">
        <f t="shared" si="338"/>
        <v>1554.8782575010678</v>
      </c>
      <c r="S1647" s="6">
        <f t="shared" si="332"/>
        <v>0.54886493552211446</v>
      </c>
      <c r="T1647" s="6">
        <f t="shared" si="333"/>
        <v>0.45113506447788426</v>
      </c>
      <c r="V1647" s="1">
        <f t="shared" si="339"/>
        <v>153451.43499397463</v>
      </c>
      <c r="W1647" s="7">
        <f t="shared" si="340"/>
        <v>2.0690551134708388E-3</v>
      </c>
      <c r="X1647" s="7">
        <f t="shared" si="341"/>
        <v>1.5409096706677436E-3</v>
      </c>
      <c r="Y1647">
        <f>LN(B1647/B1646)</f>
        <v>3.3404321766634954E-3</v>
      </c>
      <c r="Z1647">
        <f>LN(C1647/C1646)</f>
        <v>5.244346836583805E-4</v>
      </c>
    </row>
    <row r="1648" spans="1:26" x14ac:dyDescent="0.3">
      <c r="A1648" s="11">
        <v>42606</v>
      </c>
      <c r="B1648" s="12">
        <v>23913.5</v>
      </c>
      <c r="C1648" s="12">
        <v>43.834009999999999</v>
      </c>
      <c r="D1648" s="16">
        <f t="shared" si="343"/>
        <v>-4.8895177062960871E-3</v>
      </c>
      <c r="E1648" s="15">
        <f t="shared" si="342"/>
        <v>5.245254448480452E-4</v>
      </c>
      <c r="G1648" s="25" t="str">
        <f>IF(VLOOKUP(A1648,Aux!B:C,2,FALSE)=0,"",VLOOKUP(A1648,Aux!B:C,2,FALSE))</f>
        <v/>
      </c>
      <c r="H1648" s="25" t="str">
        <f t="shared" si="331"/>
        <v/>
      </c>
      <c r="L1648" s="13">
        <f t="shared" si="334"/>
        <v>150629.21968245492</v>
      </c>
      <c r="M1648" s="14">
        <f t="shared" si="335"/>
        <v>-405.23297697277758</v>
      </c>
      <c r="N1648" s="14">
        <f t="shared" si="336"/>
        <v>35.731102357369707</v>
      </c>
      <c r="O1648" s="1">
        <f t="shared" si="337"/>
        <v>3.4487912933853409</v>
      </c>
      <c r="P1648" s="1">
        <f t="shared" si="338"/>
        <v>1554.8782575010678</v>
      </c>
      <c r="S1648" s="6">
        <f t="shared" si="332"/>
        <v>0.54752106376327891</v>
      </c>
      <c r="T1648" s="6">
        <f t="shared" si="333"/>
        <v>0.45247893623671975</v>
      </c>
      <c r="V1648" s="1">
        <f t="shared" si="339"/>
        <v>153231.76768776806</v>
      </c>
      <c r="W1648" s="7">
        <f t="shared" si="340"/>
        <v>-2.45005192776697E-3</v>
      </c>
      <c r="X1648" s="7">
        <f t="shared" si="341"/>
        <v>-1.4325358666645979E-3</v>
      </c>
      <c r="Y1648">
        <f>LN(B1648/B1647)</f>
        <v>-4.9015105066396265E-3</v>
      </c>
      <c r="Z1648">
        <f>LN(C1648/C1647)</f>
        <v>5.2438792946167686E-4</v>
      </c>
    </row>
    <row r="1649" spans="1:26" x14ac:dyDescent="0.3">
      <c r="A1649" s="9">
        <v>42607</v>
      </c>
      <c r="B1649" s="1">
        <v>23916.52</v>
      </c>
      <c r="C1649" s="1">
        <v>43.857010000000002</v>
      </c>
      <c r="D1649" s="6">
        <f t="shared" si="343"/>
        <v>1.2628849812879039E-4</v>
      </c>
      <c r="E1649" s="5">
        <f t="shared" si="342"/>
        <v>5.2470672886206771E-4</v>
      </c>
      <c r="G1649" s="25" t="str">
        <f>IF(VLOOKUP(A1649,Aux!B:C,2,FALSE)=0,"",VLOOKUP(A1649,Aux!B:C,2,FALSE))</f>
        <v/>
      </c>
      <c r="H1649" s="25" t="str">
        <f t="shared" si="331"/>
        <v/>
      </c>
      <c r="L1649" s="13">
        <f t="shared" si="334"/>
        <v>150675.39723208346</v>
      </c>
      <c r="M1649" s="14">
        <f t="shared" si="335"/>
        <v>10.415349706025236</v>
      </c>
      <c r="N1649" s="14">
        <f t="shared" si="336"/>
        <v>35.762199922529597</v>
      </c>
      <c r="O1649" s="1">
        <f t="shared" si="337"/>
        <v>3.4487912933853409</v>
      </c>
      <c r="P1649" s="1">
        <f t="shared" si="338"/>
        <v>1554.8782575010678</v>
      </c>
      <c r="S1649" s="6">
        <f t="shared" si="332"/>
        <v>0.547422389184272</v>
      </c>
      <c r="T1649" s="6">
        <f t="shared" si="333"/>
        <v>0.45257761081572684</v>
      </c>
      <c r="V1649" s="1">
        <f t="shared" si="339"/>
        <v>153290.18898002291</v>
      </c>
      <c r="W1649" s="7">
        <f t="shared" si="340"/>
        <v>3.0651737409776987E-4</v>
      </c>
      <c r="X1649" s="7">
        <f t="shared" si="341"/>
        <v>3.8118830766546257E-4</v>
      </c>
      <c r="Y1649">
        <f>LN(B1649/B1648)</f>
        <v>1.2628052440772969E-4</v>
      </c>
      <c r="Z1649">
        <f>LN(C1649/C1648)</f>
        <v>5.245691184210565E-4</v>
      </c>
    </row>
    <row r="1650" spans="1:26" x14ac:dyDescent="0.3">
      <c r="A1650" s="11">
        <v>42608</v>
      </c>
      <c r="B1650" s="12">
        <v>23935.8</v>
      </c>
      <c r="C1650" s="12">
        <v>43.880020000000002</v>
      </c>
      <c r="D1650" s="16">
        <f t="shared" si="343"/>
        <v>8.0613734774126478E-4</v>
      </c>
      <c r="E1650" s="15">
        <f t="shared" si="342"/>
        <v>5.2465956981562201E-4</v>
      </c>
      <c r="G1650" s="25" t="str">
        <f>IF(VLOOKUP(A1650,Aux!B:C,2,FALSE)=0,"",VLOOKUP(A1650,Aux!B:C,2,FALSE))</f>
        <v/>
      </c>
      <c r="H1650" s="25" t="str">
        <f t="shared" si="331"/>
        <v/>
      </c>
      <c r="L1650" s="13">
        <f t="shared" si="334"/>
        <v>150777.66767692502</v>
      </c>
      <c r="M1650" s="14">
        <f t="shared" si="335"/>
        <v>66.492696136465355</v>
      </c>
      <c r="N1650" s="14">
        <f t="shared" si="336"/>
        <v>35.777748705098496</v>
      </c>
      <c r="O1650" s="1">
        <f t="shared" si="337"/>
        <v>3.4487912933853409</v>
      </c>
      <c r="P1650" s="1">
        <f t="shared" si="338"/>
        <v>1554.8782575010678</v>
      </c>
      <c r="S1650" s="6">
        <f t="shared" si="332"/>
        <v>0.54749207831688862</v>
      </c>
      <c r="T1650" s="6">
        <f t="shared" si="333"/>
        <v>0.45250792168311021</v>
      </c>
      <c r="V1650" s="1">
        <f t="shared" si="339"/>
        <v>153386.14503238024</v>
      </c>
      <c r="W1650" s="7">
        <f t="shared" si="340"/>
        <v>6.7851656307466284E-4</v>
      </c>
      <c r="X1650" s="7">
        <f t="shared" si="341"/>
        <v>6.2578063480327303E-4</v>
      </c>
      <c r="Y1650">
        <f>LN(B1650/B1649)</f>
        <v>8.0581259354882244E-4</v>
      </c>
      <c r="Z1650">
        <f>LN(C1650/C1649)</f>
        <v>5.245219841051921E-4</v>
      </c>
    </row>
    <row r="1651" spans="1:26" x14ac:dyDescent="0.3">
      <c r="A1651" s="9">
        <v>42611</v>
      </c>
      <c r="B1651" s="1">
        <v>24298.84</v>
      </c>
      <c r="C1651" s="1">
        <v>43.903039999999997</v>
      </c>
      <c r="D1651" s="6">
        <f t="shared" si="343"/>
        <v>1.5167239031074864E-2</v>
      </c>
      <c r="E1651" s="5">
        <f t="shared" si="342"/>
        <v>5.246123406505987E-4</v>
      </c>
      <c r="G1651" s="25" t="str">
        <f>IF(VLOOKUP(A1651,Aux!B:C,2,FALSE)=0,"",VLOOKUP(A1651,Aux!B:C,2,FALSE))</f>
        <v/>
      </c>
      <c r="H1651" s="25" t="str">
        <f t="shared" si="331"/>
        <v/>
      </c>
      <c r="L1651" s="13">
        <f t="shared" si="334"/>
        <v>152065.51016556329</v>
      </c>
      <c r="M1651" s="14">
        <f t="shared" si="335"/>
        <v>1252.0491911506172</v>
      </c>
      <c r="N1651" s="14">
        <f t="shared" si="336"/>
        <v>35.793297487667395</v>
      </c>
      <c r="O1651" s="1">
        <f t="shared" si="337"/>
        <v>3.4487912933853409</v>
      </c>
      <c r="P1651" s="1">
        <f t="shared" si="338"/>
        <v>1554.8782575010678</v>
      </c>
      <c r="S1651" s="6">
        <f t="shared" si="332"/>
        <v>0.55108898618840885</v>
      </c>
      <c r="T1651" s="6">
        <f t="shared" si="333"/>
        <v>0.4489110138115901</v>
      </c>
      <c r="V1651" s="1">
        <f t="shared" si="339"/>
        <v>154275.18980085128</v>
      </c>
      <c r="W1651" s="7">
        <f t="shared" si="340"/>
        <v>8.5050636499714033E-3</v>
      </c>
      <c r="X1651" s="7">
        <f t="shared" si="341"/>
        <v>5.7793888436352249E-3</v>
      </c>
      <c r="Y1651">
        <f>LN(B1651/B1650)</f>
        <v>1.5053366439374341E-2</v>
      </c>
      <c r="Z1651">
        <f>LN(C1651/C1650)</f>
        <v>5.2447477970529418E-4</v>
      </c>
    </row>
    <row r="1652" spans="1:26" x14ac:dyDescent="0.3">
      <c r="A1652" s="11">
        <v>42612</v>
      </c>
      <c r="B1652" s="12">
        <v>24293.59</v>
      </c>
      <c r="C1652" s="12">
        <v>43.926070000000003</v>
      </c>
      <c r="D1652" s="16">
        <f t="shared" si="343"/>
        <v>-2.1605969667692904E-4</v>
      </c>
      <c r="E1652" s="15">
        <f t="shared" si="342"/>
        <v>5.2456504150977246E-4</v>
      </c>
      <c r="G1652" s="25" t="str">
        <f>IF(VLOOKUP(A1652,Aux!B:C,2,FALSE)=0,"",VLOOKUP(A1652,Aux!B:C,2,FALSE))</f>
        <v/>
      </c>
      <c r="H1652" s="25" t="str">
        <f t="shared" si="331"/>
        <v/>
      </c>
      <c r="L1652" s="13">
        <f t="shared" si="334"/>
        <v>152083.21285754329</v>
      </c>
      <c r="M1652" s="14">
        <f t="shared" si="335"/>
        <v>-18.106154290273039</v>
      </c>
      <c r="N1652" s="14">
        <f t="shared" si="336"/>
        <v>35.808846270258385</v>
      </c>
      <c r="O1652" s="1">
        <f t="shared" si="337"/>
        <v>3.4487912933853409</v>
      </c>
      <c r="P1652" s="1">
        <f t="shared" si="338"/>
        <v>1554.8782575010678</v>
      </c>
      <c r="S1652" s="6">
        <f t="shared" si="332"/>
        <v>0.55090578442443483</v>
      </c>
      <c r="T1652" s="6">
        <f t="shared" si="333"/>
        <v>0.449094215575564</v>
      </c>
      <c r="V1652" s="1">
        <f t="shared" si="339"/>
        <v>154314.59902779383</v>
      </c>
      <c r="W1652" s="7">
        <f t="shared" si="340"/>
        <v>1.1640812970724561E-4</v>
      </c>
      <c r="X1652" s="7">
        <f t="shared" si="341"/>
        <v>2.554149786119967E-4</v>
      </c>
      <c r="Y1652">
        <f>LN(B1652/B1651)</f>
        <v>-2.1608304093575598E-4</v>
      </c>
      <c r="Z1652">
        <f>LN(C1652/C1651)</f>
        <v>5.2442750536405274E-4</v>
      </c>
    </row>
    <row r="1653" spans="1:26" x14ac:dyDescent="0.3">
      <c r="A1653" s="9">
        <v>42613</v>
      </c>
      <c r="B1653" s="1">
        <v>24031.81</v>
      </c>
      <c r="C1653" s="1">
        <v>43.949120000000001</v>
      </c>
      <c r="D1653" s="6">
        <f t="shared" si="343"/>
        <v>-1.0775681980308316E-2</v>
      </c>
      <c r="E1653" s="5">
        <f t="shared" si="342"/>
        <v>5.2474532777457839E-4</v>
      </c>
      <c r="G1653" s="25" t="str">
        <f>IF(VLOOKUP(A1653,Aux!B:C,2,FALSE)=0,"",VLOOKUP(A1653,Aux!B:C,2,FALSE))</f>
        <v/>
      </c>
      <c r="H1653" s="25" t="str">
        <f t="shared" si="331"/>
        <v/>
      </c>
      <c r="L1653" s="13">
        <f t="shared" si="334"/>
        <v>151216.22821659627</v>
      </c>
      <c r="M1653" s="14">
        <f t="shared" si="335"/>
        <v>-902.82458478241051</v>
      </c>
      <c r="N1653" s="14">
        <f t="shared" si="336"/>
        <v>35.839943835396184</v>
      </c>
      <c r="O1653" s="1">
        <f t="shared" si="337"/>
        <v>3.4487912933853409</v>
      </c>
      <c r="P1653" s="1">
        <f t="shared" si="338"/>
        <v>1554.8782575010678</v>
      </c>
      <c r="S1653" s="6">
        <f t="shared" si="332"/>
        <v>0.54809393191301981</v>
      </c>
      <c r="T1653" s="6">
        <f t="shared" si="333"/>
        <v>0.45190606808697914</v>
      </c>
      <c r="V1653" s="1">
        <f t="shared" si="339"/>
        <v>153762.22931391819</v>
      </c>
      <c r="W1653" s="7">
        <f t="shared" si="340"/>
        <v>-5.7170365978197043E-3</v>
      </c>
      <c r="X1653" s="7">
        <f t="shared" si="341"/>
        <v>-3.5859256845289771E-3</v>
      </c>
      <c r="Y1653">
        <f>LN(B1653/B1652)</f>
        <v>-1.0834160115319402E-2</v>
      </c>
      <c r="Z1653">
        <f>LN(C1653/C1652)</f>
        <v>5.2460769709033528E-4</v>
      </c>
    </row>
    <row r="1654" spans="1:26" x14ac:dyDescent="0.3">
      <c r="A1654" s="11">
        <v>42614</v>
      </c>
      <c r="B1654" s="12">
        <v>24167.14</v>
      </c>
      <c r="C1654" s="12">
        <v>43.972169999999998</v>
      </c>
      <c r="D1654" s="16">
        <f t="shared" si="343"/>
        <v>5.631286199416552E-3</v>
      </c>
      <c r="E1654" s="15">
        <f t="shared" si="342"/>
        <v>5.2447011453238268E-4</v>
      </c>
      <c r="G1654" s="25" t="str">
        <f>IF(VLOOKUP(A1654,Aux!B:C,2,FALSE)=0,"",VLOOKUP(A1654,Aux!B:C,2,FALSE))</f>
        <v/>
      </c>
      <c r="H1654" s="25" t="str">
        <f t="shared" si="331"/>
        <v/>
      </c>
      <c r="L1654" s="13">
        <f t="shared" si="334"/>
        <v>151718.7930861655</v>
      </c>
      <c r="M1654" s="14">
        <f t="shared" si="335"/>
        <v>466.72492573383164</v>
      </c>
      <c r="N1654" s="14">
        <f t="shared" si="336"/>
        <v>35.839943835396184</v>
      </c>
      <c r="O1654" s="1">
        <f t="shared" si="337"/>
        <v>3.4487912933853409</v>
      </c>
      <c r="P1654" s="1">
        <f t="shared" si="338"/>
        <v>1554.8782575010678</v>
      </c>
      <c r="S1654" s="6">
        <f t="shared" si="332"/>
        <v>0.54935463381052063</v>
      </c>
      <c r="T1654" s="6">
        <f t="shared" si="333"/>
        <v>0.4506453661894782</v>
      </c>
      <c r="V1654" s="1">
        <f t="shared" si="339"/>
        <v>154126.00626102468</v>
      </c>
      <c r="W1654" s="7">
        <f t="shared" si="340"/>
        <v>3.3179744518633701E-3</v>
      </c>
      <c r="X1654" s="7">
        <f t="shared" si="341"/>
        <v>2.3630465496960987E-3</v>
      </c>
      <c r="Y1654">
        <f>LN(B1654/B1653)</f>
        <v>5.6154897823045133E-3</v>
      </c>
      <c r="Z1654">
        <f>LN(C1654/C1653)</f>
        <v>5.2433262815142873E-4</v>
      </c>
    </row>
    <row r="1655" spans="1:26" x14ac:dyDescent="0.3">
      <c r="A1655" s="9">
        <v>42615</v>
      </c>
      <c r="B1655" s="1">
        <v>24732.13</v>
      </c>
      <c r="C1655" s="1">
        <v>43.995240000000003</v>
      </c>
      <c r="D1655" s="6">
        <f t="shared" si="343"/>
        <v>2.3378438656787681E-2</v>
      </c>
      <c r="E1655" s="5">
        <f t="shared" si="342"/>
        <v>5.2465002295787322E-4</v>
      </c>
      <c r="G1655" s="25" t="str">
        <f>IF(VLOOKUP(A1655,Aux!B:C,2,FALSE)=0,"",VLOOKUP(A1655,Aux!B:C,2,FALSE))</f>
        <v/>
      </c>
      <c r="H1655" s="25" t="str">
        <f t="shared" si="331"/>
        <v/>
      </c>
      <c r="L1655" s="13">
        <f t="shared" si="334"/>
        <v>153703.19672041584</v>
      </c>
      <c r="M1655" s="14">
        <f t="shared" si="335"/>
        <v>1948.5325928497894</v>
      </c>
      <c r="N1655" s="14">
        <f t="shared" si="336"/>
        <v>35.871041400556074</v>
      </c>
      <c r="O1655" s="1">
        <f t="shared" si="337"/>
        <v>3.4487912933853409</v>
      </c>
      <c r="P1655" s="1">
        <f t="shared" si="338"/>
        <v>1554.8782575010678</v>
      </c>
      <c r="S1655" s="6">
        <f t="shared" si="332"/>
        <v>0.55493936645980535</v>
      </c>
      <c r="T1655" s="6">
        <f t="shared" si="333"/>
        <v>0.44506063354019365</v>
      </c>
      <c r="V1655" s="1">
        <f t="shared" si="339"/>
        <v>155481.06860036764</v>
      </c>
      <c r="W1655" s="7">
        <f t="shared" si="340"/>
        <v>1.2994686856744684E-2</v>
      </c>
      <c r="X1655" s="7">
        <f t="shared" si="341"/>
        <v>8.7534885461760612E-3</v>
      </c>
      <c r="Y1655">
        <f>LN(B1655/B1654)</f>
        <v>2.3109348822950133E-2</v>
      </c>
      <c r="Z1655">
        <f>LN(C1655/C1654)</f>
        <v>5.2451244225362151E-4</v>
      </c>
    </row>
    <row r="1656" spans="1:26" x14ac:dyDescent="0.3">
      <c r="A1656" s="11">
        <v>42618</v>
      </c>
      <c r="B1656" s="12">
        <v>24711.34</v>
      </c>
      <c r="C1656" s="12">
        <v>44.018320000000003</v>
      </c>
      <c r="D1656" s="16">
        <f t="shared" si="343"/>
        <v>-8.4060693518916985E-4</v>
      </c>
      <c r="E1656" s="15">
        <f t="shared" si="342"/>
        <v>5.2460220696604054E-4</v>
      </c>
      <c r="G1656" s="25" t="str">
        <f>IF(VLOOKUP(A1656,Aux!B:C,2,FALSE)=0,"",VLOOKUP(A1656,Aux!B:C,2,FALSE))</f>
        <v/>
      </c>
      <c r="H1656" s="25" t="str">
        <f t="shared" si="331"/>
        <v/>
      </c>
      <c r="L1656" s="13">
        <f t="shared" si="334"/>
        <v>153667.3829396095</v>
      </c>
      <c r="M1656" s="14">
        <f t="shared" si="335"/>
        <v>-71.700370989484242</v>
      </c>
      <c r="N1656" s="14">
        <f t="shared" si="336"/>
        <v>35.886590183124973</v>
      </c>
      <c r="O1656" s="1">
        <f t="shared" si="337"/>
        <v>3.4487912933853409</v>
      </c>
      <c r="P1656" s="1">
        <f t="shared" si="338"/>
        <v>1554.8782575010678</v>
      </c>
      <c r="S1656" s="6">
        <f t="shared" si="332"/>
        <v>0.55460210624773643</v>
      </c>
      <c r="T1656" s="6">
        <f t="shared" si="333"/>
        <v>0.44539789375226235</v>
      </c>
      <c r="V1656" s="1">
        <f t="shared" si="339"/>
        <v>155484.73836034114</v>
      </c>
      <c r="W1656" s="7">
        <f t="shared" si="340"/>
        <v>-2.3303323960301395E-4</v>
      </c>
      <c r="X1656" s="7">
        <f t="shared" si="341"/>
        <v>2.36023375659858E-5</v>
      </c>
      <c r="Y1656">
        <f>LN(B1656/B1655)</f>
        <v>-8.4096044332038883E-4</v>
      </c>
      <c r="Z1656">
        <f>LN(C1656/C1655)</f>
        <v>5.2446465133415326E-4</v>
      </c>
    </row>
    <row r="1657" spans="1:26" x14ac:dyDescent="0.3">
      <c r="A1657" s="9">
        <v>42619</v>
      </c>
      <c r="B1657" s="1">
        <v>24959.05</v>
      </c>
      <c r="C1657" s="1">
        <v>44.041409999999999</v>
      </c>
      <c r="D1657" s="6">
        <f t="shared" si="343"/>
        <v>1.0024142761986932E-2</v>
      </c>
      <c r="E1657" s="5">
        <f t="shared" si="342"/>
        <v>5.245543219276616E-4</v>
      </c>
      <c r="G1657" s="25" t="str">
        <f>IF(VLOOKUP(A1657,Aux!B:C,2,FALSE)=0,"",VLOOKUP(A1657,Aux!B:C,2,FALSE))</f>
        <v/>
      </c>
      <c r="H1657" s="25" t="str">
        <f t="shared" si="331"/>
        <v/>
      </c>
      <c r="L1657" s="13">
        <f t="shared" si="334"/>
        <v>154557.58516985967</v>
      </c>
      <c r="M1657" s="14">
        <f t="shared" si="335"/>
        <v>854.30009128447978</v>
      </c>
      <c r="N1657" s="14">
        <f t="shared" si="336"/>
        <v>35.902138965693872</v>
      </c>
      <c r="O1657" s="1">
        <f t="shared" si="337"/>
        <v>3.4487912933853409</v>
      </c>
      <c r="P1657" s="1">
        <f t="shared" si="338"/>
        <v>1554.8782575010678</v>
      </c>
      <c r="S1657" s="6">
        <f t="shared" si="332"/>
        <v>0.55693516585788116</v>
      </c>
      <c r="T1657" s="6">
        <f t="shared" si="333"/>
        <v>0.44306483414211767</v>
      </c>
      <c r="V1657" s="1">
        <f t="shared" si="339"/>
        <v>156107.86938381952</v>
      </c>
      <c r="W1657" s="7">
        <f t="shared" si="340"/>
        <v>5.7763309112572932E-3</v>
      </c>
      <c r="X1657" s="7">
        <f t="shared" si="341"/>
        <v>3.9996574930870705E-3</v>
      </c>
      <c r="Y1657">
        <f>LN(B1657/B1656)</f>
        <v>9.974234292218144E-3</v>
      </c>
      <c r="Z1657">
        <f>LN(C1657/C1656)</f>
        <v>5.2441679140205445E-4</v>
      </c>
    </row>
    <row r="1658" spans="1:26" x14ac:dyDescent="0.3">
      <c r="A1658" s="11">
        <v>42621</v>
      </c>
      <c r="B1658" s="12">
        <v>25001.94</v>
      </c>
      <c r="C1658" s="12">
        <v>44.064520000000002</v>
      </c>
      <c r="D1658" s="16">
        <f t="shared" si="343"/>
        <v>1.7184147633824143E-3</v>
      </c>
      <c r="E1658" s="15">
        <f t="shared" si="342"/>
        <v>5.2473342701797598E-4</v>
      </c>
      <c r="G1658" s="25" t="str">
        <f>IF(VLOOKUP(A1658,Aux!B:C,2,FALSE)=0,"",VLOOKUP(A1658,Aux!B:C,2,FALSE))</f>
        <v/>
      </c>
      <c r="H1658" s="25" t="str">
        <f t="shared" si="331"/>
        <v/>
      </c>
      <c r="L1658" s="13">
        <f t="shared" si="334"/>
        <v>154741.43706496383</v>
      </c>
      <c r="M1658" s="14">
        <f t="shared" si="335"/>
        <v>147.91865857329526</v>
      </c>
      <c r="N1658" s="14">
        <f t="shared" si="336"/>
        <v>35.933236530853762</v>
      </c>
      <c r="O1658" s="1">
        <f t="shared" si="337"/>
        <v>3.4487912933853409</v>
      </c>
      <c r="P1658" s="1">
        <f t="shared" si="338"/>
        <v>1554.8782575010678</v>
      </c>
      <c r="S1658" s="6">
        <f t="shared" si="332"/>
        <v>0.5572293667761592</v>
      </c>
      <c r="T1658" s="6">
        <f t="shared" si="333"/>
        <v>0.44277063322383958</v>
      </c>
      <c r="V1658" s="1">
        <f t="shared" si="339"/>
        <v>156258.5182453052</v>
      </c>
      <c r="W1658" s="7">
        <f t="shared" si="340"/>
        <v>1.188829602041053E-3</v>
      </c>
      <c r="X1658" s="7">
        <f t="shared" si="341"/>
        <v>9.6456519735849534E-4</v>
      </c>
      <c r="Y1658">
        <f>LN(B1658/B1657)</f>
        <v>1.7169399780198144E-3</v>
      </c>
      <c r="Z1658">
        <f>LN(C1658/C1657)</f>
        <v>5.2459580257525331E-4</v>
      </c>
    </row>
    <row r="1659" spans="1:26" x14ac:dyDescent="0.3">
      <c r="A1659" s="9">
        <v>42622</v>
      </c>
      <c r="B1659" s="1">
        <v>24106.16</v>
      </c>
      <c r="C1659" s="1">
        <v>44.08764</v>
      </c>
      <c r="D1659" s="6">
        <f t="shared" si="343"/>
        <v>-3.5828419714630133E-2</v>
      </c>
      <c r="E1659" s="5">
        <f t="shared" si="342"/>
        <v>5.2468516620618466E-4</v>
      </c>
      <c r="G1659" s="25" t="str">
        <f>IF(VLOOKUP(A1659,Aux!B:C,2,FALSE)=0,"",VLOOKUP(A1659,Aux!B:C,2,FALSE))</f>
        <v/>
      </c>
      <c r="H1659" s="25" t="str">
        <f t="shared" si="331"/>
        <v/>
      </c>
      <c r="L1659" s="13">
        <f t="shared" si="334"/>
        <v>151688.02758548854</v>
      </c>
      <c r="M1659" s="14">
        <f t="shared" si="335"/>
        <v>-3089.3582647887165</v>
      </c>
      <c r="N1659" s="14">
        <f t="shared" si="336"/>
        <v>35.948785313422661</v>
      </c>
      <c r="O1659" s="1">
        <f t="shared" si="337"/>
        <v>3.4487912933853409</v>
      </c>
      <c r="P1659" s="1">
        <f t="shared" si="338"/>
        <v>1554.8782575010678</v>
      </c>
      <c r="S1659" s="6">
        <f t="shared" si="332"/>
        <v>0.54807960818199342</v>
      </c>
      <c r="T1659" s="6">
        <f t="shared" si="333"/>
        <v>0.45192039181800525</v>
      </c>
      <c r="V1659" s="1">
        <f t="shared" si="339"/>
        <v>154243.64495326317</v>
      </c>
      <c r="W1659" s="7">
        <f t="shared" si="340"/>
        <v>-1.9929614454534846E-2</v>
      </c>
      <c r="X1659" s="7">
        <f t="shared" si="341"/>
        <v>-1.2978341618406775E-2</v>
      </c>
      <c r="Y1659">
        <f>LN(B1659/B1658)</f>
        <v>-3.64860123616551E-2</v>
      </c>
      <c r="Z1659">
        <f>LN(C1659/C1658)</f>
        <v>5.2454756707307837E-4</v>
      </c>
    </row>
    <row r="1660" spans="1:26" x14ac:dyDescent="0.3">
      <c r="A1660" s="11">
        <v>42625</v>
      </c>
      <c r="B1660" s="12">
        <v>24327.45</v>
      </c>
      <c r="C1660" s="12">
        <v>44.110759999999999</v>
      </c>
      <c r="D1660" s="16">
        <f t="shared" si="343"/>
        <v>9.1798113013437099E-3</v>
      </c>
      <c r="E1660" s="15">
        <f t="shared" si="342"/>
        <v>5.244100160497478E-4</v>
      </c>
      <c r="G1660" s="25" t="str">
        <f>IF(VLOOKUP(A1660,Aux!B:C,2,FALSE)=0,"",VLOOKUP(A1660,Aux!B:C,2,FALSE))</f>
        <v/>
      </c>
      <c r="H1660" s="25" t="str">
        <f t="shared" si="331"/>
        <v/>
      </c>
      <c r="L1660" s="13">
        <f t="shared" si="334"/>
        <v>152487.15939611522</v>
      </c>
      <c r="M1660" s="14">
        <f t="shared" si="335"/>
        <v>763.18302531324514</v>
      </c>
      <c r="N1660" s="14">
        <f t="shared" si="336"/>
        <v>35.948785313422661</v>
      </c>
      <c r="O1660" s="1">
        <f t="shared" si="337"/>
        <v>3.4487912933853409</v>
      </c>
      <c r="P1660" s="1">
        <f t="shared" si="338"/>
        <v>1554.8782575010678</v>
      </c>
      <c r="S1660" s="6">
        <f t="shared" si="332"/>
        <v>0.55021221513032303</v>
      </c>
      <c r="T1660" s="6">
        <f t="shared" si="333"/>
        <v>0.44978778486967552</v>
      </c>
      <c r="V1660" s="1">
        <f t="shared" si="339"/>
        <v>154805.89122653886</v>
      </c>
      <c r="W1660" s="7">
        <f t="shared" si="340"/>
        <v>5.2544302325300491E-3</v>
      </c>
      <c r="X1660" s="7">
        <f t="shared" si="341"/>
        <v>3.6385551683894546E-3</v>
      </c>
      <c r="Y1660">
        <f>LN(B1660/B1659)</f>
        <v>9.1379329288471117E-3</v>
      </c>
      <c r="Z1660">
        <f>LN(C1660/C1659)</f>
        <v>5.2427256117032538E-4</v>
      </c>
    </row>
    <row r="1661" spans="1:26" x14ac:dyDescent="0.3">
      <c r="A1661" s="9">
        <v>42626</v>
      </c>
      <c r="B1661" s="1">
        <v>23620.61</v>
      </c>
      <c r="C1661" s="1">
        <v>44.133899999999997</v>
      </c>
      <c r="D1661" s="6">
        <f t="shared" si="343"/>
        <v>-2.9055244178900819E-2</v>
      </c>
      <c r="E1661" s="5">
        <f t="shared" si="342"/>
        <v>5.2458855843795504E-4</v>
      </c>
      <c r="G1661" s="25" t="str">
        <f>IF(VLOOKUP(A1661,Aux!B:C,2,FALSE)=0,"",VLOOKUP(A1661,Aux!B:C,2,FALSE))</f>
        <v/>
      </c>
      <c r="H1661" s="25" t="str">
        <f t="shared" si="331"/>
        <v/>
      </c>
      <c r="L1661" s="13">
        <f t="shared" si="334"/>
        <v>150085.39564117731</v>
      </c>
      <c r="M1661" s="14">
        <f t="shared" si="335"/>
        <v>-2437.7436378164948</v>
      </c>
      <c r="N1661" s="14">
        <f t="shared" si="336"/>
        <v>35.979882878571502</v>
      </c>
      <c r="O1661" s="1">
        <f t="shared" si="337"/>
        <v>3.4487912933853409</v>
      </c>
      <c r="P1661" s="1">
        <f t="shared" si="338"/>
        <v>1554.8782575010678</v>
      </c>
      <c r="S1661" s="6">
        <f t="shared" si="332"/>
        <v>0.5427746901318139</v>
      </c>
      <c r="T1661" s="6">
        <f t="shared" si="333"/>
        <v>0.45722530986818449</v>
      </c>
      <c r="V1661" s="1">
        <f t="shared" si="339"/>
        <v>153226.95386630265</v>
      </c>
      <c r="W1661" s="7">
        <f t="shared" si="340"/>
        <v>-1.5875955442606695E-2</v>
      </c>
      <c r="X1661" s="7">
        <f t="shared" si="341"/>
        <v>-1.025183654435219E-2</v>
      </c>
      <c r="Y1661">
        <f>LN(B1661/B1660)</f>
        <v>-2.9485706417377095E-2</v>
      </c>
      <c r="Z1661">
        <f>LN(C1661/C1660)</f>
        <v>5.2445100996226842E-4</v>
      </c>
    </row>
    <row r="1662" spans="1:26" x14ac:dyDescent="0.3">
      <c r="A1662" s="11">
        <v>42627</v>
      </c>
      <c r="B1662" s="12">
        <v>23711.51</v>
      </c>
      <c r="C1662" s="12">
        <v>44.157049999999998</v>
      </c>
      <c r="D1662" s="16">
        <f t="shared" si="343"/>
        <v>3.8483341454771391E-3</v>
      </c>
      <c r="E1662" s="15">
        <f t="shared" si="342"/>
        <v>5.2454009276314828E-4</v>
      </c>
      <c r="G1662" s="25" t="str">
        <f>IF(VLOOKUP(A1662,Aux!B:C,2,FALSE)=0,"",VLOOKUP(A1662,Aux!B:C,2,FALSE))</f>
        <v/>
      </c>
      <c r="H1662" s="25" t="str">
        <f t="shared" si="331"/>
        <v/>
      </c>
      <c r="L1662" s="13">
        <f t="shared" si="334"/>
        <v>150434.88620140718</v>
      </c>
      <c r="M1662" s="14">
        <f t="shared" si="335"/>
        <v>313.49512856871996</v>
      </c>
      <c r="N1662" s="14">
        <f t="shared" si="336"/>
        <v>35.99543166115145</v>
      </c>
      <c r="O1662" s="1">
        <f t="shared" si="337"/>
        <v>3.4487912933853409</v>
      </c>
      <c r="P1662" s="1">
        <f t="shared" si="338"/>
        <v>1554.8782575010678</v>
      </c>
      <c r="S1662" s="6">
        <f t="shared" si="332"/>
        <v>0.54359764085263429</v>
      </c>
      <c r="T1662" s="6">
        <f t="shared" si="333"/>
        <v>0.45640235914736432</v>
      </c>
      <c r="V1662" s="1">
        <f t="shared" si="339"/>
        <v>153488.45296248558</v>
      </c>
      <c r="W1662" s="7">
        <f t="shared" si="340"/>
        <v>2.3259043658823242E-3</v>
      </c>
      <c r="X1662" s="7">
        <f t="shared" si="341"/>
        <v>1.7051582915062209E-3</v>
      </c>
      <c r="Y1662">
        <f>LN(B1662/B1661)</f>
        <v>3.8409482504930489E-3</v>
      </c>
      <c r="Z1662">
        <f>LN(C1662/C1661)</f>
        <v>5.2440256969749652E-4</v>
      </c>
    </row>
    <row r="1663" spans="1:26" x14ac:dyDescent="0.3">
      <c r="A1663" s="9">
        <v>42628</v>
      </c>
      <c r="B1663" s="1">
        <v>24043.94</v>
      </c>
      <c r="C1663" s="1">
        <v>44.180219999999998</v>
      </c>
      <c r="D1663" s="6">
        <f t="shared" si="343"/>
        <v>1.401977351927397E-2</v>
      </c>
      <c r="E1663" s="5">
        <f t="shared" si="342"/>
        <v>5.247180235092852E-4</v>
      </c>
      <c r="G1663" s="25" t="str">
        <f>IF(VLOOKUP(A1663,Aux!B:C,2,FALSE)=0,"",VLOOKUP(A1663,Aux!B:C,2,FALSE))</f>
        <v/>
      </c>
      <c r="H1663" s="25" t="str">
        <f t="shared" si="331"/>
        <v/>
      </c>
      <c r="L1663" s="13">
        <f t="shared" si="334"/>
        <v>151617.39442029357</v>
      </c>
      <c r="M1663" s="14">
        <f t="shared" si="335"/>
        <v>1146.4816896600898</v>
      </c>
      <c r="N1663" s="14">
        <f t="shared" si="336"/>
        <v>36.026529226300298</v>
      </c>
      <c r="O1663" s="1">
        <f t="shared" si="337"/>
        <v>3.4487912933853409</v>
      </c>
      <c r="P1663" s="1">
        <f t="shared" si="338"/>
        <v>1554.8782575010678</v>
      </c>
      <c r="S1663" s="6">
        <f t="shared" si="332"/>
        <v>0.54691964103282709</v>
      </c>
      <c r="T1663" s="6">
        <f t="shared" si="333"/>
        <v>0.45308035896717141</v>
      </c>
      <c r="V1663" s="1">
        <f t="shared" si="339"/>
        <v>154307.21496008232</v>
      </c>
      <c r="W1663" s="7">
        <f t="shared" si="340"/>
        <v>7.829864801953192E-3</v>
      </c>
      <c r="X1663" s="7">
        <f t="shared" si="341"/>
        <v>5.3201783789158371E-3</v>
      </c>
      <c r="Y1663">
        <f>LN(B1663/B1662)</f>
        <v>1.3922405490963413E-2</v>
      </c>
      <c r="Z1663">
        <f>LN(C1663/C1662)</f>
        <v>5.2458040714494089E-4</v>
      </c>
    </row>
    <row r="1664" spans="1:26" x14ac:dyDescent="0.3">
      <c r="A1664" s="11">
        <v>42629</v>
      </c>
      <c r="B1664" s="12">
        <v>23707.43</v>
      </c>
      <c r="C1664" s="12">
        <v>44.203400000000002</v>
      </c>
      <c r="D1664" s="16">
        <f t="shared" si="343"/>
        <v>-1.3995626340774336E-2</v>
      </c>
      <c r="E1664" s="15">
        <f t="shared" si="342"/>
        <v>5.2466918453553113E-4</v>
      </c>
      <c r="G1664" s="25" t="str">
        <f>IF(VLOOKUP(A1664,Aux!B:C,2,FALSE)=0,"",VLOOKUP(A1664,Aux!B:C,2,FALSE))</f>
        <v/>
      </c>
      <c r="H1664" s="25" t="str">
        <f t="shared" si="331"/>
        <v/>
      </c>
      <c r="L1664" s="13">
        <f t="shared" si="334"/>
        <v>150492.88374016536</v>
      </c>
      <c r="M1664" s="14">
        <f t="shared" si="335"/>
        <v>-1160.5527581370955</v>
      </c>
      <c r="N1664" s="14">
        <f t="shared" si="336"/>
        <v>36.042078008880239</v>
      </c>
      <c r="O1664" s="1">
        <f t="shared" si="337"/>
        <v>3.4487912933853409</v>
      </c>
      <c r="P1664" s="1">
        <f t="shared" si="338"/>
        <v>1554.8782575010678</v>
      </c>
      <c r="S1664" s="6">
        <f t="shared" si="332"/>
        <v>0.54329464716557097</v>
      </c>
      <c r="T1664" s="6">
        <f t="shared" si="333"/>
        <v>0.45670535283442754</v>
      </c>
      <c r="V1664" s="1">
        <f t="shared" si="339"/>
        <v>153582.73134935732</v>
      </c>
      <c r="W1664" s="7">
        <f t="shared" si="340"/>
        <v>-7.4444065939084708E-3</v>
      </c>
      <c r="X1664" s="7">
        <f t="shared" si="341"/>
        <v>-4.7061292942035485E-3</v>
      </c>
      <c r="Y1664">
        <f>LN(B1664/B1663)</f>
        <v>-1.4094488629475833E-2</v>
      </c>
      <c r="Z1664">
        <f>LN(C1664/C1663)</f>
        <v>5.2453159378324551E-4</v>
      </c>
    </row>
    <row r="1665" spans="1:26" x14ac:dyDescent="0.3">
      <c r="A1665" s="9">
        <v>42632</v>
      </c>
      <c r="B1665" s="1">
        <v>23809.99</v>
      </c>
      <c r="C1665" s="1">
        <v>44.226590000000002</v>
      </c>
      <c r="D1665" s="6">
        <f t="shared" si="343"/>
        <v>4.326069928288323E-3</v>
      </c>
      <c r="E1665" s="5">
        <f t="shared" si="342"/>
        <v>5.2462027807820277E-4</v>
      </c>
      <c r="G1665" s="25" t="str">
        <f>IF(VLOOKUP(A1665,Aux!B:C,2,FALSE)=0,"",VLOOKUP(A1665,Aux!B:C,2,FALSE))</f>
        <v/>
      </c>
      <c r="H1665" s="25" t="str">
        <f t="shared" si="331"/>
        <v/>
      </c>
      <c r="L1665" s="13">
        <f t="shared" si="334"/>
        <v>150882.64940200641</v>
      </c>
      <c r="M1665" s="14">
        <f t="shared" si="335"/>
        <v>353.70803504960509</v>
      </c>
      <c r="N1665" s="14">
        <f t="shared" si="336"/>
        <v>36.057626791449138</v>
      </c>
      <c r="O1665" s="1">
        <f t="shared" si="337"/>
        <v>3.4487912933853409</v>
      </c>
      <c r="P1665" s="1">
        <f t="shared" si="338"/>
        <v>1554.8782575010678</v>
      </c>
      <c r="S1665" s="6">
        <f t="shared" si="332"/>
        <v>0.54423544743574792</v>
      </c>
      <c r="T1665" s="6">
        <f t="shared" si="333"/>
        <v>0.45576455256425069</v>
      </c>
      <c r="V1665" s="1">
        <f t="shared" si="339"/>
        <v>153871.21995870769</v>
      </c>
      <c r="W1665" s="7">
        <f t="shared" si="340"/>
        <v>2.5865794418306466E-3</v>
      </c>
      <c r="X1665" s="7">
        <f t="shared" si="341"/>
        <v>1.8766302582104678E-3</v>
      </c>
      <c r="Y1665">
        <f>LN(B1665/B1664)</f>
        <v>4.3167393878110307E-3</v>
      </c>
      <c r="Z1665">
        <f>LN(C1665/C1664)</f>
        <v>5.2448271297097777E-4</v>
      </c>
    </row>
    <row r="1666" spans="1:26" x14ac:dyDescent="0.3">
      <c r="A1666" s="11">
        <v>42633</v>
      </c>
      <c r="B1666" s="12">
        <v>23973.01</v>
      </c>
      <c r="C1666" s="12">
        <v>44.249789999999997</v>
      </c>
      <c r="D1666" s="16">
        <f t="shared" si="343"/>
        <v>6.8467059414976106E-3</v>
      </c>
      <c r="E1666" s="15">
        <f t="shared" si="342"/>
        <v>5.2457130427630005E-4</v>
      </c>
      <c r="G1666" s="25" t="str">
        <f>IF(VLOOKUP(A1666,Aux!B:C,2,FALSE)=0,"",VLOOKUP(A1666,Aux!B:C,2,FALSE))</f>
        <v/>
      </c>
      <c r="H1666" s="25" t="str">
        <f t="shared" si="331"/>
        <v/>
      </c>
      <c r="L1666" s="13">
        <f t="shared" si="334"/>
        <v>151480.9445342281</v>
      </c>
      <c r="M1666" s="14">
        <f t="shared" si="335"/>
        <v>562.22195664766718</v>
      </c>
      <c r="N1666" s="14">
        <f t="shared" si="336"/>
        <v>36.073175574018038</v>
      </c>
      <c r="O1666" s="1">
        <f t="shared" si="337"/>
        <v>3.4487912933853409</v>
      </c>
      <c r="P1666" s="1">
        <f t="shared" si="338"/>
        <v>1554.8782575010678</v>
      </c>
      <c r="S1666" s="6">
        <f t="shared" si="332"/>
        <v>0.54579741642393909</v>
      </c>
      <c r="T1666" s="6">
        <f t="shared" si="333"/>
        <v>0.45420258357605953</v>
      </c>
      <c r="V1666" s="1">
        <f t="shared" si="339"/>
        <v>154299.21427428475</v>
      </c>
      <c r="W1666" s="7">
        <f t="shared" si="340"/>
        <v>3.9574599923367804E-3</v>
      </c>
      <c r="X1666" s="7">
        <f t="shared" si="341"/>
        <v>2.7776486204381182E-3</v>
      </c>
      <c r="Y1666">
        <f>LN(B1666/B1665)</f>
        <v>6.8233736892099328E-3</v>
      </c>
      <c r="Z1666">
        <f>LN(C1666/C1665)</f>
        <v>5.2443376484705476E-4</v>
      </c>
    </row>
    <row r="1667" spans="1:26" x14ac:dyDescent="0.3">
      <c r="A1667" s="9">
        <v>42634</v>
      </c>
      <c r="B1667" s="1">
        <v>24221.35</v>
      </c>
      <c r="C1667" s="1">
        <v>44.273000000000003</v>
      </c>
      <c r="D1667" s="6">
        <f t="shared" si="343"/>
        <v>1.0359149727130701E-2</v>
      </c>
      <c r="E1667" s="5">
        <f t="shared" si="342"/>
        <v>5.2452226326971108E-4</v>
      </c>
      <c r="G1667" s="25" t="str">
        <f>IF(VLOOKUP(A1667,Aux!B:C,2,FALSE)=0,"",VLOOKUP(A1667,Aux!B:C,2,FALSE))</f>
        <v/>
      </c>
      <c r="H1667" s="25" t="str">
        <f t="shared" ref="H1667:H1730" si="344">IF(ISNUMBER(G1667),1-G1667,"")</f>
        <v/>
      </c>
      <c r="L1667" s="13">
        <f t="shared" si="334"/>
        <v>152373.50608838402</v>
      </c>
      <c r="M1667" s="14">
        <f t="shared" si="335"/>
        <v>856.47282979931606</v>
      </c>
      <c r="N1667" s="14">
        <f t="shared" si="336"/>
        <v>36.088724356609035</v>
      </c>
      <c r="O1667" s="1">
        <f t="shared" si="337"/>
        <v>3.4487912933853409</v>
      </c>
      <c r="P1667" s="1">
        <f t="shared" si="338"/>
        <v>1554.8782575010678</v>
      </c>
      <c r="S1667" s="6">
        <f t="shared" ref="S1667:S1730" si="345">O1667*B1667/L1667</f>
        <v>0.54822116481053496</v>
      </c>
      <c r="T1667" s="6">
        <f t="shared" ref="T1667:T1730" si="346">P1667*C1667/L1667</f>
        <v>0.45177883518946366</v>
      </c>
      <c r="V1667" s="1">
        <f t="shared" si="339"/>
        <v>154924.06718569604</v>
      </c>
      <c r="W1667" s="7">
        <f t="shared" si="340"/>
        <v>5.8749451887526545E-3</v>
      </c>
      <c r="X1667" s="7">
        <f t="shared" si="341"/>
        <v>4.0414405988472299E-3</v>
      </c>
      <c r="Y1667">
        <f>LN(B1667/B1666)</f>
        <v>1.0305861433918848E-2</v>
      </c>
      <c r="Z1667">
        <f>LN(C1667/C1666)</f>
        <v>5.2438474955128153E-4</v>
      </c>
    </row>
    <row r="1668" spans="1:26" x14ac:dyDescent="0.3">
      <c r="A1668" s="11">
        <v>42635</v>
      </c>
      <c r="B1668" s="12">
        <v>24465.14</v>
      </c>
      <c r="C1668" s="12">
        <v>44.296230000000001</v>
      </c>
      <c r="D1668" s="16">
        <f t="shared" si="343"/>
        <v>1.006508720612187E-2</v>
      </c>
      <c r="E1668" s="15">
        <f t="shared" si="342"/>
        <v>5.2469902649465716E-4</v>
      </c>
      <c r="G1668" s="25" t="str">
        <f>IF(VLOOKUP(A1668,Aux!B:C,2,FALSE)=0,"",VLOOKUP(A1668,Aux!B:C,2,FALSE))</f>
        <v/>
      </c>
      <c r="H1668" s="25" t="str">
        <f t="shared" si="344"/>
        <v/>
      </c>
      <c r="L1668" s="13">
        <f t="shared" ref="L1668:L1731" si="347">L1667+M1668+N1668</f>
        <v>153250.40673972017</v>
      </c>
      <c r="M1668" s="14">
        <f t="shared" ref="M1668:M1731" si="348">O1667*(B1668-B1667)</f>
        <v>840.78082941441528</v>
      </c>
      <c r="N1668" s="14">
        <f t="shared" ref="N1668:N1731" si="349">P1667*(C1668-C1667)</f>
        <v>36.119821921746826</v>
      </c>
      <c r="O1668" s="1">
        <f t="shared" ref="O1668:O1731" si="350">IF(ISNUMBER(G1668),L1668*G1668/B1668,O1667)</f>
        <v>3.4487912933853409</v>
      </c>
      <c r="P1668" s="1">
        <f t="shared" ref="P1668:P1731" si="351">IF(ISNUMBER(H1668),L1668*H1668/C1668,P1667)</f>
        <v>1554.8782575010678</v>
      </c>
      <c r="S1668" s="6">
        <f t="shared" si="345"/>
        <v>0.55057055715849323</v>
      </c>
      <c r="T1668" s="6">
        <f t="shared" si="346"/>
        <v>0.44942944284150543</v>
      </c>
      <c r="V1668" s="1">
        <f t="shared" ref="V1668:V1731" si="352">$O$2*B1668+$P$2*C1668</f>
        <v>155538.46783059672</v>
      </c>
      <c r="W1668" s="7">
        <f t="shared" ref="W1668:W1731" si="353">LN(L1668/L1667)</f>
        <v>5.7384453301706842E-3</v>
      </c>
      <c r="X1668" s="7">
        <f t="shared" ref="X1668:X1731" si="354">LN(V1668/V1667)</f>
        <v>3.9579748129414437E-3</v>
      </c>
      <c r="Y1668">
        <f>LN(B1668/B1667)</f>
        <v>1.0014771555159931E-2</v>
      </c>
      <c r="Z1668">
        <f>LN(C1668/C1667)</f>
        <v>5.245614200929808E-4</v>
      </c>
    </row>
    <row r="1669" spans="1:26" x14ac:dyDescent="0.3">
      <c r="A1669" s="9">
        <v>42636</v>
      </c>
      <c r="B1669" s="1">
        <v>24330.74</v>
      </c>
      <c r="C1669" s="1">
        <v>44.319470000000003</v>
      </c>
      <c r="D1669" s="6">
        <f t="shared" si="343"/>
        <v>-5.4935307952457268E-3</v>
      </c>
      <c r="E1669" s="5">
        <f t="shared" ref="E1669:E1732" si="355">C1669/C1668-1</f>
        <v>5.2464961465115145E-4</v>
      </c>
      <c r="G1669" s="25" t="str">
        <f>IF(VLOOKUP(A1669,Aux!B:C,2,FALSE)=0,"",VLOOKUP(A1669,Aux!B:C,2,FALSE))</f>
        <v/>
      </c>
      <c r="H1669" s="25" t="str">
        <f t="shared" si="344"/>
        <v/>
      </c>
      <c r="L1669" s="13">
        <f t="shared" si="347"/>
        <v>152823.02456059351</v>
      </c>
      <c r="M1669" s="14">
        <f t="shared" si="348"/>
        <v>-463.51754983098226</v>
      </c>
      <c r="N1669" s="14">
        <f t="shared" si="349"/>
        <v>36.135370704326775</v>
      </c>
      <c r="O1669" s="1">
        <f t="shared" si="350"/>
        <v>3.4487912933853409</v>
      </c>
      <c r="P1669" s="1">
        <f t="shared" si="351"/>
        <v>1554.8782575010678</v>
      </c>
      <c r="S1669" s="6">
        <f t="shared" si="345"/>
        <v>0.54907723829501842</v>
      </c>
      <c r="T1669" s="6">
        <f t="shared" si="346"/>
        <v>0.45092276170498025</v>
      </c>
      <c r="V1669" s="1">
        <f t="shared" si="352"/>
        <v>155280.39328766501</v>
      </c>
      <c r="W1669" s="7">
        <f t="shared" si="353"/>
        <v>-2.7926792278297218E-3</v>
      </c>
      <c r="X1669" s="7">
        <f t="shared" si="354"/>
        <v>-1.6606109507599285E-3</v>
      </c>
      <c r="Y1669">
        <f>LN(B1669/B1668)</f>
        <v>-5.5086757271113349E-3</v>
      </c>
      <c r="Z1669">
        <f>LN(C1669/C1668)</f>
        <v>5.2451203416100549E-4</v>
      </c>
    </row>
    <row r="1670" spans="1:26" x14ac:dyDescent="0.3">
      <c r="A1670" s="11">
        <v>42639</v>
      </c>
      <c r="B1670" s="12">
        <v>24073.56</v>
      </c>
      <c r="C1670" s="12">
        <v>44.34272</v>
      </c>
      <c r="D1670" s="16">
        <f t="shared" si="343"/>
        <v>-1.0570167615123971E-2</v>
      </c>
      <c r="E1670" s="15">
        <f t="shared" si="355"/>
        <v>5.2460013623800705E-4</v>
      </c>
      <c r="G1670" s="25" t="str">
        <f>IF(VLOOKUP(A1670,Aux!B:C,2,FALSE)=0,"",VLOOKUP(A1670,Aux!B:C,2,FALSE))</f>
        <v/>
      </c>
      <c r="H1670" s="25" t="str">
        <f t="shared" si="344"/>
        <v/>
      </c>
      <c r="L1670" s="13">
        <f t="shared" si="347"/>
        <v>151972.21533524754</v>
      </c>
      <c r="M1670" s="14">
        <f t="shared" si="348"/>
        <v>-886.96014483284296</v>
      </c>
      <c r="N1670" s="14">
        <f t="shared" si="349"/>
        <v>36.150919486895674</v>
      </c>
      <c r="O1670" s="1">
        <f t="shared" si="350"/>
        <v>3.4487912933853409</v>
      </c>
      <c r="P1670" s="1">
        <f t="shared" si="351"/>
        <v>1554.8782575010678</v>
      </c>
      <c r="S1670" s="6">
        <f t="shared" si="345"/>
        <v>0.54631489016356627</v>
      </c>
      <c r="T1670" s="6">
        <f t="shared" si="346"/>
        <v>0.45368510983643245</v>
      </c>
      <c r="V1670" s="1">
        <f t="shared" si="352"/>
        <v>154739.08336119051</v>
      </c>
      <c r="W1670" s="7">
        <f t="shared" si="353"/>
        <v>-5.5828393873703554E-3</v>
      </c>
      <c r="X1670" s="7">
        <f t="shared" si="354"/>
        <v>-3.49210625360137E-3</v>
      </c>
      <c r="Y1670">
        <f>LN(B1670/B1669)</f>
        <v>-1.0626428647057139E-2</v>
      </c>
      <c r="Z1670">
        <f>LN(C1670/C1669)</f>
        <v>5.2446258169185653E-4</v>
      </c>
    </row>
    <row r="1671" spans="1:26" x14ac:dyDescent="0.3">
      <c r="A1671" s="9">
        <v>42640</v>
      </c>
      <c r="B1671" s="1">
        <v>24196.75</v>
      </c>
      <c r="C1671" s="1">
        <v>44.36598</v>
      </c>
      <c r="D1671" s="6">
        <f t="shared" si="343"/>
        <v>5.1172323495154437E-3</v>
      </c>
      <c r="E1671" s="5">
        <f t="shared" si="355"/>
        <v>5.2455059139355775E-4</v>
      </c>
      <c r="G1671" s="25" t="str">
        <f>IF(VLOOKUP(A1671,Aux!B:C,2,FALSE)=0,"",VLOOKUP(A1671,Aux!B:C,2,FALSE))</f>
        <v/>
      </c>
      <c r="H1671" s="25" t="str">
        <f t="shared" si="344"/>
        <v/>
      </c>
      <c r="L1671" s="13">
        <f t="shared" si="347"/>
        <v>152433.23840294915</v>
      </c>
      <c r="M1671" s="14">
        <f t="shared" si="348"/>
        <v>424.85659943213562</v>
      </c>
      <c r="N1671" s="14">
        <f t="shared" si="349"/>
        <v>36.166468269475615</v>
      </c>
      <c r="O1671" s="1">
        <f t="shared" si="350"/>
        <v>3.4487912933853409</v>
      </c>
      <c r="P1671" s="1">
        <f t="shared" si="351"/>
        <v>1554.8782575010678</v>
      </c>
      <c r="S1671" s="6">
        <f t="shared" si="345"/>
        <v>0.54744976622242536</v>
      </c>
      <c r="T1671" s="6">
        <f t="shared" si="346"/>
        <v>0.45255023377757347</v>
      </c>
      <c r="V1671" s="1">
        <f t="shared" si="352"/>
        <v>155075.32270145445</v>
      </c>
      <c r="W1671" s="7">
        <f t="shared" si="353"/>
        <v>3.0290089387464319E-3</v>
      </c>
      <c r="X1671" s="7">
        <f t="shared" si="354"/>
        <v>2.170586426574327E-3</v>
      </c>
      <c r="Y1671">
        <f>LN(B1671/B1670)</f>
        <v>5.1041838120568445E-3</v>
      </c>
      <c r="Z1671">
        <f>LN(C1671/C1670)</f>
        <v>5.2441306282378539E-4</v>
      </c>
    </row>
    <row r="1672" spans="1:26" x14ac:dyDescent="0.3">
      <c r="A1672" s="11">
        <v>42641</v>
      </c>
      <c r="B1672" s="12">
        <v>24584.39</v>
      </c>
      <c r="C1672" s="12">
        <v>44.38926</v>
      </c>
      <c r="D1672" s="16">
        <f t="shared" si="343"/>
        <v>1.6020333309225476E-2</v>
      </c>
      <c r="E1672" s="15">
        <f t="shared" si="355"/>
        <v>5.2472637818445911E-4</v>
      </c>
      <c r="G1672" s="25" t="str">
        <f>IF(VLOOKUP(A1672,Aux!B:C,2,FALSE)=0,"",VLOOKUP(A1672,Aux!B:C,2,FALSE))</f>
        <v/>
      </c>
      <c r="H1672" s="25" t="str">
        <f t="shared" si="344"/>
        <v/>
      </c>
      <c r="L1672" s="13">
        <f t="shared" si="347"/>
        <v>153806.32542575165</v>
      </c>
      <c r="M1672" s="14">
        <f t="shared" si="348"/>
        <v>1336.8894569678914</v>
      </c>
      <c r="N1672" s="14">
        <f t="shared" si="349"/>
        <v>36.197565834624463</v>
      </c>
      <c r="O1672" s="1">
        <f t="shared" si="350"/>
        <v>3.4487912933853409</v>
      </c>
      <c r="P1672" s="1">
        <f t="shared" si="351"/>
        <v>1554.8782575010678</v>
      </c>
      <c r="S1672" s="6">
        <f t="shared" si="345"/>
        <v>0.55125450757952976</v>
      </c>
      <c r="T1672" s="6">
        <f t="shared" si="346"/>
        <v>0.44874549242046913</v>
      </c>
      <c r="V1672" s="1">
        <f t="shared" si="352"/>
        <v>156021.70218487812</v>
      </c>
      <c r="W1672" s="7">
        <f t="shared" si="353"/>
        <v>8.967464602358647E-3</v>
      </c>
      <c r="X1672" s="7">
        <f t="shared" si="354"/>
        <v>6.0841623484777837E-3</v>
      </c>
      <c r="Y1672">
        <f>LN(B1672/B1671)</f>
        <v>1.5893362055662118E-2</v>
      </c>
      <c r="Z1672">
        <f>LN(C1672/C1671)</f>
        <v>5.2458875743853029E-4</v>
      </c>
    </row>
    <row r="1673" spans="1:26" x14ac:dyDescent="0.3">
      <c r="A1673" s="9">
        <v>42642</v>
      </c>
      <c r="B1673" s="1">
        <v>24180.18</v>
      </c>
      <c r="C1673" s="1">
        <v>44.41254</v>
      </c>
      <c r="D1673" s="6">
        <f t="shared" si="343"/>
        <v>-1.6441733962079152E-2</v>
      </c>
      <c r="E1673" s="5">
        <f t="shared" si="355"/>
        <v>5.2445118481370123E-4</v>
      </c>
      <c r="G1673" s="25" t="str">
        <f>IF(VLOOKUP(A1673,Aux!B:C,2,FALSE)=0,"",VLOOKUP(A1673,Aux!B:C,2,FALSE))</f>
        <v/>
      </c>
      <c r="H1673" s="25" t="str">
        <f t="shared" si="344"/>
        <v/>
      </c>
      <c r="L1673" s="13">
        <f t="shared" si="347"/>
        <v>152448.487062887</v>
      </c>
      <c r="M1673" s="14">
        <f t="shared" si="348"/>
        <v>-1394.0359286992857</v>
      </c>
      <c r="N1673" s="14">
        <f t="shared" si="349"/>
        <v>36.197565834624463</v>
      </c>
      <c r="O1673" s="1">
        <f t="shared" si="350"/>
        <v>3.4487912933853409</v>
      </c>
      <c r="P1673" s="1">
        <f t="shared" si="351"/>
        <v>1554.8782575010678</v>
      </c>
      <c r="S1673" s="6">
        <f t="shared" si="345"/>
        <v>0.54702014997426573</v>
      </c>
      <c r="T1673" s="6">
        <f t="shared" si="346"/>
        <v>0.4529798500257331</v>
      </c>
      <c r="V1673" s="1">
        <f t="shared" si="352"/>
        <v>155141.25601924057</v>
      </c>
      <c r="W1673" s="7">
        <f t="shared" si="353"/>
        <v>-8.867434599397513E-3</v>
      </c>
      <c r="X1673" s="7">
        <f t="shared" si="354"/>
        <v>-5.6590830761139065E-3</v>
      </c>
      <c r="Y1673">
        <f>LN(B1673/B1672)</f>
        <v>-1.6578399351248656E-2</v>
      </c>
      <c r="Z1673">
        <f>LN(C1673/C1672)</f>
        <v>5.2431370835543582E-4</v>
      </c>
    </row>
    <row r="1674" spans="1:26" x14ac:dyDescent="0.3">
      <c r="A1674" s="11">
        <v>42643</v>
      </c>
      <c r="B1674" s="12">
        <v>24176.69</v>
      </c>
      <c r="C1674" s="12">
        <v>44.435839999999999</v>
      </c>
      <c r="D1674" s="16">
        <f t="shared" si="343"/>
        <v>-1.4433308602346262E-4</v>
      </c>
      <c r="E1674" s="15">
        <f t="shared" si="355"/>
        <v>5.2462660320706789E-4</v>
      </c>
      <c r="G1674" s="25" t="str">
        <f>IF(VLOOKUP(A1674,Aux!B:C,2,FALSE)=0,"",VLOOKUP(A1674,Aux!B:C,2,FALSE))</f>
        <v/>
      </c>
      <c r="H1674" s="25" t="str">
        <f t="shared" si="344"/>
        <v/>
      </c>
      <c r="L1674" s="13">
        <f t="shared" si="347"/>
        <v>152472.67944467286</v>
      </c>
      <c r="M1674" s="14">
        <f t="shared" si="348"/>
        <v>-12.036281613920361</v>
      </c>
      <c r="N1674" s="14">
        <f t="shared" si="349"/>
        <v>36.228663399773303</v>
      </c>
      <c r="O1674" s="1">
        <f t="shared" si="350"/>
        <v>3.4487912933853409</v>
      </c>
      <c r="P1674" s="1">
        <f t="shared" si="351"/>
        <v>1554.8782575010678</v>
      </c>
      <c r="S1674" s="6">
        <f t="shared" si="345"/>
        <v>0.5468544153520456</v>
      </c>
      <c r="T1674" s="6">
        <f t="shared" si="346"/>
        <v>0.45314558464795318</v>
      </c>
      <c r="V1674" s="1">
        <f t="shared" si="352"/>
        <v>155185.32965351283</v>
      </c>
      <c r="W1674" s="7">
        <f t="shared" si="353"/>
        <v>1.5867958340656227E-4</v>
      </c>
      <c r="X1674" s="7">
        <f t="shared" si="354"/>
        <v>2.840467855698849E-4</v>
      </c>
      <c r="Y1674">
        <f>LN(B1674/B1673)</f>
        <v>-1.4434350304568251E-4</v>
      </c>
      <c r="Z1674">
        <f>LN(C1674/C1673)</f>
        <v>5.2448903478327191E-4</v>
      </c>
    </row>
    <row r="1675" spans="1:26" x14ac:dyDescent="0.3">
      <c r="A1675" s="9">
        <v>42646</v>
      </c>
      <c r="B1675" s="1">
        <v>24616.55</v>
      </c>
      <c r="C1675" s="1">
        <v>44.459159999999997</v>
      </c>
      <c r="D1675" s="6">
        <f t="shared" si="343"/>
        <v>1.8193557513456193E-2</v>
      </c>
      <c r="E1675" s="5">
        <f t="shared" si="355"/>
        <v>5.248016015899637E-4</v>
      </c>
      <c r="G1675" s="25" t="str">
        <f>IF(VLOOKUP(A1675,Aux!B:C,2,FALSE)=0,"",VLOOKUP(A1675,Aux!B:C,2,FALSE))</f>
        <v/>
      </c>
      <c r="H1675" s="25" t="str">
        <f t="shared" si="344"/>
        <v/>
      </c>
      <c r="L1675" s="13">
        <f t="shared" si="347"/>
        <v>154025.92454394625</v>
      </c>
      <c r="M1675" s="14">
        <f t="shared" si="348"/>
        <v>1516.985338308478</v>
      </c>
      <c r="N1675" s="14">
        <f t="shared" si="349"/>
        <v>36.259760964922151</v>
      </c>
      <c r="O1675" s="1">
        <f t="shared" si="350"/>
        <v>3.4487912933853409</v>
      </c>
      <c r="P1675" s="1">
        <f t="shared" si="351"/>
        <v>1554.8782575010678</v>
      </c>
      <c r="S1675" s="6">
        <f t="shared" si="345"/>
        <v>0.55118866232782937</v>
      </c>
      <c r="T1675" s="6">
        <f t="shared" si="346"/>
        <v>0.44881133767216952</v>
      </c>
      <c r="V1675" s="1">
        <f t="shared" si="352"/>
        <v>156252.27198890032</v>
      </c>
      <c r="W1675" s="7">
        <f t="shared" si="353"/>
        <v>1.0135500624793289E-2</v>
      </c>
      <c r="X1675" s="7">
        <f t="shared" si="354"/>
        <v>6.851751386845747E-3</v>
      </c>
      <c r="Y1675">
        <f>LN(B1675/B1674)</f>
        <v>1.8030035136927729E-2</v>
      </c>
      <c r="Z1675">
        <f>LN(C1675/C1674)</f>
        <v>5.2466394139020448E-4</v>
      </c>
    </row>
    <row r="1676" spans="1:26" x14ac:dyDescent="0.3">
      <c r="A1676" s="11">
        <v>42647</v>
      </c>
      <c r="B1676" s="12">
        <v>24572.85</v>
      </c>
      <c r="C1676" s="12">
        <v>44.482480000000002</v>
      </c>
      <c r="D1676" s="16">
        <f t="shared" si="343"/>
        <v>-1.7752284540278884E-3</v>
      </c>
      <c r="E1676" s="15">
        <f t="shared" si="355"/>
        <v>5.2452632933253085E-4</v>
      </c>
      <c r="G1676" s="25" t="str">
        <f>IF(VLOOKUP(A1676,Aux!B:C,2,FALSE)=0,"",VLOOKUP(A1676,Aux!B:C,2,FALSE))</f>
        <v/>
      </c>
      <c r="H1676" s="25" t="str">
        <f t="shared" si="344"/>
        <v/>
      </c>
      <c r="L1676" s="13">
        <f t="shared" si="347"/>
        <v>153911.47212539022</v>
      </c>
      <c r="M1676" s="14">
        <f t="shared" si="348"/>
        <v>-150.7121795209419</v>
      </c>
      <c r="N1676" s="14">
        <f t="shared" si="349"/>
        <v>36.2597609649332</v>
      </c>
      <c r="O1676" s="1">
        <f t="shared" si="350"/>
        <v>3.4487912933853409</v>
      </c>
      <c r="P1676" s="1">
        <f t="shared" si="351"/>
        <v>1554.8782575010678</v>
      </c>
      <c r="S1676" s="6">
        <f t="shared" si="345"/>
        <v>0.5506193265737962</v>
      </c>
      <c r="T1676" s="6">
        <f t="shared" si="346"/>
        <v>0.4493806734262028</v>
      </c>
      <c r="V1676" s="1">
        <f t="shared" si="352"/>
        <v>156203.62448926852</v>
      </c>
      <c r="W1676" s="7">
        <f t="shared" si="353"/>
        <v>-7.4334864855113598E-4</v>
      </c>
      <c r="X1676" s="7">
        <f t="shared" si="354"/>
        <v>-3.1138794673554932E-4</v>
      </c>
      <c r="Y1676">
        <f>LN(B1676/B1675)</f>
        <v>-1.7768060393859595E-3</v>
      </c>
      <c r="Z1676">
        <f>LN(C1676/C1675)</f>
        <v>5.2438881348247071E-4</v>
      </c>
    </row>
    <row r="1677" spans="1:26" x14ac:dyDescent="0.3">
      <c r="A1677" s="9">
        <v>42648</v>
      </c>
      <c r="B1677" s="1">
        <v>24925.49</v>
      </c>
      <c r="C1677" s="1">
        <v>44.505809999999997</v>
      </c>
      <c r="D1677" s="6">
        <f t="shared" si="343"/>
        <v>1.4350797730015241E-2</v>
      </c>
      <c r="E1677" s="5">
        <f t="shared" si="355"/>
        <v>5.2447615330786235E-4</v>
      </c>
      <c r="G1677" s="25" t="str">
        <f>IF(VLOOKUP(A1677,Aux!B:C,2,FALSE)=0,"",VLOOKUP(A1677,Aux!B:C,2,FALSE))</f>
        <v/>
      </c>
      <c r="H1677" s="25" t="str">
        <f t="shared" si="344"/>
        <v/>
      </c>
      <c r="L1677" s="13">
        <f t="shared" si="347"/>
        <v>155163.92919683713</v>
      </c>
      <c r="M1677" s="14">
        <f t="shared" si="348"/>
        <v>1216.1817616994172</v>
      </c>
      <c r="N1677" s="14">
        <f t="shared" si="349"/>
        <v>36.27530974749105</v>
      </c>
      <c r="O1677" s="1">
        <f t="shared" si="350"/>
        <v>3.4487912933853409</v>
      </c>
      <c r="P1677" s="1">
        <f t="shared" si="351"/>
        <v>1554.8782575010678</v>
      </c>
      <c r="S1677" s="6">
        <f t="shared" si="345"/>
        <v>0.55401286458989507</v>
      </c>
      <c r="T1677" s="6">
        <f t="shared" si="346"/>
        <v>0.44598713541010404</v>
      </c>
      <c r="V1677" s="1">
        <f t="shared" si="352"/>
        <v>157069.36960500869</v>
      </c>
      <c r="W1677" s="7">
        <f t="shared" si="353"/>
        <v>8.1045849759955983E-3</v>
      </c>
      <c r="X1677" s="7">
        <f t="shared" si="354"/>
        <v>5.5271110885864831E-3</v>
      </c>
      <c r="Y1677">
        <f>LN(B1677/B1676)</f>
        <v>1.4248799709428283E-2</v>
      </c>
      <c r="Z1677">
        <f>LN(C1677/C1676)</f>
        <v>5.2433866376139313E-4</v>
      </c>
    </row>
    <row r="1678" spans="1:26" x14ac:dyDescent="0.3">
      <c r="A1678" s="11">
        <v>42649</v>
      </c>
      <c r="B1678" s="12">
        <v>25089.16</v>
      </c>
      <c r="C1678" s="12">
        <v>44.529159999999997</v>
      </c>
      <c r="D1678" s="16">
        <f t="shared" si="343"/>
        <v>6.566370410370892E-3</v>
      </c>
      <c r="E1678" s="15">
        <f t="shared" si="355"/>
        <v>5.2465060179773815E-4</v>
      </c>
      <c r="G1678" s="25" t="str">
        <f>IF(VLOOKUP(A1678,Aux!B:C,2,FALSE)=0,"",VLOOKUP(A1678,Aux!B:C,2,FALSE))</f>
        <v/>
      </c>
      <c r="H1678" s="25" t="str">
        <f t="shared" si="344"/>
        <v/>
      </c>
      <c r="L1678" s="13">
        <f t="shared" si="347"/>
        <v>155764.69927513815</v>
      </c>
      <c r="M1678" s="14">
        <f t="shared" si="348"/>
        <v>564.46367098837277</v>
      </c>
      <c r="N1678" s="14">
        <f t="shared" si="349"/>
        <v>36.30640731265094</v>
      </c>
      <c r="O1678" s="1">
        <f t="shared" si="350"/>
        <v>3.4487912933853409</v>
      </c>
      <c r="P1678" s="1">
        <f t="shared" si="351"/>
        <v>1554.8782575010678</v>
      </c>
      <c r="S1678" s="6">
        <f t="shared" si="345"/>
        <v>0.55549991088489536</v>
      </c>
      <c r="T1678" s="6">
        <f t="shared" si="346"/>
        <v>0.44450008911510369</v>
      </c>
      <c r="V1678" s="1">
        <f t="shared" si="352"/>
        <v>157499.19906319215</v>
      </c>
      <c r="W1678" s="7">
        <f t="shared" si="353"/>
        <v>3.8643648150210263E-3</v>
      </c>
      <c r="X1678" s="7">
        <f t="shared" si="354"/>
        <v>2.7328205580833338E-3</v>
      </c>
      <c r="Y1678">
        <f>LN(B1678/B1677)</f>
        <v>6.5449057123890013E-3</v>
      </c>
      <c r="Z1678">
        <f>LN(C1678/C1677)</f>
        <v>5.245130207899571E-4</v>
      </c>
    </row>
    <row r="1679" spans="1:26" x14ac:dyDescent="0.3">
      <c r="A1679" s="9">
        <v>42650</v>
      </c>
      <c r="B1679" s="1">
        <v>25265.919999999998</v>
      </c>
      <c r="C1679" s="1">
        <v>44.552520000000001</v>
      </c>
      <c r="D1679" s="6">
        <f t="shared" si="343"/>
        <v>7.0452737357487027E-3</v>
      </c>
      <c r="E1679" s="5">
        <f t="shared" si="355"/>
        <v>5.246000598260192E-4</v>
      </c>
      <c r="G1679" s="25" t="str">
        <f>IF(VLOOKUP(A1679,Aux!B:C,2,FALSE)=0,"",VLOOKUP(A1679,Aux!B:C,2,FALSE))</f>
        <v/>
      </c>
      <c r="H1679" s="25" t="str">
        <f t="shared" si="344"/>
        <v/>
      </c>
      <c r="L1679" s="13">
        <f t="shared" si="347"/>
        <v>156410.62958025216</v>
      </c>
      <c r="M1679" s="14">
        <f t="shared" si="348"/>
        <v>609.60834901878729</v>
      </c>
      <c r="N1679" s="14">
        <f t="shared" si="349"/>
        <v>36.321956095230888</v>
      </c>
      <c r="O1679" s="1">
        <f t="shared" si="350"/>
        <v>3.4487912933853409</v>
      </c>
      <c r="P1679" s="1">
        <f t="shared" si="351"/>
        <v>1554.8782575010678</v>
      </c>
      <c r="S1679" s="6">
        <f t="shared" si="345"/>
        <v>0.55710334488911317</v>
      </c>
      <c r="T1679" s="6">
        <f t="shared" si="346"/>
        <v>0.44289665511088594</v>
      </c>
      <c r="V1679" s="1">
        <f t="shared" si="352"/>
        <v>157959.24998059086</v>
      </c>
      <c r="W1679" s="7">
        <f t="shared" si="353"/>
        <v>4.1382592871045173E-3</v>
      </c>
      <c r="X1679" s="7">
        <f t="shared" si="354"/>
        <v>2.9167153071327319E-3</v>
      </c>
      <c r="Y1679">
        <f>LN(B1679/B1678)</f>
        <v>7.0205717483892462E-3</v>
      </c>
      <c r="Z1679">
        <f>LN(C1679/C1678)</f>
        <v>5.2446250531993342E-4</v>
      </c>
    </row>
    <row r="1680" spans="1:26" x14ac:dyDescent="0.3">
      <c r="A1680" s="11">
        <v>42653</v>
      </c>
      <c r="B1680" s="12">
        <v>25495.13</v>
      </c>
      <c r="C1680" s="12">
        <v>44.575890000000001</v>
      </c>
      <c r="D1680" s="16">
        <f t="shared" si="343"/>
        <v>9.0719039718325512E-3</v>
      </c>
      <c r="E1680" s="15">
        <f t="shared" si="355"/>
        <v>5.2454945309499124E-4</v>
      </c>
      <c r="G1680" s="25" t="str">
        <f>IF(VLOOKUP(A1680,Aux!B:C,2,FALSE)=0,"",VLOOKUP(A1680,Aux!B:C,2,FALSE))</f>
        <v/>
      </c>
      <c r="H1680" s="25" t="str">
        <f t="shared" si="344"/>
        <v/>
      </c>
      <c r="L1680" s="13">
        <f t="shared" si="347"/>
        <v>157237.46453748681</v>
      </c>
      <c r="M1680" s="14">
        <f t="shared" si="348"/>
        <v>790.4974523568635</v>
      </c>
      <c r="N1680" s="14">
        <f t="shared" si="349"/>
        <v>36.33750487779978</v>
      </c>
      <c r="O1680" s="1">
        <f t="shared" si="350"/>
        <v>3.4487912933853409</v>
      </c>
      <c r="P1680" s="1">
        <f t="shared" si="351"/>
        <v>1554.8782575010678</v>
      </c>
      <c r="S1680" s="6">
        <f t="shared" si="345"/>
        <v>0.55920122234459413</v>
      </c>
      <c r="T1680" s="6">
        <f t="shared" si="346"/>
        <v>0.44079877765540498</v>
      </c>
      <c r="V1680" s="1">
        <f t="shared" si="352"/>
        <v>158540.327254025</v>
      </c>
      <c r="W1680" s="7">
        <f t="shared" si="353"/>
        <v>5.2723857603938036E-3</v>
      </c>
      <c r="X1680" s="7">
        <f t="shared" si="354"/>
        <v>3.6719033332920257E-3</v>
      </c>
      <c r="Y1680">
        <f>LN(B1680/B1679)</f>
        <v>9.0310014407701898E-3</v>
      </c>
      <c r="Z1680">
        <f>LN(C1680/C1679)</f>
        <v>5.244119251220004E-4</v>
      </c>
    </row>
    <row r="1681" spans="1:26" x14ac:dyDescent="0.3">
      <c r="A1681" s="9">
        <v>42654</v>
      </c>
      <c r="B1681" s="1">
        <v>25232.61</v>
      </c>
      <c r="C1681" s="1">
        <v>44.59928</v>
      </c>
      <c r="D1681" s="6">
        <f t="shared" si="343"/>
        <v>-1.0296868460760944E-2</v>
      </c>
      <c r="E1681" s="5">
        <f t="shared" si="355"/>
        <v>5.2472311825968454E-4</v>
      </c>
      <c r="G1681" s="25" t="str">
        <f>IF(VLOOKUP(A1681,Aux!B:C,2,FALSE)=0,"",VLOOKUP(A1681,Aux!B:C,2,FALSE))</f>
        <v/>
      </c>
      <c r="H1681" s="25" t="str">
        <f t="shared" si="344"/>
        <v/>
      </c>
      <c r="L1681" s="13">
        <f t="shared" si="347"/>
        <v>156368.45644959025</v>
      </c>
      <c r="M1681" s="14">
        <f t="shared" si="348"/>
        <v>-905.37669033952113</v>
      </c>
      <c r="N1681" s="14">
        <f t="shared" si="349"/>
        <v>36.368602442948628</v>
      </c>
      <c r="O1681" s="1">
        <f t="shared" si="350"/>
        <v>3.4487912933853409</v>
      </c>
      <c r="P1681" s="1">
        <f t="shared" si="351"/>
        <v>1554.8782575010678</v>
      </c>
      <c r="S1681" s="6">
        <f t="shared" si="345"/>
        <v>0.55651892749508514</v>
      </c>
      <c r="T1681" s="6">
        <f t="shared" si="346"/>
        <v>0.44348107250491403</v>
      </c>
      <c r="V1681" s="1">
        <f t="shared" si="352"/>
        <v>157987.01095930094</v>
      </c>
      <c r="W1681" s="7">
        <f t="shared" si="353"/>
        <v>-5.5420529651470964E-3</v>
      </c>
      <c r="X1681" s="7">
        <f t="shared" si="354"/>
        <v>-3.496171050852918E-3</v>
      </c>
      <c r="Y1681">
        <f>LN(B1681/B1680)</f>
        <v>-1.0350247954721723E-2</v>
      </c>
      <c r="Z1681">
        <f>LN(C1681/C1680)</f>
        <v>5.2458549922342187E-4</v>
      </c>
    </row>
    <row r="1682" spans="1:26" x14ac:dyDescent="0.3">
      <c r="A1682" s="11">
        <v>42656</v>
      </c>
      <c r="B1682" s="12">
        <v>25280.62</v>
      </c>
      <c r="C1682" s="12">
        <v>44.622680000000003</v>
      </c>
      <c r="D1682" s="16">
        <f t="shared" si="343"/>
        <v>1.9026965502180193E-3</v>
      </c>
      <c r="E1682" s="15">
        <f t="shared" si="355"/>
        <v>5.2467214717366595E-4</v>
      </c>
      <c r="G1682" s="25" t="str">
        <f>IF(VLOOKUP(A1682,Aux!B:C,2,FALSE)=0,"",VLOOKUP(A1682,Aux!B:C,2,FALSE))</f>
        <v/>
      </c>
      <c r="H1682" s="25" t="str">
        <f t="shared" si="344"/>
        <v/>
      </c>
      <c r="L1682" s="13">
        <f t="shared" si="347"/>
        <v>156570.41707081121</v>
      </c>
      <c r="M1682" s="14">
        <f t="shared" si="348"/>
        <v>165.5764699954247</v>
      </c>
      <c r="N1682" s="14">
        <f t="shared" si="349"/>
        <v>36.384151225528576</v>
      </c>
      <c r="O1682" s="1">
        <f t="shared" si="350"/>
        <v>3.4487912933853409</v>
      </c>
      <c r="P1682" s="1">
        <f t="shared" si="351"/>
        <v>1554.8782575010678</v>
      </c>
      <c r="S1682" s="6">
        <f t="shared" si="345"/>
        <v>0.55685859294831841</v>
      </c>
      <c r="T1682" s="6">
        <f t="shared" si="346"/>
        <v>0.44314140705168065</v>
      </c>
      <c r="V1682" s="1">
        <f t="shared" si="352"/>
        <v>158150.12060829901</v>
      </c>
      <c r="W1682" s="7">
        <f t="shared" si="353"/>
        <v>1.290735452504493E-3</v>
      </c>
      <c r="X1682" s="7">
        <f t="shared" si="354"/>
        <v>1.0318918417620273E-3</v>
      </c>
      <c r="Y1682">
        <f>LN(B1682/B1681)</f>
        <v>1.9008887159470348E-3</v>
      </c>
      <c r="Z1682">
        <f>LN(C1682/C1681)</f>
        <v>5.2453455486778605E-4</v>
      </c>
    </row>
    <row r="1683" spans="1:26" x14ac:dyDescent="0.3">
      <c r="A1683" s="9">
        <v>42657</v>
      </c>
      <c r="B1683" s="1">
        <v>25531.89</v>
      </c>
      <c r="C1683" s="1">
        <v>44.646090000000001</v>
      </c>
      <c r="D1683" s="6">
        <f t="shared" si="343"/>
        <v>9.9392340852400007E-3</v>
      </c>
      <c r="E1683" s="5">
        <f t="shared" si="355"/>
        <v>5.2462111195472616E-4</v>
      </c>
      <c r="G1683" s="25" t="str">
        <f>IF(VLOOKUP(A1683,Aux!B:C,2,FALSE)=0,"",VLOOKUP(A1683,Aux!B:C,2,FALSE))</f>
        <v/>
      </c>
      <c r="H1683" s="25" t="str">
        <f t="shared" si="344"/>
        <v/>
      </c>
      <c r="L1683" s="13">
        <f t="shared" si="347"/>
        <v>157473.39455910824</v>
      </c>
      <c r="M1683" s="14">
        <f t="shared" si="348"/>
        <v>866.57778828893606</v>
      </c>
      <c r="N1683" s="14">
        <f t="shared" si="349"/>
        <v>36.399700008097469</v>
      </c>
      <c r="O1683" s="1">
        <f t="shared" si="350"/>
        <v>3.4487912933853409</v>
      </c>
      <c r="P1683" s="1">
        <f t="shared" si="351"/>
        <v>1554.8782575010678</v>
      </c>
      <c r="S1683" s="6">
        <f t="shared" si="345"/>
        <v>0.55916848799890939</v>
      </c>
      <c r="T1683" s="6">
        <f t="shared" si="346"/>
        <v>0.44083151200108961</v>
      </c>
      <c r="V1683" s="1">
        <f t="shared" si="352"/>
        <v>158782.18055869456</v>
      </c>
      <c r="W1683" s="7">
        <f t="shared" si="353"/>
        <v>5.7506624446665251E-3</v>
      </c>
      <c r="X1683" s="7">
        <f t="shared" si="354"/>
        <v>3.9886170391905335E-3</v>
      </c>
      <c r="Y1683">
        <f>LN(B1683/B1682)</f>
        <v>9.890164771186068E-3</v>
      </c>
      <c r="Z1683">
        <f>LN(C1683/C1682)</f>
        <v>5.2448354641026161E-4</v>
      </c>
    </row>
    <row r="1684" spans="1:26" x14ac:dyDescent="0.3">
      <c r="A1684" s="11">
        <v>42660</v>
      </c>
      <c r="B1684" s="12">
        <v>25900.3</v>
      </c>
      <c r="C1684" s="12">
        <v>44.669510000000002</v>
      </c>
      <c r="D1684" s="16">
        <f t="shared" si="343"/>
        <v>1.4429405735337353E-2</v>
      </c>
      <c r="E1684" s="15">
        <f t="shared" si="355"/>
        <v>5.2457001273809034E-4</v>
      </c>
      <c r="G1684" s="25" t="str">
        <f>IF(VLOOKUP(A1684,Aux!B:C,2,FALSE)=0,"",VLOOKUP(A1684,Aux!B:C,2,FALSE))</f>
        <v/>
      </c>
      <c r="H1684" s="25" t="str">
        <f t="shared" si="344"/>
        <v/>
      </c>
      <c r="L1684" s="13">
        <f t="shared" si="347"/>
        <v>158780.37900829501</v>
      </c>
      <c r="M1684" s="14">
        <f t="shared" si="348"/>
        <v>1270.5692003960928</v>
      </c>
      <c r="N1684" s="14">
        <f t="shared" si="349"/>
        <v>36.415248790677417</v>
      </c>
      <c r="O1684" s="1">
        <f t="shared" si="350"/>
        <v>3.4487912933853409</v>
      </c>
      <c r="P1684" s="1">
        <f t="shared" si="351"/>
        <v>1554.8782575010678</v>
      </c>
      <c r="S1684" s="6">
        <f t="shared" si="345"/>
        <v>0.56256780399423179</v>
      </c>
      <c r="T1684" s="6">
        <f t="shared" si="346"/>
        <v>0.43743219600576727</v>
      </c>
      <c r="V1684" s="1">
        <f t="shared" si="352"/>
        <v>159684.50895799382</v>
      </c>
      <c r="W1684" s="7">
        <f t="shared" si="353"/>
        <v>8.265462734574007E-3</v>
      </c>
      <c r="X1684" s="7">
        <f t="shared" si="354"/>
        <v>5.6667202166541288E-3</v>
      </c>
      <c r="Y1684">
        <f>LN(B1684/B1683)</f>
        <v>1.4326292584434831E-2</v>
      </c>
      <c r="Z1684">
        <f>LN(C1684/C1683)</f>
        <v>5.2443247398599295E-4</v>
      </c>
    </row>
    <row r="1685" spans="1:26" x14ac:dyDescent="0.3">
      <c r="A1685" s="9">
        <v>42661</v>
      </c>
      <c r="B1685" s="1">
        <v>26336.51</v>
      </c>
      <c r="C1685" s="1">
        <v>44.69294</v>
      </c>
      <c r="D1685" s="6">
        <f t="shared" si="343"/>
        <v>1.6841889862279524E-2</v>
      </c>
      <c r="E1685" s="5">
        <f t="shared" si="355"/>
        <v>5.2451884965831752E-4</v>
      </c>
      <c r="G1685" s="25" t="str">
        <f>IF(VLOOKUP(A1685,Aux!B:C,2,FALSE)=0,"",VLOOKUP(A1685,Aux!B:C,2,FALSE))</f>
        <v/>
      </c>
      <c r="H1685" s="25" t="str">
        <f t="shared" si="344"/>
        <v/>
      </c>
      <c r="L1685" s="13">
        <f t="shared" si="347"/>
        <v>160321.20705595586</v>
      </c>
      <c r="M1685" s="14">
        <f t="shared" si="348"/>
        <v>1504.3972500876166</v>
      </c>
      <c r="N1685" s="14">
        <f t="shared" si="349"/>
        <v>36.430797573246316</v>
      </c>
      <c r="O1685" s="1">
        <f t="shared" si="350"/>
        <v>3.4487912933853409</v>
      </c>
      <c r="P1685" s="1">
        <f t="shared" si="351"/>
        <v>1554.8782575010678</v>
      </c>
      <c r="S1685" s="6">
        <f t="shared" si="345"/>
        <v>0.56654467649095519</v>
      </c>
      <c r="T1685" s="6">
        <f t="shared" si="346"/>
        <v>0.43345532350904398</v>
      </c>
      <c r="V1685" s="1">
        <f t="shared" si="352"/>
        <v>160743.27670027438</v>
      </c>
      <c r="W1685" s="7">
        <f t="shared" si="353"/>
        <v>9.6573636129395537E-3</v>
      </c>
      <c r="X1685" s="7">
        <f t="shared" si="354"/>
        <v>6.6084880455762364E-3</v>
      </c>
      <c r="Y1685">
        <f>LN(B1685/B1684)</f>
        <v>1.6701637784747082E-2</v>
      </c>
      <c r="Z1685">
        <f>LN(C1685/C1684)</f>
        <v>5.2438133772945874E-4</v>
      </c>
    </row>
    <row r="1686" spans="1:26" x14ac:dyDescent="0.3">
      <c r="A1686" s="11">
        <v>42662</v>
      </c>
      <c r="B1686" s="12">
        <v>26216.39</v>
      </c>
      <c r="C1686" s="12">
        <v>44.716389999999997</v>
      </c>
      <c r="D1686" s="16">
        <f t="shared" si="343"/>
        <v>-4.5609687843984892E-3</v>
      </c>
      <c r="E1686" s="15">
        <f t="shared" si="355"/>
        <v>5.2469137183619452E-4</v>
      </c>
      <c r="G1686" s="25" t="str">
        <f>IF(VLOOKUP(A1686,Aux!B:C,2,FALSE)=0,"",VLOOKUP(A1686,Aux!B:C,2,FALSE))</f>
        <v/>
      </c>
      <c r="H1686" s="25" t="str">
        <f t="shared" si="344"/>
        <v/>
      </c>
      <c r="L1686" s="13">
        <f t="shared" si="347"/>
        <v>159943.40014093282</v>
      </c>
      <c r="M1686" s="14">
        <f t="shared" si="348"/>
        <v>-414.26881016144364</v>
      </c>
      <c r="N1686" s="14">
        <f t="shared" si="349"/>
        <v>36.461895138395157</v>
      </c>
      <c r="O1686" s="1">
        <f t="shared" si="350"/>
        <v>3.4487912933853409</v>
      </c>
      <c r="P1686" s="1">
        <f t="shared" si="351"/>
        <v>1554.8782575010678</v>
      </c>
      <c r="S1686" s="6">
        <f t="shared" si="345"/>
        <v>0.56529283169124955</v>
      </c>
      <c r="T1686" s="6">
        <f t="shared" si="346"/>
        <v>0.43470716830874956</v>
      </c>
      <c r="V1686" s="1">
        <f t="shared" si="352"/>
        <v>160518.61641467665</v>
      </c>
      <c r="W1686" s="7">
        <f t="shared" si="353"/>
        <v>-2.3593433791201783E-3</v>
      </c>
      <c r="X1686" s="7">
        <f t="shared" si="354"/>
        <v>-1.3986117061143021E-3</v>
      </c>
      <c r="Y1686">
        <f>LN(B1686/B1685)</f>
        <v>-4.5714017375270023E-3</v>
      </c>
      <c r="Z1686">
        <f>LN(C1686/C1685)</f>
        <v>5.2455376944877453E-4</v>
      </c>
    </row>
    <row r="1687" spans="1:26" x14ac:dyDescent="0.3">
      <c r="A1687" s="9">
        <v>42663</v>
      </c>
      <c r="B1687" s="1">
        <v>26347.200000000001</v>
      </c>
      <c r="C1687" s="1">
        <v>44.739849999999997</v>
      </c>
      <c r="D1687" s="6">
        <f t="shared" si="343"/>
        <v>4.9896267182476528E-3</v>
      </c>
      <c r="E1687" s="5">
        <f t="shared" si="355"/>
        <v>5.2463984682127318E-4</v>
      </c>
      <c r="G1687" s="25" t="str">
        <f>IF(VLOOKUP(A1687,Aux!B:C,2,FALSE)=0,"",VLOOKUP(A1687,Aux!B:C,2,FALSE))</f>
        <v/>
      </c>
      <c r="H1687" s="25" t="str">
        <f t="shared" si="344"/>
        <v/>
      </c>
      <c r="L1687" s="13">
        <f t="shared" si="347"/>
        <v>160431.01397394153</v>
      </c>
      <c r="M1687" s="14">
        <f t="shared" si="348"/>
        <v>451.13638908774095</v>
      </c>
      <c r="N1687" s="14">
        <f t="shared" si="349"/>
        <v>36.477443920975105</v>
      </c>
      <c r="O1687" s="1">
        <f t="shared" si="350"/>
        <v>3.4487912933853409</v>
      </c>
      <c r="P1687" s="1">
        <f t="shared" si="351"/>
        <v>1554.8782575010678</v>
      </c>
      <c r="S1687" s="6">
        <f t="shared" si="345"/>
        <v>0.56638670861882989</v>
      </c>
      <c r="T1687" s="6">
        <f t="shared" si="346"/>
        <v>0.43361329138116922</v>
      </c>
      <c r="V1687" s="1">
        <f t="shared" si="352"/>
        <v>160872.88278798194</v>
      </c>
      <c r="W1687" s="7">
        <f t="shared" si="353"/>
        <v>3.0440271635242657E-3</v>
      </c>
      <c r="X1687" s="7">
        <f t="shared" si="354"/>
        <v>2.2045792602920227E-3</v>
      </c>
      <c r="Y1687">
        <f>LN(B1687/B1686)</f>
        <v>4.9772197843848164E-3</v>
      </c>
      <c r="Z1687">
        <f>LN(C1687/C1686)</f>
        <v>5.2450227145308043E-4</v>
      </c>
    </row>
    <row r="1688" spans="1:26" x14ac:dyDescent="0.3">
      <c r="A1688" s="11">
        <v>42664</v>
      </c>
      <c r="B1688" s="12">
        <v>26463.47</v>
      </c>
      <c r="C1688" s="12">
        <v>44.762929999999997</v>
      </c>
      <c r="D1688" s="16">
        <f t="shared" si="343"/>
        <v>4.4129926519707041E-3</v>
      </c>
      <c r="E1688" s="15">
        <f t="shared" si="355"/>
        <v>5.1587119760121425E-4</v>
      </c>
      <c r="G1688" s="25" t="str">
        <f>IF(VLOOKUP(A1688,Aux!B:C,2,FALSE)=0,"",VLOOKUP(A1688,Aux!B:C,2,FALSE))</f>
        <v/>
      </c>
      <c r="H1688" s="25" t="str">
        <f t="shared" si="344"/>
        <v/>
      </c>
      <c r="L1688" s="13">
        <f t="shared" si="347"/>
        <v>160867.89152780658</v>
      </c>
      <c r="M1688" s="14">
        <f t="shared" si="348"/>
        <v>400.9909636819151</v>
      </c>
      <c r="N1688" s="14">
        <f t="shared" si="349"/>
        <v>35.886590183124973</v>
      </c>
      <c r="O1688" s="1">
        <f t="shared" si="350"/>
        <v>3.4487912933853409</v>
      </c>
      <c r="P1688" s="1">
        <f t="shared" si="351"/>
        <v>1554.8782575010678</v>
      </c>
      <c r="S1688" s="6">
        <f t="shared" si="345"/>
        <v>0.56734121434660778</v>
      </c>
      <c r="T1688" s="6">
        <f t="shared" si="346"/>
        <v>0.43265878565339128</v>
      </c>
      <c r="V1688" s="1">
        <f t="shared" si="352"/>
        <v>161192.7547623399</v>
      </c>
      <c r="W1688" s="7">
        <f t="shared" si="353"/>
        <v>2.7194479385046354E-3</v>
      </c>
      <c r="X1688" s="7">
        <f t="shared" si="354"/>
        <v>1.9863781927651632E-3</v>
      </c>
      <c r="Y1688">
        <f>LN(B1688/B1687)</f>
        <v>4.4032839523648571E-3</v>
      </c>
      <c r="Z1688">
        <f>LN(C1688/C1687)</f>
        <v>5.1573818179900506E-4</v>
      </c>
    </row>
    <row r="1689" spans="1:26" x14ac:dyDescent="0.3">
      <c r="A1689" s="9">
        <v>42667</v>
      </c>
      <c r="B1689" s="1">
        <v>26450.560000000001</v>
      </c>
      <c r="C1689" s="1">
        <v>44.786020000000001</v>
      </c>
      <c r="D1689" s="6">
        <f t="shared" si="343"/>
        <v>-4.8784229732534712E-4</v>
      </c>
      <c r="E1689" s="5">
        <f t="shared" si="355"/>
        <v>5.1582861086174603E-4</v>
      </c>
      <c r="G1689" s="25" t="str">
        <f>IF(VLOOKUP(A1689,Aux!B:C,2,FALSE)=0,"",VLOOKUP(A1689,Aux!B:C,2,FALSE))</f>
        <v/>
      </c>
      <c r="H1689" s="25" t="str">
        <f t="shared" si="344"/>
        <v/>
      </c>
      <c r="L1689" s="13">
        <f t="shared" si="347"/>
        <v>160859.26977117467</v>
      </c>
      <c r="M1689" s="14">
        <f t="shared" si="348"/>
        <v>-44.523895597604252</v>
      </c>
      <c r="N1689" s="14">
        <f t="shared" si="349"/>
        <v>35.902138965704921</v>
      </c>
      <c r="O1689" s="1">
        <f t="shared" si="350"/>
        <v>3.4487912933853409</v>
      </c>
      <c r="P1689" s="1">
        <f t="shared" si="351"/>
        <v>1554.8782575010678</v>
      </c>
      <c r="S1689" s="6">
        <f t="shared" si="345"/>
        <v>0.56709483490091817</v>
      </c>
      <c r="T1689" s="6">
        <f t="shared" si="346"/>
        <v>0.43290516509908089</v>
      </c>
      <c r="V1689" s="1">
        <f t="shared" si="352"/>
        <v>161214.62632928189</v>
      </c>
      <c r="W1689" s="7">
        <f t="shared" si="353"/>
        <v>-5.3596697270785598E-5</v>
      </c>
      <c r="X1689" s="7">
        <f t="shared" si="354"/>
        <v>1.3567658967047276E-4</v>
      </c>
      <c r="Y1689">
        <f>LN(B1689/B1688)</f>
        <v>-4.8796133109358915E-4</v>
      </c>
      <c r="Z1689">
        <f>LN(C1689/C1688)</f>
        <v>5.1569561701657579E-4</v>
      </c>
    </row>
    <row r="1690" spans="1:26" x14ac:dyDescent="0.3">
      <c r="A1690" s="11">
        <v>42668</v>
      </c>
      <c r="B1690" s="12">
        <v>26367.03</v>
      </c>
      <c r="C1690" s="12">
        <v>44.809130000000003</v>
      </c>
      <c r="D1690" s="16">
        <f t="shared" si="343"/>
        <v>-3.1579671659126562E-3</v>
      </c>
      <c r="E1690" s="15">
        <f t="shared" si="355"/>
        <v>5.1600923681105471E-4</v>
      </c>
      <c r="G1690" s="25" t="str">
        <f>IF(VLOOKUP(A1690,Aux!B:C,2,FALSE)=0,"",VLOOKUP(A1690,Aux!B:C,2,FALSE))</f>
        <v/>
      </c>
      <c r="H1690" s="25" t="str">
        <f t="shared" si="344"/>
        <v/>
      </c>
      <c r="L1690" s="13">
        <f t="shared" si="347"/>
        <v>160607.12547096904</v>
      </c>
      <c r="M1690" s="14">
        <f t="shared" si="348"/>
        <v>-288.07753673648608</v>
      </c>
      <c r="N1690" s="14">
        <f t="shared" si="349"/>
        <v>35.933236530853762</v>
      </c>
      <c r="O1690" s="1">
        <f t="shared" si="350"/>
        <v>3.4487912933853409</v>
      </c>
      <c r="P1690" s="1">
        <f t="shared" si="351"/>
        <v>1554.8782575010678</v>
      </c>
      <c r="S1690" s="6">
        <f t="shared" si="345"/>
        <v>0.56619146398250653</v>
      </c>
      <c r="T1690" s="6">
        <f t="shared" si="346"/>
        <v>0.43380853601749264</v>
      </c>
      <c r="V1690" s="1">
        <f t="shared" si="352"/>
        <v>161073.61982857232</v>
      </c>
      <c r="W1690" s="7">
        <f t="shared" si="353"/>
        <v>-1.5687135927437367E-3</v>
      </c>
      <c r="X1690" s="7">
        <f t="shared" si="354"/>
        <v>-8.7503352286513866E-4</v>
      </c>
      <c r="Y1690">
        <f>LN(B1690/B1689)</f>
        <v>-3.1629640670294184E-3</v>
      </c>
      <c r="Z1690">
        <f>LN(C1690/C1689)</f>
        <v>5.1587614982559189E-4</v>
      </c>
    </row>
    <row r="1691" spans="1:26" x14ac:dyDescent="0.3">
      <c r="A1691" s="9">
        <v>42669</v>
      </c>
      <c r="B1691" s="1">
        <v>26346.77</v>
      </c>
      <c r="C1691" s="1">
        <v>44.832239999999999</v>
      </c>
      <c r="D1691" s="6">
        <f t="shared" ref="D1691:D1754" si="356">B1691/B1690-1</f>
        <v>-7.6838384907207402E-4</v>
      </c>
      <c r="E1691" s="5">
        <f t="shared" si="355"/>
        <v>5.1574310860291739E-4</v>
      </c>
      <c r="G1691" s="25" t="str">
        <f>IF(VLOOKUP(A1691,Aux!B:C,2,FALSE)=0,"",VLOOKUP(A1691,Aux!B:C,2,FALSE))</f>
        <v/>
      </c>
      <c r="H1691" s="25" t="str">
        <f t="shared" si="344"/>
        <v/>
      </c>
      <c r="L1691" s="13">
        <f t="shared" si="347"/>
        <v>160573.18619589589</v>
      </c>
      <c r="M1691" s="14">
        <f t="shared" si="348"/>
        <v>-69.872511603981479</v>
      </c>
      <c r="N1691" s="14">
        <f t="shared" si="349"/>
        <v>35.933236530842713</v>
      </c>
      <c r="O1691" s="1">
        <f t="shared" si="350"/>
        <v>3.4487912933853409</v>
      </c>
      <c r="P1691" s="1">
        <f t="shared" si="351"/>
        <v>1554.8782575010678</v>
      </c>
      <c r="S1691" s="6">
        <f t="shared" si="345"/>
        <v>0.56587599173608805</v>
      </c>
      <c r="T1691" s="6">
        <f t="shared" si="346"/>
        <v>0.43412400826391123</v>
      </c>
      <c r="V1691" s="1">
        <f t="shared" si="352"/>
        <v>161078.57943105916</v>
      </c>
      <c r="W1691" s="7">
        <f t="shared" si="353"/>
        <v>-2.1134094442676414E-4</v>
      </c>
      <c r="X1691" s="7">
        <f t="shared" si="354"/>
        <v>3.0790430725706765E-5</v>
      </c>
      <c r="Y1691">
        <f>LN(B1691/B1690)</f>
        <v>-7.6867920725049268E-4</v>
      </c>
      <c r="Z1691">
        <f>LN(C1691/C1690)</f>
        <v>5.156101588358684E-4</v>
      </c>
    </row>
    <row r="1692" spans="1:26" x14ac:dyDescent="0.3">
      <c r="A1692" s="11">
        <v>42670</v>
      </c>
      <c r="B1692" s="12">
        <v>26513.4</v>
      </c>
      <c r="C1692" s="12">
        <v>44.855379999999997</v>
      </c>
      <c r="D1692" s="16">
        <f t="shared" si="356"/>
        <v>6.3244944256923841E-3</v>
      </c>
      <c r="E1692" s="15">
        <f t="shared" si="355"/>
        <v>5.1614641606123612E-4</v>
      </c>
      <c r="G1692" s="25" t="str">
        <f>IF(VLOOKUP(A1692,Aux!B:C,2,FALSE)=0,"",VLOOKUP(A1692,Aux!B:C,2,FALSE))</f>
        <v/>
      </c>
      <c r="H1692" s="25" t="str">
        <f t="shared" si="344"/>
        <v/>
      </c>
      <c r="L1692" s="13">
        <f t="shared" si="347"/>
        <v>161183.83817199126</v>
      </c>
      <c r="M1692" s="14">
        <f t="shared" si="348"/>
        <v>574.67209321680286</v>
      </c>
      <c r="N1692" s="14">
        <f t="shared" si="349"/>
        <v>35.979882878571502</v>
      </c>
      <c r="O1692" s="1">
        <f t="shared" si="350"/>
        <v>3.4487912933853409</v>
      </c>
      <c r="P1692" s="1">
        <f t="shared" si="351"/>
        <v>1554.8782575010678</v>
      </c>
      <c r="S1692" s="6">
        <f t="shared" si="345"/>
        <v>0.56729746676259618</v>
      </c>
      <c r="T1692" s="6">
        <f t="shared" si="346"/>
        <v>0.43270253323740304</v>
      </c>
      <c r="V1692" s="1">
        <f t="shared" si="352"/>
        <v>161514.76791496706</v>
      </c>
      <c r="W1692" s="7">
        <f t="shared" si="353"/>
        <v>3.7957381689826581E-3</v>
      </c>
      <c r="X1692" s="7">
        <f t="shared" si="354"/>
        <v>2.704263763146249E-3</v>
      </c>
      <c r="Y1692">
        <f>LN(B1692/B1691)</f>
        <v>6.3045787378191425E-3</v>
      </c>
      <c r="Z1692">
        <f>LN(C1692/C1691)</f>
        <v>5.1601325831712101E-4</v>
      </c>
    </row>
    <row r="1693" spans="1:26" x14ac:dyDescent="0.3">
      <c r="A1693" s="9">
        <v>42671</v>
      </c>
      <c r="B1693" s="1">
        <v>26540.66</v>
      </c>
      <c r="C1693" s="1">
        <v>44.878520000000002</v>
      </c>
      <c r="D1693" s="6">
        <f t="shared" si="356"/>
        <v>1.0281593458401073E-3</v>
      </c>
      <c r="E1693" s="5">
        <f t="shared" si="355"/>
        <v>5.1588014637271584E-4</v>
      </c>
      <c r="G1693" s="25" t="str">
        <f>IF(VLOOKUP(A1693,Aux!B:C,2,FALSE)=0,"",VLOOKUP(A1693,Aux!B:C,2,FALSE))</f>
        <v/>
      </c>
      <c r="H1693" s="25" t="str">
        <f t="shared" si="344"/>
        <v/>
      </c>
      <c r="L1693" s="13">
        <f t="shared" si="347"/>
        <v>161313.83210552752</v>
      </c>
      <c r="M1693" s="14">
        <f t="shared" si="348"/>
        <v>94.014050657678865</v>
      </c>
      <c r="N1693" s="14">
        <f t="shared" si="349"/>
        <v>35.979882878582551</v>
      </c>
      <c r="O1693" s="1">
        <f t="shared" si="350"/>
        <v>3.4487912933853409</v>
      </c>
      <c r="P1693" s="1">
        <f t="shared" si="351"/>
        <v>1554.8782575010678</v>
      </c>
      <c r="S1693" s="6">
        <f t="shared" si="345"/>
        <v>0.56742311514130939</v>
      </c>
      <c r="T1693" s="6">
        <f t="shared" si="346"/>
        <v>0.43257688485869</v>
      </c>
      <c r="V1693" s="1">
        <f t="shared" si="352"/>
        <v>161629.42493368624</v>
      </c>
      <c r="W1693" s="7">
        <f t="shared" si="353"/>
        <v>8.061697962950461E-4</v>
      </c>
      <c r="X1693" s="7">
        <f t="shared" si="354"/>
        <v>7.096338171514847E-4</v>
      </c>
      <c r="Y1693">
        <f>LN(B1693/B1692)</f>
        <v>1.0276311520338174E-3</v>
      </c>
      <c r="Z1693">
        <f>LN(C1693/C1692)</f>
        <v>5.1574712595643343E-4</v>
      </c>
    </row>
    <row r="1694" spans="1:26" x14ac:dyDescent="0.3">
      <c r="A1694" s="11">
        <v>42674</v>
      </c>
      <c r="B1694" s="12">
        <v>26776.52</v>
      </c>
      <c r="C1694" s="12">
        <v>44.901670000000003</v>
      </c>
      <c r="D1694" s="16">
        <f t="shared" si="356"/>
        <v>8.8867420780041062E-3</v>
      </c>
      <c r="E1694" s="15">
        <f t="shared" si="355"/>
        <v>5.1583697501622616E-4</v>
      </c>
      <c r="G1694" s="25" t="str">
        <f>IF(VLOOKUP(A1694,Aux!B:C,2,FALSE)=0,"",VLOOKUP(A1694,Aux!B:C,2,FALSE))</f>
        <v/>
      </c>
      <c r="H1694" s="25" t="str">
        <f t="shared" si="344"/>
        <v/>
      </c>
      <c r="L1694" s="13">
        <f t="shared" si="347"/>
        <v>162163.25945164653</v>
      </c>
      <c r="M1694" s="14">
        <f t="shared" si="348"/>
        <v>813.43191445786852</v>
      </c>
      <c r="N1694" s="14">
        <f t="shared" si="349"/>
        <v>35.99543166115145</v>
      </c>
      <c r="O1694" s="1">
        <f t="shared" si="350"/>
        <v>3.4487912933853409</v>
      </c>
      <c r="P1694" s="1">
        <f t="shared" si="351"/>
        <v>1554.8782575010678</v>
      </c>
      <c r="S1694" s="6">
        <f t="shared" si="345"/>
        <v>0.56946702573337304</v>
      </c>
      <c r="T1694" s="6">
        <f t="shared" si="346"/>
        <v>0.43053297426662623</v>
      </c>
      <c r="V1694" s="1">
        <f t="shared" si="352"/>
        <v>162225.3518205971</v>
      </c>
      <c r="W1694" s="7">
        <f t="shared" si="353"/>
        <v>5.2518667980180995E-3</v>
      </c>
      <c r="X1694" s="7">
        <f t="shared" si="354"/>
        <v>3.6802147276321553E-3</v>
      </c>
      <c r="Y1694">
        <f>LN(B1694/B1693)</f>
        <v>8.847487378467132E-3</v>
      </c>
      <c r="Z1694">
        <f>LN(C1694/C1693)</f>
        <v>5.1570397685877514E-4</v>
      </c>
    </row>
    <row r="1695" spans="1:26" x14ac:dyDescent="0.3">
      <c r="A1695" s="9">
        <v>42675</v>
      </c>
      <c r="B1695" s="1">
        <v>26119.55</v>
      </c>
      <c r="C1695" s="1">
        <v>44.924840000000003</v>
      </c>
      <c r="D1695" s="6">
        <f t="shared" si="356"/>
        <v>-2.4535301824135547E-2</v>
      </c>
      <c r="E1695" s="5">
        <f t="shared" si="355"/>
        <v>5.1601644215004683E-4</v>
      </c>
      <c r="G1695" s="25" t="str">
        <f>IF(VLOOKUP(A1695,Aux!B:C,2,FALSE)=0,"",VLOOKUP(A1695,Aux!B:C,2,FALSE))</f>
        <v/>
      </c>
      <c r="H1695" s="25" t="str">
        <f t="shared" si="344"/>
        <v/>
      </c>
      <c r="L1695" s="13">
        <f t="shared" si="347"/>
        <v>159933.53356485747</v>
      </c>
      <c r="M1695" s="14">
        <f t="shared" si="348"/>
        <v>-2265.7524160153712</v>
      </c>
      <c r="N1695" s="14">
        <f t="shared" si="349"/>
        <v>36.026529226300298</v>
      </c>
      <c r="O1695" s="1">
        <f t="shared" si="350"/>
        <v>3.4487912933853409</v>
      </c>
      <c r="P1695" s="1">
        <f t="shared" si="351"/>
        <v>1554.8782575010678</v>
      </c>
      <c r="S1695" s="6">
        <f t="shared" si="345"/>
        <v>0.56323945716245172</v>
      </c>
      <c r="T1695" s="6">
        <f t="shared" si="346"/>
        <v>0.43676054283754751</v>
      </c>
      <c r="V1695" s="1">
        <f t="shared" si="352"/>
        <v>160761.53340879668</v>
      </c>
      <c r="W1695" s="7">
        <f t="shared" si="353"/>
        <v>-1.3845288456180826E-2</v>
      </c>
      <c r="X1695" s="7">
        <f t="shared" si="354"/>
        <v>-9.0643211922232549E-3</v>
      </c>
      <c r="Y1695">
        <f>LN(B1695/B1694)</f>
        <v>-2.4841308014727118E-2</v>
      </c>
      <c r="Z1695">
        <f>LN(C1695/C1694)</f>
        <v>5.1588335144845418E-4</v>
      </c>
    </row>
    <row r="1696" spans="1:26" x14ac:dyDescent="0.3">
      <c r="A1696" s="11">
        <v>42677</v>
      </c>
      <c r="B1696" s="12">
        <v>25486.23</v>
      </c>
      <c r="C1696" s="12">
        <v>44.948009999999996</v>
      </c>
      <c r="D1696" s="16">
        <f t="shared" si="356"/>
        <v>-2.4246972095614217E-2</v>
      </c>
      <c r="E1696" s="15">
        <f t="shared" si="355"/>
        <v>5.1575030651185294E-4</v>
      </c>
      <c r="G1696" s="25" t="str">
        <f>IF(VLOOKUP(A1696,Aux!B:C,2,FALSE)=0,"",VLOOKUP(A1696,Aux!B:C,2,FALSE))</f>
        <v/>
      </c>
      <c r="H1696" s="25" t="str">
        <f t="shared" si="344"/>
        <v/>
      </c>
      <c r="L1696" s="13">
        <f t="shared" si="347"/>
        <v>157785.37159215694</v>
      </c>
      <c r="M1696" s="14">
        <f t="shared" si="348"/>
        <v>-2184.1885019268029</v>
      </c>
      <c r="N1696" s="14">
        <f t="shared" si="349"/>
        <v>36.026529226289249</v>
      </c>
      <c r="O1696" s="1">
        <f t="shared" si="350"/>
        <v>3.4487912933853409</v>
      </c>
      <c r="P1696" s="1">
        <f t="shared" si="351"/>
        <v>1554.8782575010678</v>
      </c>
      <c r="S1696" s="6">
        <f t="shared" si="345"/>
        <v>0.55706487387443826</v>
      </c>
      <c r="T1696" s="6">
        <f t="shared" si="346"/>
        <v>0.44293512612556113</v>
      </c>
      <c r="V1696" s="1">
        <f t="shared" si="352"/>
        <v>159352.27637427766</v>
      </c>
      <c r="W1696" s="7">
        <f t="shared" si="353"/>
        <v>-1.3522611795050016E-2</v>
      </c>
      <c r="X1696" s="7">
        <f t="shared" si="354"/>
        <v>-8.8047818977511835E-3</v>
      </c>
      <c r="Y1696">
        <f>LN(B1696/B1695)</f>
        <v>-2.4545769770310717E-2</v>
      </c>
      <c r="Z1696">
        <f>LN(C1696/C1695)</f>
        <v>5.1561735303441974E-4</v>
      </c>
    </row>
    <row r="1697" spans="1:26" x14ac:dyDescent="0.3">
      <c r="A1697" s="9">
        <v>42678</v>
      </c>
      <c r="B1697" s="1">
        <v>25412.25</v>
      </c>
      <c r="C1697" s="1">
        <v>44.971200000000003</v>
      </c>
      <c r="D1697" s="6">
        <f t="shared" si="356"/>
        <v>-2.9027439523224841E-3</v>
      </c>
      <c r="E1697" s="5">
        <f t="shared" si="355"/>
        <v>5.1592940377132024E-4</v>
      </c>
      <c r="G1697" s="25" t="str">
        <f>IF(VLOOKUP(A1697,Aux!B:C,2,FALSE)=0,"",VLOOKUP(A1697,Aux!B:C,2,FALSE))</f>
        <v/>
      </c>
      <c r="H1697" s="25" t="str">
        <f t="shared" si="344"/>
        <v/>
      </c>
      <c r="L1697" s="13">
        <f t="shared" si="347"/>
        <v>157566.28763906375</v>
      </c>
      <c r="M1697" s="14">
        <f t="shared" si="348"/>
        <v>-255.14157988464601</v>
      </c>
      <c r="N1697" s="14">
        <f t="shared" si="349"/>
        <v>36.057626791460187</v>
      </c>
      <c r="O1697" s="1">
        <f t="shared" si="350"/>
        <v>3.4487912933853409</v>
      </c>
      <c r="P1697" s="1">
        <f t="shared" si="351"/>
        <v>1554.8782575010678</v>
      </c>
      <c r="S1697" s="6">
        <f t="shared" si="345"/>
        <v>0.5562201652303419</v>
      </c>
      <c r="T1697" s="6">
        <f t="shared" si="346"/>
        <v>0.44377983476965738</v>
      </c>
      <c r="V1697" s="1">
        <f t="shared" si="352"/>
        <v>159233.4810282258</v>
      </c>
      <c r="W1697" s="7">
        <f t="shared" si="353"/>
        <v>-1.3894582884017548E-3</v>
      </c>
      <c r="X1697" s="7">
        <f t="shared" si="354"/>
        <v>-7.4576686997102786E-4</v>
      </c>
      <c r="Y1697">
        <f>LN(B1697/B1696)</f>
        <v>-2.9069650841043629E-3</v>
      </c>
      <c r="Z1697">
        <f>LN(C1697/C1696)</f>
        <v>5.1579635795601412E-4</v>
      </c>
    </row>
    <row r="1698" spans="1:26" x14ac:dyDescent="0.3">
      <c r="A1698" s="11">
        <v>42681</v>
      </c>
      <c r="B1698" s="12">
        <v>26373.87</v>
      </c>
      <c r="C1698" s="12">
        <v>44.994399999999999</v>
      </c>
      <c r="D1698" s="16">
        <f t="shared" si="356"/>
        <v>3.7840805123513288E-2</v>
      </c>
      <c r="E1698" s="15">
        <f t="shared" si="355"/>
        <v>5.1588572241789699E-4</v>
      </c>
      <c r="G1698" s="25" t="str">
        <f>IF(VLOOKUP(A1698,Aux!B:C,2,FALSE)=0,"",VLOOKUP(A1698,Aux!B:C,2,FALSE))</f>
        <v/>
      </c>
      <c r="H1698" s="25" t="str">
        <f t="shared" si="344"/>
        <v/>
      </c>
      <c r="L1698" s="13">
        <f t="shared" si="347"/>
        <v>160918.78749818297</v>
      </c>
      <c r="M1698" s="14">
        <f t="shared" si="348"/>
        <v>3316.4266835452081</v>
      </c>
      <c r="N1698" s="14">
        <f t="shared" si="349"/>
        <v>36.073175574018038</v>
      </c>
      <c r="O1698" s="1">
        <f t="shared" si="350"/>
        <v>3.4487912933853409</v>
      </c>
      <c r="P1698" s="1">
        <f t="shared" si="351"/>
        <v>1554.8782575010678</v>
      </c>
      <c r="S1698" s="6">
        <f t="shared" si="345"/>
        <v>0.56524147766092203</v>
      </c>
      <c r="T1698" s="6">
        <f t="shared" si="346"/>
        <v>0.43475852233907747</v>
      </c>
      <c r="V1698" s="1">
        <f t="shared" si="352"/>
        <v>161503.87347898036</v>
      </c>
      <c r="W1698" s="7">
        <f t="shared" si="353"/>
        <v>2.1053568620080003E-2</v>
      </c>
      <c r="X1698" s="7">
        <f t="shared" si="354"/>
        <v>1.4157567500156745E-2</v>
      </c>
      <c r="Y1698">
        <f>LN(B1698/B1697)</f>
        <v>3.7142406048754698E-2</v>
      </c>
      <c r="Z1698">
        <f>LN(C1698/C1697)</f>
        <v>5.157526991265112E-4</v>
      </c>
    </row>
    <row r="1699" spans="1:26" x14ac:dyDescent="0.3">
      <c r="A1699" s="9">
        <v>42682</v>
      </c>
      <c r="B1699" s="1">
        <v>26415.93</v>
      </c>
      <c r="C1699" s="1">
        <v>45.017620000000001</v>
      </c>
      <c r="D1699" s="6">
        <f t="shared" si="356"/>
        <v>1.5947602684021067E-3</v>
      </c>
      <c r="E1699" s="5">
        <f t="shared" si="355"/>
        <v>5.160642213253297E-4</v>
      </c>
      <c r="G1699" s="25" t="str">
        <f>IF(VLOOKUP(A1699,Aux!B:C,2,FALSE)=0,"",VLOOKUP(A1699,Aux!B:C,2,FALSE))</f>
        <v/>
      </c>
      <c r="H1699" s="25" t="str">
        <f t="shared" si="344"/>
        <v/>
      </c>
      <c r="L1699" s="13">
        <f t="shared" si="347"/>
        <v>161099.94793312193</v>
      </c>
      <c r="M1699" s="14">
        <f t="shared" si="348"/>
        <v>145.05616179979197</v>
      </c>
      <c r="N1699" s="14">
        <f t="shared" si="349"/>
        <v>36.104273139177927</v>
      </c>
      <c r="O1699" s="1">
        <f t="shared" si="350"/>
        <v>3.4487912933853409</v>
      </c>
      <c r="P1699" s="1">
        <f t="shared" si="351"/>
        <v>1554.8782575010678</v>
      </c>
      <c r="S1699" s="6">
        <f t="shared" si="345"/>
        <v>0.56550626216525279</v>
      </c>
      <c r="T1699" s="6">
        <f t="shared" si="346"/>
        <v>0.43449373783474665</v>
      </c>
      <c r="V1699" s="1">
        <f t="shared" si="352"/>
        <v>161652.85358600324</v>
      </c>
      <c r="W1699" s="7">
        <f t="shared" si="353"/>
        <v>1.1251547448525806E-3</v>
      </c>
      <c r="X1699" s="7">
        <f t="shared" si="354"/>
        <v>9.220301178963613E-4</v>
      </c>
      <c r="Y1699">
        <f>LN(B1699/B1698)</f>
        <v>1.5934899885937869E-3</v>
      </c>
      <c r="Z1699">
        <f>LN(C1699/C1698)</f>
        <v>5.1593110598047252E-4</v>
      </c>
    </row>
    <row r="1700" spans="1:26" x14ac:dyDescent="0.3">
      <c r="A1700" s="11">
        <v>42683</v>
      </c>
      <c r="B1700" s="12">
        <v>26047</v>
      </c>
      <c r="C1700" s="12">
        <v>45.040840000000003</v>
      </c>
      <c r="D1700" s="16">
        <f t="shared" si="356"/>
        <v>-1.3966193883766409E-2</v>
      </c>
      <c r="E1700" s="15">
        <f t="shared" si="355"/>
        <v>5.1579803641343958E-4</v>
      </c>
      <c r="G1700" s="25" t="str">
        <f>IF(VLOOKUP(A1700,Aux!B:C,2,FALSE)=0,"",VLOOKUP(A1700,Aux!B:C,2,FALSE))</f>
        <v/>
      </c>
      <c r="H1700" s="25" t="str">
        <f t="shared" si="344"/>
        <v/>
      </c>
      <c r="L1700" s="13">
        <f t="shared" si="347"/>
        <v>159863.68963439245</v>
      </c>
      <c r="M1700" s="14">
        <f t="shared" si="348"/>
        <v>-1272.3625718686549</v>
      </c>
      <c r="N1700" s="14">
        <f t="shared" si="349"/>
        <v>36.104273139177927</v>
      </c>
      <c r="O1700" s="1">
        <f t="shared" si="350"/>
        <v>3.4487912933853409</v>
      </c>
      <c r="P1700" s="1">
        <f t="shared" si="351"/>
        <v>1554.8782575010678</v>
      </c>
      <c r="S1700" s="6">
        <f t="shared" si="345"/>
        <v>0.56192038995378069</v>
      </c>
      <c r="T1700" s="6">
        <f t="shared" si="346"/>
        <v>0.43807961004621881</v>
      </c>
      <c r="V1700" s="1">
        <f t="shared" si="352"/>
        <v>160853.66538651902</v>
      </c>
      <c r="W1700" s="7">
        <f t="shared" si="353"/>
        <v>-7.7034546450249382E-3</v>
      </c>
      <c r="X1700" s="7">
        <f t="shared" si="354"/>
        <v>-4.9561158509724102E-3</v>
      </c>
      <c r="Y1700">
        <f>LN(B1700/B1699)</f>
        <v>-1.4064638845316517E-2</v>
      </c>
      <c r="Z1700">
        <f>LN(C1700/C1699)</f>
        <v>5.1566505833084656E-4</v>
      </c>
    </row>
    <row r="1701" spans="1:26" x14ac:dyDescent="0.3">
      <c r="A1701" s="9">
        <v>42684</v>
      </c>
      <c r="B1701" s="1">
        <v>25179.94</v>
      </c>
      <c r="C1701" s="1">
        <v>45.064079999999997</v>
      </c>
      <c r="D1701" s="6">
        <f t="shared" si="356"/>
        <v>-3.3288286558912805E-2</v>
      </c>
      <c r="E1701" s="5">
        <f t="shared" si="355"/>
        <v>5.1597616740695074E-4</v>
      </c>
      <c r="G1701" s="25" t="str">
        <f>IF(VLOOKUP(A1701,Aux!B:C,2,FALSE)=0,"",VLOOKUP(A1701,Aux!B:C,2,FALSE))</f>
        <v/>
      </c>
      <c r="H1701" s="25" t="str">
        <f t="shared" si="344"/>
        <v/>
      </c>
      <c r="L1701" s="13">
        <f t="shared" si="347"/>
        <v>156909.51602625407</v>
      </c>
      <c r="M1701" s="14">
        <f t="shared" si="348"/>
        <v>-2990.3089788426983</v>
      </c>
      <c r="N1701" s="14">
        <f t="shared" si="349"/>
        <v>36.135370704315726</v>
      </c>
      <c r="O1701" s="1">
        <f t="shared" si="350"/>
        <v>3.4487912933853409</v>
      </c>
      <c r="P1701" s="1">
        <f t="shared" si="351"/>
        <v>1554.8782575010678</v>
      </c>
      <c r="S1701" s="6">
        <f t="shared" si="345"/>
        <v>0.55344226430113497</v>
      </c>
      <c r="T1701" s="6">
        <f t="shared" si="346"/>
        <v>0.44655773569886448</v>
      </c>
      <c r="V1701" s="1">
        <f t="shared" si="352"/>
        <v>158905.31859500334</v>
      </c>
      <c r="W1701" s="7">
        <f t="shared" si="353"/>
        <v>-1.8652204179069921E-2</v>
      </c>
      <c r="X1701" s="7">
        <f t="shared" si="354"/>
        <v>-1.2186496715274577E-2</v>
      </c>
      <c r="Y1701">
        <f>LN(B1701/B1700)</f>
        <v>-3.3854952649963299E-2</v>
      </c>
      <c r="Z1701">
        <f>LN(C1701/C1700)</f>
        <v>5.1584309747625904E-4</v>
      </c>
    </row>
    <row r="1702" spans="1:26" x14ac:dyDescent="0.3">
      <c r="A1702" s="11">
        <v>42685</v>
      </c>
      <c r="B1702" s="12">
        <v>24362.65</v>
      </c>
      <c r="C1702" s="12">
        <v>45.087330000000001</v>
      </c>
      <c r="D1702" s="16">
        <f t="shared" si="356"/>
        <v>-3.2457980439985046E-2</v>
      </c>
      <c r="E1702" s="15">
        <f t="shared" si="355"/>
        <v>5.1593197952781722E-4</v>
      </c>
      <c r="G1702" s="25" t="str">
        <f>IF(VLOOKUP(A1702,Aux!B:C,2,FALSE)=0,"",VLOOKUP(A1702,Aux!B:C,2,FALSE))</f>
        <v/>
      </c>
      <c r="H1702" s="25" t="str">
        <f t="shared" si="344"/>
        <v/>
      </c>
      <c r="L1702" s="13">
        <f t="shared" si="347"/>
        <v>154127.0043095701</v>
      </c>
      <c r="M1702" s="14">
        <f t="shared" si="348"/>
        <v>-2818.6626361708959</v>
      </c>
      <c r="N1702" s="14">
        <f t="shared" si="349"/>
        <v>36.150919486906723</v>
      </c>
      <c r="O1702" s="1">
        <f t="shared" si="350"/>
        <v>3.4487912933853409</v>
      </c>
      <c r="P1702" s="1">
        <f t="shared" si="351"/>
        <v>1554.8782575010678</v>
      </c>
      <c r="S1702" s="6">
        <f t="shared" si="345"/>
        <v>0.54514583982332865</v>
      </c>
      <c r="T1702" s="6">
        <f t="shared" si="346"/>
        <v>0.4548541601766708</v>
      </c>
      <c r="V1702" s="1">
        <f t="shared" si="352"/>
        <v>157071.81530577622</v>
      </c>
      <c r="W1702" s="7">
        <f t="shared" si="353"/>
        <v>-1.7892342321159885E-2</v>
      </c>
      <c r="X1702" s="7">
        <f t="shared" si="354"/>
        <v>-1.1605421224320069E-2</v>
      </c>
      <c r="Y1702">
        <f>LN(B1702/B1701)</f>
        <v>-3.2996423951518888E-2</v>
      </c>
      <c r="Z1702">
        <f>LN(C1702/C1701)</f>
        <v>5.1579893238428462E-4</v>
      </c>
    </row>
    <row r="1703" spans="1:26" x14ac:dyDescent="0.3">
      <c r="A1703" s="9">
        <v>42688</v>
      </c>
      <c r="B1703" s="1">
        <v>24533.21</v>
      </c>
      <c r="C1703" s="1">
        <v>45.110590000000002</v>
      </c>
      <c r="D1703" s="6">
        <f t="shared" si="356"/>
        <v>7.0008804460925944E-3</v>
      </c>
      <c r="E1703" s="5">
        <f t="shared" si="355"/>
        <v>5.1588772278154948E-4</v>
      </c>
      <c r="G1703" s="25" t="str">
        <f>IF(VLOOKUP(A1703,Aux!B:C,2,FALSE)=0,"",VLOOKUP(A1703,Aux!B:C,2,FALSE))</f>
        <v/>
      </c>
      <c r="H1703" s="25" t="str">
        <f t="shared" si="344"/>
        <v/>
      </c>
      <c r="L1703" s="13">
        <f t="shared" si="347"/>
        <v>154751.39662083937</v>
      </c>
      <c r="M1703" s="14">
        <f t="shared" si="348"/>
        <v>588.22584299979576</v>
      </c>
      <c r="N1703" s="14">
        <f t="shared" si="349"/>
        <v>36.166468269475615</v>
      </c>
      <c r="O1703" s="1">
        <f t="shared" si="350"/>
        <v>3.4487912933853409</v>
      </c>
      <c r="P1703" s="1">
        <f t="shared" si="351"/>
        <v>1554.8782575010678</v>
      </c>
      <c r="S1703" s="6">
        <f t="shared" si="345"/>
        <v>0.54674738253961774</v>
      </c>
      <c r="T1703" s="6">
        <f t="shared" si="346"/>
        <v>0.45325261746038159</v>
      </c>
      <c r="V1703" s="1">
        <f t="shared" si="352"/>
        <v>157517.33889305161</v>
      </c>
      <c r="W1703" s="7">
        <f t="shared" si="353"/>
        <v>4.0429706958753399E-3</v>
      </c>
      <c r="X1703" s="7">
        <f t="shared" si="354"/>
        <v>2.8324173238859296E-3</v>
      </c>
      <c r="Y1703">
        <f>LN(B1703/B1702)</f>
        <v>6.9764880618549303E-3</v>
      </c>
      <c r="Z1703">
        <f>LN(C1703/C1702)</f>
        <v>5.1575469845873485E-4</v>
      </c>
    </row>
    <row r="1704" spans="1:26" x14ac:dyDescent="0.3">
      <c r="A1704" s="11">
        <v>42690</v>
      </c>
      <c r="B1704" s="12">
        <v>24991.3</v>
      </c>
      <c r="C1704" s="12">
        <v>45.133859999999999</v>
      </c>
      <c r="D1704" s="16">
        <f t="shared" si="356"/>
        <v>1.8672240607731316E-2</v>
      </c>
      <c r="E1704" s="15">
        <f t="shared" si="355"/>
        <v>5.1584339730426088E-4</v>
      </c>
      <c r="G1704" s="25" t="str">
        <f>IF(VLOOKUP(A1704,Aux!B:C,2,FALSE)=0,"",VLOOKUP(A1704,Aux!B:C,2,FALSE))</f>
        <v/>
      </c>
      <c r="H1704" s="25" t="str">
        <f t="shared" si="344"/>
        <v/>
      </c>
      <c r="L1704" s="13">
        <f t="shared" si="347"/>
        <v>156367.4354414783</v>
      </c>
      <c r="M1704" s="14">
        <f t="shared" si="348"/>
        <v>1579.8568035868914</v>
      </c>
      <c r="N1704" s="14">
        <f t="shared" si="349"/>
        <v>36.182017052044515</v>
      </c>
      <c r="O1704" s="1">
        <f t="shared" si="350"/>
        <v>3.4487912933853409</v>
      </c>
      <c r="P1704" s="1">
        <f t="shared" si="351"/>
        <v>1554.8782575010678</v>
      </c>
      <c r="S1704" s="6">
        <f t="shared" si="345"/>
        <v>0.55120030335624615</v>
      </c>
      <c r="T1704" s="6">
        <f t="shared" si="346"/>
        <v>0.44879969664375335</v>
      </c>
      <c r="V1704" s="1">
        <f t="shared" si="352"/>
        <v>158626.22661950486</v>
      </c>
      <c r="W1704" s="7">
        <f t="shared" si="353"/>
        <v>1.0388656604551679E-2</v>
      </c>
      <c r="X1704" s="7">
        <f t="shared" si="354"/>
        <v>7.0151184142542697E-3</v>
      </c>
      <c r="Y1704">
        <f>LN(B1704/B1703)</f>
        <v>1.8500054421977479E-2</v>
      </c>
      <c r="Z1704">
        <f>LN(C1704/C1703)</f>
        <v>5.1571039583564362E-4</v>
      </c>
    </row>
    <row r="1705" spans="1:26" x14ac:dyDescent="0.3">
      <c r="A1705" s="9">
        <v>42691</v>
      </c>
      <c r="B1705" s="1">
        <v>24606.66</v>
      </c>
      <c r="C1705" s="1">
        <v>45.157150000000001</v>
      </c>
      <c r="D1705" s="6">
        <f t="shared" si="356"/>
        <v>-1.539095605270635E-2</v>
      </c>
      <c r="E1705" s="5">
        <f t="shared" si="355"/>
        <v>5.1602056637745086E-4</v>
      </c>
      <c r="G1705" s="25" t="str">
        <f>IF(VLOOKUP(A1705,Aux!B:C,2,FALSE)=0,"",VLOOKUP(A1705,Aux!B:C,2,FALSE))</f>
        <v/>
      </c>
      <c r="H1705" s="25" t="str">
        <f t="shared" si="344"/>
        <v/>
      </c>
      <c r="L1705" s="13">
        <f t="shared" si="347"/>
        <v>155077.10547300777</v>
      </c>
      <c r="M1705" s="14">
        <f t="shared" si="348"/>
        <v>-1326.5430830877356</v>
      </c>
      <c r="N1705" s="14">
        <f t="shared" si="349"/>
        <v>36.213114617204411</v>
      </c>
      <c r="O1705" s="1">
        <f t="shared" si="350"/>
        <v>3.4487912933853409</v>
      </c>
      <c r="P1705" s="1">
        <f t="shared" si="351"/>
        <v>1554.8782575010678</v>
      </c>
      <c r="S1705" s="6">
        <f t="shared" si="345"/>
        <v>0.54723251706593368</v>
      </c>
      <c r="T1705" s="6">
        <f t="shared" si="346"/>
        <v>0.45276748293406566</v>
      </c>
      <c r="V1705" s="1">
        <f t="shared" si="352"/>
        <v>157790.95149975418</v>
      </c>
      <c r="W1705" s="7">
        <f t="shared" si="353"/>
        <v>-8.2861452477741709E-3</v>
      </c>
      <c r="X1705" s="7">
        <f t="shared" si="354"/>
        <v>-5.2795936360156967E-3</v>
      </c>
      <c r="Y1705">
        <f>LN(B1705/B1704)</f>
        <v>-1.5510626297730363E-2</v>
      </c>
      <c r="Z1705">
        <f>LN(C1705/C1704)</f>
        <v>5.1588747354877813E-4</v>
      </c>
    </row>
    <row r="1706" spans="1:26" x14ac:dyDescent="0.3">
      <c r="A1706" s="11">
        <v>42692</v>
      </c>
      <c r="B1706" s="12">
        <v>24684.65</v>
      </c>
      <c r="C1706" s="12">
        <v>45.180439999999997</v>
      </c>
      <c r="D1706" s="16">
        <f t="shared" si="356"/>
        <v>3.1694671280051434E-3</v>
      </c>
      <c r="E1706" s="15">
        <f t="shared" si="355"/>
        <v>5.1575442648599257E-4</v>
      </c>
      <c r="G1706" s="25" t="str">
        <f>IF(VLOOKUP(A1706,Aux!B:C,2,FALSE)=0,"",VLOOKUP(A1706,Aux!B:C,2,FALSE))</f>
        <v/>
      </c>
      <c r="H1706" s="25" t="str">
        <f t="shared" si="344"/>
        <v/>
      </c>
      <c r="L1706" s="13">
        <f t="shared" si="347"/>
        <v>155382.28982059608</v>
      </c>
      <c r="M1706" s="14">
        <f t="shared" si="348"/>
        <v>268.97123297112825</v>
      </c>
      <c r="N1706" s="14">
        <f t="shared" si="349"/>
        <v>36.213114617193362</v>
      </c>
      <c r="O1706" s="1">
        <f t="shared" si="350"/>
        <v>3.4487912933853409</v>
      </c>
      <c r="P1706" s="1">
        <f t="shared" si="351"/>
        <v>1554.8782575010678</v>
      </c>
      <c r="S1706" s="6">
        <f t="shared" si="345"/>
        <v>0.54788873364241086</v>
      </c>
      <c r="T1706" s="6">
        <f t="shared" si="346"/>
        <v>0.45211126635758858</v>
      </c>
      <c r="V1706" s="1">
        <f t="shared" si="352"/>
        <v>158022.97997288749</v>
      </c>
      <c r="W1706" s="7">
        <f t="shared" si="353"/>
        <v>1.966018426340583E-3</v>
      </c>
      <c r="X1706" s="7">
        <f t="shared" si="354"/>
        <v>1.4694001230393865E-3</v>
      </c>
      <c r="Y1706">
        <f>LN(B1706/B1705)</f>
        <v>3.164454954886852E-3</v>
      </c>
      <c r="Z1706">
        <f>LN(C1706/C1705)</f>
        <v>5.1562147088476821E-4</v>
      </c>
    </row>
    <row r="1707" spans="1:26" x14ac:dyDescent="0.3">
      <c r="A1707" s="9">
        <v>42695</v>
      </c>
      <c r="B1707" s="1">
        <v>25110.26</v>
      </c>
      <c r="C1707" s="1">
        <v>45.203749999999999</v>
      </c>
      <c r="D1707" s="6">
        <f t="shared" si="356"/>
        <v>1.7241889190245718E-2</v>
      </c>
      <c r="E1707" s="5">
        <f t="shared" si="355"/>
        <v>5.159312304174879E-4</v>
      </c>
      <c r="G1707" s="25" t="str">
        <f>IF(VLOOKUP(A1707,Aux!B:C,2,FALSE)=0,"",VLOOKUP(A1707,Aux!B:C,2,FALSE))</f>
        <v/>
      </c>
      <c r="H1707" s="25" t="str">
        <f t="shared" si="344"/>
        <v/>
      </c>
      <c r="L1707" s="13">
        <f t="shared" si="347"/>
        <v>156886.37409515615</v>
      </c>
      <c r="M1707" s="14">
        <f t="shared" si="348"/>
        <v>1467.8400623777243</v>
      </c>
      <c r="N1707" s="14">
        <f t="shared" si="349"/>
        <v>36.244212182353252</v>
      </c>
      <c r="O1707" s="1">
        <f t="shared" si="350"/>
        <v>3.4487912933853409</v>
      </c>
      <c r="P1707" s="1">
        <f t="shared" si="351"/>
        <v>1554.8782575010678</v>
      </c>
      <c r="S1707" s="6">
        <f t="shared" si="345"/>
        <v>0.55199214439181787</v>
      </c>
      <c r="T1707" s="6">
        <f t="shared" si="346"/>
        <v>0.44800785560818168</v>
      </c>
      <c r="V1707" s="1">
        <f t="shared" si="352"/>
        <v>159057.02468848269</v>
      </c>
      <c r="W1707" s="7">
        <f t="shared" si="353"/>
        <v>9.6333451293765943E-3</v>
      </c>
      <c r="X1707" s="7">
        <f t="shared" si="354"/>
        <v>6.5223184441441703E-3</v>
      </c>
      <c r="Y1707">
        <f>LN(B1707/B1706)</f>
        <v>1.7094934597043168E-2</v>
      </c>
      <c r="Z1707">
        <f>LN(C1707/C1706)</f>
        <v>5.1579818366024569E-4</v>
      </c>
    </row>
    <row r="1708" spans="1:26" x14ac:dyDescent="0.3">
      <c r="A1708" s="11">
        <v>42696</v>
      </c>
      <c r="B1708" s="12">
        <v>25442.41</v>
      </c>
      <c r="C1708" s="12">
        <v>45.227069999999998</v>
      </c>
      <c r="D1708" s="16">
        <f t="shared" si="356"/>
        <v>1.3227660725137813E-2</v>
      </c>
      <c r="E1708" s="15">
        <f t="shared" si="355"/>
        <v>5.1588640322974832E-4</v>
      </c>
      <c r="G1708" s="25" t="str">
        <f>IF(VLOOKUP(A1708,Aux!B:C,2,FALSE)=0,"",VLOOKUP(A1708,Aux!B:C,2,FALSE))</f>
        <v/>
      </c>
      <c r="H1708" s="25" t="str">
        <f t="shared" si="344"/>
        <v/>
      </c>
      <c r="L1708" s="13">
        <f t="shared" si="347"/>
        <v>158068.14988421902</v>
      </c>
      <c r="M1708" s="14">
        <f t="shared" si="348"/>
        <v>1145.516028097946</v>
      </c>
      <c r="N1708" s="14">
        <f t="shared" si="349"/>
        <v>36.259760964922151</v>
      </c>
      <c r="O1708" s="1">
        <f t="shared" si="350"/>
        <v>3.4487912933853409</v>
      </c>
      <c r="P1708" s="1">
        <f t="shared" si="351"/>
        <v>1554.8782575010678</v>
      </c>
      <c r="S1708" s="6">
        <f t="shared" si="345"/>
        <v>0.55511222314559616</v>
      </c>
      <c r="T1708" s="6">
        <f t="shared" si="346"/>
        <v>0.44488777685440334</v>
      </c>
      <c r="V1708" s="1">
        <f t="shared" si="352"/>
        <v>159875.47628615424</v>
      </c>
      <c r="W1708" s="7">
        <f t="shared" si="353"/>
        <v>7.5044569627768761E-3</v>
      </c>
      <c r="X1708" s="7">
        <f t="shared" si="354"/>
        <v>5.1324552487682631E-3</v>
      </c>
      <c r="Y1708">
        <f>LN(B1708/B1707)</f>
        <v>1.3140939133115835E-2</v>
      </c>
      <c r="Z1708">
        <f>LN(C1708/C1707)</f>
        <v>5.1575337958732238E-4</v>
      </c>
    </row>
    <row r="1709" spans="1:26" x14ac:dyDescent="0.3">
      <c r="A1709" s="9">
        <v>42697</v>
      </c>
      <c r="B1709" s="1">
        <v>25444.880000000001</v>
      </c>
      <c r="C1709" s="1">
        <v>45.250399999999999</v>
      </c>
      <c r="D1709" s="6">
        <f t="shared" si="356"/>
        <v>9.7081998128301095E-5</v>
      </c>
      <c r="E1709" s="5">
        <f t="shared" si="355"/>
        <v>5.1584150819405927E-4</v>
      </c>
      <c r="G1709" s="25" t="str">
        <f>IF(VLOOKUP(A1709,Aux!B:C,2,FALSE)=0,"",VLOOKUP(A1709,Aux!B:C,2,FALSE))</f>
        <v/>
      </c>
      <c r="H1709" s="25" t="str">
        <f t="shared" si="344"/>
        <v/>
      </c>
      <c r="L1709" s="13">
        <f t="shared" si="347"/>
        <v>158112.94370846119</v>
      </c>
      <c r="M1709" s="14">
        <f t="shared" si="348"/>
        <v>8.5185144946658067</v>
      </c>
      <c r="N1709" s="14">
        <f t="shared" si="349"/>
        <v>36.275309747502099</v>
      </c>
      <c r="O1709" s="1">
        <f t="shared" si="350"/>
        <v>3.4487912933853409</v>
      </c>
      <c r="P1709" s="1">
        <f t="shared" si="351"/>
        <v>1554.8782575010678</v>
      </c>
      <c r="S1709" s="6">
        <f t="shared" si="345"/>
        <v>0.55500883448885374</v>
      </c>
      <c r="T1709" s="6">
        <f t="shared" si="346"/>
        <v>0.44499116551114576</v>
      </c>
      <c r="V1709" s="1">
        <f t="shared" si="352"/>
        <v>159933.36696288228</v>
      </c>
      <c r="W1709" s="7">
        <f t="shared" si="353"/>
        <v>2.8334284022405896E-4</v>
      </c>
      <c r="X1709" s="7">
        <f t="shared" si="354"/>
        <v>3.6203299928928628E-4</v>
      </c>
      <c r="Y1709">
        <f>LN(B1709/B1708)</f>
        <v>9.7077285976095105E-5</v>
      </c>
      <c r="Z1709">
        <f>LN(C1709/C1708)</f>
        <v>5.157085076994229E-4</v>
      </c>
    </row>
    <row r="1710" spans="1:26" x14ac:dyDescent="0.3">
      <c r="A1710" s="11">
        <v>42698</v>
      </c>
      <c r="B1710" s="12">
        <v>25237.46</v>
      </c>
      <c r="C1710" s="12">
        <v>45.27375</v>
      </c>
      <c r="D1710" s="16">
        <f t="shared" si="356"/>
        <v>-8.1517381885864992E-3</v>
      </c>
      <c r="E1710" s="15">
        <f t="shared" si="355"/>
        <v>5.1601753796659544E-4</v>
      </c>
      <c r="G1710" s="25" t="str">
        <f>IF(VLOOKUP(A1710,Aux!B:C,2,FALSE)=0,"",VLOOKUP(A1710,Aux!B:C,2,FALSE))</f>
        <v/>
      </c>
      <c r="H1710" s="25" t="str">
        <f t="shared" si="344"/>
        <v/>
      </c>
      <c r="L1710" s="13">
        <f t="shared" si="347"/>
        <v>157433.90182569984</v>
      </c>
      <c r="M1710" s="14">
        <f t="shared" si="348"/>
        <v>-715.34829007399389</v>
      </c>
      <c r="N1710" s="14">
        <f t="shared" si="349"/>
        <v>36.30640731265094</v>
      </c>
      <c r="O1710" s="1">
        <f t="shared" si="350"/>
        <v>3.4487912933853409</v>
      </c>
      <c r="P1710" s="1">
        <f t="shared" si="351"/>
        <v>1554.8782575010678</v>
      </c>
      <c r="S1710" s="6">
        <f t="shared" si="345"/>
        <v>0.55285889065700855</v>
      </c>
      <c r="T1710" s="6">
        <f t="shared" si="346"/>
        <v>0.44714110934299101</v>
      </c>
      <c r="V1710" s="1">
        <f t="shared" si="352"/>
        <v>159507.07881026808</v>
      </c>
      <c r="W1710" s="7">
        <f t="shared" si="353"/>
        <v>-4.303912021725584E-3</v>
      </c>
      <c r="X1710" s="7">
        <f t="shared" si="354"/>
        <v>-2.6689695140770684E-3</v>
      </c>
      <c r="Y1710">
        <f>LN(B1710/B1709)</f>
        <v>-8.1851452807820343E-3</v>
      </c>
      <c r="Z1710">
        <f>LN(C1710/C1709)</f>
        <v>5.1588444669983444E-4</v>
      </c>
    </row>
    <row r="1711" spans="1:26" x14ac:dyDescent="0.3">
      <c r="A1711" s="9">
        <v>42699</v>
      </c>
      <c r="B1711" s="1">
        <v>25295.23</v>
      </c>
      <c r="C1711" s="1">
        <v>45.297110000000004</v>
      </c>
      <c r="D1711" s="6">
        <f t="shared" si="356"/>
        <v>2.2890576151481934E-3</v>
      </c>
      <c r="E1711" s="5">
        <f t="shared" si="355"/>
        <v>5.1597227974276016E-4</v>
      </c>
      <c r="G1711" s="25" t="str">
        <f>IF(VLOOKUP(A1711,Aux!B:C,2,FALSE)=0,"",VLOOKUP(A1711,Aux!B:C,2,FALSE))</f>
        <v/>
      </c>
      <c r="H1711" s="25" t="str">
        <f t="shared" si="344"/>
        <v/>
      </c>
      <c r="L1711" s="13">
        <f t="shared" si="347"/>
        <v>157669.46045481393</v>
      </c>
      <c r="M1711" s="14">
        <f t="shared" si="348"/>
        <v>199.23667301887264</v>
      </c>
      <c r="N1711" s="14">
        <f t="shared" si="349"/>
        <v>36.321956095230888</v>
      </c>
      <c r="O1711" s="1">
        <f t="shared" si="350"/>
        <v>3.4487912933853409</v>
      </c>
      <c r="P1711" s="1">
        <f t="shared" si="351"/>
        <v>1554.8782575010678</v>
      </c>
      <c r="S1711" s="6">
        <f t="shared" si="345"/>
        <v>0.55329655303273506</v>
      </c>
      <c r="T1711" s="6">
        <f t="shared" si="346"/>
        <v>0.44670344696726455</v>
      </c>
      <c r="V1711" s="1">
        <f t="shared" si="352"/>
        <v>159692.61563537433</v>
      </c>
      <c r="W1711" s="7">
        <f t="shared" si="353"/>
        <v>1.4951200221388521E-3</v>
      </c>
      <c r="X1711" s="7">
        <f t="shared" si="354"/>
        <v>1.1625126792403073E-3</v>
      </c>
      <c r="Y1711">
        <f>LN(B1711/B1710)</f>
        <v>2.2864417139705751E-3</v>
      </c>
      <c r="Z1711">
        <f>LN(C1711/C1710)</f>
        <v>5.1583921181696851E-4</v>
      </c>
    </row>
    <row r="1712" spans="1:26" x14ac:dyDescent="0.3">
      <c r="A1712" s="11">
        <v>42702</v>
      </c>
      <c r="B1712" s="12">
        <v>25792.03</v>
      </c>
      <c r="C1712" s="12">
        <v>45.320480000000003</v>
      </c>
      <c r="D1712" s="16">
        <f t="shared" si="356"/>
        <v>1.9640066526376732E-2</v>
      </c>
      <c r="E1712" s="15">
        <f t="shared" si="355"/>
        <v>5.159269542802658E-4</v>
      </c>
      <c r="G1712" s="25" t="str">
        <f>IF(VLOOKUP(A1712,Aux!B:C,2,FALSE)=0,"",VLOOKUP(A1712,Aux!B:C,2,FALSE))</f>
        <v/>
      </c>
      <c r="H1712" s="25" t="str">
        <f t="shared" si="344"/>
        <v/>
      </c>
      <c r="L1712" s="13">
        <f t="shared" si="347"/>
        <v>159419.15747424556</v>
      </c>
      <c r="M1712" s="14">
        <f t="shared" si="348"/>
        <v>1713.3595145538347</v>
      </c>
      <c r="N1712" s="14">
        <f t="shared" si="349"/>
        <v>36.33750487779978</v>
      </c>
      <c r="O1712" s="1">
        <f t="shared" si="350"/>
        <v>3.4487912933853409</v>
      </c>
      <c r="P1712" s="1">
        <f t="shared" si="351"/>
        <v>1554.8782575010678</v>
      </c>
      <c r="S1712" s="6">
        <f t="shared" si="345"/>
        <v>0.55797138757996356</v>
      </c>
      <c r="T1712" s="6">
        <f t="shared" si="346"/>
        <v>0.4420286124200361</v>
      </c>
      <c r="V1712" s="1">
        <f t="shared" si="352"/>
        <v>160891.03239915674</v>
      </c>
      <c r="W1712" s="7">
        <f t="shared" si="353"/>
        <v>1.1036124788533979E-2</v>
      </c>
      <c r="X1712" s="7">
        <f t="shared" si="354"/>
        <v>7.4765032687085248E-3</v>
      </c>
      <c r="Y1712">
        <f>LN(B1712/B1711)</f>
        <v>1.9449689066276702E-2</v>
      </c>
      <c r="Z1712">
        <f>LN(C1712/C1711)</f>
        <v>5.1579390972806953E-4</v>
      </c>
    </row>
    <row r="1713" spans="1:26" x14ac:dyDescent="0.3">
      <c r="A1713" s="9">
        <v>42703</v>
      </c>
      <c r="B1713" s="1">
        <v>25077.88</v>
      </c>
      <c r="C1713" s="1">
        <v>45.343859999999999</v>
      </c>
      <c r="D1713" s="6">
        <f t="shared" si="356"/>
        <v>-2.7688786031964008E-2</v>
      </c>
      <c r="E1713" s="5">
        <f t="shared" si="355"/>
        <v>5.158815617132273E-4</v>
      </c>
      <c r="G1713" s="25" t="str">
        <f>IF(VLOOKUP(A1713,Aux!B:C,2,FALSE)=0,"",VLOOKUP(A1713,Aux!B:C,2,FALSE))</f>
        <v/>
      </c>
      <c r="H1713" s="25" t="str">
        <f t="shared" si="344"/>
        <v/>
      </c>
      <c r="L1713" s="13">
        <f t="shared" si="347"/>
        <v>156992.55622573479</v>
      </c>
      <c r="M1713" s="14">
        <f t="shared" si="348"/>
        <v>-2462.9543021711338</v>
      </c>
      <c r="N1713" s="14">
        <f t="shared" si="349"/>
        <v>36.35305366036868</v>
      </c>
      <c r="O1713" s="1">
        <f t="shared" si="350"/>
        <v>3.4487912933853409</v>
      </c>
      <c r="P1713" s="1">
        <f t="shared" si="351"/>
        <v>1554.8782575010678</v>
      </c>
      <c r="S1713" s="6">
        <f t="shared" si="345"/>
        <v>0.55090748427717418</v>
      </c>
      <c r="T1713" s="6">
        <f t="shared" si="346"/>
        <v>0.44909251572282549</v>
      </c>
      <c r="V1713" s="1">
        <f t="shared" si="352"/>
        <v>159295.76752500611</v>
      </c>
      <c r="W1713" s="7">
        <f t="shared" si="353"/>
        <v>-1.5338552392566122E-2</v>
      </c>
      <c r="X1713" s="7">
        <f t="shared" si="354"/>
        <v>-9.9646710895944495E-3</v>
      </c>
      <c r="Y1713">
        <f>LN(B1713/B1712)</f>
        <v>-2.8079346788588144E-2</v>
      </c>
      <c r="Z1713">
        <f>LN(C1713/C1712)</f>
        <v>5.1574854056717426E-4</v>
      </c>
    </row>
    <row r="1714" spans="1:26" x14ac:dyDescent="0.3">
      <c r="A1714" s="11">
        <v>42704</v>
      </c>
      <c r="B1714" s="12">
        <v>25437.08</v>
      </c>
      <c r="C1714" s="12">
        <v>45.367249999999999</v>
      </c>
      <c r="D1714" s="16">
        <f t="shared" si="356"/>
        <v>1.4323379807224645E-2</v>
      </c>
      <c r="E1714" s="15">
        <f t="shared" si="355"/>
        <v>5.1583610217575959E-4</v>
      </c>
      <c r="G1714" s="25" t="str">
        <f>IF(VLOOKUP(A1714,Aux!B:C,2,FALSE)=0,"",VLOOKUP(A1714,Aux!B:C,2,FALSE))</f>
        <v/>
      </c>
      <c r="H1714" s="25" t="str">
        <f t="shared" si="344"/>
        <v/>
      </c>
      <c r="L1714" s="13">
        <f t="shared" si="347"/>
        <v>158267.73066076176</v>
      </c>
      <c r="M1714" s="14">
        <f t="shared" si="348"/>
        <v>1238.805832584017</v>
      </c>
      <c r="N1714" s="14">
        <f t="shared" si="349"/>
        <v>36.368602442948628</v>
      </c>
      <c r="O1714" s="1">
        <f t="shared" si="350"/>
        <v>3.4487912933853409</v>
      </c>
      <c r="P1714" s="1">
        <f t="shared" si="351"/>
        <v>1554.8782575010678</v>
      </c>
      <c r="S1714" s="6">
        <f t="shared" si="345"/>
        <v>0.55429606317654734</v>
      </c>
      <c r="T1714" s="6">
        <f t="shared" si="346"/>
        <v>0.44570393682345222</v>
      </c>
      <c r="V1714" s="1">
        <f t="shared" si="352"/>
        <v>160176.78101816404</v>
      </c>
      <c r="W1714" s="7">
        <f t="shared" si="353"/>
        <v>8.0897051888024138E-3</v>
      </c>
      <c r="X1714" s="7">
        <f t="shared" si="354"/>
        <v>5.5154393111314735E-3</v>
      </c>
      <c r="Y1714">
        <f>LN(B1714/B1713)</f>
        <v>1.4221769323675998E-2</v>
      </c>
      <c r="Z1714">
        <f>LN(C1714/C1713)</f>
        <v>5.1570310446831947E-4</v>
      </c>
    </row>
    <row r="1715" spans="1:26" x14ac:dyDescent="0.3">
      <c r="A1715" s="9">
        <v>42705</v>
      </c>
      <c r="B1715" s="1">
        <v>24462.1</v>
      </c>
      <c r="C1715" s="1">
        <v>45.390659999999997</v>
      </c>
      <c r="D1715" s="6">
        <f t="shared" si="356"/>
        <v>-3.8329084942139713E-2</v>
      </c>
      <c r="E1715" s="5">
        <f t="shared" si="355"/>
        <v>5.1601099912379489E-4</v>
      </c>
      <c r="G1715" s="25" t="str">
        <f>IF(VLOOKUP(A1715,Aux!B:C,2,FALSE)=0,"",VLOOKUP(A1715,Aux!B:C,2,FALSE))</f>
        <v/>
      </c>
      <c r="H1715" s="25" t="str">
        <f t="shared" si="344"/>
        <v/>
      </c>
      <c r="L1715" s="13">
        <f t="shared" si="347"/>
        <v>154941.627825545</v>
      </c>
      <c r="M1715" s="14">
        <f t="shared" si="348"/>
        <v>-3362.5025352248508</v>
      </c>
      <c r="N1715" s="14">
        <f t="shared" si="349"/>
        <v>36.399700008097469</v>
      </c>
      <c r="O1715" s="1">
        <f t="shared" si="350"/>
        <v>3.4487912933853409</v>
      </c>
      <c r="P1715" s="1">
        <f t="shared" si="351"/>
        <v>1554.8782575010678</v>
      </c>
      <c r="S1715" s="6">
        <f t="shared" si="345"/>
        <v>0.54449329519702172</v>
      </c>
      <c r="T1715" s="6">
        <f t="shared" si="346"/>
        <v>0.45550670480297806</v>
      </c>
      <c r="V1715" s="1">
        <f t="shared" si="352"/>
        <v>157979.83932410501</v>
      </c>
      <c r="W1715" s="7">
        <f t="shared" si="353"/>
        <v>-2.1239645522400329E-2</v>
      </c>
      <c r="X1715" s="7">
        <f t="shared" si="354"/>
        <v>-1.3810660994196354E-2</v>
      </c>
      <c r="Y1715">
        <f>LN(B1715/B1714)</f>
        <v>-3.9082970979995323E-2</v>
      </c>
      <c r="Z1715">
        <f>LN(C1715/C1714)</f>
        <v>5.1587791122942989E-4</v>
      </c>
    </row>
    <row r="1716" spans="1:26" x14ac:dyDescent="0.3">
      <c r="A1716" s="11">
        <v>42706</v>
      </c>
      <c r="B1716" s="12">
        <v>24754.14</v>
      </c>
      <c r="C1716" s="12">
        <v>45.413679999999999</v>
      </c>
      <c r="D1716" s="16">
        <f t="shared" si="356"/>
        <v>1.1938468079191855E-2</v>
      </c>
      <c r="E1716" s="15">
        <f t="shared" si="355"/>
        <v>5.0715279310775685E-4</v>
      </c>
      <c r="G1716" s="25" t="str">
        <f>IF(VLOOKUP(A1716,Aux!B:C,2,FALSE)=0,"",VLOOKUP(A1716,Aux!B:C,2,FALSE))</f>
        <v/>
      </c>
      <c r="H1716" s="25" t="str">
        <f t="shared" si="344"/>
        <v/>
      </c>
      <c r="L1716" s="13">
        <f t="shared" si="347"/>
        <v>155984.60613235296</v>
      </c>
      <c r="M1716" s="14">
        <f t="shared" si="348"/>
        <v>1007.1850093202579</v>
      </c>
      <c r="N1716" s="14">
        <f t="shared" si="349"/>
        <v>35.793297487678437</v>
      </c>
      <c r="O1716" s="1">
        <f t="shared" si="350"/>
        <v>3.4487912933853409</v>
      </c>
      <c r="P1716" s="1">
        <f t="shared" si="351"/>
        <v>1554.8782575010678</v>
      </c>
      <c r="S1716" s="6">
        <f t="shared" si="345"/>
        <v>0.54730953665263449</v>
      </c>
      <c r="T1716" s="6">
        <f t="shared" si="346"/>
        <v>0.45269046334736501</v>
      </c>
      <c r="V1716" s="1">
        <f t="shared" si="352"/>
        <v>158705.08460898281</v>
      </c>
      <c r="W1716" s="7">
        <f t="shared" si="353"/>
        <v>6.7088724259558811E-3</v>
      </c>
      <c r="X1716" s="7">
        <f t="shared" si="354"/>
        <v>4.580240472177693E-3</v>
      </c>
      <c r="Y1716">
        <f>LN(B1716/B1715)</f>
        <v>1.1867766723450756E-2</v>
      </c>
      <c r="Z1716">
        <f>LN(C1716/C1715)</f>
        <v>5.0702423459401469E-4</v>
      </c>
    </row>
    <row r="1717" spans="1:26" x14ac:dyDescent="0.3">
      <c r="A1717" s="9">
        <v>42709</v>
      </c>
      <c r="B1717" s="1">
        <v>24563.79</v>
      </c>
      <c r="C1717" s="1">
        <v>45.436709999999998</v>
      </c>
      <c r="D1717" s="6">
        <f t="shared" si="356"/>
        <v>-7.6896228267271383E-3</v>
      </c>
      <c r="E1717" s="5">
        <f t="shared" si="355"/>
        <v>5.0711591749452722E-4</v>
      </c>
      <c r="G1717" s="25" t="str">
        <f>IF(VLOOKUP(A1717,Aux!B:C,2,FALSE)=0,"",VLOOKUP(A1717,Aux!B:C,2,FALSE))</f>
        <v/>
      </c>
      <c r="H1717" s="25" t="str">
        <f t="shared" si="344"/>
        <v/>
      </c>
      <c r="L1717" s="13">
        <f t="shared" si="347"/>
        <v>155363.93755592732</v>
      </c>
      <c r="M1717" s="14">
        <f t="shared" si="348"/>
        <v>-656.47742269589457</v>
      </c>
      <c r="N1717" s="14">
        <f t="shared" si="349"/>
        <v>35.808846270247336</v>
      </c>
      <c r="O1717" s="1">
        <f t="shared" si="350"/>
        <v>3.4487912933853409</v>
      </c>
      <c r="P1717" s="1">
        <f t="shared" si="351"/>
        <v>1554.8782575010678</v>
      </c>
      <c r="S1717" s="6">
        <f t="shared" si="345"/>
        <v>0.54527058477808199</v>
      </c>
      <c r="T1717" s="6">
        <f t="shared" si="346"/>
        <v>0.45472941522191751</v>
      </c>
      <c r="V1717" s="1">
        <f t="shared" si="352"/>
        <v>158317.4616610927</v>
      </c>
      <c r="W1717" s="7">
        <f t="shared" si="353"/>
        <v>-3.9869747984057416E-3</v>
      </c>
      <c r="X1717" s="7">
        <f t="shared" si="354"/>
        <v>-2.4453979416616425E-3</v>
      </c>
      <c r="Y1717">
        <f>LN(B1717/B1716)</f>
        <v>-7.7193404190786154E-3</v>
      </c>
      <c r="Z1717">
        <f>LN(C1717/C1716)</f>
        <v>5.0698737767219644E-4</v>
      </c>
    </row>
    <row r="1718" spans="1:26" x14ac:dyDescent="0.3">
      <c r="A1718" s="11">
        <v>42710</v>
      </c>
      <c r="B1718" s="12">
        <v>25053.99</v>
      </c>
      <c r="C1718" s="12">
        <v>45.45975</v>
      </c>
      <c r="D1718" s="16">
        <f t="shared" si="356"/>
        <v>1.9956203826852592E-2</v>
      </c>
      <c r="E1718" s="15">
        <f t="shared" si="355"/>
        <v>5.0707896764534688E-4</v>
      </c>
      <c r="G1718" s="25" t="str">
        <f>IF(VLOOKUP(A1718,Aux!B:C,2,FALSE)=0,"",VLOOKUP(A1718,Aux!B:C,2,FALSE))</f>
        <v/>
      </c>
      <c r="H1718" s="25" t="str">
        <f t="shared" si="344"/>
        <v/>
      </c>
      <c r="L1718" s="13">
        <f t="shared" si="347"/>
        <v>157090.35944299764</v>
      </c>
      <c r="M1718" s="14">
        <f t="shared" si="348"/>
        <v>1690.5974920174965</v>
      </c>
      <c r="N1718" s="14">
        <f t="shared" si="349"/>
        <v>35.824395052827285</v>
      </c>
      <c r="O1718" s="1">
        <f t="shared" si="350"/>
        <v>3.4487912933853409</v>
      </c>
      <c r="P1718" s="1">
        <f t="shared" si="351"/>
        <v>1554.8782575010678</v>
      </c>
      <c r="S1718" s="6">
        <f t="shared" si="345"/>
        <v>0.55004000807520581</v>
      </c>
      <c r="T1718" s="6">
        <f t="shared" si="346"/>
        <v>0.44995999192479375</v>
      </c>
      <c r="V1718" s="1">
        <f t="shared" si="352"/>
        <v>159499.91374029362</v>
      </c>
      <c r="W1718" s="7">
        <f t="shared" si="353"/>
        <v>1.1050828700095026E-2</v>
      </c>
      <c r="X1718" s="7">
        <f t="shared" si="354"/>
        <v>7.4411132100615273E-3</v>
      </c>
      <c r="Y1718">
        <f>LN(B1718/B1717)</f>
        <v>1.9759688949687784E-2</v>
      </c>
      <c r="Z1718">
        <f>LN(C1718/C1717)</f>
        <v>5.0695044655069328E-4</v>
      </c>
    </row>
    <row r="1719" spans="1:26" x14ac:dyDescent="0.3">
      <c r="A1719" s="9">
        <v>42711</v>
      </c>
      <c r="B1719" s="1">
        <v>25178.57</v>
      </c>
      <c r="C1719" s="1">
        <v>45.482810000000001</v>
      </c>
      <c r="D1719" s="6">
        <f t="shared" si="356"/>
        <v>4.9724614722046478E-3</v>
      </c>
      <c r="E1719" s="5">
        <f t="shared" si="355"/>
        <v>5.0726191851024893E-4</v>
      </c>
      <c r="G1719" s="25" t="str">
        <f>IF(VLOOKUP(A1719,Aux!B:C,2,FALSE)=0,"",VLOOKUP(A1719,Aux!B:C,2,FALSE))</f>
        <v/>
      </c>
      <c r="H1719" s="25" t="str">
        <f t="shared" si="344"/>
        <v/>
      </c>
      <c r="L1719" s="13">
        <f t="shared" si="347"/>
        <v>157555.86535494553</v>
      </c>
      <c r="M1719" s="14">
        <f t="shared" si="348"/>
        <v>429.65041932993921</v>
      </c>
      <c r="N1719" s="14">
        <f t="shared" si="349"/>
        <v>35.855492617976125</v>
      </c>
      <c r="O1719" s="1">
        <f t="shared" si="350"/>
        <v>3.4487912933853409</v>
      </c>
      <c r="P1719" s="1">
        <f t="shared" si="351"/>
        <v>1554.8782575010678</v>
      </c>
      <c r="S1719" s="6">
        <f t="shared" si="345"/>
        <v>0.55114186196920056</v>
      </c>
      <c r="T1719" s="6">
        <f t="shared" si="346"/>
        <v>0.4488581380307991</v>
      </c>
      <c r="V1719" s="1">
        <f t="shared" si="352"/>
        <v>159838.91243268771</v>
      </c>
      <c r="W1719" s="7">
        <f t="shared" si="353"/>
        <v>2.9589183971925085E-3</v>
      </c>
      <c r="X1719" s="7">
        <f t="shared" si="354"/>
        <v>2.1231293657469458E-3</v>
      </c>
      <c r="Y1719">
        <f>LN(B1719/B1718)</f>
        <v>4.9601396154161804E-3</v>
      </c>
      <c r="Z1719">
        <f>LN(C1719/C1718)</f>
        <v>5.0713330467535927E-4</v>
      </c>
    </row>
    <row r="1720" spans="1:26" x14ac:dyDescent="0.3">
      <c r="A1720" s="11">
        <v>42712</v>
      </c>
      <c r="B1720" s="12">
        <v>24904.23</v>
      </c>
      <c r="C1720" s="12">
        <v>45.505879999999998</v>
      </c>
      <c r="D1720" s="16">
        <f t="shared" si="356"/>
        <v>-1.0895773667845332E-2</v>
      </c>
      <c r="E1720" s="15">
        <f t="shared" si="355"/>
        <v>5.0722459760055294E-4</v>
      </c>
      <c r="G1720" s="25" t="str">
        <f>IF(VLOOKUP(A1720,Aux!B:C,2,FALSE)=0,"",VLOOKUP(A1720,Aux!B:C,2,FALSE))</f>
        <v/>
      </c>
      <c r="H1720" s="25" t="str">
        <f t="shared" si="344"/>
        <v/>
      </c>
      <c r="L1720" s="13">
        <f t="shared" si="347"/>
        <v>156645.59499291872</v>
      </c>
      <c r="M1720" s="14">
        <f t="shared" si="348"/>
        <v>-946.14140342733492</v>
      </c>
      <c r="N1720" s="14">
        <f t="shared" si="349"/>
        <v>35.871041400545025</v>
      </c>
      <c r="O1720" s="1">
        <f t="shared" si="350"/>
        <v>3.4487912933853409</v>
      </c>
      <c r="P1720" s="1">
        <f t="shared" si="351"/>
        <v>1554.8782575010678</v>
      </c>
      <c r="S1720" s="6">
        <f t="shared" si="345"/>
        <v>0.54830454438472209</v>
      </c>
      <c r="T1720" s="6">
        <f t="shared" si="346"/>
        <v>0.45169545561527774</v>
      </c>
      <c r="V1720" s="1">
        <f t="shared" si="352"/>
        <v>159257.61110211012</v>
      </c>
      <c r="W1720" s="7">
        <f t="shared" si="353"/>
        <v>-5.7941990957458087E-3</v>
      </c>
      <c r="X1720" s="7">
        <f t="shared" si="354"/>
        <v>-3.6434240472463385E-3</v>
      </c>
      <c r="Y1720">
        <f>LN(B1720/B1719)</f>
        <v>-1.0955567338631615E-2</v>
      </c>
      <c r="Z1720">
        <f>LN(C1720/C1719)</f>
        <v>5.070960026868455E-4</v>
      </c>
    </row>
    <row r="1721" spans="1:26" x14ac:dyDescent="0.3">
      <c r="A1721" s="9">
        <v>42713</v>
      </c>
      <c r="B1721" s="1">
        <v>24845.97</v>
      </c>
      <c r="C1721" s="1">
        <v>45.528959999999998</v>
      </c>
      <c r="D1721" s="6">
        <f t="shared" si="356"/>
        <v>-2.3393616265188211E-3</v>
      </c>
      <c r="E1721" s="5">
        <f t="shared" si="355"/>
        <v>5.0718720306042187E-4</v>
      </c>
      <c r="G1721" s="25" t="str">
        <f>IF(VLOOKUP(A1721,Aux!B:C,2,FALSE)=0,"",VLOOKUP(A1721,Aux!B:C,2,FALSE))</f>
        <v/>
      </c>
      <c r="H1721" s="25" t="str">
        <f t="shared" si="344"/>
        <v/>
      </c>
      <c r="L1721" s="13">
        <f t="shared" si="347"/>
        <v>156480.55500234923</v>
      </c>
      <c r="M1721" s="14">
        <f t="shared" si="348"/>
        <v>-200.92658075262443</v>
      </c>
      <c r="N1721" s="14">
        <f t="shared" si="349"/>
        <v>35.886590183124973</v>
      </c>
      <c r="O1721" s="1">
        <f t="shared" si="350"/>
        <v>3.4487912933853409</v>
      </c>
      <c r="P1721" s="1">
        <f t="shared" si="351"/>
        <v>1554.8782575010678</v>
      </c>
      <c r="S1721" s="6">
        <f t="shared" si="345"/>
        <v>0.54759880555399965</v>
      </c>
      <c r="T1721" s="6">
        <f t="shared" si="346"/>
        <v>0.45240119444600008</v>
      </c>
      <c r="V1721" s="1">
        <f t="shared" si="352"/>
        <v>159174.83626137604</v>
      </c>
      <c r="W1721" s="7">
        <f t="shared" si="353"/>
        <v>-1.0541438704813305E-3</v>
      </c>
      <c r="X1721" s="7">
        <f t="shared" si="354"/>
        <v>-5.1988949796936057E-4</v>
      </c>
      <c r="Y1721">
        <f>LN(B1721/B1720)</f>
        <v>-2.3421022079035238E-3</v>
      </c>
      <c r="Z1721">
        <f>LN(C1721/C1720)</f>
        <v>5.0705862710383057E-4</v>
      </c>
    </row>
    <row r="1722" spans="1:26" x14ac:dyDescent="0.3">
      <c r="A1722" s="11">
        <v>42716</v>
      </c>
      <c r="B1722" s="12">
        <v>24322.92</v>
      </c>
      <c r="C1722" s="12">
        <v>45.552050000000001</v>
      </c>
      <c r="D1722" s="16">
        <f t="shared" si="356"/>
        <v>-2.10517037571889E-2</v>
      </c>
      <c r="E1722" s="15">
        <f t="shared" si="355"/>
        <v>5.0714973502596905E-4</v>
      </c>
      <c r="G1722" s="25" t="str">
        <f>IF(VLOOKUP(A1722,Aux!B:C,2,FALSE)=0,"",VLOOKUP(A1722,Aux!B:C,2,FALSE))</f>
        <v/>
      </c>
      <c r="H1722" s="25" t="str">
        <f t="shared" si="344"/>
        <v/>
      </c>
      <c r="L1722" s="13">
        <f t="shared" si="347"/>
        <v>154712.56685530971</v>
      </c>
      <c r="M1722" s="14">
        <f t="shared" si="348"/>
        <v>-1803.8902860052126</v>
      </c>
      <c r="N1722" s="14">
        <f t="shared" si="349"/>
        <v>35.902138965704921</v>
      </c>
      <c r="O1722" s="1">
        <f t="shared" si="350"/>
        <v>3.4487912933853409</v>
      </c>
      <c r="P1722" s="1">
        <f t="shared" si="351"/>
        <v>1554.8782575010678</v>
      </c>
      <c r="S1722" s="6">
        <f t="shared" si="345"/>
        <v>0.54219690378583663</v>
      </c>
      <c r="T1722" s="6">
        <f t="shared" si="346"/>
        <v>0.45780309621416326</v>
      </c>
      <c r="V1722" s="1">
        <f t="shared" si="352"/>
        <v>158019.79700352534</v>
      </c>
      <c r="W1722" s="7">
        <f t="shared" si="353"/>
        <v>-1.1362765082221097E-2</v>
      </c>
      <c r="X1722" s="7">
        <f t="shared" si="354"/>
        <v>-7.2828745635195114E-3</v>
      </c>
      <c r="Y1722">
        <f>LN(B1722/B1721)</f>
        <v>-2.1276450672819473E-2</v>
      </c>
      <c r="Z1722">
        <f>LN(C1722/C1721)</f>
        <v>5.0702117806235086E-4</v>
      </c>
    </row>
    <row r="1723" spans="1:26" x14ac:dyDescent="0.3">
      <c r="A1723" s="9">
        <v>42717</v>
      </c>
      <c r="B1723" s="1">
        <v>24378.65</v>
      </c>
      <c r="C1723" s="1">
        <v>45.575150000000001</v>
      </c>
      <c r="D1723" s="6">
        <f t="shared" si="356"/>
        <v>2.2912545039823762E-3</v>
      </c>
      <c r="E1723" s="5">
        <f t="shared" si="355"/>
        <v>5.0711219363352988E-4</v>
      </c>
      <c r="G1723" s="25" t="str">
        <f>IF(VLOOKUP(A1723,Aux!B:C,2,FALSE)=0,"",VLOOKUP(A1723,Aux!B:C,2,FALSE))</f>
        <v/>
      </c>
      <c r="H1723" s="25" t="str">
        <f t="shared" si="344"/>
        <v/>
      </c>
      <c r="L1723" s="13">
        <f t="shared" si="347"/>
        <v>154940.68568183834</v>
      </c>
      <c r="M1723" s="14">
        <f t="shared" si="348"/>
        <v>192.20113878037608</v>
      </c>
      <c r="N1723" s="14">
        <f t="shared" si="349"/>
        <v>35.917687748273813</v>
      </c>
      <c r="O1723" s="1">
        <f t="shared" si="350"/>
        <v>3.4487912933853409</v>
      </c>
      <c r="P1723" s="1">
        <f t="shared" si="351"/>
        <v>1554.8782575010678</v>
      </c>
      <c r="S1723" s="6">
        <f t="shared" si="345"/>
        <v>0.54263911053766412</v>
      </c>
      <c r="T1723" s="6">
        <f t="shared" si="346"/>
        <v>0.45736088946233583</v>
      </c>
      <c r="V1723" s="1">
        <f t="shared" si="352"/>
        <v>158200.04582283201</v>
      </c>
      <c r="W1723" s="7">
        <f t="shared" si="353"/>
        <v>1.4733826686933768E-3</v>
      </c>
      <c r="X1723" s="7">
        <f t="shared" si="354"/>
        <v>1.1400223162298948E-3</v>
      </c>
      <c r="Y1723">
        <f>LN(B1723/B1722)</f>
        <v>2.2886335830824304E-3</v>
      </c>
      <c r="Z1723">
        <f>LN(C1723/C1722)</f>
        <v>5.0698365569866411E-4</v>
      </c>
    </row>
    <row r="1724" spans="1:26" x14ac:dyDescent="0.3">
      <c r="A1724" s="11">
        <v>42718</v>
      </c>
      <c r="B1724" s="12">
        <v>23958.33</v>
      </c>
      <c r="C1724" s="12">
        <v>45.598269999999999</v>
      </c>
      <c r="D1724" s="16">
        <f t="shared" si="356"/>
        <v>-1.7241315659398682E-2</v>
      </c>
      <c r="E1724" s="15">
        <f t="shared" si="355"/>
        <v>5.0729399683824283E-4</v>
      </c>
      <c r="G1724" s="25" t="str">
        <f>IF(VLOOKUP(A1724,Aux!B:C,2,FALSE)=0,"",VLOOKUP(A1724,Aux!B:C,2,FALSE))</f>
        <v/>
      </c>
      <c r="H1724" s="25" t="str">
        <f t="shared" si="344"/>
        <v/>
      </c>
      <c r="L1724" s="13">
        <f t="shared" si="347"/>
        <v>153527.03851071605</v>
      </c>
      <c r="M1724" s="14">
        <f t="shared" si="348"/>
        <v>-1449.5959564357254</v>
      </c>
      <c r="N1724" s="14">
        <f t="shared" si="349"/>
        <v>35.948785313422661</v>
      </c>
      <c r="O1724" s="1">
        <f t="shared" si="350"/>
        <v>3.4487912933853409</v>
      </c>
      <c r="P1724" s="1">
        <f t="shared" si="351"/>
        <v>1554.8782575010678</v>
      </c>
      <c r="S1724" s="6">
        <f t="shared" si="345"/>
        <v>0.53819366744500519</v>
      </c>
      <c r="T1724" s="6">
        <f t="shared" si="346"/>
        <v>0.46180633255499465</v>
      </c>
      <c r="V1724" s="1">
        <f t="shared" si="352"/>
        <v>157282.07538246977</v>
      </c>
      <c r="W1724" s="7">
        <f t="shared" si="353"/>
        <v>-9.1656724959755225E-3</v>
      </c>
      <c r="X1724" s="7">
        <f t="shared" si="354"/>
        <v>-5.8194932096790166E-3</v>
      </c>
      <c r="Y1724">
        <f>LN(B1724/B1723)</f>
        <v>-1.739167794424187E-2</v>
      </c>
      <c r="Z1724">
        <f>LN(C1724/C1723)</f>
        <v>5.0716536673897498E-4</v>
      </c>
    </row>
    <row r="1725" spans="1:26" x14ac:dyDescent="0.3">
      <c r="A1725" s="9">
        <v>42719</v>
      </c>
      <c r="B1725" s="1">
        <v>24036.28</v>
      </c>
      <c r="C1725" s="1">
        <v>45.621400000000001</v>
      </c>
      <c r="D1725" s="6">
        <f t="shared" si="356"/>
        <v>3.253565670061187E-3</v>
      </c>
      <c r="E1725" s="5">
        <f t="shared" si="355"/>
        <v>5.0725608668922284E-4</v>
      </c>
      <c r="G1725" s="25" t="str">
        <f>IF(VLOOKUP(A1725,Aux!B:C,2,FALSE)=0,"",VLOOKUP(A1725,Aux!B:C,2,FALSE))</f>
        <v/>
      </c>
      <c r="H1725" s="25" t="str">
        <f t="shared" si="344"/>
        <v/>
      </c>
      <c r="L1725" s="13">
        <f t="shared" si="347"/>
        <v>153831.83612613144</v>
      </c>
      <c r="M1725" s="14">
        <f t="shared" si="348"/>
        <v>268.83328131937731</v>
      </c>
      <c r="N1725" s="14">
        <f t="shared" si="349"/>
        <v>35.964334096002609</v>
      </c>
      <c r="O1725" s="1">
        <f t="shared" si="350"/>
        <v>3.4487912933853409</v>
      </c>
      <c r="P1725" s="1">
        <f t="shared" si="351"/>
        <v>1554.8782575010678</v>
      </c>
      <c r="S1725" s="6">
        <f t="shared" si="345"/>
        <v>0.53887488621928115</v>
      </c>
      <c r="T1725" s="6">
        <f t="shared" si="346"/>
        <v>0.46112511378071852</v>
      </c>
      <c r="V1725" s="1">
        <f t="shared" si="352"/>
        <v>157513.65363301005</v>
      </c>
      <c r="W1725" s="7">
        <f t="shared" si="353"/>
        <v>1.9833344046991212E-3</v>
      </c>
      <c r="X1725" s="7">
        <f t="shared" si="354"/>
        <v>1.4712924666375985E-3</v>
      </c>
      <c r="Y1725">
        <f>LN(B1725/B1724)</f>
        <v>3.2482842777470594E-3</v>
      </c>
      <c r="Z1725">
        <f>LN(C1725/C1724)</f>
        <v>5.0712747581107707E-4</v>
      </c>
    </row>
    <row r="1726" spans="1:26" x14ac:dyDescent="0.3">
      <c r="A1726" s="11">
        <v>42720</v>
      </c>
      <c r="B1726" s="12">
        <v>24043.42</v>
      </c>
      <c r="C1726" s="12">
        <v>45.644539999999999</v>
      </c>
      <c r="D1726" s="16">
        <f t="shared" si="356"/>
        <v>2.9705095796850323E-4</v>
      </c>
      <c r="E1726" s="15">
        <f t="shared" si="355"/>
        <v>5.0721810378462351E-4</v>
      </c>
      <c r="G1726" s="25" t="str">
        <f>IF(VLOOKUP(A1726,Aux!B:C,2,FALSE)=0,"",VLOOKUP(A1726,Aux!B:C,2,FALSE))</f>
        <v/>
      </c>
      <c r="H1726" s="25" t="str">
        <f t="shared" si="344"/>
        <v/>
      </c>
      <c r="L1726" s="13">
        <f t="shared" si="347"/>
        <v>153892.4403788448</v>
      </c>
      <c r="M1726" s="14">
        <f t="shared" si="348"/>
        <v>24.624369834769325</v>
      </c>
      <c r="N1726" s="14">
        <f t="shared" si="349"/>
        <v>35.979882878571502</v>
      </c>
      <c r="O1726" s="1">
        <f t="shared" si="350"/>
        <v>3.4487912933853409</v>
      </c>
      <c r="P1726" s="1">
        <f t="shared" si="351"/>
        <v>1554.8782575010678</v>
      </c>
      <c r="S1726" s="6">
        <f t="shared" si="345"/>
        <v>0.53882268261570743</v>
      </c>
      <c r="T1726" s="6">
        <f t="shared" si="346"/>
        <v>0.46117731738429224</v>
      </c>
      <c r="V1726" s="1">
        <f t="shared" si="352"/>
        <v>157581.89310792787</v>
      </c>
      <c r="W1726" s="7">
        <f t="shared" si="353"/>
        <v>3.938867234344047E-4</v>
      </c>
      <c r="X1726" s="7">
        <f t="shared" si="354"/>
        <v>4.3313513434568146E-4</v>
      </c>
      <c r="Y1726">
        <f>LN(B1726/B1725)</f>
        <v>2.9700684706792887E-4</v>
      </c>
      <c r="Z1726">
        <f>LN(C1726/C1725)</f>
        <v>5.0708951216304826E-4</v>
      </c>
    </row>
    <row r="1727" spans="1:26" x14ac:dyDescent="0.3">
      <c r="A1727" s="9">
        <v>42723</v>
      </c>
      <c r="B1727" s="1">
        <v>23552.94</v>
      </c>
      <c r="C1727" s="1">
        <v>45.66769</v>
      </c>
      <c r="D1727" s="6">
        <f t="shared" si="356"/>
        <v>-2.039976010068445E-2</v>
      </c>
      <c r="E1727" s="5">
        <f t="shared" si="355"/>
        <v>5.0718004825989205E-4</v>
      </c>
      <c r="G1727" s="25" t="str">
        <f>IF(VLOOKUP(A1727,Aux!B:C,2,FALSE)=0,"",VLOOKUP(A1727,Aux!B:C,2,FALSE))</f>
        <v/>
      </c>
      <c r="H1727" s="25" t="str">
        <f t="shared" si="344"/>
        <v/>
      </c>
      <c r="L1727" s="13">
        <f t="shared" si="347"/>
        <v>152236.87265692631</v>
      </c>
      <c r="M1727" s="14">
        <f t="shared" si="348"/>
        <v>-1691.5631535796406</v>
      </c>
      <c r="N1727" s="14">
        <f t="shared" si="349"/>
        <v>35.99543166115145</v>
      </c>
      <c r="O1727" s="1">
        <f t="shared" si="350"/>
        <v>3.4487912933853409</v>
      </c>
      <c r="P1727" s="1">
        <f t="shared" si="351"/>
        <v>1554.8782575010678</v>
      </c>
      <c r="S1727" s="6">
        <f t="shared" si="345"/>
        <v>0.5335709607532565</v>
      </c>
      <c r="T1727" s="6">
        <f t="shared" si="346"/>
        <v>0.46642903924674323</v>
      </c>
      <c r="V1727" s="1">
        <f t="shared" si="352"/>
        <v>156502.12820732957</v>
      </c>
      <c r="W1727" s="7">
        <f t="shared" si="353"/>
        <v>-1.0816238706548768E-2</v>
      </c>
      <c r="X1727" s="7">
        <f t="shared" si="354"/>
        <v>-6.8756707194681469E-3</v>
      </c>
      <c r="Y1727">
        <f>LN(B1727/B1726)</f>
        <v>-2.0610709008977199E-2</v>
      </c>
      <c r="Z1727">
        <f>LN(C1727/C1726)</f>
        <v>5.0705147593025897E-4</v>
      </c>
    </row>
    <row r="1728" spans="1:26" x14ac:dyDescent="0.3">
      <c r="A1728" s="11">
        <v>42724</v>
      </c>
      <c r="B1728" s="12">
        <v>23708.55</v>
      </c>
      <c r="C1728" s="12">
        <v>45.690849999999998</v>
      </c>
      <c r="D1728" s="16">
        <f t="shared" si="356"/>
        <v>6.6068185118290934E-3</v>
      </c>
      <c r="E1728" s="15">
        <f t="shared" si="355"/>
        <v>5.0714192025025362E-4</v>
      </c>
      <c r="G1728" s="25" t="str">
        <f>IF(VLOOKUP(A1728,Aux!B:C,2,FALSE)=0,"",VLOOKUP(A1728,Aux!B:C,2,FALSE))</f>
        <v/>
      </c>
      <c r="H1728" s="25" t="str">
        <f t="shared" si="344"/>
        <v/>
      </c>
      <c r="L1728" s="13">
        <f t="shared" si="347"/>
        <v>152809.55005053373</v>
      </c>
      <c r="M1728" s="14">
        <f t="shared" si="348"/>
        <v>536.66641316369487</v>
      </c>
      <c r="N1728" s="14">
        <f t="shared" si="349"/>
        <v>36.010980443720349</v>
      </c>
      <c r="O1728" s="1">
        <f t="shared" si="350"/>
        <v>3.4487912933853409</v>
      </c>
      <c r="P1728" s="1">
        <f t="shared" si="351"/>
        <v>1554.8782575010678</v>
      </c>
      <c r="S1728" s="6">
        <f t="shared" si="345"/>
        <v>0.53508331640104478</v>
      </c>
      <c r="T1728" s="6">
        <f t="shared" si="346"/>
        <v>0.46491668359895494</v>
      </c>
      <c r="V1728" s="1">
        <f t="shared" si="352"/>
        <v>156912.93790840503</v>
      </c>
      <c r="W1728" s="7">
        <f t="shared" si="353"/>
        <v>3.7546945236208865E-3</v>
      </c>
      <c r="X1728" s="7">
        <f t="shared" si="354"/>
        <v>2.6215072646893667E-3</v>
      </c>
      <c r="Y1728">
        <f>LN(B1728/B1727)</f>
        <v>6.5850891418984103E-3</v>
      </c>
      <c r="Z1728">
        <f>LN(C1728/C1727)</f>
        <v>5.070133672478574E-4</v>
      </c>
    </row>
    <row r="1729" spans="1:26" x14ac:dyDescent="0.3">
      <c r="A1729" s="9">
        <v>42725</v>
      </c>
      <c r="B1729" s="1">
        <v>23740.47</v>
      </c>
      <c r="C1729" s="1">
        <v>45.714019999999998</v>
      </c>
      <c r="D1729" s="6">
        <f t="shared" si="356"/>
        <v>1.3463497345895803E-3</v>
      </c>
      <c r="E1729" s="5">
        <f t="shared" si="355"/>
        <v>5.0710371989137748E-4</v>
      </c>
      <c r="G1729" s="25" t="str">
        <f>IF(VLOOKUP(A1729,Aux!B:C,2,FALSE)=0,"",VLOOKUP(A1729,Aux!B:C,2,FALSE))</f>
        <v/>
      </c>
      <c r="H1729" s="25" t="str">
        <f t="shared" si="344"/>
        <v/>
      </c>
      <c r="L1729" s="13">
        <f t="shared" si="347"/>
        <v>152955.6619978449</v>
      </c>
      <c r="M1729" s="14">
        <f t="shared" si="348"/>
        <v>110.0854180848666</v>
      </c>
      <c r="N1729" s="14">
        <f t="shared" si="349"/>
        <v>36.026529226300298</v>
      </c>
      <c r="O1729" s="1">
        <f t="shared" si="350"/>
        <v>3.4487912933853409</v>
      </c>
      <c r="P1729" s="1">
        <f t="shared" si="351"/>
        <v>1554.8782575010678</v>
      </c>
      <c r="S1729" s="6">
        <f t="shared" si="345"/>
        <v>0.53529189549079592</v>
      </c>
      <c r="T1729" s="6">
        <f t="shared" si="346"/>
        <v>0.4647081045092038</v>
      </c>
      <c r="V1729" s="1">
        <f t="shared" si="352"/>
        <v>157038.41282410576</v>
      </c>
      <c r="W1729" s="7">
        <f t="shared" si="353"/>
        <v>9.5571342111640408E-4</v>
      </c>
      <c r="X1729" s="7">
        <f t="shared" si="354"/>
        <v>7.993271702046368E-4</v>
      </c>
      <c r="Y1729">
        <f>LN(B1729/B1728)</f>
        <v>1.3454442184554806E-3</v>
      </c>
      <c r="Z1729">
        <f>LN(C1729/C1728)</f>
        <v>5.0697518625143583E-4</v>
      </c>
    </row>
    <row r="1730" spans="1:26" x14ac:dyDescent="0.3">
      <c r="A1730" s="11">
        <v>42726</v>
      </c>
      <c r="B1730" s="12">
        <v>23596.58</v>
      </c>
      <c r="C1730" s="12">
        <v>45.737209999999997</v>
      </c>
      <c r="D1730" s="16">
        <f t="shared" si="356"/>
        <v>-6.0609583550789159E-3</v>
      </c>
      <c r="E1730" s="15">
        <f t="shared" si="355"/>
        <v>5.0728419858936391E-4</v>
      </c>
      <c r="G1730" s="25" t="str">
        <f>IF(VLOOKUP(A1730,Aux!B:C,2,FALSE)=0,"",VLOOKUP(A1730,Aux!B:C,2,FALSE))</f>
        <v/>
      </c>
      <c r="H1730" s="25" t="str">
        <f t="shared" si="344"/>
        <v/>
      </c>
      <c r="L1730" s="13">
        <f t="shared" si="347"/>
        <v>152495.47304543114</v>
      </c>
      <c r="M1730" s="14">
        <f t="shared" si="348"/>
        <v>-496.24657920521469</v>
      </c>
      <c r="N1730" s="14">
        <f t="shared" si="349"/>
        <v>36.057626791449138</v>
      </c>
      <c r="O1730" s="1">
        <f t="shared" si="350"/>
        <v>3.4487912933853409</v>
      </c>
      <c r="P1730" s="1">
        <f t="shared" si="351"/>
        <v>1554.8782575010678</v>
      </c>
      <c r="S1730" s="6">
        <f t="shared" si="345"/>
        <v>0.53365308512093468</v>
      </c>
      <c r="T1730" s="6">
        <f t="shared" si="346"/>
        <v>0.46634691487906488</v>
      </c>
      <c r="V1730" s="1">
        <f t="shared" si="352"/>
        <v>156758.33266258897</v>
      </c>
      <c r="W1730" s="7">
        <f t="shared" si="353"/>
        <v>-3.0131778723235182E-3</v>
      </c>
      <c r="X1730" s="7">
        <f t="shared" si="354"/>
        <v>-1.7851060593872378E-3</v>
      </c>
      <c r="Y1730">
        <f>LN(B1730/B1729)</f>
        <v>-6.0794005190548872E-3</v>
      </c>
      <c r="Z1730">
        <f>LN(C1730/C1729)</f>
        <v>5.0715557345812074E-4</v>
      </c>
    </row>
    <row r="1731" spans="1:26" x14ac:dyDescent="0.3">
      <c r="A1731" s="9">
        <v>42727</v>
      </c>
      <c r="B1731" s="1">
        <v>23862.91</v>
      </c>
      <c r="C1731" s="1">
        <v>45.760399999999997</v>
      </c>
      <c r="D1731" s="6">
        <f t="shared" si="356"/>
        <v>1.1286805121759169E-2</v>
      </c>
      <c r="E1731" s="5">
        <f t="shared" si="355"/>
        <v>5.0702699180815713E-4</v>
      </c>
      <c r="G1731" s="25" t="str">
        <f>IF(VLOOKUP(A1731,Aux!B:C,2,FALSE)=0,"",VLOOKUP(A1731,Aux!B:C,2,FALSE))</f>
        <v/>
      </c>
      <c r="H1731" s="25" t="str">
        <f t="shared" ref="H1731:H1794" si="357">IF(ISNUMBER(G1731),1-G1731,"")</f>
        <v/>
      </c>
      <c r="L1731" s="13">
        <f t="shared" si="347"/>
        <v>153450.0472573899</v>
      </c>
      <c r="M1731" s="14">
        <f t="shared" si="348"/>
        <v>918.51658516731129</v>
      </c>
      <c r="N1731" s="14">
        <f t="shared" si="349"/>
        <v>36.057626791449138</v>
      </c>
      <c r="O1731" s="1">
        <f t="shared" si="350"/>
        <v>3.4487912933853409</v>
      </c>
      <c r="P1731" s="1">
        <f t="shared" si="351"/>
        <v>1554.8782575010678</v>
      </c>
      <c r="S1731" s="6">
        <f t="shared" ref="S1731:S1794" si="358">O1731*B1731/L1731</f>
        <v>0.53631913260212194</v>
      </c>
      <c r="T1731" s="6">
        <f t="shared" ref="T1731:T1794" si="359">P1731*C1731/L1731</f>
        <v>0.46368086739787756</v>
      </c>
      <c r="V1731" s="1">
        <f t="shared" si="352"/>
        <v>157424.64439064459</v>
      </c>
      <c r="W1731" s="7">
        <f t="shared" si="353"/>
        <v>6.2401783728777355E-3</v>
      </c>
      <c r="X1731" s="7">
        <f t="shared" si="354"/>
        <v>4.2415584272739171E-3</v>
      </c>
      <c r="Y1731">
        <f>LN(B1731/B1730)</f>
        <v>1.122358439872447E-2</v>
      </c>
      <c r="Z1731">
        <f>LN(C1731/C1730)</f>
        <v>5.0689849705465035E-4</v>
      </c>
    </row>
    <row r="1732" spans="1:26" x14ac:dyDescent="0.3">
      <c r="A1732" s="11">
        <v>42730</v>
      </c>
      <c r="B1732" s="12">
        <v>24134.49</v>
      </c>
      <c r="C1732" s="12">
        <v>45.783610000000003</v>
      </c>
      <c r="D1732" s="16">
        <f t="shared" si="356"/>
        <v>1.1380841649237361E-2</v>
      </c>
      <c r="E1732" s="15">
        <f t="shared" si="355"/>
        <v>5.0720710483309617E-4</v>
      </c>
      <c r="G1732" s="25" t="str">
        <f>IF(VLOOKUP(A1732,Aux!B:C,2,FALSE)=0,"",VLOOKUP(A1732,Aux!B:C,2,FALSE))</f>
        <v/>
      </c>
      <c r="H1732" s="25" t="str">
        <f t="shared" si="357"/>
        <v/>
      </c>
      <c r="L1732" s="13">
        <f t="shared" ref="L1732:L1795" si="360">L1731+M1732+N1732</f>
        <v>154422.7587212041</v>
      </c>
      <c r="M1732" s="14">
        <f t="shared" ref="M1732:M1795" si="361">O1731*(B1732-B1731)</f>
        <v>936.62273945759694</v>
      </c>
      <c r="N1732" s="14">
        <f t="shared" ref="N1732:N1795" si="362">P1731*(C1732-C1731)</f>
        <v>36.088724356609035</v>
      </c>
      <c r="O1732" s="1">
        <f t="shared" ref="O1732:O1795" si="363">IF(ISNUMBER(G1732),L1732*G1732/B1732,O1731)</f>
        <v>3.4487912933853409</v>
      </c>
      <c r="P1732" s="1">
        <f t="shared" ref="P1732:P1795" si="364">IF(ISNUMBER(H1732),L1732*H1732/C1732,P1731)</f>
        <v>1554.8782575010678</v>
      </c>
      <c r="S1732" s="6">
        <f t="shared" si="358"/>
        <v>0.53900616509881349</v>
      </c>
      <c r="T1732" s="6">
        <f t="shared" si="359"/>
        <v>0.46099383490118612</v>
      </c>
      <c r="V1732" s="1">
        <f t="shared" ref="V1732:V1795" si="365">$O$2*B1732+$P$2*C1732</f>
        <v>158103.11279499542</v>
      </c>
      <c r="W1732" s="7">
        <f t="shared" ref="W1732:W1795" si="366">LN(L1732/L1731)</f>
        <v>6.3189387405326999E-3</v>
      </c>
      <c r="X1732" s="7">
        <f t="shared" ref="X1732:X1795" si="367">LN(V1732/V1731)</f>
        <v>4.3005373350994969E-3</v>
      </c>
      <c r="Y1732">
        <f>LN(B1732/B1731)</f>
        <v>1.1316567077016738E-2</v>
      </c>
      <c r="Z1732">
        <f>LN(C1732/C1731)</f>
        <v>5.0707851878749961E-4</v>
      </c>
    </row>
    <row r="1733" spans="1:26" x14ac:dyDescent="0.3">
      <c r="A1733" s="9">
        <v>42731</v>
      </c>
      <c r="B1733" s="1">
        <v>24167.45</v>
      </c>
      <c r="C1733" s="1">
        <v>45.806829999999998</v>
      </c>
      <c r="D1733" s="6">
        <f t="shared" si="356"/>
        <v>1.3656804017818658E-3</v>
      </c>
      <c r="E1733" s="5">
        <f t="shared" ref="E1733:E1796" si="368">C1733/C1732-1</f>
        <v>5.0716839497799704E-4</v>
      </c>
      <c r="G1733" s="25" t="str">
        <f>IF(VLOOKUP(A1733,Aux!B:C,2,FALSE)=0,"",VLOOKUP(A1733,Aux!B:C,2,FALSE))</f>
        <v/>
      </c>
      <c r="H1733" s="25" t="str">
        <f t="shared" si="357"/>
        <v/>
      </c>
      <c r="L1733" s="13">
        <f t="shared" si="360"/>
        <v>154572.53515537325</v>
      </c>
      <c r="M1733" s="14">
        <f t="shared" si="361"/>
        <v>113.67216102997783</v>
      </c>
      <c r="N1733" s="14">
        <f t="shared" si="362"/>
        <v>36.104273139166878</v>
      </c>
      <c r="O1733" s="1">
        <f t="shared" si="363"/>
        <v>3.4487912933853409</v>
      </c>
      <c r="P1733" s="1">
        <f t="shared" si="364"/>
        <v>1554.8782575010678</v>
      </c>
      <c r="S1733" s="6">
        <f t="shared" si="358"/>
        <v>0.5392192801880703</v>
      </c>
      <c r="T1733" s="6">
        <f t="shared" si="359"/>
        <v>0.46078071981192925</v>
      </c>
      <c r="V1733" s="1">
        <f t="shared" si="365"/>
        <v>158231.09888369861</v>
      </c>
      <c r="W1733" s="7">
        <f t="shared" si="366"/>
        <v>9.6944159906316575E-4</v>
      </c>
      <c r="X1733" s="7">
        <f t="shared" si="367"/>
        <v>8.0918276279714823E-4</v>
      </c>
      <c r="Y1733">
        <f>LN(B1733/B1732)</f>
        <v>1.3647487084690244E-3</v>
      </c>
      <c r="Z1733">
        <f>LN(C1733/C1732)</f>
        <v>5.0703982855561207E-4</v>
      </c>
    </row>
    <row r="1734" spans="1:26" x14ac:dyDescent="0.3">
      <c r="A1734" s="11">
        <v>42732</v>
      </c>
      <c r="B1734" s="12">
        <v>24609.5</v>
      </c>
      <c r="C1734" s="12">
        <v>45.830060000000003</v>
      </c>
      <c r="D1734" s="16">
        <f t="shared" si="356"/>
        <v>1.8291131252986981E-2</v>
      </c>
      <c r="E1734" s="15">
        <f t="shared" si="368"/>
        <v>5.0712961364074438E-4</v>
      </c>
      <c r="G1734" s="25" t="str">
        <f>IF(VLOOKUP(A1734,Aux!B:C,2,FALSE)=0,"",VLOOKUP(A1734,Aux!B:C,2,FALSE))</f>
        <v/>
      </c>
      <c r="H1734" s="25" t="str">
        <f t="shared" si="357"/>
        <v/>
      </c>
      <c r="L1734" s="13">
        <f t="shared" si="360"/>
        <v>156133.19316853597</v>
      </c>
      <c r="M1734" s="14">
        <f t="shared" si="361"/>
        <v>1524.5381912409873</v>
      </c>
      <c r="N1734" s="14">
        <f t="shared" si="362"/>
        <v>36.119821921757875</v>
      </c>
      <c r="O1734" s="1">
        <f t="shared" si="363"/>
        <v>3.4487912933853409</v>
      </c>
      <c r="P1734" s="1">
        <f t="shared" si="364"/>
        <v>1554.8782575010678</v>
      </c>
      <c r="S1734" s="6">
        <f t="shared" si="358"/>
        <v>0.54359375871440374</v>
      </c>
      <c r="T1734" s="6">
        <f t="shared" si="359"/>
        <v>0.45640624128559593</v>
      </c>
      <c r="V1734" s="1">
        <f t="shared" si="365"/>
        <v>159302.89228377119</v>
      </c>
      <c r="W1734" s="7">
        <f t="shared" si="366"/>
        <v>1.0045975958704625E-2</v>
      </c>
      <c r="X1734" s="7">
        <f t="shared" si="367"/>
        <v>6.7507574008546806E-3</v>
      </c>
      <c r="Y1734">
        <f>LN(B1734/B1733)</f>
        <v>1.8125860791933814E-2</v>
      </c>
      <c r="Z1734">
        <f>LN(C1734/C1733)</f>
        <v>5.0700106687630656E-4</v>
      </c>
    </row>
    <row r="1735" spans="1:26" x14ac:dyDescent="0.3">
      <c r="A1735" s="9">
        <v>42733</v>
      </c>
      <c r="B1735" s="1">
        <v>24788.04</v>
      </c>
      <c r="C1735" s="1">
        <v>45.85331</v>
      </c>
      <c r="D1735" s="6">
        <f t="shared" si="356"/>
        <v>7.2549218797619552E-3</v>
      </c>
      <c r="E1735" s="5">
        <f t="shared" si="368"/>
        <v>5.0730895835604528E-4</v>
      </c>
      <c r="G1735" s="25">
        <f>IF(VLOOKUP(A1735,Aux!B:C,2,FALSE)=0,"",VLOOKUP(A1735,Aux!B:C,2,FALSE))</f>
        <v>0.5</v>
      </c>
      <c r="H1735" s="25">
        <f t="shared" si="357"/>
        <v>0.5</v>
      </c>
      <c r="L1735" s="13">
        <f t="shared" si="360"/>
        <v>156785.09128554389</v>
      </c>
      <c r="M1735" s="14">
        <f t="shared" si="361"/>
        <v>615.7471975210218</v>
      </c>
      <c r="N1735" s="14">
        <f t="shared" si="362"/>
        <v>36.150919486895674</v>
      </c>
      <c r="O1735" s="1">
        <f t="shared" si="363"/>
        <v>3.1625148919709645</v>
      </c>
      <c r="P1735" s="1">
        <f t="shared" si="364"/>
        <v>1709.6376606786282</v>
      </c>
      <c r="S1735" s="6">
        <f t="shared" si="358"/>
        <v>0.5</v>
      </c>
      <c r="T1735" s="6">
        <f t="shared" si="359"/>
        <v>0.5</v>
      </c>
      <c r="V1735" s="1">
        <f t="shared" si="365"/>
        <v>159766.80363886387</v>
      </c>
      <c r="W1735" s="7">
        <f t="shared" si="366"/>
        <v>4.1665769786766475E-3</v>
      </c>
      <c r="X1735" s="7">
        <f t="shared" si="367"/>
        <v>2.907901865452484E-3</v>
      </c>
      <c r="Y1735">
        <f>LN(B1735/B1734)</f>
        <v>7.2287315303587885E-3</v>
      </c>
      <c r="Z1735">
        <f>LN(C1735/C1734)</f>
        <v>5.0718032067062588E-4</v>
      </c>
    </row>
    <row r="1736" spans="1:26" x14ac:dyDescent="0.3">
      <c r="A1736" s="11">
        <v>42737</v>
      </c>
      <c r="B1736" s="12">
        <v>24538.78</v>
      </c>
      <c r="C1736" s="12">
        <v>45.899830000000001</v>
      </c>
      <c r="D1736" s="16">
        <f t="shared" si="356"/>
        <v>-1.005565587275159E-2</v>
      </c>
      <c r="E1736" s="15">
        <f t="shared" si="368"/>
        <v>1.0145396264740203E-3</v>
      </c>
      <c r="G1736" s="25" t="str">
        <f>IF(VLOOKUP(A1736,Aux!B:C,2,FALSE)=0,"",VLOOKUP(A1736,Aux!B:C,2,FALSE))</f>
        <v/>
      </c>
      <c r="H1736" s="25" t="str">
        <f t="shared" si="357"/>
        <v/>
      </c>
      <c r="L1736" s="13">
        <f t="shared" si="360"/>
        <v>156076.33516754597</v>
      </c>
      <c r="M1736" s="14">
        <f t="shared" si="361"/>
        <v>-788.28846197268899</v>
      </c>
      <c r="N1736" s="14">
        <f t="shared" si="362"/>
        <v>79.532343974771507</v>
      </c>
      <c r="O1736" s="1">
        <f t="shared" si="363"/>
        <v>3.1625148919709645</v>
      </c>
      <c r="P1736" s="1">
        <f t="shared" si="364"/>
        <v>1709.6376606786282</v>
      </c>
      <c r="S1736" s="6">
        <f t="shared" si="358"/>
        <v>0.49721988344672546</v>
      </c>
      <c r="T1736" s="6">
        <f t="shared" si="359"/>
        <v>0.50278011655327459</v>
      </c>
      <c r="V1736" s="1">
        <f t="shared" si="365"/>
        <v>159295.82350181177</v>
      </c>
      <c r="W1736" s="7">
        <f t="shared" si="366"/>
        <v>-4.530806743998729E-3</v>
      </c>
      <c r="X1736" s="7">
        <f t="shared" si="367"/>
        <v>-2.9522760679230168E-3</v>
      </c>
      <c r="Y1736">
        <f>LN(B1736/B1735)</f>
        <v>-1.0106555487079861E-2</v>
      </c>
      <c r="Z1736">
        <f>LN(C1736/C1735)</f>
        <v>1.0140253289679174E-3</v>
      </c>
    </row>
    <row r="1737" spans="1:26" x14ac:dyDescent="0.3">
      <c r="A1737" s="9">
        <v>42738</v>
      </c>
      <c r="B1737" s="1">
        <v>25419.96</v>
      </c>
      <c r="C1737" s="1">
        <v>45.923110000000001</v>
      </c>
      <c r="D1737" s="6">
        <f t="shared" si="356"/>
        <v>3.5909690701819708E-2</v>
      </c>
      <c r="E1737" s="5">
        <f t="shared" si="368"/>
        <v>5.0719142097044312E-4</v>
      </c>
      <c r="G1737" s="25" t="str">
        <f>IF(VLOOKUP(A1737,Aux!B:C,2,FALSE)=0,"",VLOOKUP(A1737,Aux!B:C,2,FALSE))</f>
        <v/>
      </c>
      <c r="H1737" s="25" t="str">
        <f t="shared" si="357"/>
        <v/>
      </c>
      <c r="L1737" s="13">
        <f t="shared" si="360"/>
        <v>158902.88040479354</v>
      </c>
      <c r="M1737" s="14">
        <f t="shared" si="361"/>
        <v>2786.7448725069753</v>
      </c>
      <c r="N1737" s="14">
        <f t="shared" si="362"/>
        <v>39.800364740598027</v>
      </c>
      <c r="O1737" s="1">
        <f t="shared" si="363"/>
        <v>3.1625148919709645</v>
      </c>
      <c r="P1737" s="1">
        <f t="shared" si="364"/>
        <v>1709.6376606786282</v>
      </c>
      <c r="S1737" s="6">
        <f t="shared" si="358"/>
        <v>0.50591280566164687</v>
      </c>
      <c r="T1737" s="6">
        <f t="shared" si="359"/>
        <v>0.49408719433835319</v>
      </c>
      <c r="V1737" s="1">
        <f t="shared" si="365"/>
        <v>161380.81702935701</v>
      </c>
      <c r="W1737" s="7">
        <f t="shared" si="366"/>
        <v>1.794798496779659E-2</v>
      </c>
      <c r="X1737" s="7">
        <f t="shared" si="367"/>
        <v>1.3003896418973988E-2</v>
      </c>
      <c r="Y1737">
        <f>LN(B1737/B1736)</f>
        <v>3.5279968900427255E-2</v>
      </c>
      <c r="Z1737">
        <f>LN(C1737/C1736)</f>
        <v>5.0706284287565747E-4</v>
      </c>
    </row>
    <row r="1738" spans="1:26" x14ac:dyDescent="0.3">
      <c r="A1738" s="11">
        <v>42739</v>
      </c>
      <c r="B1738" s="12">
        <v>25352.17</v>
      </c>
      <c r="C1738" s="12">
        <v>45.946399999999997</v>
      </c>
      <c r="D1738" s="16">
        <f t="shared" si="356"/>
        <v>-2.6668019933941967E-3</v>
      </c>
      <c r="E1738" s="15">
        <f t="shared" si="368"/>
        <v>5.0715206352514031E-4</v>
      </c>
      <c r="G1738" s="25" t="str">
        <f>IF(VLOOKUP(A1738,Aux!B:C,2,FALSE)=0,"",VLOOKUP(A1738,Aux!B:C,2,FALSE))</f>
        <v/>
      </c>
      <c r="H1738" s="25" t="str">
        <f t="shared" si="357"/>
        <v/>
      </c>
      <c r="L1738" s="13">
        <f t="shared" si="360"/>
        <v>158728.31098138401</v>
      </c>
      <c r="M1738" s="14">
        <f t="shared" si="361"/>
        <v>-214.38688452671445</v>
      </c>
      <c r="N1738" s="14">
        <f t="shared" si="362"/>
        <v>39.817461117198093</v>
      </c>
      <c r="O1738" s="1">
        <f t="shared" si="363"/>
        <v>3.1625148919709645</v>
      </c>
      <c r="P1738" s="1">
        <f t="shared" si="364"/>
        <v>1709.6376606786282</v>
      </c>
      <c r="S1738" s="6">
        <f t="shared" si="358"/>
        <v>0.50511855555612128</v>
      </c>
      <c r="T1738" s="6">
        <f t="shared" si="359"/>
        <v>0.49488144444387888</v>
      </c>
      <c r="V1738" s="1">
        <f t="shared" si="365"/>
        <v>161276.52594307862</v>
      </c>
      <c r="W1738" s="7">
        <f t="shared" si="366"/>
        <v>-1.0991958329052587E-3</v>
      </c>
      <c r="X1738" s="7">
        <f t="shared" si="367"/>
        <v>-6.4645105516307185E-4</v>
      </c>
      <c r="Y1738">
        <f>LN(B1738/B1737)</f>
        <v>-2.6703642444517871E-3</v>
      </c>
      <c r="Z1738">
        <f>LN(C1738/C1737)</f>
        <v>5.0702350538122027E-4</v>
      </c>
    </row>
    <row r="1739" spans="1:26" x14ac:dyDescent="0.3">
      <c r="A1739" s="9">
        <v>42740</v>
      </c>
      <c r="B1739" s="1">
        <v>25546.98</v>
      </c>
      <c r="C1739" s="1">
        <v>45.969700000000003</v>
      </c>
      <c r="D1739" s="6">
        <f t="shared" si="356"/>
        <v>7.6841548474944066E-3</v>
      </c>
      <c r="E1739" s="5">
        <f t="shared" si="368"/>
        <v>5.0711263559288788E-4</v>
      </c>
      <c r="G1739" s="25" t="str">
        <f>IF(VLOOKUP(A1739,Aux!B:C,2,FALSE)=0,"",VLOOKUP(A1739,Aux!B:C,2,FALSE))</f>
        <v/>
      </c>
      <c r="H1739" s="25" t="str">
        <f t="shared" si="357"/>
        <v/>
      </c>
      <c r="L1739" s="13">
        <f t="shared" si="360"/>
        <v>159384.2350649827</v>
      </c>
      <c r="M1739" s="14">
        <f t="shared" si="361"/>
        <v>616.08952610486779</v>
      </c>
      <c r="N1739" s="14">
        <f t="shared" si="362"/>
        <v>39.834557493822452</v>
      </c>
      <c r="O1739" s="1">
        <f t="shared" si="363"/>
        <v>3.1625148919709645</v>
      </c>
      <c r="P1739" s="1">
        <f t="shared" si="364"/>
        <v>1709.6376606786282</v>
      </c>
      <c r="S1739" s="6">
        <f t="shared" si="358"/>
        <v>0.50690524481260224</v>
      </c>
      <c r="T1739" s="6">
        <f t="shared" si="359"/>
        <v>0.49309475518739798</v>
      </c>
      <c r="V1739" s="1">
        <f t="shared" si="365"/>
        <v>161778.08461392205</v>
      </c>
      <c r="W1739" s="7">
        <f t="shared" si="366"/>
        <v>4.1238550400738323E-3</v>
      </c>
      <c r="X1739" s="7">
        <f t="shared" si="367"/>
        <v>3.1051039511071827E-3</v>
      </c>
      <c r="Y1739">
        <f>LN(B1739/B1738)</f>
        <v>7.654782103483272E-3</v>
      </c>
      <c r="Z1739">
        <f>LN(C1739/C1738)</f>
        <v>5.0698409743401272E-4</v>
      </c>
    </row>
    <row r="1740" spans="1:26" x14ac:dyDescent="0.3">
      <c r="A1740" s="11">
        <v>42741</v>
      </c>
      <c r="B1740" s="12">
        <v>25375.58</v>
      </c>
      <c r="C1740" s="12">
        <v>45.993020000000001</v>
      </c>
      <c r="D1740" s="16">
        <f t="shared" si="356"/>
        <v>-6.7092078985460102E-3</v>
      </c>
      <c r="E1740" s="15">
        <f t="shared" si="368"/>
        <v>5.0729067189902999E-4</v>
      </c>
      <c r="G1740" s="25" t="str">
        <f>IF(VLOOKUP(A1740,Aux!B:C,2,FALSE)=0,"",VLOOKUP(A1740,Aux!B:C,2,FALSE))</f>
        <v/>
      </c>
      <c r="H1740" s="25" t="str">
        <f t="shared" si="357"/>
        <v/>
      </c>
      <c r="L1740" s="13">
        <f t="shared" si="360"/>
        <v>158882.04876274592</v>
      </c>
      <c r="M1740" s="14">
        <f t="shared" si="361"/>
        <v>-542.05505248381644</v>
      </c>
      <c r="N1740" s="14">
        <f t="shared" si="362"/>
        <v>39.868750247022582</v>
      </c>
      <c r="O1740" s="1">
        <f t="shared" si="363"/>
        <v>3.1625148919709645</v>
      </c>
      <c r="P1740" s="1">
        <f t="shared" si="364"/>
        <v>1709.6376606786282</v>
      </c>
      <c r="S1740" s="6">
        <f t="shared" si="358"/>
        <v>0.5050957629721694</v>
      </c>
      <c r="T1740" s="6">
        <f t="shared" si="359"/>
        <v>0.49490423702783071</v>
      </c>
      <c r="V1740" s="1">
        <f t="shared" si="365"/>
        <v>161434.82874732034</v>
      </c>
      <c r="W1740" s="7">
        <f t="shared" si="366"/>
        <v>-3.1557644935774308E-3</v>
      </c>
      <c r="X1740" s="7">
        <f t="shared" si="367"/>
        <v>-2.1240240192218372E-3</v>
      </c>
      <c r="Y1740">
        <f>LN(B1740/B1739)</f>
        <v>-6.7318158113904673E-3</v>
      </c>
      <c r="Z1740">
        <f>LN(C1740/C1739)</f>
        <v>5.0716204348562311E-4</v>
      </c>
    </row>
    <row r="1741" spans="1:26" x14ac:dyDescent="0.3">
      <c r="A1741" s="9">
        <v>42744</v>
      </c>
      <c r="B1741" s="1">
        <v>25392.45</v>
      </c>
      <c r="C1741" s="1">
        <v>46.016350000000003</v>
      </c>
      <c r="D1741" s="6">
        <f t="shared" si="356"/>
        <v>6.6481239049509533E-4</v>
      </c>
      <c r="E1741" s="5">
        <f t="shared" si="368"/>
        <v>5.0725088285141773E-4</v>
      </c>
      <c r="G1741" s="25" t="str">
        <f>IF(VLOOKUP(A1741,Aux!B:C,2,FALSE)=0,"",VLOOKUP(A1741,Aux!B:C,2,FALSE))</f>
        <v/>
      </c>
      <c r="H1741" s="25" t="str">
        <f t="shared" si="357"/>
        <v/>
      </c>
      <c r="L1741" s="13">
        <f t="shared" si="360"/>
        <v>158975.2862355971</v>
      </c>
      <c r="M1741" s="14">
        <f t="shared" si="361"/>
        <v>53.351626227546951</v>
      </c>
      <c r="N1741" s="14">
        <f t="shared" si="362"/>
        <v>39.885846623634798</v>
      </c>
      <c r="O1741" s="1">
        <f t="shared" si="363"/>
        <v>3.1625148919709645</v>
      </c>
      <c r="P1741" s="1">
        <f t="shared" si="364"/>
        <v>1709.6376606786282</v>
      </c>
      <c r="S1741" s="6">
        <f t="shared" si="358"/>
        <v>0.50513512615803535</v>
      </c>
      <c r="T1741" s="6">
        <f t="shared" si="359"/>
        <v>0.49486487384196481</v>
      </c>
      <c r="V1741" s="1">
        <f t="shared" si="365"/>
        <v>161525.94072776305</v>
      </c>
      <c r="W1741" s="7">
        <f t="shared" si="366"/>
        <v>5.86662412719362E-4</v>
      </c>
      <c r="X1741" s="7">
        <f t="shared" si="367"/>
        <v>5.6422941404281671E-4</v>
      </c>
      <c r="Y1741">
        <f>LN(B1741/B1740)</f>
        <v>6.6459150063260728E-4</v>
      </c>
      <c r="Z1741">
        <f>LN(C1741/C1740)</f>
        <v>5.0712227461159848E-4</v>
      </c>
    </row>
    <row r="1742" spans="1:26" x14ac:dyDescent="0.3">
      <c r="A1742" s="11">
        <v>42745</v>
      </c>
      <c r="B1742" s="12">
        <v>25552.46</v>
      </c>
      <c r="C1742" s="12">
        <v>46.039679999999997</v>
      </c>
      <c r="D1742" s="16">
        <f t="shared" si="356"/>
        <v>6.301479376743746E-3</v>
      </c>
      <c r="E1742" s="15">
        <f t="shared" si="368"/>
        <v>5.0699370984430558E-4</v>
      </c>
      <c r="G1742" s="25" t="str">
        <f>IF(VLOOKUP(A1742,Aux!B:C,2,FALSE)=0,"",VLOOKUP(A1742,Aux!B:C,2,FALSE))</f>
        <v/>
      </c>
      <c r="H1742" s="25" t="str">
        <f t="shared" si="357"/>
        <v/>
      </c>
      <c r="L1742" s="13">
        <f t="shared" si="360"/>
        <v>159521.206090085</v>
      </c>
      <c r="M1742" s="14">
        <f t="shared" si="361"/>
        <v>506.03400786426897</v>
      </c>
      <c r="N1742" s="14">
        <f t="shared" si="362"/>
        <v>39.885846623622648</v>
      </c>
      <c r="O1742" s="1">
        <f t="shared" si="363"/>
        <v>3.1625148919709645</v>
      </c>
      <c r="P1742" s="1">
        <f t="shared" si="364"/>
        <v>1709.6376606786282</v>
      </c>
      <c r="S1742" s="6">
        <f t="shared" si="358"/>
        <v>0.5065786377696847</v>
      </c>
      <c r="T1742" s="6">
        <f t="shared" si="359"/>
        <v>0.49342136223031535</v>
      </c>
      <c r="V1742" s="1">
        <f t="shared" si="365"/>
        <v>161947.28169526978</v>
      </c>
      <c r="W1742" s="7">
        <f t="shared" si="366"/>
        <v>3.4281092713828042E-3</v>
      </c>
      <c r="X1742" s="7">
        <f t="shared" si="367"/>
        <v>2.6051071717117756E-3</v>
      </c>
      <c r="Y1742">
        <f>LN(B1742/B1741)</f>
        <v>6.281708071088991E-3</v>
      </c>
      <c r="Z1742">
        <f>LN(C1742/C1741)</f>
        <v>5.0686523195654783E-4</v>
      </c>
    </row>
    <row r="1743" spans="1:26" x14ac:dyDescent="0.3">
      <c r="A1743" s="9">
        <v>42746</v>
      </c>
      <c r="B1743" s="1">
        <v>25660.880000000001</v>
      </c>
      <c r="C1743" s="1">
        <v>46.063029999999998</v>
      </c>
      <c r="D1743" s="6">
        <f t="shared" si="356"/>
        <v>4.2430356998897079E-3</v>
      </c>
      <c r="E1743" s="5">
        <f t="shared" si="368"/>
        <v>5.071712053603683E-4</v>
      </c>
      <c r="G1743" s="25" t="str">
        <f>IF(VLOOKUP(A1743,Aux!B:C,2,FALSE)=0,"",VLOOKUP(A1743,Aux!B:C,2,FALSE))</f>
        <v/>
      </c>
      <c r="H1743" s="25" t="str">
        <f t="shared" si="357"/>
        <v/>
      </c>
      <c r="L1743" s="13">
        <f t="shared" si="360"/>
        <v>159904.00599404937</v>
      </c>
      <c r="M1743" s="14">
        <f t="shared" si="361"/>
        <v>342.87986458749793</v>
      </c>
      <c r="N1743" s="14">
        <f t="shared" si="362"/>
        <v>39.920039376847079</v>
      </c>
      <c r="O1743" s="1">
        <f t="shared" si="363"/>
        <v>3.1625148919709645</v>
      </c>
      <c r="P1743" s="1">
        <f t="shared" si="364"/>
        <v>1709.6376606786282</v>
      </c>
      <c r="S1743" s="6">
        <f t="shared" si="358"/>
        <v>0.50751020674303737</v>
      </c>
      <c r="T1743" s="6">
        <f t="shared" si="359"/>
        <v>0.49248979325696252</v>
      </c>
      <c r="V1743" s="1">
        <f t="shared" si="365"/>
        <v>162249.64747079788</v>
      </c>
      <c r="W1743" s="7">
        <f t="shared" si="366"/>
        <v>2.396805716880434E-3</v>
      </c>
      <c r="X1743" s="7">
        <f t="shared" si="367"/>
        <v>1.865322191530441E-3</v>
      </c>
      <c r="Y1743">
        <f>LN(B1743/B1742)</f>
        <v>4.2340594061133652E-3</v>
      </c>
      <c r="Z1743">
        <f>LN(C1743/C1742)</f>
        <v>5.0704263751336488E-4</v>
      </c>
    </row>
    <row r="1744" spans="1:26" x14ac:dyDescent="0.3">
      <c r="A1744" s="11">
        <v>42747</v>
      </c>
      <c r="B1744" s="12">
        <v>26282.31</v>
      </c>
      <c r="C1744" s="12">
        <v>46.086399999999998</v>
      </c>
      <c r="D1744" s="16">
        <f t="shared" si="356"/>
        <v>2.4217018278406721E-2</v>
      </c>
      <c r="E1744" s="15">
        <f t="shared" si="368"/>
        <v>5.0734830079557369E-4</v>
      </c>
      <c r="G1744" s="25" t="str">
        <f>IF(VLOOKUP(A1744,Aux!B:C,2,FALSE)=0,"",VLOOKUP(A1744,Aux!B:C,2,FALSE))</f>
        <v/>
      </c>
      <c r="H1744" s="25" t="str">
        <f t="shared" si="357"/>
        <v/>
      </c>
      <c r="L1744" s="13">
        <f t="shared" si="360"/>
        <v>161909.24185549695</v>
      </c>
      <c r="M1744" s="14">
        <f t="shared" si="361"/>
        <v>1965.2816293175174</v>
      </c>
      <c r="N1744" s="14">
        <f t="shared" si="362"/>
        <v>39.954232130059353</v>
      </c>
      <c r="O1744" s="1">
        <f t="shared" si="363"/>
        <v>3.1625148919709645</v>
      </c>
      <c r="P1744" s="1">
        <f t="shared" si="364"/>
        <v>1709.6376606786282</v>
      </c>
      <c r="S1744" s="6">
        <f t="shared" si="358"/>
        <v>0.51336289280249925</v>
      </c>
      <c r="T1744" s="6">
        <f t="shared" si="359"/>
        <v>0.48663710719750064</v>
      </c>
      <c r="V1744" s="1">
        <f t="shared" si="365"/>
        <v>163735.59000416106</v>
      </c>
      <c r="W1744" s="7">
        <f t="shared" si="366"/>
        <v>1.2462270134872647E-2</v>
      </c>
      <c r="X1744" s="7">
        <f t="shared" si="367"/>
        <v>9.1166878398802852E-3</v>
      </c>
      <c r="Y1744">
        <f>LN(B1744/B1743)</f>
        <v>2.3928436075427315E-2</v>
      </c>
      <c r="Z1744">
        <f>LN(C1744/C1743)</f>
        <v>5.0721964316072926E-4</v>
      </c>
    </row>
    <row r="1745" spans="1:26" x14ac:dyDescent="0.3">
      <c r="A1745" s="9">
        <v>42748</v>
      </c>
      <c r="B1745" s="1">
        <v>26177.14</v>
      </c>
      <c r="C1745" s="1">
        <v>46.108559999999997</v>
      </c>
      <c r="D1745" s="6">
        <f t="shared" si="356"/>
        <v>-4.0015508530263366E-3</v>
      </c>
      <c r="E1745" s="5">
        <f t="shared" si="368"/>
        <v>4.8083599500059471E-4</v>
      </c>
      <c r="G1745" s="25" t="str">
        <f>IF(VLOOKUP(A1745,Aux!B:C,2,FALSE)=0,"",VLOOKUP(A1745,Aux!B:C,2,FALSE))</f>
        <v/>
      </c>
      <c r="H1745" s="25" t="str">
        <f t="shared" si="357"/>
        <v/>
      </c>
      <c r="L1745" s="13">
        <f t="shared" si="360"/>
        <v>161614.52573486901</v>
      </c>
      <c r="M1745" s="14">
        <f t="shared" si="361"/>
        <v>-332.60169118859233</v>
      </c>
      <c r="N1745" s="14">
        <f t="shared" si="362"/>
        <v>37.885570560637568</v>
      </c>
      <c r="O1745" s="1">
        <f t="shared" si="363"/>
        <v>3.1625148919709645</v>
      </c>
      <c r="P1745" s="1">
        <f t="shared" si="364"/>
        <v>1709.6376606786282</v>
      </c>
      <c r="S1745" s="6">
        <f t="shared" si="358"/>
        <v>0.51224105446449653</v>
      </c>
      <c r="T1745" s="6">
        <f t="shared" si="359"/>
        <v>0.48775894553550331</v>
      </c>
      <c r="V1745" s="1">
        <f t="shared" si="365"/>
        <v>163542.53399064176</v>
      </c>
      <c r="W1745" s="7">
        <f t="shared" si="366"/>
        <v>-1.8219137613638284E-3</v>
      </c>
      <c r="X1745" s="7">
        <f t="shared" si="367"/>
        <v>-1.1797674317789537E-3</v>
      </c>
      <c r="Y1745">
        <f>LN(B1745/B1744)</f>
        <v>-4.009578480102814E-3</v>
      </c>
      <c r="Z1745">
        <f>LN(C1745/C1744)</f>
        <v>4.8072043041714091E-4</v>
      </c>
    </row>
    <row r="1746" spans="1:26" x14ac:dyDescent="0.3">
      <c r="A1746" s="11">
        <v>42751</v>
      </c>
      <c r="B1746" s="12">
        <v>26248.720000000001</v>
      </c>
      <c r="C1746" s="12">
        <v>46.13073</v>
      </c>
      <c r="D1746" s="16">
        <f t="shared" si="356"/>
        <v>2.7344469258292481E-3</v>
      </c>
      <c r="E1746" s="15">
        <f t="shared" si="368"/>
        <v>4.8082178233288531E-4</v>
      </c>
      <c r="G1746" s="25" t="str">
        <f>IF(VLOOKUP(A1746,Aux!B:C,2,FALSE)=0,"",VLOOKUP(A1746,Aux!B:C,2,FALSE))</f>
        <v/>
      </c>
      <c r="H1746" s="25" t="str">
        <f t="shared" si="357"/>
        <v/>
      </c>
      <c r="L1746" s="13">
        <f t="shared" si="360"/>
        <v>161878.80121777352</v>
      </c>
      <c r="M1746" s="14">
        <f t="shared" si="361"/>
        <v>226.37281596728715</v>
      </c>
      <c r="N1746" s="14">
        <f t="shared" si="362"/>
        <v>37.902666937249784</v>
      </c>
      <c r="O1746" s="1">
        <f t="shared" si="363"/>
        <v>3.1625148919709645</v>
      </c>
      <c r="P1746" s="1">
        <f t="shared" si="364"/>
        <v>1709.6376606786282</v>
      </c>
      <c r="S1746" s="6">
        <f t="shared" si="358"/>
        <v>0.51280320382099409</v>
      </c>
      <c r="T1746" s="6">
        <f t="shared" si="359"/>
        <v>0.48719679617900591</v>
      </c>
      <c r="V1746" s="1">
        <f t="shared" si="365"/>
        <v>163757.26878119522</v>
      </c>
      <c r="W1746" s="7">
        <f t="shared" si="366"/>
        <v>1.6338855838920903E-3</v>
      </c>
      <c r="X1746" s="7">
        <f t="shared" si="367"/>
        <v>1.3121597968901897E-3</v>
      </c>
      <c r="Y1746">
        <f>LN(B1746/B1745)</f>
        <v>2.7307151272230449E-3</v>
      </c>
      <c r="Z1746">
        <f>LN(C1746/C1745)</f>
        <v>4.8070622458000841E-4</v>
      </c>
    </row>
    <row r="1747" spans="1:26" x14ac:dyDescent="0.3">
      <c r="A1747" s="9">
        <v>42752</v>
      </c>
      <c r="B1747" s="1">
        <v>26463.1</v>
      </c>
      <c r="C1747" s="1">
        <v>46.152920000000002</v>
      </c>
      <c r="D1747" s="6">
        <f t="shared" si="356"/>
        <v>8.1672553937868209E-3</v>
      </c>
      <c r="E1747" s="5">
        <f t="shared" si="368"/>
        <v>4.810242543311638E-4</v>
      </c>
      <c r="G1747" s="25" t="str">
        <f>IF(VLOOKUP(A1747,Aux!B:C,2,FALSE)=0,"",VLOOKUP(A1747,Aux!B:C,2,FALSE))</f>
        <v/>
      </c>
      <c r="H1747" s="25" t="str">
        <f t="shared" si="357"/>
        <v/>
      </c>
      <c r="L1747" s="13">
        <f t="shared" si="360"/>
        <v>162594.71802000472</v>
      </c>
      <c r="M1747" s="14">
        <f t="shared" si="361"/>
        <v>677.97994254072705</v>
      </c>
      <c r="N1747" s="14">
        <f t="shared" si="362"/>
        <v>37.936859690462057</v>
      </c>
      <c r="O1747" s="1">
        <f t="shared" si="363"/>
        <v>3.1625148919709645</v>
      </c>
      <c r="P1747" s="1">
        <f t="shared" si="364"/>
        <v>1709.6376606786282</v>
      </c>
      <c r="S1747" s="6">
        <f t="shared" si="358"/>
        <v>0.51471504644708144</v>
      </c>
      <c r="T1747" s="6">
        <f t="shared" si="359"/>
        <v>0.48528495355291851</v>
      </c>
      <c r="V1747" s="1">
        <f t="shared" si="365"/>
        <v>164301.49290956859</v>
      </c>
      <c r="W1747" s="7">
        <f t="shared" si="366"/>
        <v>4.4127974797669202E-3</v>
      </c>
      <c r="X1747" s="7">
        <f t="shared" si="367"/>
        <v>3.3178484537875566E-3</v>
      </c>
      <c r="Y1747">
        <f>LN(B1747/B1746)</f>
        <v>8.1340838546804552E-3</v>
      </c>
      <c r="Z1747">
        <f>LN(C1747/C1746)</f>
        <v>4.8090859925164895E-4</v>
      </c>
    </row>
    <row r="1748" spans="1:26" x14ac:dyDescent="0.3">
      <c r="A1748" s="11">
        <v>42753</v>
      </c>
      <c r="B1748" s="12">
        <v>26367.4</v>
      </c>
      <c r="C1748" s="12">
        <v>46.175109999999997</v>
      </c>
      <c r="D1748" s="16">
        <f t="shared" si="356"/>
        <v>-3.6163563603658355E-3</v>
      </c>
      <c r="E1748" s="15">
        <f t="shared" si="368"/>
        <v>4.8079298124581449E-4</v>
      </c>
      <c r="G1748" s="25" t="str">
        <f>IF(VLOOKUP(A1748,Aux!B:C,2,FALSE)=0,"",VLOOKUP(A1748,Aux!B:C,2,FALSE))</f>
        <v/>
      </c>
      <c r="H1748" s="25" t="str">
        <f t="shared" si="357"/>
        <v/>
      </c>
      <c r="L1748" s="13">
        <f t="shared" si="360"/>
        <v>162330.00220453355</v>
      </c>
      <c r="M1748" s="14">
        <f t="shared" si="361"/>
        <v>-302.65267516161208</v>
      </c>
      <c r="N1748" s="14">
        <f t="shared" si="362"/>
        <v>37.936859690449914</v>
      </c>
      <c r="O1748" s="1">
        <f t="shared" si="363"/>
        <v>3.1625148919709645</v>
      </c>
      <c r="P1748" s="1">
        <f t="shared" si="364"/>
        <v>1709.6376606786282</v>
      </c>
      <c r="S1748" s="6">
        <f t="shared" si="358"/>
        <v>0.51368997739240074</v>
      </c>
      <c r="T1748" s="6">
        <f t="shared" si="359"/>
        <v>0.48631002260759915</v>
      </c>
      <c r="V1748" s="1">
        <f t="shared" si="365"/>
        <v>164130.35163128554</v>
      </c>
      <c r="W1748" s="7">
        <f t="shared" si="366"/>
        <v>-1.6293981809401457E-3</v>
      </c>
      <c r="X1748" s="7">
        <f t="shared" si="367"/>
        <v>-1.0421723509323624E-3</v>
      </c>
      <c r="Y1748">
        <f>LN(B1748/B1747)</f>
        <v>-3.6229111848542312E-3</v>
      </c>
      <c r="Z1748">
        <f>LN(C1748/C1747)</f>
        <v>4.806774373340579E-4</v>
      </c>
    </row>
    <row r="1749" spans="1:26" x14ac:dyDescent="0.3">
      <c r="A1749" s="9">
        <v>42754</v>
      </c>
      <c r="B1749" s="1">
        <v>26266.48</v>
      </c>
      <c r="C1749" s="1">
        <v>46.197319999999998</v>
      </c>
      <c r="D1749" s="6">
        <f t="shared" si="356"/>
        <v>-3.8274535980036273E-3</v>
      </c>
      <c r="E1749" s="5">
        <f t="shared" si="368"/>
        <v>4.8099506422394356E-4</v>
      </c>
      <c r="G1749" s="25" t="str">
        <f>IF(VLOOKUP(A1749,Aux!B:C,2,FALSE)=0,"",VLOOKUP(A1749,Aux!B:C,2,FALSE))</f>
        <v/>
      </c>
      <c r="H1749" s="25" t="str">
        <f t="shared" si="357"/>
        <v/>
      </c>
      <c r="L1749" s="13">
        <f t="shared" si="360"/>
        <v>162048.8122540795</v>
      </c>
      <c r="M1749" s="14">
        <f t="shared" si="361"/>
        <v>-319.16100289771572</v>
      </c>
      <c r="N1749" s="14">
        <f t="shared" si="362"/>
        <v>37.971052443674338</v>
      </c>
      <c r="O1749" s="1">
        <f t="shared" si="363"/>
        <v>3.1625148919709645</v>
      </c>
      <c r="P1749" s="1">
        <f t="shared" si="364"/>
        <v>1709.6376606786282</v>
      </c>
      <c r="S1749" s="6">
        <f t="shared" si="358"/>
        <v>0.51261180507397575</v>
      </c>
      <c r="T1749" s="6">
        <f t="shared" si="359"/>
        <v>0.48738819492602414</v>
      </c>
      <c r="V1749" s="1">
        <f t="shared" si="365"/>
        <v>163947.21237305514</v>
      </c>
      <c r="W1749" s="7">
        <f t="shared" si="366"/>
        <v>-1.7337138453748257E-3</v>
      </c>
      <c r="X1749" s="7">
        <f t="shared" si="367"/>
        <v>-1.1164388994949685E-3</v>
      </c>
      <c r="Y1749">
        <f>LN(B1749/B1748)</f>
        <v>-3.8347970423096836E-3</v>
      </c>
      <c r="Z1749">
        <f>LN(C1749/C1748)</f>
        <v>4.808794231784018E-4</v>
      </c>
    </row>
    <row r="1750" spans="1:26" x14ac:dyDescent="0.3">
      <c r="A1750" s="11">
        <v>42755</v>
      </c>
      <c r="B1750" s="12">
        <v>26505.200000000001</v>
      </c>
      <c r="C1750" s="12">
        <v>46.219529999999999</v>
      </c>
      <c r="D1750" s="16">
        <f t="shared" si="356"/>
        <v>9.0883894606357263E-3</v>
      </c>
      <c r="E1750" s="15">
        <f t="shared" si="368"/>
        <v>4.8076381919992528E-4</v>
      </c>
      <c r="G1750" s="25" t="str">
        <f>IF(VLOOKUP(A1750,Aux!B:C,2,FALSE)=0,"",VLOOKUP(A1750,Aux!B:C,2,FALSE))</f>
        <v/>
      </c>
      <c r="H1750" s="25" t="str">
        <f t="shared" si="357"/>
        <v/>
      </c>
      <c r="L1750" s="13">
        <f t="shared" si="360"/>
        <v>162841.73886153448</v>
      </c>
      <c r="M1750" s="14">
        <f t="shared" si="361"/>
        <v>754.9555550113123</v>
      </c>
      <c r="N1750" s="14">
        <f t="shared" si="362"/>
        <v>37.971052443674338</v>
      </c>
      <c r="O1750" s="1">
        <f t="shared" si="363"/>
        <v>3.1625148919709645</v>
      </c>
      <c r="P1750" s="1">
        <f t="shared" si="364"/>
        <v>1709.6376606786282</v>
      </c>
      <c r="S1750" s="6">
        <f t="shared" si="358"/>
        <v>0.5147518707469968</v>
      </c>
      <c r="T1750" s="6">
        <f t="shared" si="359"/>
        <v>0.4852481292530032</v>
      </c>
      <c r="V1750" s="1">
        <f t="shared" si="365"/>
        <v>164547.63447549552</v>
      </c>
      <c r="W1750" s="7">
        <f t="shared" si="366"/>
        <v>4.8812018638034662E-3</v>
      </c>
      <c r="X1750" s="7">
        <f t="shared" si="367"/>
        <v>3.6555993303447488E-3</v>
      </c>
      <c r="Y1750">
        <f>LN(B1750/B1749)</f>
        <v>9.0473385858990379E-3</v>
      </c>
      <c r="Z1750">
        <f>LN(C1750/C1749)</f>
        <v>4.8064828930191296E-4</v>
      </c>
    </row>
    <row r="1751" spans="1:26" x14ac:dyDescent="0.3">
      <c r="A1751" s="9">
        <v>42758</v>
      </c>
      <c r="B1751" s="1">
        <v>26984.92</v>
      </c>
      <c r="C1751" s="1">
        <v>46.241759999999999</v>
      </c>
      <c r="D1751" s="6">
        <f t="shared" si="356"/>
        <v>1.8099089989888739E-2</v>
      </c>
      <c r="E1751" s="5">
        <f t="shared" si="368"/>
        <v>4.8096551392884379E-4</v>
      </c>
      <c r="G1751" s="25" t="str">
        <f>IF(VLOOKUP(A1751,Aux!B:C,2,FALSE)=0,"",VLOOKUP(A1751,Aux!B:C,2,FALSE))</f>
        <v/>
      </c>
      <c r="H1751" s="25" t="str">
        <f t="shared" si="357"/>
        <v/>
      </c>
      <c r="L1751" s="13">
        <f t="shared" si="360"/>
        <v>164396.86575070769</v>
      </c>
      <c r="M1751" s="14">
        <f t="shared" si="361"/>
        <v>1517.1216439763032</v>
      </c>
      <c r="N1751" s="14">
        <f t="shared" si="362"/>
        <v>38.005245196886619</v>
      </c>
      <c r="O1751" s="1">
        <f t="shared" si="363"/>
        <v>3.1625148919709645</v>
      </c>
      <c r="P1751" s="1">
        <f t="shared" si="364"/>
        <v>1709.6376606786282</v>
      </c>
      <c r="S1751" s="6">
        <f t="shared" si="358"/>
        <v>0.51911093906166972</v>
      </c>
      <c r="T1751" s="6">
        <f t="shared" si="359"/>
        <v>0.48088906093833017</v>
      </c>
      <c r="V1751" s="1">
        <f t="shared" si="365"/>
        <v>165704.09675081022</v>
      </c>
      <c r="W1751" s="7">
        <f t="shared" si="366"/>
        <v>9.504615741877288E-3</v>
      </c>
      <c r="X1751" s="7">
        <f t="shared" si="367"/>
        <v>7.0035484630246907E-3</v>
      </c>
      <c r="Y1751">
        <f>LN(B1751/B1750)</f>
        <v>1.7937251298857058E-2</v>
      </c>
      <c r="Z1751">
        <f>LN(C1751/C1750)</f>
        <v>4.8084988708957854E-4</v>
      </c>
    </row>
    <row r="1752" spans="1:26" x14ac:dyDescent="0.3">
      <c r="A1752" s="11">
        <v>42759</v>
      </c>
      <c r="B1752" s="12">
        <v>27031.74</v>
      </c>
      <c r="C1752" s="12">
        <v>46.264000000000003</v>
      </c>
      <c r="D1752" s="16">
        <f t="shared" si="356"/>
        <v>1.7350431277916023E-3</v>
      </c>
      <c r="E1752" s="15">
        <f t="shared" si="368"/>
        <v>4.8095055205510384E-4</v>
      </c>
      <c r="G1752" s="25" t="str">
        <f>IF(VLOOKUP(A1752,Aux!B:C,2,FALSE)=0,"",VLOOKUP(A1752,Aux!B:C,2,FALSE))</f>
        <v/>
      </c>
      <c r="H1752" s="25" t="str">
        <f t="shared" si="357"/>
        <v/>
      </c>
      <c r="L1752" s="13">
        <f t="shared" si="360"/>
        <v>164582.95703952326</v>
      </c>
      <c r="M1752" s="14">
        <f t="shared" si="361"/>
        <v>148.06894724209113</v>
      </c>
      <c r="N1752" s="14">
        <f t="shared" si="362"/>
        <v>38.022341573498828</v>
      </c>
      <c r="O1752" s="1">
        <f t="shared" si="363"/>
        <v>3.1625148919709645</v>
      </c>
      <c r="P1752" s="1">
        <f t="shared" si="364"/>
        <v>1709.6376606786282</v>
      </c>
      <c r="S1752" s="6">
        <f t="shared" si="358"/>
        <v>0.51942365019822734</v>
      </c>
      <c r="T1752" s="6">
        <f t="shared" si="359"/>
        <v>0.48057634980177272</v>
      </c>
      <c r="V1752" s="1">
        <f t="shared" si="365"/>
        <v>165861.86595452655</v>
      </c>
      <c r="W1752" s="7">
        <f t="shared" si="366"/>
        <v>1.131323538843878E-3</v>
      </c>
      <c r="X1752" s="7">
        <f t="shared" si="367"/>
        <v>9.5166110740762763E-4</v>
      </c>
      <c r="Y1752">
        <f>LN(B1752/B1751)</f>
        <v>1.7335396792447911E-3</v>
      </c>
      <c r="Z1752">
        <f>LN(C1752/C1751)</f>
        <v>4.8083493240841266E-4</v>
      </c>
    </row>
    <row r="1753" spans="1:26" x14ac:dyDescent="0.3">
      <c r="A1753" s="9">
        <v>42761</v>
      </c>
      <c r="B1753" s="1">
        <v>27191.29</v>
      </c>
      <c r="C1753" s="1">
        <v>46.308500000000002</v>
      </c>
      <c r="D1753" s="6">
        <f t="shared" si="356"/>
        <v>5.9023207533070998E-3</v>
      </c>
      <c r="E1753" s="5">
        <f t="shared" si="368"/>
        <v>9.6187100121047919E-4</v>
      </c>
      <c r="G1753" s="25" t="str">
        <f>IF(VLOOKUP(A1753,Aux!B:C,2,FALSE)=0,"",VLOOKUP(A1753,Aux!B:C,2,FALSE))</f>
        <v/>
      </c>
      <c r="H1753" s="25" t="str">
        <f t="shared" si="357"/>
        <v/>
      </c>
      <c r="L1753" s="13">
        <f t="shared" si="360"/>
        <v>165163.6151664374</v>
      </c>
      <c r="M1753" s="14">
        <f t="shared" si="361"/>
        <v>504.57925101396506</v>
      </c>
      <c r="N1753" s="14">
        <f t="shared" si="362"/>
        <v>76.078875900197787</v>
      </c>
      <c r="O1753" s="1">
        <f t="shared" si="363"/>
        <v>3.1625148919709645</v>
      </c>
      <c r="P1753" s="1">
        <f t="shared" si="364"/>
        <v>1709.6376606786282</v>
      </c>
      <c r="S1753" s="6">
        <f t="shared" si="358"/>
        <v>0.52065256303723495</v>
      </c>
      <c r="T1753" s="6">
        <f t="shared" si="359"/>
        <v>0.47934743696276511</v>
      </c>
      <c r="V1753" s="1">
        <f t="shared" si="365"/>
        <v>166329.50578015251</v>
      </c>
      <c r="W1753" s="7">
        <f t="shared" si="366"/>
        <v>3.5218484499063792E-3</v>
      </c>
      <c r="X1753" s="7">
        <f t="shared" si="367"/>
        <v>2.8154863390797333E-3</v>
      </c>
      <c r="Y1753">
        <f>LN(B1753/B1752)</f>
        <v>5.8849702966682219E-3</v>
      </c>
      <c r="Z1753">
        <f>LN(C1753/C1752)</f>
        <v>9.6140869972483956E-4</v>
      </c>
    </row>
    <row r="1754" spans="1:26" x14ac:dyDescent="0.3">
      <c r="A1754" s="11">
        <v>42762</v>
      </c>
      <c r="B1754" s="12">
        <v>27116.07</v>
      </c>
      <c r="C1754" s="12">
        <v>46.330770000000001</v>
      </c>
      <c r="D1754" s="16">
        <f t="shared" si="356"/>
        <v>-2.7663270113335026E-3</v>
      </c>
      <c r="E1754" s="15">
        <f t="shared" si="368"/>
        <v>4.8090523338051305E-4</v>
      </c>
      <c r="G1754" s="25" t="str">
        <f>IF(VLOOKUP(A1754,Aux!B:C,2,FALSE)=0,"",VLOOKUP(A1754,Aux!B:C,2,FALSE))</f>
        <v/>
      </c>
      <c r="H1754" s="25" t="str">
        <f t="shared" si="357"/>
        <v/>
      </c>
      <c r="L1754" s="13">
        <f t="shared" si="360"/>
        <v>164963.80442696667</v>
      </c>
      <c r="M1754" s="14">
        <f t="shared" si="361"/>
        <v>-237.88437017405963</v>
      </c>
      <c r="N1754" s="14">
        <f t="shared" si="362"/>
        <v>38.073630703311174</v>
      </c>
      <c r="O1754" s="1">
        <f t="shared" si="363"/>
        <v>3.1625148919709645</v>
      </c>
      <c r="P1754" s="1">
        <f t="shared" si="364"/>
        <v>1709.6376606786282</v>
      </c>
      <c r="S1754" s="6">
        <f t="shared" si="358"/>
        <v>0.51984115839600953</v>
      </c>
      <c r="T1754" s="6">
        <f t="shared" si="359"/>
        <v>0.48015884160399058</v>
      </c>
      <c r="V1754" s="1">
        <f t="shared" si="365"/>
        <v>166205.79154886061</v>
      </c>
      <c r="W1754" s="7">
        <f t="shared" si="366"/>
        <v>-1.2105069255733041E-3</v>
      </c>
      <c r="X1754" s="7">
        <f t="shared" si="367"/>
        <v>-7.4406679828161414E-4</v>
      </c>
      <c r="Y1754">
        <f>LN(B1754/B1753)</f>
        <v>-2.7701603650724443E-3</v>
      </c>
      <c r="Z1754">
        <f>LN(C1754/C1753)</f>
        <v>4.8078963551835975E-4</v>
      </c>
    </row>
    <row r="1755" spans="1:26" x14ac:dyDescent="0.3">
      <c r="A1755" s="9">
        <v>42765</v>
      </c>
      <c r="B1755" s="1">
        <v>26423.51</v>
      </c>
      <c r="C1755" s="1">
        <v>46.353050000000003</v>
      </c>
      <c r="D1755" s="6">
        <f t="shared" ref="D1755:D1818" si="369">B1755/B1754-1</f>
        <v>-2.5540574279384942E-2</v>
      </c>
      <c r="E1755" s="5">
        <f t="shared" si="368"/>
        <v>4.8088991398165248E-4</v>
      </c>
      <c r="G1755" s="25" t="str">
        <f>IF(VLOOKUP(A1755,Aux!B:C,2,FALSE)=0,"",VLOOKUP(A1755,Aux!B:C,2,FALSE))</f>
        <v/>
      </c>
      <c r="H1755" s="25" t="str">
        <f t="shared" si="357"/>
        <v/>
      </c>
      <c r="L1755" s="13">
        <f t="shared" si="360"/>
        <v>162811.66384046318</v>
      </c>
      <c r="M1755" s="14">
        <f t="shared" si="361"/>
        <v>-2190.2313135834152</v>
      </c>
      <c r="N1755" s="14">
        <f t="shared" si="362"/>
        <v>38.090727079923383</v>
      </c>
      <c r="O1755" s="1">
        <f t="shared" si="363"/>
        <v>3.1625148919709645</v>
      </c>
      <c r="P1755" s="1">
        <f t="shared" si="364"/>
        <v>1709.6376606786282</v>
      </c>
      <c r="S1755" s="6">
        <f t="shared" si="358"/>
        <v>0.51326017990349637</v>
      </c>
      <c r="T1755" s="6">
        <f t="shared" si="359"/>
        <v>0.48673982009650374</v>
      </c>
      <c r="V1755" s="1">
        <f t="shared" si="365"/>
        <v>164657.87471422457</v>
      </c>
      <c r="W1755" s="7">
        <f t="shared" si="366"/>
        <v>-1.3131986513069373E-2</v>
      </c>
      <c r="X1755" s="7">
        <f t="shared" si="367"/>
        <v>-9.3568940079446355E-3</v>
      </c>
      <c r="Y1755">
        <f>LN(B1755/B1754)</f>
        <v>-2.5872396898640262E-2</v>
      </c>
      <c r="Z1755">
        <f>LN(C1755/C1754)</f>
        <v>4.8077432348301978E-4</v>
      </c>
    </row>
    <row r="1756" spans="1:26" x14ac:dyDescent="0.3">
      <c r="A1756" s="11">
        <v>42766</v>
      </c>
      <c r="B1756" s="12">
        <v>26574.87</v>
      </c>
      <c r="C1756" s="12">
        <v>46.375340000000001</v>
      </c>
      <c r="D1756" s="16">
        <f t="shared" si="369"/>
        <v>5.7282321690039772E-3</v>
      </c>
      <c r="E1756" s="15">
        <f t="shared" si="368"/>
        <v>4.80874505561113E-4</v>
      </c>
      <c r="G1756" s="25" t="str">
        <f>IF(VLOOKUP(A1756,Aux!B:C,2,FALSE)=0,"",VLOOKUP(A1756,Aux!B:C,2,FALSE))</f>
        <v/>
      </c>
      <c r="H1756" s="25" t="str">
        <f t="shared" si="357"/>
        <v/>
      </c>
      <c r="L1756" s="13">
        <f t="shared" si="360"/>
        <v>163328.44991796842</v>
      </c>
      <c r="M1756" s="14">
        <f t="shared" si="361"/>
        <v>478.67825404872701</v>
      </c>
      <c r="N1756" s="14">
        <f t="shared" si="362"/>
        <v>38.107823456523448</v>
      </c>
      <c r="O1756" s="1">
        <f t="shared" si="363"/>
        <v>3.1625148919709645</v>
      </c>
      <c r="P1756" s="1">
        <f t="shared" si="364"/>
        <v>1709.6376606786282</v>
      </c>
      <c r="S1756" s="6">
        <f t="shared" si="358"/>
        <v>0.51456694880410092</v>
      </c>
      <c r="T1756" s="6">
        <f t="shared" si="359"/>
        <v>0.48543305119589919</v>
      </c>
      <c r="V1756" s="1">
        <f t="shared" si="365"/>
        <v>165056.93321139269</v>
      </c>
      <c r="W1756" s="7">
        <f t="shared" si="366"/>
        <v>3.1691073144422578E-3</v>
      </c>
      <c r="X1756" s="7">
        <f t="shared" si="367"/>
        <v>2.4206294799675354E-3</v>
      </c>
      <c r="Y1756">
        <f>LN(B1756/B1755)</f>
        <v>5.7118882319870841E-3</v>
      </c>
      <c r="Z1756">
        <f>LN(C1756/C1755)</f>
        <v>4.807589224685542E-4</v>
      </c>
    </row>
    <row r="1757" spans="1:26" x14ac:dyDescent="0.3">
      <c r="A1757" s="9">
        <v>42767</v>
      </c>
      <c r="B1757" s="1">
        <v>26645.72</v>
      </c>
      <c r="C1757" s="1">
        <v>46.397640000000003</v>
      </c>
      <c r="D1757" s="6">
        <f t="shared" si="369"/>
        <v>2.6660525526560619E-3</v>
      </c>
      <c r="E1757" s="5">
        <f t="shared" si="368"/>
        <v>4.8085900825745043E-4</v>
      </c>
      <c r="G1757" s="25" t="str">
        <f>IF(VLOOKUP(A1757,Aux!B:C,2,FALSE)=0,"",VLOOKUP(A1757,Aux!B:C,2,FALSE))</f>
        <v/>
      </c>
      <c r="H1757" s="25" t="str">
        <f t="shared" si="357"/>
        <v/>
      </c>
      <c r="L1757" s="13">
        <f t="shared" si="360"/>
        <v>163590.63901789772</v>
      </c>
      <c r="M1757" s="14">
        <f t="shared" si="361"/>
        <v>224.06418009614973</v>
      </c>
      <c r="N1757" s="14">
        <f t="shared" si="362"/>
        <v>38.124919833135664</v>
      </c>
      <c r="O1757" s="1">
        <f t="shared" si="363"/>
        <v>3.1625148919709645</v>
      </c>
      <c r="P1757" s="1">
        <f t="shared" si="364"/>
        <v>1709.6376606786282</v>
      </c>
      <c r="S1757" s="6">
        <f t="shared" si="358"/>
        <v>0.51511190868365797</v>
      </c>
      <c r="T1757" s="6">
        <f t="shared" si="359"/>
        <v>0.48488809131634214</v>
      </c>
      <c r="V1757" s="1">
        <f t="shared" si="365"/>
        <v>165270.27469363058</v>
      </c>
      <c r="W1757" s="7">
        <f t="shared" si="366"/>
        <v>1.6040002864099318E-3</v>
      </c>
      <c r="X1757" s="7">
        <f t="shared" si="367"/>
        <v>1.2916980908354878E-3</v>
      </c>
      <c r="Y1757">
        <f>LN(B1757/B1756)</f>
        <v>2.662504938567472E-3</v>
      </c>
      <c r="Z1757">
        <f>LN(C1757/C1756)</f>
        <v>4.80743432613448E-4</v>
      </c>
    </row>
    <row r="1758" spans="1:26" x14ac:dyDescent="0.3">
      <c r="A1758" s="11">
        <v>42768</v>
      </c>
      <c r="B1758" s="12">
        <v>26562.07</v>
      </c>
      <c r="C1758" s="12">
        <v>46.419960000000003</v>
      </c>
      <c r="D1758" s="16">
        <f t="shared" si="369"/>
        <v>-3.1393409523180482E-3</v>
      </c>
      <c r="E1758" s="15">
        <f t="shared" si="368"/>
        <v>4.8105895041206104E-4</v>
      </c>
      <c r="G1758" s="25" t="str">
        <f>IF(VLOOKUP(A1758,Aux!B:C,2,FALSE)=0,"",VLOOKUP(A1758,Aux!B:C,2,FALSE))</f>
        <v/>
      </c>
      <c r="H1758" s="25" t="str">
        <f t="shared" si="357"/>
        <v/>
      </c>
      <c r="L1758" s="13">
        <f t="shared" si="360"/>
        <v>163364.25375977068</v>
      </c>
      <c r="M1758" s="14">
        <f t="shared" si="361"/>
        <v>-264.54437071337577</v>
      </c>
      <c r="N1758" s="14">
        <f t="shared" si="362"/>
        <v>38.159112586347945</v>
      </c>
      <c r="O1758" s="1">
        <f t="shared" si="363"/>
        <v>3.1625148919709645</v>
      </c>
      <c r="P1758" s="1">
        <f t="shared" si="364"/>
        <v>1709.6376606786282</v>
      </c>
      <c r="S1758" s="6">
        <f t="shared" si="358"/>
        <v>0.51420638238339855</v>
      </c>
      <c r="T1758" s="6">
        <f t="shared" si="359"/>
        <v>0.48579361761660156</v>
      </c>
      <c r="V1758" s="1">
        <f t="shared" si="365"/>
        <v>165127.22401407879</v>
      </c>
      <c r="W1758" s="7">
        <f t="shared" si="366"/>
        <v>-1.3848105613714498E-3</v>
      </c>
      <c r="X1758" s="7">
        <f t="shared" si="367"/>
        <v>-8.6593081999719005E-4</v>
      </c>
      <c r="Y1758">
        <f>LN(B1758/B1757)</f>
        <v>-3.1442790206872586E-3</v>
      </c>
      <c r="Z1758">
        <f>LN(C1758/C1757)</f>
        <v>4.8094327865031268E-4</v>
      </c>
    </row>
    <row r="1759" spans="1:26" x14ac:dyDescent="0.3">
      <c r="A1759" s="9">
        <v>42769</v>
      </c>
      <c r="B1759" s="1">
        <v>26729.53</v>
      </c>
      <c r="C1759" s="1">
        <v>46.442279999999997</v>
      </c>
      <c r="D1759" s="6">
        <f t="shared" si="369"/>
        <v>6.3044785289700922E-3</v>
      </c>
      <c r="E1759" s="5">
        <f t="shared" si="368"/>
        <v>4.8082764397028299E-4</v>
      </c>
      <c r="G1759" s="25" t="str">
        <f>IF(VLOOKUP(A1759,Aux!B:C,2,FALSE)=0,"",VLOOKUP(A1759,Aux!B:C,2,FALSE))</f>
        <v/>
      </c>
      <c r="H1759" s="25" t="str">
        <f t="shared" si="357"/>
        <v/>
      </c>
      <c r="L1759" s="13">
        <f t="shared" si="360"/>
        <v>163932.00761616649</v>
      </c>
      <c r="M1759" s="14">
        <f t="shared" si="361"/>
        <v>529.59474380945494</v>
      </c>
      <c r="N1759" s="14">
        <f t="shared" si="362"/>
        <v>38.159112586335795</v>
      </c>
      <c r="O1759" s="1">
        <f t="shared" si="363"/>
        <v>3.1625148919709645</v>
      </c>
      <c r="P1759" s="1">
        <f t="shared" si="364"/>
        <v>1709.6376606786282</v>
      </c>
      <c r="S1759" s="6">
        <f t="shared" si="358"/>
        <v>0.51565608150368503</v>
      </c>
      <c r="T1759" s="6">
        <f t="shared" si="359"/>
        <v>0.48434391849631503</v>
      </c>
      <c r="V1759" s="1">
        <f t="shared" si="365"/>
        <v>165563.49288840179</v>
      </c>
      <c r="W1759" s="7">
        <f t="shared" si="366"/>
        <v>3.4693608994372104E-3</v>
      </c>
      <c r="X1759" s="7">
        <f t="shared" si="367"/>
        <v>2.6385326537907458E-3</v>
      </c>
      <c r="Y1759">
        <f>LN(B1759/B1758)</f>
        <v>6.2846884381246417E-3</v>
      </c>
      <c r="Z1759">
        <f>LN(C1759/C1758)</f>
        <v>4.8071208340034045E-4</v>
      </c>
    </row>
    <row r="1760" spans="1:26" x14ac:dyDescent="0.3">
      <c r="A1760" s="11">
        <v>42772</v>
      </c>
      <c r="B1760" s="12">
        <v>26354.11</v>
      </c>
      <c r="C1760" s="12">
        <v>46.46461</v>
      </c>
      <c r="D1760" s="16">
        <f t="shared" si="369"/>
        <v>-1.4045140337297313E-2</v>
      </c>
      <c r="E1760" s="15">
        <f t="shared" si="368"/>
        <v>4.8081188089832416E-4</v>
      </c>
      <c r="G1760" s="25" t="str">
        <f>IF(VLOOKUP(A1760,Aux!B:C,2,FALSE)=0,"",VLOOKUP(A1760,Aux!B:C,2,FALSE))</f>
        <v/>
      </c>
      <c r="H1760" s="25" t="str">
        <f t="shared" si="357"/>
        <v/>
      </c>
      <c r="L1760" s="13">
        <f t="shared" si="360"/>
        <v>162782.91248438571</v>
      </c>
      <c r="M1760" s="14">
        <f t="shared" si="361"/>
        <v>-1187.2713407437341</v>
      </c>
      <c r="N1760" s="14">
        <f t="shared" si="362"/>
        <v>38.176208962960153</v>
      </c>
      <c r="O1760" s="1">
        <f t="shared" si="363"/>
        <v>3.1625148919709645</v>
      </c>
      <c r="P1760" s="1">
        <f t="shared" si="364"/>
        <v>1709.6376606786282</v>
      </c>
      <c r="S1760" s="6">
        <f t="shared" si="358"/>
        <v>0.51200254417143121</v>
      </c>
      <c r="T1760" s="6">
        <f t="shared" si="359"/>
        <v>0.48799745582856879</v>
      </c>
      <c r="V1760" s="1">
        <f t="shared" si="365"/>
        <v>164747.34098400539</v>
      </c>
      <c r="W1760" s="7">
        <f t="shared" si="366"/>
        <v>-7.0342662625375784E-3</v>
      </c>
      <c r="X1760" s="7">
        <f t="shared" si="367"/>
        <v>-4.9417305254223108E-3</v>
      </c>
      <c r="Y1760">
        <f>LN(B1760/B1759)</f>
        <v>-1.4144706702645603E-2</v>
      </c>
      <c r="Z1760">
        <f>LN(C1760/C1759)</f>
        <v>4.8069632790393569E-4</v>
      </c>
    </row>
    <row r="1761" spans="1:26" x14ac:dyDescent="0.3">
      <c r="A1761" s="9">
        <v>42773</v>
      </c>
      <c r="B1761" s="1">
        <v>26433.64</v>
      </c>
      <c r="C1761" s="1">
        <v>46.486960000000003</v>
      </c>
      <c r="D1761" s="6">
        <f t="shared" si="369"/>
        <v>3.01774561918422E-3</v>
      </c>
      <c r="E1761" s="5">
        <f t="shared" si="368"/>
        <v>4.8101124705457465E-4</v>
      </c>
      <c r="G1761" s="25" t="str">
        <f>IF(VLOOKUP(A1761,Aux!B:C,2,FALSE)=0,"",VLOOKUP(A1761,Aux!B:C,2,FALSE))</f>
        <v/>
      </c>
      <c r="H1761" s="25" t="str">
        <f t="shared" si="357"/>
        <v/>
      </c>
      <c r="L1761" s="13">
        <f t="shared" si="360"/>
        <v>163072.63769546035</v>
      </c>
      <c r="M1761" s="14">
        <f t="shared" si="361"/>
        <v>251.51480935844711</v>
      </c>
      <c r="N1761" s="14">
        <f t="shared" si="362"/>
        <v>38.210401716172434</v>
      </c>
      <c r="O1761" s="1">
        <f t="shared" si="363"/>
        <v>3.1625148919709645</v>
      </c>
      <c r="P1761" s="1">
        <f t="shared" si="364"/>
        <v>1709.6376606786282</v>
      </c>
      <c r="S1761" s="6">
        <f t="shared" si="358"/>
        <v>0.51263523623820395</v>
      </c>
      <c r="T1761" s="6">
        <f t="shared" si="359"/>
        <v>0.48736476376179594</v>
      </c>
      <c r="V1761" s="1">
        <f t="shared" si="365"/>
        <v>164980.81938649438</v>
      </c>
      <c r="W1761" s="7">
        <f t="shared" si="366"/>
        <v>1.778243686571847E-3</v>
      </c>
      <c r="X1761" s="7">
        <f t="shared" si="367"/>
        <v>1.4161874511924169E-3</v>
      </c>
      <c r="Y1761">
        <f>LN(B1761/B1760)</f>
        <v>3.0132013648468529E-3</v>
      </c>
      <c r="Z1761">
        <f>LN(C1761/C1760)</f>
        <v>4.808955982287826E-4</v>
      </c>
    </row>
    <row r="1762" spans="1:26" x14ac:dyDescent="0.3">
      <c r="A1762" s="11">
        <v>42774</v>
      </c>
      <c r="B1762" s="12">
        <v>26695.13</v>
      </c>
      <c r="C1762" s="12">
        <v>46.509309999999999</v>
      </c>
      <c r="D1762" s="16">
        <f t="shared" si="369"/>
        <v>9.8923190298423336E-3</v>
      </c>
      <c r="E1762" s="15">
        <f t="shared" si="368"/>
        <v>4.8077998647344522E-4</v>
      </c>
      <c r="G1762" s="25" t="str">
        <f>IF(VLOOKUP(A1762,Aux!B:C,2,FALSE)=0,"",VLOOKUP(A1762,Aux!B:C,2,FALSE))</f>
        <v/>
      </c>
      <c r="H1762" s="25" t="str">
        <f t="shared" si="357"/>
        <v/>
      </c>
      <c r="L1762" s="13">
        <f t="shared" si="360"/>
        <v>163937.81411627799</v>
      </c>
      <c r="M1762" s="14">
        <f t="shared" si="361"/>
        <v>826.96601910149252</v>
      </c>
      <c r="N1762" s="14">
        <f t="shared" si="362"/>
        <v>38.210401716160284</v>
      </c>
      <c r="O1762" s="1">
        <f t="shared" si="363"/>
        <v>3.1625148919709645</v>
      </c>
      <c r="P1762" s="1">
        <f t="shared" si="364"/>
        <v>1709.6376606786282</v>
      </c>
      <c r="S1762" s="6">
        <f t="shared" si="358"/>
        <v>0.51497420911212521</v>
      </c>
      <c r="T1762" s="6">
        <f t="shared" si="359"/>
        <v>0.48502579088787467</v>
      </c>
      <c r="V1762" s="1">
        <f t="shared" si="365"/>
        <v>165634.08587397821</v>
      </c>
      <c r="W1762" s="7">
        <f t="shared" si="366"/>
        <v>5.2914421219393895E-3</v>
      </c>
      <c r="X1762" s="7">
        <f t="shared" si="367"/>
        <v>3.9518323418582619E-3</v>
      </c>
      <c r="Y1762">
        <f>LN(B1762/B1761)</f>
        <v>9.843710347465685E-3</v>
      </c>
      <c r="Z1762">
        <f>LN(C1762/C1761)</f>
        <v>4.8066444880639722E-4</v>
      </c>
    </row>
    <row r="1763" spans="1:26" x14ac:dyDescent="0.3">
      <c r="A1763" s="9">
        <v>42775</v>
      </c>
      <c r="B1763" s="1">
        <v>26747.95</v>
      </c>
      <c r="C1763" s="1">
        <v>46.531680000000001</v>
      </c>
      <c r="D1763" s="6">
        <f t="shared" si="369"/>
        <v>1.9786380512101243E-3</v>
      </c>
      <c r="E1763" s="5">
        <f t="shared" si="368"/>
        <v>4.8097896958698705E-4</v>
      </c>
      <c r="G1763" s="25" t="str">
        <f>IF(VLOOKUP(A1763,Aux!B:C,2,FALSE)=0,"",VLOOKUP(A1763,Aux!B:C,2,FALSE))</f>
        <v/>
      </c>
      <c r="H1763" s="25" t="str">
        <f t="shared" si="357"/>
        <v/>
      </c>
      <c r="L1763" s="13">
        <f t="shared" si="360"/>
        <v>164143.10274734127</v>
      </c>
      <c r="M1763" s="14">
        <f t="shared" si="361"/>
        <v>167.04403659390542</v>
      </c>
      <c r="N1763" s="14">
        <f t="shared" si="362"/>
        <v>38.244594469384708</v>
      </c>
      <c r="O1763" s="1">
        <f t="shared" si="363"/>
        <v>3.1625148919709645</v>
      </c>
      <c r="P1763" s="1">
        <f t="shared" si="364"/>
        <v>1709.6376606786282</v>
      </c>
      <c r="S1763" s="6">
        <f t="shared" si="358"/>
        <v>0.51534782021820247</v>
      </c>
      <c r="T1763" s="6">
        <f t="shared" si="359"/>
        <v>0.48465217978179759</v>
      </c>
      <c r="V1763" s="1">
        <f t="shared" si="365"/>
        <v>165805.98811479565</v>
      </c>
      <c r="W1763" s="7">
        <f t="shared" si="366"/>
        <v>1.2514513786305813E-3</v>
      </c>
      <c r="X1763" s="7">
        <f t="shared" si="367"/>
        <v>1.0373052006812018E-3</v>
      </c>
      <c r="Y1763">
        <f>LN(B1763/B1762)</f>
        <v>1.9766831252437961E-3</v>
      </c>
      <c r="Z1763">
        <f>LN(C1763/C1762)</f>
        <v>4.8086333627903499E-4</v>
      </c>
    </row>
    <row r="1764" spans="1:26" x14ac:dyDescent="0.3">
      <c r="A1764" s="11">
        <v>42776</v>
      </c>
      <c r="B1764" s="12">
        <v>27205.54</v>
      </c>
      <c r="C1764" s="12">
        <v>46.554049999999997</v>
      </c>
      <c r="D1764" s="16">
        <f t="shared" si="369"/>
        <v>1.7107479264766079E-2</v>
      </c>
      <c r="E1764" s="15">
        <f t="shared" si="368"/>
        <v>4.8074774003414866E-4</v>
      </c>
      <c r="G1764" s="25" t="str">
        <f>IF(VLOOKUP(A1764,Aux!B:C,2,FALSE)=0,"",VLOOKUP(A1764,Aux!B:C,2,FALSE))</f>
        <v/>
      </c>
      <c r="H1764" s="25" t="str">
        <f t="shared" si="357"/>
        <v/>
      </c>
      <c r="L1764" s="13">
        <f t="shared" si="360"/>
        <v>165628.48253122764</v>
      </c>
      <c r="M1764" s="14">
        <f t="shared" si="361"/>
        <v>1447.1351894169941</v>
      </c>
      <c r="N1764" s="14">
        <f t="shared" si="362"/>
        <v>38.244594469372565</v>
      </c>
      <c r="O1764" s="1">
        <f t="shared" si="363"/>
        <v>3.1625148919709645</v>
      </c>
      <c r="P1764" s="1">
        <f t="shared" si="364"/>
        <v>1709.6376606786282</v>
      </c>
      <c r="S1764" s="6">
        <f t="shared" si="358"/>
        <v>0.51946334398064742</v>
      </c>
      <c r="T1764" s="6">
        <f t="shared" si="359"/>
        <v>0.48053665601935258</v>
      </c>
      <c r="V1764" s="1">
        <f t="shared" si="365"/>
        <v>166911.70890454343</v>
      </c>
      <c r="W1764" s="7">
        <f t="shared" si="366"/>
        <v>9.0085980458125495E-3</v>
      </c>
      <c r="X1764" s="7">
        <f t="shared" si="367"/>
        <v>6.6466248734390818E-3</v>
      </c>
      <c r="Y1764">
        <f>LN(B1764/B1763)</f>
        <v>1.696279414195772E-2</v>
      </c>
      <c r="Z1764">
        <f>LN(C1764/C1763)</f>
        <v>4.8063221786257373E-4</v>
      </c>
    </row>
    <row r="1765" spans="1:26" x14ac:dyDescent="0.3">
      <c r="A1765" s="9">
        <v>42779</v>
      </c>
      <c r="B1765" s="1">
        <v>27551.63</v>
      </c>
      <c r="C1765" s="1">
        <v>46.576439999999998</v>
      </c>
      <c r="D1765" s="6">
        <f t="shared" si="369"/>
        <v>1.2721306028110391E-2</v>
      </c>
      <c r="E1765" s="5">
        <f t="shared" si="368"/>
        <v>4.8094634086615073E-4</v>
      </c>
      <c r="G1765" s="25" t="str">
        <f>IF(VLOOKUP(A1765,Aux!B:C,2,FALSE)=0,"",VLOOKUP(A1765,Aux!B:C,2,FALSE))</f>
        <v/>
      </c>
      <c r="H1765" s="25" t="str">
        <f t="shared" si="357"/>
        <v/>
      </c>
      <c r="L1765" s="13">
        <f t="shared" si="360"/>
        <v>166761.27609741248</v>
      </c>
      <c r="M1765" s="14">
        <f t="shared" si="361"/>
        <v>1094.5147789622315</v>
      </c>
      <c r="N1765" s="14">
        <f t="shared" si="362"/>
        <v>38.278787222596989</v>
      </c>
      <c r="O1765" s="1">
        <f t="shared" si="363"/>
        <v>3.1625148919709645</v>
      </c>
      <c r="P1765" s="1">
        <f t="shared" si="364"/>
        <v>1709.6376606786282</v>
      </c>
      <c r="S1765" s="6">
        <f t="shared" si="358"/>
        <v>0.5224980415847631</v>
      </c>
      <c r="T1765" s="6">
        <f t="shared" si="359"/>
        <v>0.47750195841523679</v>
      </c>
      <c r="V1765" s="1">
        <f t="shared" si="365"/>
        <v>167760.24003664957</v>
      </c>
      <c r="W1765" s="7">
        <f t="shared" si="366"/>
        <v>6.8160821594354295E-3</v>
      </c>
      <c r="X1765" s="7">
        <f t="shared" si="367"/>
        <v>5.070834009275332E-3</v>
      </c>
      <c r="Y1765">
        <f>LN(B1765/B1764)</f>
        <v>1.2641069969696151E-2</v>
      </c>
      <c r="Z1765">
        <f>LN(C1765/C1764)</f>
        <v>4.8083072324385068E-4</v>
      </c>
    </row>
    <row r="1766" spans="1:26" x14ac:dyDescent="0.3">
      <c r="A1766" s="11">
        <v>42780</v>
      </c>
      <c r="B1766" s="12">
        <v>27438.46</v>
      </c>
      <c r="C1766" s="12">
        <v>46.598840000000003</v>
      </c>
      <c r="D1766" s="16">
        <f t="shared" si="369"/>
        <v>-4.1075609682621472E-3</v>
      </c>
      <c r="E1766" s="15">
        <f t="shared" si="368"/>
        <v>4.8092984350045498E-4</v>
      </c>
      <c r="G1766" s="25" t="str">
        <f>IF(VLOOKUP(A1766,Aux!B:C,2,FALSE)=0,"",VLOOKUP(A1766,Aux!B:C,2,FALSE))</f>
        <v/>
      </c>
      <c r="H1766" s="25" t="str">
        <f t="shared" si="357"/>
        <v/>
      </c>
      <c r="L1766" s="13">
        <f t="shared" si="360"/>
        <v>166441.67017068731</v>
      </c>
      <c r="M1766" s="14">
        <f t="shared" si="361"/>
        <v>-357.90181032436004</v>
      </c>
      <c r="N1766" s="14">
        <f t="shared" si="362"/>
        <v>38.295883599209205</v>
      </c>
      <c r="O1766" s="1">
        <f t="shared" si="363"/>
        <v>3.1625148919709645</v>
      </c>
      <c r="P1766" s="1">
        <f t="shared" si="364"/>
        <v>1709.6376606786282</v>
      </c>
      <c r="S1766" s="6">
        <f t="shared" si="358"/>
        <v>0.52135104312376601</v>
      </c>
      <c r="T1766" s="6">
        <f t="shared" si="359"/>
        <v>0.4786489568762341</v>
      </c>
      <c r="V1766" s="1">
        <f t="shared" si="365"/>
        <v>167549.26465507958</v>
      </c>
      <c r="W1766" s="7">
        <f t="shared" si="366"/>
        <v>-1.9183865468344204E-3</v>
      </c>
      <c r="X1766" s="7">
        <f t="shared" si="367"/>
        <v>-1.2583920614168366E-3</v>
      </c>
      <c r="Y1766">
        <f>LN(B1766/B1765)</f>
        <v>-4.1160201692184576E-3</v>
      </c>
      <c r="Z1766">
        <f>LN(C1766/C1765)</f>
        <v>4.8081423380855247E-4</v>
      </c>
    </row>
    <row r="1767" spans="1:26" x14ac:dyDescent="0.3">
      <c r="A1767" s="9">
        <v>42781</v>
      </c>
      <c r="B1767" s="1">
        <v>27946.14</v>
      </c>
      <c r="C1767" s="1">
        <v>46.621250000000003</v>
      </c>
      <c r="D1767" s="6">
        <f t="shared" si="369"/>
        <v>1.8502496131342694E-2</v>
      </c>
      <c r="E1767" s="5">
        <f t="shared" si="368"/>
        <v>4.8091325878507618E-4</v>
      </c>
      <c r="G1767" s="25" t="str">
        <f>IF(VLOOKUP(A1767,Aux!B:C,2,FALSE)=0,"",VLOOKUP(A1767,Aux!B:C,2,FALSE))</f>
        <v/>
      </c>
      <c r="H1767" s="25" t="str">
        <f t="shared" si="357"/>
        <v/>
      </c>
      <c r="L1767" s="13">
        <f t="shared" si="360"/>
        <v>168085.52871101894</v>
      </c>
      <c r="M1767" s="14">
        <f t="shared" si="361"/>
        <v>1605.5455603558203</v>
      </c>
      <c r="N1767" s="14">
        <f t="shared" si="362"/>
        <v>38.31297997580927</v>
      </c>
      <c r="O1767" s="1">
        <f t="shared" si="363"/>
        <v>3.1625148919709645</v>
      </c>
      <c r="P1767" s="1">
        <f t="shared" si="364"/>
        <v>1709.6376606786282</v>
      </c>
      <c r="S1767" s="6">
        <f t="shared" si="358"/>
        <v>0.52580424145289095</v>
      </c>
      <c r="T1767" s="6">
        <f t="shared" si="359"/>
        <v>0.47419575854710899</v>
      </c>
      <c r="V1767" s="1">
        <f t="shared" si="365"/>
        <v>168770.63431228339</v>
      </c>
      <c r="W1767" s="7">
        <f t="shared" si="366"/>
        <v>9.8280305907703751E-3</v>
      </c>
      <c r="X1767" s="7">
        <f t="shared" si="367"/>
        <v>7.2631743186375372E-3</v>
      </c>
      <c r="Y1767">
        <f>LN(B1767/B1766)</f>
        <v>1.8333407473416583E-2</v>
      </c>
      <c r="Z1767">
        <f>LN(C1767/C1766)</f>
        <v>4.8079765706528677E-4</v>
      </c>
    </row>
    <row r="1768" spans="1:26" x14ac:dyDescent="0.3">
      <c r="A1768" s="11">
        <v>42782</v>
      </c>
      <c r="B1768" s="12">
        <v>27894.79</v>
      </c>
      <c r="C1768" s="12">
        <v>46.64367</v>
      </c>
      <c r="D1768" s="16">
        <f t="shared" si="369"/>
        <v>-1.8374630628773536E-3</v>
      </c>
      <c r="E1768" s="15">
        <f t="shared" si="368"/>
        <v>4.8089658685679382E-4</v>
      </c>
      <c r="G1768" s="25" t="str">
        <f>IF(VLOOKUP(A1768,Aux!B:C,2,FALSE)=0,"",VLOOKUP(A1768,Aux!B:C,2,FALSE))</f>
        <v/>
      </c>
      <c r="H1768" s="25" t="str">
        <f t="shared" si="357"/>
        <v/>
      </c>
      <c r="L1768" s="13">
        <f t="shared" si="360"/>
        <v>167961.46364766863</v>
      </c>
      <c r="M1768" s="14">
        <f t="shared" si="361"/>
        <v>-162.39513970270443</v>
      </c>
      <c r="N1768" s="14">
        <f t="shared" si="362"/>
        <v>38.330076352409336</v>
      </c>
      <c r="O1768" s="1">
        <f t="shared" si="363"/>
        <v>3.1625148919709645</v>
      </c>
      <c r="P1768" s="1">
        <f t="shared" si="364"/>
        <v>1709.6376606786282</v>
      </c>
      <c r="S1768" s="6">
        <f t="shared" si="358"/>
        <v>0.5252257682658461</v>
      </c>
      <c r="T1768" s="6">
        <f t="shared" si="359"/>
        <v>0.47477423173415401</v>
      </c>
      <c r="V1768" s="1">
        <f t="shared" si="365"/>
        <v>168702.32457583779</v>
      </c>
      <c r="W1768" s="7">
        <f t="shared" si="366"/>
        <v>-7.3837928508886153E-4</v>
      </c>
      <c r="X1768" s="7">
        <f t="shared" si="367"/>
        <v>-4.0483087950865044E-4</v>
      </c>
      <c r="Y1768">
        <f>LN(B1768/B1767)</f>
        <v>-1.8391532689091849E-3</v>
      </c>
      <c r="Z1768">
        <f>LN(C1768/C1767)</f>
        <v>4.8078099315076295E-4</v>
      </c>
    </row>
    <row r="1769" spans="1:26" x14ac:dyDescent="0.3">
      <c r="A1769" s="9">
        <v>42783</v>
      </c>
      <c r="B1769" s="1">
        <v>27869.45</v>
      </c>
      <c r="C1769" s="1">
        <v>46.6661</v>
      </c>
      <c r="D1769" s="6">
        <f t="shared" si="369"/>
        <v>-9.0841336321223487E-4</v>
      </c>
      <c r="E1769" s="5">
        <f t="shared" si="368"/>
        <v>4.8087982785238736E-4</v>
      </c>
      <c r="G1769" s="25" t="str">
        <f>IF(VLOOKUP(A1769,Aux!B:C,2,FALSE)=0,"",VLOOKUP(A1769,Aux!B:C,2,FALSE))</f>
        <v/>
      </c>
      <c r="H1769" s="25" t="str">
        <f t="shared" si="357"/>
        <v/>
      </c>
      <c r="L1769" s="13">
        <f t="shared" si="360"/>
        <v>167919.67269303513</v>
      </c>
      <c r="M1769" s="14">
        <f t="shared" si="361"/>
        <v>-80.138127362544694</v>
      </c>
      <c r="N1769" s="14">
        <f t="shared" si="362"/>
        <v>38.347172729021544</v>
      </c>
      <c r="O1769" s="1">
        <f t="shared" si="363"/>
        <v>3.1625148919709645</v>
      </c>
      <c r="P1769" s="1">
        <f t="shared" si="364"/>
        <v>1709.6376606786282</v>
      </c>
      <c r="S1769" s="6">
        <f t="shared" si="358"/>
        <v>0.52487924281010057</v>
      </c>
      <c r="T1769" s="6">
        <f t="shared" si="359"/>
        <v>0.47512075718989943</v>
      </c>
      <c r="V1769" s="1">
        <f t="shared" si="365"/>
        <v>168694.04319055146</v>
      </c>
      <c r="W1769" s="7">
        <f t="shared" si="366"/>
        <v>-2.4884371480009086E-4</v>
      </c>
      <c r="X1769" s="7">
        <f t="shared" si="367"/>
        <v>-4.9089949265436564E-5</v>
      </c>
      <c r="Y1769">
        <f>LN(B1769/B1768)</f>
        <v>-9.0882622068056372E-4</v>
      </c>
      <c r="Z1769">
        <f>LN(C1769/C1768)</f>
        <v>4.8076424220169035E-4</v>
      </c>
    </row>
    <row r="1770" spans="1:26" x14ac:dyDescent="0.3">
      <c r="A1770" s="11">
        <v>42786</v>
      </c>
      <c r="B1770" s="12">
        <v>28177.86</v>
      </c>
      <c r="C1770" s="12">
        <v>46.688540000000003</v>
      </c>
      <c r="D1770" s="16">
        <f t="shared" si="369"/>
        <v>1.1066239197400796E-2</v>
      </c>
      <c r="E1770" s="15">
        <f t="shared" si="368"/>
        <v>4.8086298190774812E-4</v>
      </c>
      <c r="G1770" s="25" t="str">
        <f>IF(VLOOKUP(A1770,Aux!B:C,2,FALSE)=0,"",VLOOKUP(A1770,Aux!B:C,2,FALSE))</f>
        <v/>
      </c>
      <c r="H1770" s="25" t="str">
        <f t="shared" si="357"/>
        <v/>
      </c>
      <c r="L1770" s="13">
        <f t="shared" si="360"/>
        <v>168933.38817997352</v>
      </c>
      <c r="M1770" s="14">
        <f t="shared" si="361"/>
        <v>975.35121783276475</v>
      </c>
      <c r="N1770" s="14">
        <f t="shared" si="362"/>
        <v>38.36426910563376</v>
      </c>
      <c r="O1770" s="1">
        <f t="shared" si="363"/>
        <v>3.1625148919709645</v>
      </c>
      <c r="P1770" s="1">
        <f t="shared" si="364"/>
        <v>1709.6376606786282</v>
      </c>
      <c r="S1770" s="6">
        <f t="shared" si="358"/>
        <v>0.52750319421129677</v>
      </c>
      <c r="T1770" s="6">
        <f t="shared" si="359"/>
        <v>0.47249680578870318</v>
      </c>
      <c r="V1770" s="1">
        <f t="shared" si="365"/>
        <v>169455.75710122724</v>
      </c>
      <c r="W1770" s="7">
        <f t="shared" si="366"/>
        <v>6.018758116675022E-3</v>
      </c>
      <c r="X1770" s="7">
        <f t="shared" si="367"/>
        <v>4.5051938423691339E-3</v>
      </c>
      <c r="Y1770">
        <f>LN(B1770/B1769)</f>
        <v>1.1005456386058741E-2</v>
      </c>
      <c r="Z1770">
        <f>LN(C1770/C1769)</f>
        <v>4.8074740435389066E-4</v>
      </c>
    </row>
    <row r="1771" spans="1:26" x14ac:dyDescent="0.3">
      <c r="A1771" s="9">
        <v>42787</v>
      </c>
      <c r="B1771" s="1">
        <v>28396.95</v>
      </c>
      <c r="C1771" s="1">
        <v>46.710990000000002</v>
      </c>
      <c r="D1771" s="6">
        <f t="shared" si="369"/>
        <v>7.775253337194421E-3</v>
      </c>
      <c r="E1771" s="5">
        <f t="shared" si="368"/>
        <v>4.8084604915898943E-4</v>
      </c>
      <c r="G1771" s="25" t="str">
        <f>IF(VLOOKUP(A1771,Aux!B:C,2,FALSE)=0,"",VLOOKUP(A1771,Aux!B:C,2,FALSE))</f>
        <v/>
      </c>
      <c r="H1771" s="25" t="str">
        <f t="shared" si="357"/>
        <v/>
      </c>
      <c r="L1771" s="13">
        <f t="shared" si="360"/>
        <v>169664.64493313766</v>
      </c>
      <c r="M1771" s="14">
        <f t="shared" si="361"/>
        <v>692.87538768191905</v>
      </c>
      <c r="N1771" s="14">
        <f t="shared" si="362"/>
        <v>38.381365482233825</v>
      </c>
      <c r="O1771" s="1">
        <f t="shared" si="363"/>
        <v>3.1625148919709645</v>
      </c>
      <c r="P1771" s="1">
        <f t="shared" si="364"/>
        <v>1709.6376606786282</v>
      </c>
      <c r="S1771" s="6">
        <f t="shared" si="358"/>
        <v>0.52931344239069966</v>
      </c>
      <c r="T1771" s="6">
        <f t="shared" si="359"/>
        <v>0.47068655760930045</v>
      </c>
      <c r="V1771" s="1">
        <f t="shared" si="365"/>
        <v>170011.42901879729</v>
      </c>
      <c r="W1771" s="7">
        <f t="shared" si="366"/>
        <v>4.3193274534819564E-3</v>
      </c>
      <c r="X1771" s="7">
        <f t="shared" si="367"/>
        <v>3.2737916157103484E-3</v>
      </c>
      <c r="Y1771">
        <f>LN(B1771/B1770)</f>
        <v>7.745181830108484E-3</v>
      </c>
      <c r="Z1771">
        <f>LN(C1771/C1770)</f>
        <v>4.8073047974340734E-4</v>
      </c>
    </row>
    <row r="1772" spans="1:26" x14ac:dyDescent="0.3">
      <c r="A1772" s="11">
        <v>42788</v>
      </c>
      <c r="B1772" s="12">
        <v>28199.48</v>
      </c>
      <c r="C1772" s="12">
        <v>46.733460000000001</v>
      </c>
      <c r="D1772" s="16">
        <f t="shared" si="369"/>
        <v>-6.9539158254672273E-3</v>
      </c>
      <c r="E1772" s="15">
        <f t="shared" si="368"/>
        <v>4.810431121240466E-4</v>
      </c>
      <c r="G1772" s="25" t="str">
        <f>IF(VLOOKUP(A1772,Aux!B:C,2,FALSE)=0,"",VLOOKUP(A1772,Aux!B:C,2,FALSE))</f>
        <v/>
      </c>
      <c r="H1772" s="25" t="str">
        <f t="shared" si="357"/>
        <v/>
      </c>
      <c r="L1772" s="13">
        <f t="shared" si="360"/>
        <v>169078.5586756556</v>
      </c>
      <c r="M1772" s="14">
        <f t="shared" si="361"/>
        <v>-624.50181571751</v>
      </c>
      <c r="N1772" s="14">
        <f t="shared" si="362"/>
        <v>38.415558235446099</v>
      </c>
      <c r="O1772" s="1">
        <f t="shared" si="363"/>
        <v>3.1625148919709645</v>
      </c>
      <c r="P1772" s="1">
        <f t="shared" si="364"/>
        <v>1709.6376606786282</v>
      </c>
      <c r="S1772" s="6">
        <f t="shared" si="358"/>
        <v>0.52745467044650141</v>
      </c>
      <c r="T1772" s="6">
        <f t="shared" si="359"/>
        <v>0.47254532955349871</v>
      </c>
      <c r="V1772" s="1">
        <f t="shared" si="365"/>
        <v>169606.1271876698</v>
      </c>
      <c r="W1772" s="7">
        <f t="shared" si="366"/>
        <v>-3.4603607455984402E-3</v>
      </c>
      <c r="X1772" s="7">
        <f t="shared" si="367"/>
        <v>-2.3868143217788008E-3</v>
      </c>
      <c r="Y1772">
        <f>LN(B1772/B1771)</f>
        <v>-6.9782069760331829E-3</v>
      </c>
      <c r="Z1772">
        <f>LN(C1772/C1771)</f>
        <v>4.8092744797765966E-4</v>
      </c>
    </row>
    <row r="1773" spans="1:26" x14ac:dyDescent="0.3">
      <c r="A1773" s="9">
        <v>42789</v>
      </c>
      <c r="B1773" s="1">
        <v>27769.25</v>
      </c>
      <c r="C1773" s="1">
        <v>46.755929999999999</v>
      </c>
      <c r="D1773" s="6">
        <f t="shared" si="369"/>
        <v>-1.5256664307285117E-2</v>
      </c>
      <c r="E1773" s="5">
        <f t="shared" si="368"/>
        <v>4.8081182090942143E-4</v>
      </c>
      <c r="G1773" s="25" t="str">
        <f>IF(VLOOKUP(A1773,Aux!B:C,2,FALSE)=0,"",VLOOKUP(A1773,Aux!B:C,2,FALSE))</f>
        <v/>
      </c>
      <c r="H1773" s="25" t="str">
        <f t="shared" si="357"/>
        <v/>
      </c>
      <c r="L1773" s="13">
        <f t="shared" si="360"/>
        <v>167756.36545191839</v>
      </c>
      <c r="M1773" s="14">
        <f t="shared" si="361"/>
        <v>-1360.6087819726667</v>
      </c>
      <c r="N1773" s="14">
        <f t="shared" si="362"/>
        <v>38.415558235446099</v>
      </c>
      <c r="O1773" s="1">
        <f t="shared" si="363"/>
        <v>3.1625148919709645</v>
      </c>
      <c r="P1773" s="1">
        <f t="shared" si="364"/>
        <v>1709.6376606786282</v>
      </c>
      <c r="S1773" s="6">
        <f t="shared" si="358"/>
        <v>0.52350124793944397</v>
      </c>
      <c r="T1773" s="6">
        <f t="shared" si="359"/>
        <v>0.47649875206055603</v>
      </c>
      <c r="V1773" s="1">
        <f t="shared" si="365"/>
        <v>168663.83989455397</v>
      </c>
      <c r="W1773" s="7">
        <f t="shared" si="366"/>
        <v>-7.8507299571460628E-3</v>
      </c>
      <c r="X1773" s="7">
        <f t="shared" si="367"/>
        <v>-5.5712290305581814E-3</v>
      </c>
      <c r="Y1773">
        <f>LN(B1773/B1772)</f>
        <v>-1.5374244665862192E-2</v>
      </c>
      <c r="Z1773">
        <f>LN(C1773/C1772)</f>
        <v>4.8069626794386248E-4</v>
      </c>
    </row>
    <row r="1774" spans="1:26" x14ac:dyDescent="0.3">
      <c r="A1774" s="11">
        <v>42790</v>
      </c>
      <c r="B1774" s="12">
        <v>27452.89</v>
      </c>
      <c r="C1774" s="12">
        <v>46.777180000000001</v>
      </c>
      <c r="D1774" s="16">
        <f t="shared" si="369"/>
        <v>-1.1392457484447727E-2</v>
      </c>
      <c r="E1774" s="15">
        <f t="shared" si="368"/>
        <v>4.5448780507628683E-4</v>
      </c>
      <c r="G1774" s="25" t="str">
        <f>IF(VLOOKUP(A1774,Aux!B:C,2,FALSE)=0,"",VLOOKUP(A1774,Aux!B:C,2,FALSE))</f>
        <v/>
      </c>
      <c r="H1774" s="25" t="str">
        <f t="shared" si="357"/>
        <v/>
      </c>
      <c r="L1774" s="13">
        <f t="shared" si="360"/>
        <v>166792.20204098386</v>
      </c>
      <c r="M1774" s="14">
        <f t="shared" si="361"/>
        <v>-1000.4932112239362</v>
      </c>
      <c r="N1774" s="14">
        <f t="shared" si="362"/>
        <v>36.329800289424249</v>
      </c>
      <c r="O1774" s="1">
        <f t="shared" si="363"/>
        <v>3.1625148919709645</v>
      </c>
      <c r="P1774" s="1">
        <f t="shared" si="364"/>
        <v>1709.6376606786282</v>
      </c>
      <c r="S1774" s="6">
        <f t="shared" si="358"/>
        <v>0.52052897191984715</v>
      </c>
      <c r="T1774" s="6">
        <f t="shared" si="359"/>
        <v>0.47947102808015296</v>
      </c>
      <c r="V1774" s="1">
        <f t="shared" si="365"/>
        <v>167981.525373029</v>
      </c>
      <c r="W1774" s="7">
        <f t="shared" si="366"/>
        <v>-5.7639827159634387E-3</v>
      </c>
      <c r="X1774" s="7">
        <f t="shared" si="367"/>
        <v>-4.0536156218102031E-3</v>
      </c>
      <c r="Y1774">
        <f>LN(B1774/B1773)</f>
        <v>-1.1457848646624236E-2</v>
      </c>
      <c r="Z1774">
        <f>LN(C1774/C1773)</f>
        <v>4.5438455677601636E-4</v>
      </c>
    </row>
    <row r="1775" spans="1:26" x14ac:dyDescent="0.3">
      <c r="A1775" s="9">
        <v>42795</v>
      </c>
      <c r="B1775" s="1">
        <v>27589.99</v>
      </c>
      <c r="C1775" s="1">
        <v>46.798430000000003</v>
      </c>
      <c r="D1775" s="6">
        <f t="shared" si="369"/>
        <v>4.9940097381369064E-3</v>
      </c>
      <c r="E1775" s="5">
        <f t="shared" si="368"/>
        <v>4.5428133974723117E-4</v>
      </c>
      <c r="G1775" s="25" t="str">
        <f>IF(VLOOKUP(A1775,Aux!B:C,2,FALSE)=0,"",VLOOKUP(A1775,Aux!B:C,2,FALSE))</f>
        <v/>
      </c>
      <c r="H1775" s="25" t="str">
        <f t="shared" si="357"/>
        <v/>
      </c>
      <c r="L1775" s="13">
        <f t="shared" si="360"/>
        <v>167262.1126329625</v>
      </c>
      <c r="M1775" s="14">
        <f t="shared" si="361"/>
        <v>433.58079168922615</v>
      </c>
      <c r="N1775" s="14">
        <f t="shared" si="362"/>
        <v>36.329800289424249</v>
      </c>
      <c r="O1775" s="1">
        <f t="shared" si="363"/>
        <v>3.1625148919709645</v>
      </c>
      <c r="P1775" s="1">
        <f t="shared" si="364"/>
        <v>1709.6376606786282</v>
      </c>
      <c r="S1775" s="6">
        <f t="shared" si="358"/>
        <v>0.52165880766912431</v>
      </c>
      <c r="T1775" s="6">
        <f t="shared" si="359"/>
        <v>0.47834119233087585</v>
      </c>
      <c r="V1775" s="1">
        <f t="shared" si="365"/>
        <v>168345.35893361969</v>
      </c>
      <c r="W1775" s="7">
        <f t="shared" si="366"/>
        <v>2.8133802276237739E-3</v>
      </c>
      <c r="X1775" s="7">
        <f t="shared" si="367"/>
        <v>2.1635719265645469E-3</v>
      </c>
      <c r="Y1775">
        <f>LN(B1775/B1774)</f>
        <v>4.9815810337101966E-3</v>
      </c>
      <c r="Z1775">
        <f>LN(C1775/C1774)</f>
        <v>4.5417818521901234E-4</v>
      </c>
    </row>
    <row r="1776" spans="1:26" x14ac:dyDescent="0.3">
      <c r="A1776" s="11">
        <v>42796</v>
      </c>
      <c r="B1776" s="12">
        <v>27143.27</v>
      </c>
      <c r="C1776" s="12">
        <v>46.819699999999997</v>
      </c>
      <c r="D1776" s="16">
        <f t="shared" si="369"/>
        <v>-1.6191379554686414E-2</v>
      </c>
      <c r="E1776" s="15">
        <f t="shared" si="368"/>
        <v>4.5450242668376717E-4</v>
      </c>
      <c r="G1776" s="25" t="str">
        <f>IF(VLOOKUP(A1776,Aux!B:C,2,FALSE)=0,"",VLOOKUP(A1776,Aux!B:C,2,FALSE))</f>
        <v/>
      </c>
      <c r="H1776" s="25" t="str">
        <f t="shared" si="357"/>
        <v/>
      </c>
      <c r="L1776" s="13">
        <f t="shared" si="360"/>
        <v>165885.71797346385</v>
      </c>
      <c r="M1776" s="14">
        <f t="shared" si="361"/>
        <v>-1412.758652541273</v>
      </c>
      <c r="N1776" s="14">
        <f t="shared" si="362"/>
        <v>36.363993042624379</v>
      </c>
      <c r="O1776" s="1">
        <f t="shared" si="363"/>
        <v>3.1625148919709645</v>
      </c>
      <c r="P1776" s="1">
        <f t="shared" si="364"/>
        <v>1709.6376606786282</v>
      </c>
      <c r="S1776" s="6">
        <f t="shared" si="358"/>
        <v>0.51747068186738299</v>
      </c>
      <c r="T1776" s="6">
        <f t="shared" si="359"/>
        <v>0.48252931813261729</v>
      </c>
      <c r="V1776" s="1">
        <f t="shared" si="365"/>
        <v>167362.34407472675</v>
      </c>
      <c r="W1776" s="7">
        <f t="shared" si="366"/>
        <v>-8.2630133797992854E-3</v>
      </c>
      <c r="X1776" s="7">
        <f t="shared" si="367"/>
        <v>-5.8563903041001378E-3</v>
      </c>
      <c r="Y1776">
        <f>LN(B1776/B1775)</f>
        <v>-1.6323892263156278E-2</v>
      </c>
      <c r="Z1776">
        <f>LN(C1776/C1775)</f>
        <v>4.5439917174106643E-4</v>
      </c>
    </row>
    <row r="1777" spans="1:26" x14ac:dyDescent="0.3">
      <c r="A1777" s="9">
        <v>42797</v>
      </c>
      <c r="B1777" s="1">
        <v>27506.61</v>
      </c>
      <c r="C1777" s="1">
        <v>46.840980000000002</v>
      </c>
      <c r="D1777" s="6">
        <f t="shared" si="369"/>
        <v>1.338600691810532E-2</v>
      </c>
      <c r="E1777" s="5">
        <f t="shared" si="368"/>
        <v>4.5450953338033173E-4</v>
      </c>
      <c r="G1777" s="25" t="str">
        <f>IF(VLOOKUP(A1777,Aux!B:C,2,FALSE)=0,"",VLOOKUP(A1777,Aux!B:C,2,FALSE))</f>
        <v/>
      </c>
      <c r="H1777" s="25" t="str">
        <f t="shared" si="357"/>
        <v/>
      </c>
      <c r="L1777" s="13">
        <f t="shared" si="360"/>
        <v>167071.16722373181</v>
      </c>
      <c r="M1777" s="14">
        <f t="shared" si="361"/>
        <v>1149.0681608487307</v>
      </c>
      <c r="N1777" s="14">
        <f t="shared" si="362"/>
        <v>36.381089419248745</v>
      </c>
      <c r="O1777" s="1">
        <f t="shared" si="363"/>
        <v>3.1625148919709645</v>
      </c>
      <c r="P1777" s="1">
        <f t="shared" si="364"/>
        <v>1709.6376606786282</v>
      </c>
      <c r="S1777" s="6">
        <f t="shared" si="358"/>
        <v>0.52067669842843378</v>
      </c>
      <c r="T1777" s="6">
        <f t="shared" si="359"/>
        <v>0.47932330157156644</v>
      </c>
      <c r="V1777" s="1">
        <f t="shared" si="365"/>
        <v>168248.18834320887</v>
      </c>
      <c r="W1777" s="7">
        <f t="shared" si="366"/>
        <v>7.1207673546742831E-3</v>
      </c>
      <c r="X1777" s="7">
        <f t="shared" si="367"/>
        <v>5.2790138576625529E-3</v>
      </c>
      <c r="Y1777">
        <f>LN(B1777/B1776)</f>
        <v>1.3297205910368821E-2</v>
      </c>
      <c r="Z1777">
        <f>LN(C1777/C1776)</f>
        <v>4.5440627520906233E-4</v>
      </c>
    </row>
    <row r="1778" spans="1:26" x14ac:dyDescent="0.3">
      <c r="A1778" s="11">
        <v>42800</v>
      </c>
      <c r="B1778" s="12">
        <v>27358.9</v>
      </c>
      <c r="C1778" s="12">
        <v>46.862259999999999</v>
      </c>
      <c r="D1778" s="16">
        <f t="shared" si="369"/>
        <v>-5.3699819788770586E-3</v>
      </c>
      <c r="E1778" s="15">
        <f t="shared" si="368"/>
        <v>4.5430304831350909E-4</v>
      </c>
      <c r="G1778" s="25" t="str">
        <f>IF(VLOOKUP(A1778,Aux!B:C,2,FALSE)=0,"",VLOOKUP(A1778,Aux!B:C,2,FALSE))</f>
        <v/>
      </c>
      <c r="H1778" s="25" t="str">
        <f t="shared" si="357"/>
        <v/>
      </c>
      <c r="L1778" s="13">
        <f t="shared" si="360"/>
        <v>166640.41323845802</v>
      </c>
      <c r="M1778" s="14">
        <f t="shared" si="361"/>
        <v>-467.1350746930284</v>
      </c>
      <c r="N1778" s="14">
        <f t="shared" si="362"/>
        <v>36.381089419236595</v>
      </c>
      <c r="O1778" s="1">
        <f t="shared" si="363"/>
        <v>3.1625148919709645</v>
      </c>
      <c r="P1778" s="1">
        <f t="shared" si="364"/>
        <v>1709.6376606786282</v>
      </c>
      <c r="S1778" s="6">
        <f t="shared" si="358"/>
        <v>0.51921935979678835</v>
      </c>
      <c r="T1778" s="6">
        <f t="shared" si="359"/>
        <v>0.48078064020321198</v>
      </c>
      <c r="V1778" s="1">
        <f t="shared" si="365"/>
        <v>167955.02238506629</v>
      </c>
      <c r="W1778" s="7">
        <f t="shared" si="366"/>
        <v>-2.5815959033372591E-3</v>
      </c>
      <c r="X1778" s="7">
        <f t="shared" si="367"/>
        <v>-1.7439811583723585E-3</v>
      </c>
      <c r="Y1778">
        <f>LN(B1778/B1777)</f>
        <v>-5.3844521584211318E-3</v>
      </c>
      <c r="Z1778">
        <f>LN(C1778/C1777)</f>
        <v>4.5419988392773631E-4</v>
      </c>
    </row>
    <row r="1779" spans="1:26" x14ac:dyDescent="0.3">
      <c r="A1779" s="9">
        <v>42801</v>
      </c>
      <c r="B1779" s="1">
        <v>27123.29</v>
      </c>
      <c r="C1779" s="1">
        <v>46.883560000000003</v>
      </c>
      <c r="D1779" s="6">
        <f t="shared" si="369"/>
        <v>-8.611822843754724E-3</v>
      </c>
      <c r="E1779" s="5">
        <f t="shared" si="368"/>
        <v>4.5452353343611307E-4</v>
      </c>
      <c r="G1779" s="25" t="str">
        <f>IF(VLOOKUP(A1779,Aux!B:C,2,FALSE)=0,"",VLOOKUP(A1779,Aux!B:C,2,FALSE))</f>
        <v/>
      </c>
      <c r="H1779" s="25" t="str">
        <f t="shared" si="357"/>
        <v/>
      </c>
      <c r="L1779" s="13">
        <f t="shared" si="360"/>
        <v>165931.7083869332</v>
      </c>
      <c r="M1779" s="14">
        <f t="shared" si="361"/>
        <v>-745.12013369728083</v>
      </c>
      <c r="N1779" s="14">
        <f t="shared" si="362"/>
        <v>36.415282172461019</v>
      </c>
      <c r="O1779" s="1">
        <f t="shared" si="363"/>
        <v>3.1625148919709645</v>
      </c>
      <c r="P1779" s="1">
        <f t="shared" si="364"/>
        <v>1709.6376606786282</v>
      </c>
      <c r="S1779" s="6">
        <f t="shared" si="358"/>
        <v>0.51694645573239928</v>
      </c>
      <c r="T1779" s="6">
        <f t="shared" si="359"/>
        <v>0.48305354426760105</v>
      </c>
      <c r="V1779" s="1">
        <f t="shared" si="365"/>
        <v>167459.11279481451</v>
      </c>
      <c r="W1779" s="7">
        <f t="shared" si="366"/>
        <v>-4.2619683263035195E-3</v>
      </c>
      <c r="X1779" s="7">
        <f t="shared" si="367"/>
        <v>-2.9570009107251194E-3</v>
      </c>
      <c r="Y1779">
        <f>LN(B1779/B1778)</f>
        <v>-8.6491188689854729E-3</v>
      </c>
      <c r="Z1779">
        <f>LN(C1779/C1778)</f>
        <v>4.5442026890447771E-4</v>
      </c>
    </row>
    <row r="1780" spans="1:26" x14ac:dyDescent="0.3">
      <c r="A1780" s="11">
        <v>42802</v>
      </c>
      <c r="B1780" s="12">
        <v>26699.45</v>
      </c>
      <c r="C1780" s="12">
        <v>46.904859999999999</v>
      </c>
      <c r="D1780" s="16">
        <f t="shared" si="369"/>
        <v>-1.5626422900761661E-2</v>
      </c>
      <c r="E1780" s="15">
        <f t="shared" si="368"/>
        <v>4.5431703565168569E-4</v>
      </c>
      <c r="G1780" s="25" t="str">
        <f>IF(VLOOKUP(A1780,Aux!B:C,2,FALSE)=0,"",VLOOKUP(A1780,Aux!B:C,2,FALSE))</f>
        <v/>
      </c>
      <c r="H1780" s="25" t="str">
        <f t="shared" si="357"/>
        <v/>
      </c>
      <c r="L1780" s="13">
        <f t="shared" si="360"/>
        <v>164627.72335729268</v>
      </c>
      <c r="M1780" s="14">
        <f t="shared" si="361"/>
        <v>-1340.400311812974</v>
      </c>
      <c r="N1780" s="14">
        <f t="shared" si="362"/>
        <v>36.415282172448869</v>
      </c>
      <c r="O1780" s="1">
        <f t="shared" si="363"/>
        <v>3.1625148919709645</v>
      </c>
      <c r="P1780" s="1">
        <f t="shared" si="364"/>
        <v>1709.6376606786282</v>
      </c>
      <c r="S1780" s="6">
        <f t="shared" si="358"/>
        <v>0.51289908230814252</v>
      </c>
      <c r="T1780" s="6">
        <f t="shared" si="359"/>
        <v>0.48710091769185782</v>
      </c>
      <c r="V1780" s="1">
        <f t="shared" si="365"/>
        <v>166528.95001024209</v>
      </c>
      <c r="W1780" s="7">
        <f t="shared" si="366"/>
        <v>-7.8896057312741845E-3</v>
      </c>
      <c r="X1780" s="7">
        <f t="shared" si="367"/>
        <v>-5.5700505081125399E-3</v>
      </c>
      <c r="Y1780">
        <f>LN(B1780/B1779)</f>
        <v>-1.5749802455671921E-2</v>
      </c>
      <c r="Z1780">
        <f>LN(C1780/C1779)</f>
        <v>4.5421386491421032E-4</v>
      </c>
    </row>
    <row r="1781" spans="1:26" x14ac:dyDescent="0.3">
      <c r="A1781" s="9">
        <v>42803</v>
      </c>
      <c r="B1781" s="1">
        <v>26630.62</v>
      </c>
      <c r="C1781" s="1">
        <v>46.926169999999999</v>
      </c>
      <c r="D1781" s="6">
        <f t="shared" si="369"/>
        <v>-2.5779557256797592E-3</v>
      </c>
      <c r="E1781" s="5">
        <f t="shared" si="368"/>
        <v>4.5432392293687229E-4</v>
      </c>
      <c r="G1781" s="25" t="str">
        <f>IF(VLOOKUP(A1781,Aux!B:C,2,FALSE)=0,"",VLOOKUP(A1781,Aux!B:C,2,FALSE))</f>
        <v/>
      </c>
      <c r="H1781" s="25" t="str">
        <f t="shared" si="357"/>
        <v/>
      </c>
      <c r="L1781" s="13">
        <f t="shared" si="360"/>
        <v>164446.47983582737</v>
      </c>
      <c r="M1781" s="14">
        <f t="shared" si="361"/>
        <v>-217.67590001436702</v>
      </c>
      <c r="N1781" s="14">
        <f t="shared" si="362"/>
        <v>36.432378549061085</v>
      </c>
      <c r="O1781" s="1">
        <f t="shared" si="363"/>
        <v>3.1625148919709645</v>
      </c>
      <c r="P1781" s="1">
        <f t="shared" si="364"/>
        <v>1709.6376606786282</v>
      </c>
      <c r="S1781" s="6">
        <f t="shared" si="358"/>
        <v>0.51214068198054041</v>
      </c>
      <c r="T1781" s="6">
        <f t="shared" si="359"/>
        <v>0.48785931801945998</v>
      </c>
      <c r="V1781" s="1">
        <f t="shared" si="365"/>
        <v>166417.83008531053</v>
      </c>
      <c r="W1781" s="7">
        <f t="shared" si="366"/>
        <v>-1.101535994211077E-3</v>
      </c>
      <c r="X1781" s="7">
        <f t="shared" si="367"/>
        <v>-6.6749363982693895E-4</v>
      </c>
      <c r="Y1781">
        <f>LN(B1781/B1780)</f>
        <v>-2.5812843755134841E-3</v>
      </c>
      <c r="Z1781">
        <f>LN(C1781/C1780)</f>
        <v>4.542207490717832E-4</v>
      </c>
    </row>
    <row r="1782" spans="1:26" x14ac:dyDescent="0.3">
      <c r="A1782" s="11">
        <v>42804</v>
      </c>
      <c r="B1782" s="12">
        <v>26675.29</v>
      </c>
      <c r="C1782" s="12">
        <v>46.947499999999998</v>
      </c>
      <c r="D1782" s="16">
        <f t="shared" si="369"/>
        <v>1.6773924151973763E-3</v>
      </c>
      <c r="E1782" s="15">
        <f t="shared" si="368"/>
        <v>4.5454380785825421E-4</v>
      </c>
      <c r="G1782" s="25" t="str">
        <f>IF(VLOOKUP(A1782,Aux!B:C,2,FALSE)=0,"",VLOOKUP(A1782,Aux!B:C,2,FALSE))</f>
        <v/>
      </c>
      <c r="H1782" s="25" t="str">
        <f t="shared" si="357"/>
        <v/>
      </c>
      <c r="L1782" s="13">
        <f t="shared" si="360"/>
        <v>164624.21594735398</v>
      </c>
      <c r="M1782" s="14">
        <f t="shared" si="361"/>
        <v>141.26954022434896</v>
      </c>
      <c r="N1782" s="14">
        <f t="shared" si="362"/>
        <v>36.466571302273366</v>
      </c>
      <c r="O1782" s="1">
        <f t="shared" si="363"/>
        <v>3.1625148919709645</v>
      </c>
      <c r="P1782" s="1">
        <f t="shared" si="364"/>
        <v>1709.6376606786282</v>
      </c>
      <c r="S1782" s="6">
        <f t="shared" si="358"/>
        <v>0.51244588402244773</v>
      </c>
      <c r="T1782" s="6">
        <f t="shared" si="359"/>
        <v>0.4875541159775526</v>
      </c>
      <c r="V1782" s="1">
        <f t="shared" si="365"/>
        <v>166568.60337327945</v>
      </c>
      <c r="W1782" s="7">
        <f t="shared" si="366"/>
        <v>1.0802306682881249E-3</v>
      </c>
      <c r="X1782" s="7">
        <f t="shared" si="367"/>
        <v>9.0558222872171826E-4</v>
      </c>
      <c r="Y1782">
        <f>LN(B1782/B1781)</f>
        <v>1.6759871637593675E-3</v>
      </c>
      <c r="Z1782">
        <f>LN(C1782/C1781)</f>
        <v>4.5444053411539814E-4</v>
      </c>
    </row>
    <row r="1783" spans="1:26" x14ac:dyDescent="0.3">
      <c r="A1783" s="9">
        <v>42807</v>
      </c>
      <c r="B1783" s="1">
        <v>27029.98</v>
      </c>
      <c r="C1783" s="1">
        <v>46.968829999999997</v>
      </c>
      <c r="D1783" s="6">
        <f t="shared" si="369"/>
        <v>1.3296575219988283E-2</v>
      </c>
      <c r="E1783" s="5">
        <f t="shared" si="368"/>
        <v>4.5433729165544889E-4</v>
      </c>
      <c r="G1783" s="25" t="str">
        <f>IF(VLOOKUP(A1783,Aux!B:C,2,FALSE)=0,"",VLOOKUP(A1783,Aux!B:C,2,FALSE))</f>
        <v/>
      </c>
      <c r="H1783" s="25" t="str">
        <f t="shared" si="357"/>
        <v/>
      </c>
      <c r="L1783" s="13">
        <f t="shared" si="360"/>
        <v>165782.39492568941</v>
      </c>
      <c r="M1783" s="14">
        <f t="shared" si="361"/>
        <v>1121.7124070331772</v>
      </c>
      <c r="N1783" s="14">
        <f t="shared" si="362"/>
        <v>36.466571302273366</v>
      </c>
      <c r="O1783" s="1">
        <f t="shared" si="363"/>
        <v>3.1625148919709645</v>
      </c>
      <c r="P1783" s="1">
        <f t="shared" si="364"/>
        <v>1709.6376606786282</v>
      </c>
      <c r="S1783" s="6">
        <f t="shared" si="358"/>
        <v>0.51563203872156782</v>
      </c>
      <c r="T1783" s="6">
        <f t="shared" si="359"/>
        <v>0.48436796127843273</v>
      </c>
      <c r="V1783" s="1">
        <f t="shared" si="365"/>
        <v>167434.60364580603</v>
      </c>
      <c r="W1783" s="7">
        <f t="shared" si="366"/>
        <v>7.0106570744028493E-3</v>
      </c>
      <c r="X1783" s="7">
        <f t="shared" si="367"/>
        <v>5.1855922034004147E-3</v>
      </c>
      <c r="Y1783">
        <f>LN(B1783/B1782)</f>
        <v>1.320895163812779E-2</v>
      </c>
      <c r="Z1783">
        <f>LN(C1783/C1782)</f>
        <v>4.5423411171930002E-4</v>
      </c>
    </row>
    <row r="1784" spans="1:26" x14ac:dyDescent="0.3">
      <c r="A1784" s="11">
        <v>42808</v>
      </c>
      <c r="B1784" s="12">
        <v>26701.29</v>
      </c>
      <c r="C1784" s="12">
        <v>46.990180000000002</v>
      </c>
      <c r="D1784" s="16">
        <f t="shared" si="369"/>
        <v>-1.2160201376397617E-2</v>
      </c>
      <c r="E1784" s="15">
        <f t="shared" si="368"/>
        <v>4.5455677733530209E-4</v>
      </c>
      <c r="G1784" s="25" t="str">
        <f>IF(VLOOKUP(A1784,Aux!B:C,2,FALSE)=0,"",VLOOKUP(A1784,Aux!B:C,2,FALSE))</f>
        <v/>
      </c>
      <c r="H1784" s="25" t="str">
        <f t="shared" si="357"/>
        <v/>
      </c>
      <c r="L1784" s="13">
        <f t="shared" si="360"/>
        <v>164779.40866990297</v>
      </c>
      <c r="M1784" s="14">
        <f t="shared" si="361"/>
        <v>-1039.4870198419321</v>
      </c>
      <c r="N1784" s="14">
        <f t="shared" si="362"/>
        <v>36.50076405549779</v>
      </c>
      <c r="O1784" s="1">
        <f t="shared" si="363"/>
        <v>3.1625148919709645</v>
      </c>
      <c r="P1784" s="1">
        <f t="shared" si="364"/>
        <v>1709.6376606786282</v>
      </c>
      <c r="S1784" s="6">
        <f t="shared" si="358"/>
        <v>0.51246225448592109</v>
      </c>
      <c r="T1784" s="6">
        <f t="shared" si="359"/>
        <v>0.48753774551407958</v>
      </c>
      <c r="V1784" s="1">
        <f t="shared" si="365"/>
        <v>166724.06709622149</v>
      </c>
      <c r="W1784" s="7">
        <f t="shared" si="366"/>
        <v>-6.0683921906340083E-3</v>
      </c>
      <c r="X1784" s="7">
        <f t="shared" si="367"/>
        <v>-4.2526959954039129E-3</v>
      </c>
      <c r="Y1784">
        <f>LN(B1784/B1783)</f>
        <v>-1.2234741523641148E-2</v>
      </c>
      <c r="Z1784">
        <f>LN(C1784/C1783)</f>
        <v>4.5445349769984494E-4</v>
      </c>
    </row>
    <row r="1785" spans="1:26" x14ac:dyDescent="0.3">
      <c r="A1785" s="9">
        <v>42809</v>
      </c>
      <c r="B1785" s="1">
        <v>27298.22</v>
      </c>
      <c r="C1785" s="1">
        <v>47.01153</v>
      </c>
      <c r="D1785" s="6">
        <f t="shared" si="369"/>
        <v>2.2355848724911809E-2</v>
      </c>
      <c r="E1785" s="5">
        <f t="shared" si="368"/>
        <v>4.5435024934992185E-4</v>
      </c>
      <c r="G1785" s="25" t="str">
        <f>IF(VLOOKUP(A1785,Aux!B:C,2,FALSE)=0,"",VLOOKUP(A1785,Aux!B:C,2,FALSE))</f>
        <v/>
      </c>
      <c r="H1785" s="25" t="str">
        <f t="shared" si="357"/>
        <v/>
      </c>
      <c r="L1785" s="13">
        <f t="shared" si="360"/>
        <v>166703.70944842271</v>
      </c>
      <c r="M1785" s="14">
        <f t="shared" si="361"/>
        <v>1887.8000144642288</v>
      </c>
      <c r="N1785" s="14">
        <f t="shared" si="362"/>
        <v>36.500764055485639</v>
      </c>
      <c r="O1785" s="1">
        <f t="shared" si="363"/>
        <v>3.1625148919709645</v>
      </c>
      <c r="P1785" s="1">
        <f t="shared" si="364"/>
        <v>1709.6376606786282</v>
      </c>
      <c r="S1785" s="6">
        <f t="shared" si="358"/>
        <v>0.51787106333713595</v>
      </c>
      <c r="T1785" s="6">
        <f t="shared" si="359"/>
        <v>0.48212893666286444</v>
      </c>
      <c r="V1785" s="1">
        <f t="shared" si="365"/>
        <v>168148.96826499782</v>
      </c>
      <c r="W1785" s="7">
        <f t="shared" si="366"/>
        <v>1.1610379471828984E-2</v>
      </c>
      <c r="X1785" s="7">
        <f t="shared" si="367"/>
        <v>8.5101493276169837E-3</v>
      </c>
      <c r="Y1785">
        <f>LN(B1785/B1784)</f>
        <v>2.2109619754172267E-2</v>
      </c>
      <c r="Z1785">
        <f>LN(C1785/C1784)</f>
        <v>4.5424706352919885E-4</v>
      </c>
    </row>
    <row r="1786" spans="1:26" x14ac:dyDescent="0.3">
      <c r="A1786" s="11">
        <v>42810</v>
      </c>
      <c r="B1786" s="12">
        <v>27131.56</v>
      </c>
      <c r="C1786" s="12">
        <v>47.032890000000002</v>
      </c>
      <c r="D1786" s="16">
        <f t="shared" si="369"/>
        <v>-6.105159970137275E-3</v>
      </c>
      <c r="E1786" s="15">
        <f t="shared" si="368"/>
        <v>4.5435662272641508E-4</v>
      </c>
      <c r="G1786" s="25" t="str">
        <f>IF(VLOOKUP(A1786,Aux!B:C,2,FALSE)=0,"",VLOOKUP(A1786,Aux!B:C,2,FALSE))</f>
        <v/>
      </c>
      <c r="H1786" s="25" t="str">
        <f t="shared" si="357"/>
        <v/>
      </c>
      <c r="L1786" s="13">
        <f t="shared" si="360"/>
        <v>166213.16257695892</v>
      </c>
      <c r="M1786" s="14">
        <f t="shared" si="361"/>
        <v>-527.06473189588053</v>
      </c>
      <c r="N1786" s="14">
        <f t="shared" si="362"/>
        <v>36.517860432097855</v>
      </c>
      <c r="O1786" s="1">
        <f t="shared" si="363"/>
        <v>3.1625148919709645</v>
      </c>
      <c r="P1786" s="1">
        <f t="shared" si="364"/>
        <v>1709.6376606786282</v>
      </c>
      <c r="S1786" s="6">
        <f t="shared" si="358"/>
        <v>0.51622844552202884</v>
      </c>
      <c r="T1786" s="6">
        <f t="shared" si="359"/>
        <v>0.48377155447797171</v>
      </c>
      <c r="V1786" s="1">
        <f t="shared" si="365"/>
        <v>167812.26296457765</v>
      </c>
      <c r="W1786" s="7">
        <f t="shared" si="366"/>
        <v>-2.9469652498925508E-3</v>
      </c>
      <c r="X1786" s="7">
        <f t="shared" si="367"/>
        <v>-2.0044301654731527E-3</v>
      </c>
      <c r="Y1786">
        <f>LN(B1786/B1785)</f>
        <v>-6.1238726607897925E-3</v>
      </c>
      <c r="Z1786">
        <f>LN(C1786/C1785)</f>
        <v>4.5425343401124166E-4</v>
      </c>
    </row>
    <row r="1787" spans="1:26" x14ac:dyDescent="0.3">
      <c r="A1787" s="9">
        <v>42811</v>
      </c>
      <c r="B1787" s="1">
        <v>26505.09</v>
      </c>
      <c r="C1787" s="1">
        <v>47.054259999999999</v>
      </c>
      <c r="D1787" s="6">
        <f t="shared" si="369"/>
        <v>-2.309008402023327E-2</v>
      </c>
      <c r="E1787" s="5">
        <f t="shared" si="368"/>
        <v>4.5436289371103555E-4</v>
      </c>
      <c r="G1787" s="25" t="str">
        <f>IF(VLOOKUP(A1787,Aux!B:C,2,FALSE)=0,"",VLOOKUP(A1787,Aux!B:C,2,FALSE))</f>
        <v/>
      </c>
      <c r="H1787" s="25" t="str">
        <f t="shared" si="357"/>
        <v/>
      </c>
      <c r="L1787" s="13">
        <f t="shared" si="360"/>
        <v>164268.47682939455</v>
      </c>
      <c r="M1787" s="14">
        <f t="shared" si="361"/>
        <v>-1981.2207043730539</v>
      </c>
      <c r="N1787" s="14">
        <f t="shared" si="362"/>
        <v>36.53495680869792</v>
      </c>
      <c r="O1787" s="1">
        <f t="shared" si="363"/>
        <v>3.1625148919709645</v>
      </c>
      <c r="P1787" s="1">
        <f t="shared" si="364"/>
        <v>1709.6376606786282</v>
      </c>
      <c r="S1787" s="6">
        <f t="shared" si="358"/>
        <v>0.51027892542698294</v>
      </c>
      <c r="T1787" s="6">
        <f t="shared" si="359"/>
        <v>0.48972107457301761</v>
      </c>
      <c r="V1787" s="1">
        <f t="shared" si="365"/>
        <v>166414.78228124219</v>
      </c>
      <c r="W1787" s="7">
        <f t="shared" si="366"/>
        <v>-1.1768933349418689E-2</v>
      </c>
      <c r="X1787" s="7">
        <f t="shared" si="367"/>
        <v>-8.3625119343877282E-3</v>
      </c>
      <c r="Y1787">
        <f>LN(B1787/B1786)</f>
        <v>-2.3360835919471929E-2</v>
      </c>
      <c r="Z1787">
        <f>LN(C1787/C1786)</f>
        <v>4.5425970214787309E-4</v>
      </c>
    </row>
    <row r="1788" spans="1:26" x14ac:dyDescent="0.3">
      <c r="A1788" s="11">
        <v>42814</v>
      </c>
      <c r="B1788" s="12">
        <v>26748.21</v>
      </c>
      <c r="C1788" s="12">
        <v>47.075650000000003</v>
      </c>
      <c r="D1788" s="16">
        <f t="shared" si="369"/>
        <v>9.1725777954347887E-3</v>
      </c>
      <c r="E1788" s="15">
        <f t="shared" si="368"/>
        <v>4.5458158304900742E-4</v>
      </c>
      <c r="G1788" s="25" t="str">
        <f>IF(VLOOKUP(A1788,Aux!B:C,2,FALSE)=0,"",VLOOKUP(A1788,Aux!B:C,2,FALSE))</f>
        <v/>
      </c>
      <c r="H1788" s="25" t="str">
        <f t="shared" si="357"/>
        <v/>
      </c>
      <c r="L1788" s="13">
        <f t="shared" si="360"/>
        <v>165073.91659949246</v>
      </c>
      <c r="M1788" s="14">
        <f t="shared" si="361"/>
        <v>768.87062053597765</v>
      </c>
      <c r="N1788" s="14">
        <f t="shared" si="362"/>
        <v>36.569149561922345</v>
      </c>
      <c r="O1788" s="1">
        <f t="shared" si="363"/>
        <v>3.1625148919709645</v>
      </c>
      <c r="P1788" s="1">
        <f t="shared" si="364"/>
        <v>1709.6376606786282</v>
      </c>
      <c r="S1788" s="6">
        <f t="shared" si="358"/>
        <v>0.51244687350458584</v>
      </c>
      <c r="T1788" s="6">
        <f t="shared" si="359"/>
        <v>0.48755312649541466</v>
      </c>
      <c r="V1788" s="1">
        <f t="shared" si="365"/>
        <v>167023.52088897696</v>
      </c>
      <c r="W1788" s="7">
        <f t="shared" si="366"/>
        <v>4.8912098286863284E-3</v>
      </c>
      <c r="X1788" s="7">
        <f t="shared" si="367"/>
        <v>3.651285879575751E-3</v>
      </c>
      <c r="Y1788">
        <f>LN(B1788/B1787)</f>
        <v>9.1307651954542438E-3</v>
      </c>
      <c r="Z1788">
        <f>LN(C1788/C1787)</f>
        <v>4.5447829214276069E-4</v>
      </c>
    </row>
    <row r="1789" spans="1:26" x14ac:dyDescent="0.3">
      <c r="A1789" s="9">
        <v>42815</v>
      </c>
      <c r="B1789" s="1">
        <v>26003.89</v>
      </c>
      <c r="C1789" s="1">
        <v>47.09704</v>
      </c>
      <c r="D1789" s="6">
        <f t="shared" si="369"/>
        <v>-2.7826908791279803E-2</v>
      </c>
      <c r="E1789" s="5">
        <f t="shared" si="368"/>
        <v>4.5437503252743205E-4</v>
      </c>
      <c r="G1789" s="25" t="str">
        <f>IF(VLOOKUP(A1789,Aux!B:C,2,FALSE)=0,"",VLOOKUP(A1789,Aux!B:C,2,FALSE))</f>
        <v/>
      </c>
      <c r="H1789" s="25" t="str">
        <f t="shared" si="357"/>
        <v/>
      </c>
      <c r="L1789" s="13">
        <f t="shared" si="360"/>
        <v>162756.56266466252</v>
      </c>
      <c r="M1789" s="14">
        <f t="shared" si="361"/>
        <v>-2353.9230843918272</v>
      </c>
      <c r="N1789" s="14">
        <f t="shared" si="362"/>
        <v>36.569149561910194</v>
      </c>
      <c r="O1789" s="1">
        <f t="shared" si="363"/>
        <v>3.1625148919709645</v>
      </c>
      <c r="P1789" s="1">
        <f t="shared" si="364"/>
        <v>1709.6376606786282</v>
      </c>
      <c r="S1789" s="6">
        <f t="shared" si="358"/>
        <v>0.50528032804191292</v>
      </c>
      <c r="T1789" s="6">
        <f t="shared" si="359"/>
        <v>0.49471967195808769</v>
      </c>
      <c r="V1789" s="1">
        <f t="shared" si="365"/>
        <v>165354.20087587566</v>
      </c>
      <c r="W1789" s="7">
        <f t="shared" si="366"/>
        <v>-1.4137749110533355E-2</v>
      </c>
      <c r="X1789" s="7">
        <f t="shared" si="367"/>
        <v>-1.0044801078356147E-2</v>
      </c>
      <c r="Y1789">
        <f>LN(B1789/B1788)</f>
        <v>-2.8221413000365101E-2</v>
      </c>
      <c r="Z1789">
        <f>LN(C1789/C1788)</f>
        <v>4.5427183545127312E-4</v>
      </c>
    </row>
    <row r="1790" spans="1:26" x14ac:dyDescent="0.3">
      <c r="A1790" s="11">
        <v>42816</v>
      </c>
      <c r="B1790" s="12">
        <v>26209.66</v>
      </c>
      <c r="C1790" s="12">
        <v>47.11844</v>
      </c>
      <c r="D1790" s="16">
        <f t="shared" si="369"/>
        <v>7.9130468556820599E-3</v>
      </c>
      <c r="E1790" s="15">
        <f t="shared" si="368"/>
        <v>4.5438099719219416E-4</v>
      </c>
      <c r="G1790" s="25" t="str">
        <f>IF(VLOOKUP(A1790,Aux!B:C,2,FALSE)=0,"",VLOOKUP(A1790,Aux!B:C,2,FALSE))</f>
        <v/>
      </c>
      <c r="H1790" s="25" t="str">
        <f t="shared" si="357"/>
        <v/>
      </c>
      <c r="L1790" s="13">
        <f t="shared" si="360"/>
        <v>163443.89959992192</v>
      </c>
      <c r="M1790" s="14">
        <f t="shared" si="361"/>
        <v>650.75068932086674</v>
      </c>
      <c r="N1790" s="14">
        <f t="shared" si="362"/>
        <v>36.58624593852241</v>
      </c>
      <c r="O1790" s="1">
        <f t="shared" si="363"/>
        <v>3.1625148919709645</v>
      </c>
      <c r="P1790" s="1">
        <f t="shared" si="364"/>
        <v>1709.6376606786282</v>
      </c>
      <c r="S1790" s="6">
        <f t="shared" si="358"/>
        <v>0.50713694586576852</v>
      </c>
      <c r="T1790" s="6">
        <f t="shared" si="359"/>
        <v>0.49286305413423209</v>
      </c>
      <c r="V1790" s="1">
        <f t="shared" si="365"/>
        <v>165876.79409842507</v>
      </c>
      <c r="W1790" s="7">
        <f t="shared" si="366"/>
        <v>4.2142058764675534E-3</v>
      </c>
      <c r="X1790" s="7">
        <f t="shared" si="367"/>
        <v>3.1554634928378602E-3</v>
      </c>
      <c r="Y1790">
        <f>LN(B1790/B1789)</f>
        <v>7.8819028883088983E-3</v>
      </c>
      <c r="Z1790">
        <f>LN(C1790/C1789)</f>
        <v>4.5427779740705358E-4</v>
      </c>
    </row>
    <row r="1791" spans="1:26" x14ac:dyDescent="0.3">
      <c r="A1791" s="9">
        <v>42817</v>
      </c>
      <c r="B1791" s="1">
        <v>26230.799999999999</v>
      </c>
      <c r="C1791" s="1">
        <v>47.139850000000003</v>
      </c>
      <c r="D1791" s="6">
        <f t="shared" si="369"/>
        <v>8.0657284375296179E-4</v>
      </c>
      <c r="E1791" s="5">
        <f t="shared" si="368"/>
        <v>4.5438686000642825E-4</v>
      </c>
      <c r="G1791" s="25" t="str">
        <f>IF(VLOOKUP(A1791,Aux!B:C,2,FALSE)=0,"",VLOOKUP(A1791,Aux!B:C,2,FALSE))</f>
        <v/>
      </c>
      <c r="H1791" s="25" t="str">
        <f t="shared" si="357"/>
        <v/>
      </c>
      <c r="L1791" s="13">
        <f t="shared" si="360"/>
        <v>163547.35850705332</v>
      </c>
      <c r="M1791" s="14">
        <f t="shared" si="361"/>
        <v>66.855564816264348</v>
      </c>
      <c r="N1791" s="14">
        <f t="shared" si="362"/>
        <v>36.603342315134626</v>
      </c>
      <c r="O1791" s="1">
        <f t="shared" si="363"/>
        <v>3.1625148919709645</v>
      </c>
      <c r="P1791" s="1">
        <f t="shared" si="364"/>
        <v>1709.6376606786282</v>
      </c>
      <c r="S1791" s="6">
        <f t="shared" si="358"/>
        <v>0.50722491873651598</v>
      </c>
      <c r="T1791" s="6">
        <f t="shared" si="359"/>
        <v>0.49277508126348452</v>
      </c>
      <c r="V1791" s="1">
        <f t="shared" si="365"/>
        <v>165973.4618239071</v>
      </c>
      <c r="W1791" s="7">
        <f t="shared" si="366"/>
        <v>6.3279312837083998E-4</v>
      </c>
      <c r="X1791" s="7">
        <f t="shared" si="367"/>
        <v>5.8259848525716185E-4</v>
      </c>
      <c r="Y1791">
        <f>LN(B1791/B1790)</f>
        <v>8.0624773867902632E-4</v>
      </c>
      <c r="Z1791">
        <f>LN(C1791/C1790)</f>
        <v>4.5428365755852899E-4</v>
      </c>
    </row>
    <row r="1792" spans="1:26" x14ac:dyDescent="0.3">
      <c r="A1792" s="11">
        <v>42818</v>
      </c>
      <c r="B1792" s="12">
        <v>26353.040000000001</v>
      </c>
      <c r="C1792" s="12">
        <v>47.161270000000002</v>
      </c>
      <c r="D1792" s="16">
        <f t="shared" si="369"/>
        <v>4.6601704866036098E-3</v>
      </c>
      <c r="E1792" s="15">
        <f t="shared" si="368"/>
        <v>4.5439262110513745E-4</v>
      </c>
      <c r="G1792" s="25" t="str">
        <f>IF(VLOOKUP(A1792,Aux!B:C,2,FALSE)=0,"",VLOOKUP(A1792,Aux!B:C,2,FALSE))</f>
        <v/>
      </c>
      <c r="H1792" s="25" t="str">
        <f t="shared" si="357"/>
        <v/>
      </c>
      <c r="L1792" s="13">
        <f t="shared" si="360"/>
        <v>163970.56476613958</v>
      </c>
      <c r="M1792" s="14">
        <f t="shared" si="361"/>
        <v>386.58582039453574</v>
      </c>
      <c r="N1792" s="14">
        <f t="shared" si="362"/>
        <v>36.620438691734691</v>
      </c>
      <c r="O1792" s="1">
        <f t="shared" si="363"/>
        <v>3.1625148919709645</v>
      </c>
      <c r="P1792" s="1">
        <f t="shared" si="364"/>
        <v>1709.6376606786282</v>
      </c>
      <c r="S1792" s="6">
        <f t="shared" si="358"/>
        <v>0.50827343046339779</v>
      </c>
      <c r="T1792" s="6">
        <f t="shared" si="359"/>
        <v>0.49172656953660282</v>
      </c>
      <c r="V1792" s="1">
        <f t="shared" si="365"/>
        <v>166303.3931572107</v>
      </c>
      <c r="W1792" s="7">
        <f t="shared" si="366"/>
        <v>2.5843257089389264E-3</v>
      </c>
      <c r="X1792" s="7">
        <f t="shared" si="367"/>
        <v>1.9858827768930568E-3</v>
      </c>
      <c r="Y1792">
        <f>LN(B1792/B1791)</f>
        <v>4.6493455099179985E-3</v>
      </c>
      <c r="Z1792">
        <f>LN(C1792/C1791)</f>
        <v>4.5428941604064299E-4</v>
      </c>
    </row>
    <row r="1793" spans="1:26" x14ac:dyDescent="0.3">
      <c r="A1793" s="9">
        <v>42821</v>
      </c>
      <c r="B1793" s="1">
        <v>26522.16</v>
      </c>
      <c r="C1793" s="1">
        <v>47.182699999999997</v>
      </c>
      <c r="D1793" s="6">
        <f t="shared" si="369"/>
        <v>6.4174759344652887E-3</v>
      </c>
      <c r="E1793" s="5">
        <f t="shared" si="368"/>
        <v>4.5439828062288079E-4</v>
      </c>
      <c r="G1793" s="25" t="str">
        <f>IF(VLOOKUP(A1793,Aux!B:C,2,FALSE)=0,"",VLOOKUP(A1793,Aux!B:C,2,FALSE))</f>
        <v/>
      </c>
      <c r="H1793" s="25" t="str">
        <f t="shared" si="357"/>
        <v/>
      </c>
      <c r="L1793" s="13">
        <f t="shared" si="360"/>
        <v>164542.04681973803</v>
      </c>
      <c r="M1793" s="14">
        <f t="shared" si="361"/>
        <v>534.84451853012627</v>
      </c>
      <c r="N1793" s="14">
        <f t="shared" si="362"/>
        <v>36.637535068334756</v>
      </c>
      <c r="O1793" s="1">
        <f t="shared" si="363"/>
        <v>3.1625148919709645</v>
      </c>
      <c r="P1793" s="1">
        <f t="shared" si="364"/>
        <v>1709.6376606786282</v>
      </c>
      <c r="S1793" s="6">
        <f t="shared" si="358"/>
        <v>0.50975861543236256</v>
      </c>
      <c r="T1793" s="6">
        <f t="shared" si="359"/>
        <v>0.49024138456763811</v>
      </c>
      <c r="V1793" s="1">
        <f t="shared" si="365"/>
        <v>166741.50066171004</v>
      </c>
      <c r="W1793" s="7">
        <f t="shared" si="366"/>
        <v>3.4792127298754294E-3</v>
      </c>
      <c r="X1793" s="7">
        <f t="shared" si="367"/>
        <v>2.6309231298027105E-3</v>
      </c>
      <c r="Y1793">
        <f>LN(B1793/B1792)</f>
        <v>6.3969716130195453E-3</v>
      </c>
      <c r="Z1793">
        <f>LN(C1793/C1792)</f>
        <v>4.5429507298789526E-4</v>
      </c>
    </row>
    <row r="1794" spans="1:26" x14ac:dyDescent="0.3">
      <c r="A1794" s="11">
        <v>42822</v>
      </c>
      <c r="B1794" s="12">
        <v>26657.8</v>
      </c>
      <c r="C1794" s="12">
        <v>47.204149999999998</v>
      </c>
      <c r="D1794" s="16">
        <f t="shared" si="369"/>
        <v>5.114213925260902E-3</v>
      </c>
      <c r="E1794" s="15">
        <f t="shared" si="368"/>
        <v>4.5461578078409559E-4</v>
      </c>
      <c r="G1794" s="25" t="str">
        <f>IF(VLOOKUP(A1794,Aux!B:C,2,FALSE)=0,"",VLOOKUP(A1794,Aux!B:C,2,FALSE))</f>
        <v/>
      </c>
      <c r="H1794" s="25" t="str">
        <f t="shared" si="357"/>
        <v/>
      </c>
      <c r="L1794" s="13">
        <f t="shared" si="360"/>
        <v>165007.68206750651</v>
      </c>
      <c r="M1794" s="14">
        <f t="shared" si="361"/>
        <v>428.96351994693975</v>
      </c>
      <c r="N1794" s="14">
        <f t="shared" si="362"/>
        <v>36.67172782155918</v>
      </c>
      <c r="O1794" s="1">
        <f t="shared" si="363"/>
        <v>3.1625148919709645</v>
      </c>
      <c r="P1794" s="1">
        <f t="shared" si="364"/>
        <v>1709.6376606786282</v>
      </c>
      <c r="S1794" s="6">
        <f t="shared" si="358"/>
        <v>0.51091978525395654</v>
      </c>
      <c r="T1794" s="6">
        <f t="shared" si="359"/>
        <v>0.48908021474604413</v>
      </c>
      <c r="V1794" s="1">
        <f t="shared" si="365"/>
        <v>167102.413377722</v>
      </c>
      <c r="W1794" s="7">
        <f t="shared" si="366"/>
        <v>2.8258894899258567E-3</v>
      </c>
      <c r="X1794" s="7">
        <f t="shared" si="367"/>
        <v>2.1621652601019562E-3</v>
      </c>
      <c r="Y1794">
        <f>LN(B1794/B1793)</f>
        <v>5.1011807506331089E-3</v>
      </c>
      <c r="Z1794">
        <f>LN(C1794/C1793)</f>
        <v>4.5451247433866764E-4</v>
      </c>
    </row>
    <row r="1795" spans="1:26" x14ac:dyDescent="0.3">
      <c r="A1795" s="9">
        <v>42823</v>
      </c>
      <c r="B1795" s="1">
        <v>27014.6</v>
      </c>
      <c r="C1795" s="1">
        <v>47.2256</v>
      </c>
      <c r="D1795" s="6">
        <f t="shared" si="369"/>
        <v>1.3384450329734676E-2</v>
      </c>
      <c r="E1795" s="5">
        <f t="shared" si="368"/>
        <v>4.5440919919115252E-4</v>
      </c>
      <c r="G1795" s="25" t="str">
        <f>IF(VLOOKUP(A1795,Aux!B:C,2,FALSE)=0,"",VLOOKUP(A1795,Aux!B:C,2,FALSE))</f>
        <v/>
      </c>
      <c r="H1795" s="25" t="str">
        <f t="shared" ref="H1795:H1858" si="370">IF(ISNUMBER(G1795),1-G1795,"")</f>
        <v/>
      </c>
      <c r="L1795" s="13">
        <f t="shared" si="360"/>
        <v>166172.73910878331</v>
      </c>
      <c r="M1795" s="14">
        <f t="shared" si="361"/>
        <v>1128.3853134552378</v>
      </c>
      <c r="N1795" s="14">
        <f t="shared" si="362"/>
        <v>36.67172782155918</v>
      </c>
      <c r="O1795" s="1">
        <f t="shared" si="363"/>
        <v>3.1625148919709645</v>
      </c>
      <c r="P1795" s="1">
        <f t="shared" si="364"/>
        <v>1709.6376606786282</v>
      </c>
      <c r="S1795" s="6">
        <f t="shared" ref="S1795:S1858" si="371">O1795*B1795/L1795</f>
        <v>0.51412810102811302</v>
      </c>
      <c r="T1795" s="6">
        <f t="shared" ref="T1795:T1858" si="372">P1795*C1795/L1795</f>
        <v>0.48587189897188776</v>
      </c>
      <c r="V1795" s="1">
        <f t="shared" si="365"/>
        <v>167973.54994995211</v>
      </c>
      <c r="W1795" s="7">
        <f t="shared" si="366"/>
        <v>7.0358135499344497E-3</v>
      </c>
      <c r="X1795" s="7">
        <f t="shared" si="367"/>
        <v>5.1996480217394473E-3</v>
      </c>
      <c r="Y1795">
        <f>LN(B1795/B1794)</f>
        <v>1.329566988208789E-2</v>
      </c>
      <c r="Z1795">
        <f>LN(C1795/C1794)</f>
        <v>4.5430598659698223E-4</v>
      </c>
    </row>
    <row r="1796" spans="1:26" x14ac:dyDescent="0.3">
      <c r="A1796" s="11">
        <v>42824</v>
      </c>
      <c r="B1796" s="12">
        <v>26904.68</v>
      </c>
      <c r="C1796" s="12">
        <v>47.247059999999998</v>
      </c>
      <c r="D1796" s="16">
        <f t="shared" si="369"/>
        <v>-4.0689108852249856E-3</v>
      </c>
      <c r="E1796" s="15">
        <f t="shared" si="368"/>
        <v>4.5441455481776138E-4</v>
      </c>
      <c r="G1796" s="25" t="str">
        <f>IF(VLOOKUP(A1796,Aux!B:C,2,FALSE)=0,"",VLOOKUP(A1796,Aux!B:C,2,FALSE))</f>
        <v/>
      </c>
      <c r="H1796" s="25" t="str">
        <f t="shared" si="370"/>
        <v/>
      </c>
      <c r="L1796" s="13">
        <f t="shared" ref="L1796:L1859" si="373">L1795+M1796+N1796</f>
        <v>165861.80429605601</v>
      </c>
      <c r="M1796" s="14">
        <f t="shared" ref="M1796:M1859" si="374">O1795*(B1796-B1795)</f>
        <v>-347.6236369254429</v>
      </c>
      <c r="N1796" s="14">
        <f t="shared" ref="N1796:N1859" si="375">P1795*(C1796-C1795)</f>
        <v>36.688824198159246</v>
      </c>
      <c r="O1796" s="1">
        <f t="shared" ref="O1796:O1859" si="376">IF(ISNUMBER(G1796),L1796*G1796/B1796,O1795)</f>
        <v>3.1625148919709645</v>
      </c>
      <c r="P1796" s="1">
        <f t="shared" ref="P1796:P1859" si="377">IF(ISNUMBER(H1796),L1796*H1796/C1796,P1795)</f>
        <v>1709.6376606786282</v>
      </c>
      <c r="S1796" s="6">
        <f t="shared" si="371"/>
        <v>0.51299605430456918</v>
      </c>
      <c r="T1796" s="6">
        <f t="shared" si="372"/>
        <v>0.48700394569543176</v>
      </c>
      <c r="V1796" s="1">
        <f t="shared" ref="V1796:V1859" si="378">$O$2*B1796+$P$2*C1796</f>
        <v>167767.96952755388</v>
      </c>
      <c r="W1796" s="7">
        <f t="shared" ref="W1796:W1859" si="379">LN(L1796/L1795)</f>
        <v>-1.8729069597984115E-3</v>
      </c>
      <c r="X1796" s="7">
        <f t="shared" ref="X1796:X1859" si="380">LN(V1796/V1795)</f>
        <v>-1.2246352396992944E-3</v>
      </c>
      <c r="Y1796">
        <f>LN(B1796/B1795)</f>
        <v>-4.077211426881752E-3</v>
      </c>
      <c r="Z1796">
        <f>LN(C1796/C1795)</f>
        <v>4.5431133979103612E-4</v>
      </c>
    </row>
    <row r="1797" spans="1:26" x14ac:dyDescent="0.3">
      <c r="A1797" s="9">
        <v>42825</v>
      </c>
      <c r="B1797" s="1">
        <v>26806.42</v>
      </c>
      <c r="C1797" s="1">
        <v>47.268529999999998</v>
      </c>
      <c r="D1797" s="6">
        <f t="shared" si="369"/>
        <v>-3.6521527109781848E-3</v>
      </c>
      <c r="E1797" s="5">
        <f t="shared" ref="E1797:E1860" si="381">C1797/C1796-1</f>
        <v>4.5441980940186255E-4</v>
      </c>
      <c r="G1797" s="25" t="str">
        <f>IF(VLOOKUP(A1797,Aux!B:C,2,FALSE)=0,"",VLOOKUP(A1797,Aux!B:C,2,FALSE))</f>
        <v/>
      </c>
      <c r="H1797" s="25" t="str">
        <f t="shared" si="370"/>
        <v/>
      </c>
      <c r="L1797" s="13">
        <f t="shared" si="373"/>
        <v>165587.76150334571</v>
      </c>
      <c r="M1797" s="14">
        <f t="shared" si="374"/>
        <v>-310.74871328507339</v>
      </c>
      <c r="N1797" s="14">
        <f t="shared" si="375"/>
        <v>36.705920574771454</v>
      </c>
      <c r="O1797" s="1">
        <f t="shared" si="376"/>
        <v>3.1625148919709645</v>
      </c>
      <c r="P1797" s="1">
        <f t="shared" si="377"/>
        <v>1709.6376606786282</v>
      </c>
      <c r="S1797" s="6">
        <f t="shared" si="371"/>
        <v>0.51196840684820411</v>
      </c>
      <c r="T1797" s="6">
        <f t="shared" si="372"/>
        <v>0.48803159315179667</v>
      </c>
      <c r="V1797" s="1">
        <f t="shared" si="378"/>
        <v>167589.31150434929</v>
      </c>
      <c r="W1797" s="7">
        <f t="shared" si="379"/>
        <v>-1.6536021369921692E-3</v>
      </c>
      <c r="X1797" s="7">
        <f t="shared" si="380"/>
        <v>-1.0654788204184757E-3</v>
      </c>
      <c r="Y1797">
        <f>LN(B1797/B1796)</f>
        <v>-3.658838103035785E-3</v>
      </c>
      <c r="Z1797">
        <f>LN(C1797/C1796)</f>
        <v>4.5431659198844851E-4</v>
      </c>
    </row>
    <row r="1798" spans="1:26" x14ac:dyDescent="0.3">
      <c r="A1798" s="11">
        <v>42828</v>
      </c>
      <c r="B1798" s="12">
        <v>26905.54</v>
      </c>
      <c r="C1798" s="12">
        <v>47.290010000000002</v>
      </c>
      <c r="D1798" s="16">
        <f t="shared" si="369"/>
        <v>3.6976216891326796E-3</v>
      </c>
      <c r="E1798" s="15">
        <f t="shared" si="381"/>
        <v>4.5442496307801505E-4</v>
      </c>
      <c r="G1798" s="25" t="str">
        <f>IF(VLOOKUP(A1798,Aux!B:C,2,FALSE)=0,"",VLOOKUP(A1798,Aux!B:C,2,FALSE))</f>
        <v/>
      </c>
      <c r="H1798" s="25" t="str">
        <f t="shared" si="370"/>
        <v/>
      </c>
      <c r="L1798" s="13">
        <f t="shared" si="373"/>
        <v>165937.95299638927</v>
      </c>
      <c r="M1798" s="14">
        <f t="shared" si="374"/>
        <v>313.46847609217031</v>
      </c>
      <c r="N1798" s="14">
        <f t="shared" si="375"/>
        <v>36.72301695138367</v>
      </c>
      <c r="O1798" s="1">
        <f t="shared" si="376"/>
        <v>3.1625148919709645</v>
      </c>
      <c r="P1798" s="1">
        <f t="shared" si="377"/>
        <v>1709.6376606786282</v>
      </c>
      <c r="S1798" s="6">
        <f t="shared" si="371"/>
        <v>0.5127770313544362</v>
      </c>
      <c r="T1798" s="6">
        <f t="shared" si="372"/>
        <v>0.48722296864556452</v>
      </c>
      <c r="V1798" s="1">
        <f t="shared" si="378"/>
        <v>167866.03841685865</v>
      </c>
      <c r="W1798" s="7">
        <f t="shared" si="379"/>
        <v>2.1126060994518816E-3</v>
      </c>
      <c r="X1798" s="7">
        <f t="shared" si="380"/>
        <v>1.6498587686619704E-3</v>
      </c>
      <c r="Y1798">
        <f>LN(B1798/B1797)</f>
        <v>3.6908022912540348E-3</v>
      </c>
      <c r="Z1798">
        <f>LN(C1798/C1797)</f>
        <v>4.5432174332371897E-4</v>
      </c>
    </row>
    <row r="1799" spans="1:26" x14ac:dyDescent="0.3">
      <c r="A1799" s="9">
        <v>42829</v>
      </c>
      <c r="B1799" s="1">
        <v>27120.55</v>
      </c>
      <c r="C1799" s="1">
        <v>47.311500000000002</v>
      </c>
      <c r="D1799" s="6">
        <f t="shared" si="369"/>
        <v>7.9912910129289472E-3</v>
      </c>
      <c r="E1799" s="5">
        <f t="shared" si="381"/>
        <v>4.5443001598011179E-4</v>
      </c>
      <c r="G1799" s="25" t="str">
        <f>IF(VLOOKUP(A1799,Aux!B:C,2,FALSE)=0,"",VLOOKUP(A1799,Aux!B:C,2,FALSE))</f>
        <v/>
      </c>
      <c r="H1799" s="25" t="str">
        <f t="shared" si="370"/>
        <v/>
      </c>
      <c r="L1799" s="13">
        <f t="shared" si="373"/>
        <v>166654.66543663992</v>
      </c>
      <c r="M1799" s="14">
        <f t="shared" si="374"/>
        <v>679.97232692267198</v>
      </c>
      <c r="N1799" s="14">
        <f t="shared" si="375"/>
        <v>36.740113327983735</v>
      </c>
      <c r="O1799" s="1">
        <f t="shared" si="376"/>
        <v>3.1625148919709645</v>
      </c>
      <c r="P1799" s="1">
        <f t="shared" si="377"/>
        <v>1709.6376606786282</v>
      </c>
      <c r="S1799" s="6">
        <f t="shared" si="371"/>
        <v>0.51465191825698708</v>
      </c>
      <c r="T1799" s="6">
        <f t="shared" si="372"/>
        <v>0.4853480817430138</v>
      </c>
      <c r="V1799" s="1">
        <f t="shared" si="378"/>
        <v>168410.14998454647</v>
      </c>
      <c r="W1799" s="7">
        <f t="shared" si="379"/>
        <v>4.3098584269906067E-3</v>
      </c>
      <c r="X1799" s="7">
        <f t="shared" si="380"/>
        <v>3.2361021166473218E-3</v>
      </c>
      <c r="Y1799">
        <f>LN(B1799/B1798)</f>
        <v>7.9595297437269532E-3</v>
      </c>
      <c r="Z1799">
        <f>LN(C1799/C1798)</f>
        <v>4.5432679393068103E-4</v>
      </c>
    </row>
    <row r="1800" spans="1:26" x14ac:dyDescent="0.3">
      <c r="A1800" s="11">
        <v>42830</v>
      </c>
      <c r="B1800" s="12">
        <v>26738.7</v>
      </c>
      <c r="C1800" s="12">
        <v>47.332999999999998</v>
      </c>
      <c r="D1800" s="16">
        <f t="shared" si="369"/>
        <v>-1.4079729209031444E-2</v>
      </c>
      <c r="E1800" s="15">
        <f t="shared" si="381"/>
        <v>4.544349682422677E-4</v>
      </c>
      <c r="G1800" s="25" t="str">
        <f>IF(VLOOKUP(A1800,Aux!B:C,2,FALSE)=0,"",VLOOKUP(A1800,Aux!B:C,2,FALSE))</f>
        <v/>
      </c>
      <c r="H1800" s="25" t="str">
        <f t="shared" si="370"/>
        <v/>
      </c>
      <c r="L1800" s="13">
        <f t="shared" si="373"/>
        <v>165483.81633484538</v>
      </c>
      <c r="M1800" s="14">
        <f t="shared" si="374"/>
        <v>-1207.6063114991082</v>
      </c>
      <c r="N1800" s="14">
        <f t="shared" si="375"/>
        <v>36.757209704583801</v>
      </c>
      <c r="O1800" s="1">
        <f t="shared" si="376"/>
        <v>3.1625148919709645</v>
      </c>
      <c r="P1800" s="1">
        <f t="shared" si="377"/>
        <v>1709.6376606786282</v>
      </c>
      <c r="S1800" s="6">
        <f t="shared" si="371"/>
        <v>0.51099581103954861</v>
      </c>
      <c r="T1800" s="6">
        <f t="shared" si="372"/>
        <v>0.48900418896045222</v>
      </c>
      <c r="V1800" s="1">
        <f t="shared" si="378"/>
        <v>167577.30702528442</v>
      </c>
      <c r="W1800" s="7">
        <f t="shared" si="379"/>
        <v>-7.050396241961741E-3</v>
      </c>
      <c r="X1800" s="7">
        <f t="shared" si="380"/>
        <v>-4.9575937891030812E-3</v>
      </c>
      <c r="Y1800">
        <f>LN(B1800/B1799)</f>
        <v>-1.4179788915716286E-2</v>
      </c>
      <c r="Z1800">
        <f>LN(C1800/C1799)</f>
        <v>4.5433174394339038E-4</v>
      </c>
    </row>
    <row r="1801" spans="1:26" x14ac:dyDescent="0.3">
      <c r="A1801" s="9">
        <v>42831</v>
      </c>
      <c r="B1801" s="1">
        <v>26508.99</v>
      </c>
      <c r="C1801" s="1">
        <v>47.354500000000002</v>
      </c>
      <c r="D1801" s="6">
        <f t="shared" si="369"/>
        <v>-8.5909187806437748E-3</v>
      </c>
      <c r="E1801" s="5">
        <f t="shared" si="381"/>
        <v>4.5422855090526681E-4</v>
      </c>
      <c r="G1801" s="25" t="str">
        <f>IF(VLOOKUP(A1801,Aux!B:C,2,FALSE)=0,"",VLOOKUP(A1801,Aux!B:C,2,FALSE))</f>
        <v/>
      </c>
      <c r="H1801" s="25" t="str">
        <f t="shared" si="370"/>
        <v/>
      </c>
      <c r="L1801" s="13">
        <f t="shared" si="373"/>
        <v>164794.11224871533</v>
      </c>
      <c r="M1801" s="14">
        <f t="shared" si="374"/>
        <v>-726.46129583464744</v>
      </c>
      <c r="N1801" s="14">
        <f t="shared" si="375"/>
        <v>36.757209704595951</v>
      </c>
      <c r="O1801" s="1">
        <f t="shared" si="376"/>
        <v>3.1625148919709645</v>
      </c>
      <c r="P1801" s="1">
        <f t="shared" si="377"/>
        <v>1709.6376606786282</v>
      </c>
      <c r="S1801" s="6">
        <f t="shared" si="371"/>
        <v>0.5087261583689433</v>
      </c>
      <c r="T1801" s="6">
        <f t="shared" si="372"/>
        <v>0.49127384163105764</v>
      </c>
      <c r="V1801" s="1">
        <f t="shared" si="378"/>
        <v>167095.45636790805</v>
      </c>
      <c r="W1801" s="7">
        <f t="shared" si="379"/>
        <v>-4.1765133482892383E-3</v>
      </c>
      <c r="X1801" s="7">
        <f t="shared" si="380"/>
        <v>-2.8795351341924726E-3</v>
      </c>
      <c r="Y1801">
        <f>LN(B1801/B1800)</f>
        <v>-8.6280334423000943E-3</v>
      </c>
      <c r="Z1801">
        <f>LN(C1801/C1800)</f>
        <v>4.5412542034575261E-4</v>
      </c>
    </row>
    <row r="1802" spans="1:26" x14ac:dyDescent="0.3">
      <c r="A1802" s="11">
        <v>42832</v>
      </c>
      <c r="B1802" s="12">
        <v>26659.49</v>
      </c>
      <c r="C1802" s="12">
        <v>47.376019999999997</v>
      </c>
      <c r="D1802" s="16">
        <f t="shared" si="369"/>
        <v>5.6773192792332061E-3</v>
      </c>
      <c r="E1802" s="15">
        <f t="shared" si="381"/>
        <v>4.5444466734934075E-4</v>
      </c>
      <c r="G1802" s="25" t="str">
        <f>IF(VLOOKUP(A1802,Aux!B:C,2,FALSE)=0,"",VLOOKUP(A1802,Aux!B:C,2,FALSE))</f>
        <v/>
      </c>
      <c r="H1802" s="25" t="str">
        <f t="shared" si="370"/>
        <v/>
      </c>
      <c r="L1802" s="13">
        <f t="shared" si="373"/>
        <v>165306.86214241476</v>
      </c>
      <c r="M1802" s="14">
        <f t="shared" si="374"/>
        <v>475.95849124163016</v>
      </c>
      <c r="N1802" s="14">
        <f t="shared" si="375"/>
        <v>36.791402457796082</v>
      </c>
      <c r="O1802" s="1">
        <f t="shared" si="376"/>
        <v>3.1625148919709645</v>
      </c>
      <c r="P1802" s="1">
        <f t="shared" si="377"/>
        <v>1709.6376606786282</v>
      </c>
      <c r="S1802" s="6">
        <f t="shared" si="371"/>
        <v>0.51002743046877019</v>
      </c>
      <c r="T1802" s="6">
        <f t="shared" si="372"/>
        <v>0.48997256953123081</v>
      </c>
      <c r="V1802" s="1">
        <f t="shared" si="378"/>
        <v>167490.80822299788</v>
      </c>
      <c r="W1802" s="7">
        <f t="shared" si="379"/>
        <v>3.1066270375592763E-3</v>
      </c>
      <c r="X1802" s="7">
        <f t="shared" si="380"/>
        <v>2.3632293427927106E-3</v>
      </c>
      <c r="Y1802">
        <f>LN(B1802/B1801)</f>
        <v>5.6612640406150496E-3</v>
      </c>
      <c r="Z1802">
        <f>LN(C1802/C1801)</f>
        <v>4.5434143864480508E-4</v>
      </c>
    </row>
    <row r="1803" spans="1:26" x14ac:dyDescent="0.3">
      <c r="A1803" s="9">
        <v>42835</v>
      </c>
      <c r="B1803" s="1">
        <v>26672.91</v>
      </c>
      <c r="C1803" s="1">
        <v>47.397550000000003</v>
      </c>
      <c r="D1803" s="6">
        <f t="shared" si="369"/>
        <v>5.0338547361561403E-4</v>
      </c>
      <c r="E1803" s="5">
        <f t="shared" si="381"/>
        <v>4.5444931845284309E-4</v>
      </c>
      <c r="G1803" s="25" t="str">
        <f>IF(VLOOKUP(A1803,Aux!B:C,2,FALSE)=0,"",VLOOKUP(A1803,Aux!B:C,2,FALSE))</f>
        <v/>
      </c>
      <c r="H1803" s="25" t="str">
        <f t="shared" si="370"/>
        <v/>
      </c>
      <c r="L1803" s="13">
        <f t="shared" si="373"/>
        <v>165386.11159109944</v>
      </c>
      <c r="M1803" s="14">
        <f t="shared" si="374"/>
        <v>42.44094985024482</v>
      </c>
      <c r="N1803" s="14">
        <f t="shared" si="375"/>
        <v>36.80849883442044</v>
      </c>
      <c r="O1803" s="1">
        <f t="shared" si="376"/>
        <v>3.1625148919709645</v>
      </c>
      <c r="P1803" s="1">
        <f t="shared" si="377"/>
        <v>1709.6376606786282</v>
      </c>
      <c r="S1803" s="6">
        <f t="shared" si="371"/>
        <v>0.51003965372713245</v>
      </c>
      <c r="T1803" s="6">
        <f t="shared" si="372"/>
        <v>0.48996034627286833</v>
      </c>
      <c r="V1803" s="1">
        <f t="shared" si="378"/>
        <v>167569.93409432826</v>
      </c>
      <c r="W1803" s="7">
        <f t="shared" si="379"/>
        <v>4.792932205789808E-4</v>
      </c>
      <c r="X1803" s="7">
        <f t="shared" si="380"/>
        <v>4.7230763147030312E-4</v>
      </c>
      <c r="Y1803">
        <f>LN(B1803/B1802)</f>
        <v>5.0325881765082305E-4</v>
      </c>
      <c r="Z1803">
        <f>LN(C1803/C1802)</f>
        <v>4.5434608763558754E-4</v>
      </c>
    </row>
    <row r="1804" spans="1:26" x14ac:dyDescent="0.3">
      <c r="A1804" s="11">
        <v>42836</v>
      </c>
      <c r="B1804" s="12">
        <v>26567.87</v>
      </c>
      <c r="C1804" s="12">
        <v>47.419089999999997</v>
      </c>
      <c r="D1804" s="16">
        <f t="shared" si="369"/>
        <v>-3.9380779974889091E-3</v>
      </c>
      <c r="E1804" s="15">
        <f t="shared" si="381"/>
        <v>4.5445386945086597E-4</v>
      </c>
      <c r="G1804" s="25" t="str">
        <f>IF(VLOOKUP(A1804,Aux!B:C,2,FALSE)=0,"",VLOOKUP(A1804,Aux!B:C,2,FALSE))</f>
        <v/>
      </c>
      <c r="H1804" s="25" t="str">
        <f t="shared" si="370"/>
        <v/>
      </c>
      <c r="L1804" s="13">
        <f t="shared" si="373"/>
        <v>165090.74662205781</v>
      </c>
      <c r="M1804" s="14">
        <f t="shared" si="374"/>
        <v>-332.1905642526329</v>
      </c>
      <c r="N1804" s="14">
        <f t="shared" si="375"/>
        <v>36.825595211008356</v>
      </c>
      <c r="O1804" s="1">
        <f t="shared" si="376"/>
        <v>3.1625148919709645</v>
      </c>
      <c r="P1804" s="1">
        <f t="shared" si="377"/>
        <v>1709.6376606786282</v>
      </c>
      <c r="S1804" s="6">
        <f t="shared" si="371"/>
        <v>0.50893999961910963</v>
      </c>
      <c r="T1804" s="6">
        <f t="shared" si="372"/>
        <v>0.49106000038089126</v>
      </c>
      <c r="V1804" s="1">
        <f t="shared" si="378"/>
        <v>167375.79097323024</v>
      </c>
      <c r="W1804" s="7">
        <f t="shared" si="379"/>
        <v>-1.7875082042604689E-3</v>
      </c>
      <c r="X1804" s="7">
        <f t="shared" si="380"/>
        <v>-1.1592513551303841E-3</v>
      </c>
      <c r="Y1804">
        <f>LN(B1804/B1803)</f>
        <v>-3.9458526448036746E-3</v>
      </c>
      <c r="Z1804">
        <f>LN(C1804/C1803)</f>
        <v>4.5435063656634159E-4</v>
      </c>
    </row>
    <row r="1805" spans="1:26" x14ac:dyDescent="0.3">
      <c r="A1805" s="9">
        <v>42837</v>
      </c>
      <c r="B1805" s="1">
        <v>26382.81</v>
      </c>
      <c r="C1805" s="1">
        <v>47.440640000000002</v>
      </c>
      <c r="D1805" s="6">
        <f t="shared" si="369"/>
        <v>-6.9655565161979016E-3</v>
      </c>
      <c r="E1805" s="5">
        <f t="shared" si="381"/>
        <v>4.5445832047819046E-4</v>
      </c>
      <c r="G1805" s="25" t="str">
        <f>IF(VLOOKUP(A1805,Aux!B:C,2,FALSE)=0,"",VLOOKUP(A1805,Aux!B:C,2,FALSE))</f>
        <v/>
      </c>
      <c r="H1805" s="25" t="str">
        <f t="shared" si="370"/>
        <v/>
      </c>
      <c r="L1805" s="13">
        <f t="shared" si="373"/>
        <v>164542.3343077373</v>
      </c>
      <c r="M1805" s="14">
        <f t="shared" si="374"/>
        <v>-585.25500590813931</v>
      </c>
      <c r="N1805" s="14">
        <f t="shared" si="375"/>
        <v>36.842691587632714</v>
      </c>
      <c r="O1805" s="1">
        <f t="shared" si="376"/>
        <v>3.1625148919709645</v>
      </c>
      <c r="P1805" s="1">
        <f t="shared" si="377"/>
        <v>1709.6376606786282</v>
      </c>
      <c r="S1805" s="6">
        <f t="shared" si="371"/>
        <v>0.50707940827552156</v>
      </c>
      <c r="T1805" s="6">
        <f t="shared" si="372"/>
        <v>0.49292059172447927</v>
      </c>
      <c r="V1805" s="1">
        <f t="shared" si="378"/>
        <v>166997.06128434232</v>
      </c>
      <c r="W1805" s="7">
        <f t="shared" si="379"/>
        <v>-3.3274137338445979E-3</v>
      </c>
      <c r="X1805" s="7">
        <f t="shared" si="380"/>
        <v>-2.2653145929155266E-3</v>
      </c>
      <c r="Y1805">
        <f>LN(B1805/B1804)</f>
        <v>-6.9899292507030145E-3</v>
      </c>
      <c r="Z1805">
        <f>LN(C1805/C1804)</f>
        <v>4.5435508557178841E-4</v>
      </c>
    </row>
    <row r="1806" spans="1:26" x14ac:dyDescent="0.3">
      <c r="A1806" s="11">
        <v>42838</v>
      </c>
      <c r="B1806" s="12">
        <v>25974.92</v>
      </c>
      <c r="C1806" s="12">
        <v>47.462200000000003</v>
      </c>
      <c r="D1806" s="16">
        <f t="shared" si="369"/>
        <v>-1.5460445646237164E-2</v>
      </c>
      <c r="E1806" s="15">
        <f t="shared" si="381"/>
        <v>4.5446267166715515E-4</v>
      </c>
      <c r="G1806" s="25" t="str">
        <f>IF(VLOOKUP(A1806,Aux!B:C,2,FALSE)=0,"",VLOOKUP(A1806,Aux!B:C,2,FALSE))</f>
        <v/>
      </c>
      <c r="H1806" s="25" t="str">
        <f t="shared" si="370"/>
        <v/>
      </c>
      <c r="L1806" s="13">
        <f t="shared" si="373"/>
        <v>163289.23589641548</v>
      </c>
      <c r="M1806" s="14">
        <f t="shared" si="374"/>
        <v>-1289.9581992860465</v>
      </c>
      <c r="N1806" s="14">
        <f t="shared" si="375"/>
        <v>36.85978796423278</v>
      </c>
      <c r="O1806" s="1">
        <f t="shared" si="376"/>
        <v>3.1625148919709645</v>
      </c>
      <c r="P1806" s="1">
        <f t="shared" si="377"/>
        <v>1709.6376606786282</v>
      </c>
      <c r="S1806" s="6">
        <f t="shared" si="371"/>
        <v>0.50307095177948413</v>
      </c>
      <c r="T1806" s="6">
        <f t="shared" si="372"/>
        <v>0.49692904822051681</v>
      </c>
      <c r="V1806" s="1">
        <f t="shared" si="378"/>
        <v>166104.27736214388</v>
      </c>
      <c r="W1806" s="7">
        <f t="shared" si="379"/>
        <v>-7.6448068344700127E-3</v>
      </c>
      <c r="X1806" s="7">
        <f t="shared" si="380"/>
        <v>-5.3604471457575483E-3</v>
      </c>
      <c r="Y1806">
        <f>LN(B1806/B1805)</f>
        <v>-1.5581204611240693E-2</v>
      </c>
      <c r="Z1806">
        <f>LN(C1806/C1805)</f>
        <v>4.5435943478420787E-4</v>
      </c>
    </row>
    <row r="1807" spans="1:26" x14ac:dyDescent="0.3">
      <c r="A1807" s="9">
        <v>42842</v>
      </c>
      <c r="B1807" s="1">
        <v>26583.5</v>
      </c>
      <c r="C1807" s="1">
        <v>47.482080000000003</v>
      </c>
      <c r="D1807" s="6">
        <f t="shared" si="369"/>
        <v>2.3429523555799303E-2</v>
      </c>
      <c r="E1807" s="5">
        <f t="shared" si="381"/>
        <v>4.1885963988175234E-4</v>
      </c>
      <c r="G1807" s="25" t="str">
        <f>IF(VLOOKUP(A1807,Aux!B:C,2,FALSE)=0,"",VLOOKUP(A1807,Aux!B:C,2,FALSE))</f>
        <v/>
      </c>
      <c r="H1807" s="25" t="str">
        <f t="shared" si="370"/>
        <v/>
      </c>
      <c r="L1807" s="13">
        <f t="shared" si="373"/>
        <v>165247.86680606546</v>
      </c>
      <c r="M1807" s="14">
        <f t="shared" si="374"/>
        <v>1924.6433129556951</v>
      </c>
      <c r="N1807" s="14">
        <f t="shared" si="375"/>
        <v>33.987596694292094</v>
      </c>
      <c r="O1807" s="1">
        <f t="shared" si="376"/>
        <v>3.1625148919709645</v>
      </c>
      <c r="P1807" s="1">
        <f t="shared" si="377"/>
        <v>1709.6376606786282</v>
      </c>
      <c r="S1807" s="6">
        <f t="shared" si="371"/>
        <v>0.50875521878521646</v>
      </c>
      <c r="T1807" s="6">
        <f t="shared" si="372"/>
        <v>0.49124478121478454</v>
      </c>
      <c r="V1807" s="1">
        <f t="shared" si="378"/>
        <v>167552.76690372097</v>
      </c>
      <c r="W1807" s="7">
        <f t="shared" si="379"/>
        <v>1.1923488082732116E-2</v>
      </c>
      <c r="X1807" s="7">
        <f t="shared" si="380"/>
        <v>8.682559929209268E-3</v>
      </c>
      <c r="Y1807">
        <f>LN(B1807/B1806)</f>
        <v>2.3159265473623125E-2</v>
      </c>
      <c r="Z1807">
        <f>LN(C1807/C1806)</f>
        <v>4.1877194267048504E-4</v>
      </c>
    </row>
    <row r="1808" spans="1:26" x14ac:dyDescent="0.3">
      <c r="A1808" s="11">
        <v>42843</v>
      </c>
      <c r="B1808" s="12">
        <v>26516.13</v>
      </c>
      <c r="C1808" s="12">
        <v>47.501959999999997</v>
      </c>
      <c r="D1808" s="16">
        <f t="shared" si="369"/>
        <v>-2.5342787819512269E-3</v>
      </c>
      <c r="E1808" s="15">
        <f t="shared" si="381"/>
        <v>4.1868426993918462E-4</v>
      </c>
      <c r="G1808" s="25" t="str">
        <f>IF(VLOOKUP(A1808,Aux!B:C,2,FALSE)=0,"",VLOOKUP(A1808,Aux!B:C,2,FALSE))</f>
        <v/>
      </c>
      <c r="H1808" s="25" t="str">
        <f t="shared" si="370"/>
        <v/>
      </c>
      <c r="L1808" s="13">
        <f t="shared" si="373"/>
        <v>165068.79577448766</v>
      </c>
      <c r="M1808" s="14">
        <f t="shared" si="374"/>
        <v>-213.05862827208065</v>
      </c>
      <c r="N1808" s="14">
        <f t="shared" si="375"/>
        <v>33.987596694279944</v>
      </c>
      <c r="O1808" s="1">
        <f t="shared" si="376"/>
        <v>3.1625148919709645</v>
      </c>
      <c r="P1808" s="1">
        <f t="shared" si="377"/>
        <v>1709.6376606786282</v>
      </c>
      <c r="S1808" s="6">
        <f t="shared" si="371"/>
        <v>0.50801640376053891</v>
      </c>
      <c r="T1808" s="6">
        <f t="shared" si="372"/>
        <v>0.49198359623946208</v>
      </c>
      <c r="V1808" s="1">
        <f t="shared" si="378"/>
        <v>167441.81615044054</v>
      </c>
      <c r="W1808" s="7">
        <f t="shared" si="379"/>
        <v>-1.0842386679584001E-3</v>
      </c>
      <c r="X1808" s="7">
        <f t="shared" si="380"/>
        <v>-6.6240329217135286E-4</v>
      </c>
      <c r="Y1808">
        <f>LN(B1808/B1807)</f>
        <v>-2.5374955022835848E-3</v>
      </c>
      <c r="Z1808">
        <f>LN(C1808/C1807)</f>
        <v>4.1859664613718925E-4</v>
      </c>
    </row>
    <row r="1809" spans="1:26" x14ac:dyDescent="0.3">
      <c r="A1809" s="9">
        <v>42844</v>
      </c>
      <c r="B1809" s="1">
        <v>26225.91</v>
      </c>
      <c r="C1809" s="1">
        <v>47.521859999999997</v>
      </c>
      <c r="D1809" s="6">
        <f t="shared" si="369"/>
        <v>-1.0945036096896565E-2</v>
      </c>
      <c r="E1809" s="5">
        <f t="shared" si="381"/>
        <v>4.1893008204296756E-4</v>
      </c>
      <c r="G1809" s="25" t="str">
        <f>IF(VLOOKUP(A1809,Aux!B:C,2,FALSE)=0,"",VLOOKUP(A1809,Aux!B:C,2,FALSE))</f>
        <v/>
      </c>
      <c r="H1809" s="25" t="str">
        <f t="shared" si="370"/>
        <v/>
      </c>
      <c r="L1809" s="13">
        <f t="shared" si="373"/>
        <v>164184.99249198733</v>
      </c>
      <c r="M1809" s="14">
        <f t="shared" si="374"/>
        <v>-917.82507194781704</v>
      </c>
      <c r="N1809" s="14">
        <f t="shared" si="375"/>
        <v>34.021789447504368</v>
      </c>
      <c r="O1809" s="1">
        <f t="shared" si="376"/>
        <v>3.1625148919709645</v>
      </c>
      <c r="P1809" s="1">
        <f t="shared" si="377"/>
        <v>1709.6376606786282</v>
      </c>
      <c r="S1809" s="6">
        <f t="shared" si="371"/>
        <v>0.50516085344729622</v>
      </c>
      <c r="T1809" s="6">
        <f t="shared" si="372"/>
        <v>0.49483914655270489</v>
      </c>
      <c r="V1809" s="1">
        <f t="shared" si="378"/>
        <v>166816.78739447461</v>
      </c>
      <c r="W1809" s="7">
        <f t="shared" si="379"/>
        <v>-5.3685359845986151E-3</v>
      </c>
      <c r="X1809" s="7">
        <f t="shared" si="380"/>
        <v>-3.7397959412981173E-3</v>
      </c>
      <c r="Y1809">
        <f>LN(B1809/B1808)</f>
        <v>-1.1005373673030373E-2</v>
      </c>
      <c r="Z1809">
        <f>LN(C1809/C1808)</f>
        <v>4.1884235533619645E-4</v>
      </c>
    </row>
    <row r="1810" spans="1:26" x14ac:dyDescent="0.3">
      <c r="A1810" s="11">
        <v>42845</v>
      </c>
      <c r="B1810" s="12">
        <v>26350.91</v>
      </c>
      <c r="C1810" s="12">
        <v>47.54177</v>
      </c>
      <c r="D1810" s="16">
        <f t="shared" si="369"/>
        <v>4.7662788440896442E-3</v>
      </c>
      <c r="E1810" s="15">
        <f t="shared" si="381"/>
        <v>4.1896508259564591E-4</v>
      </c>
      <c r="G1810" s="25" t="str">
        <f>IF(VLOOKUP(A1810,Aux!B:C,2,FALSE)=0,"",VLOOKUP(A1810,Aux!B:C,2,FALSE))</f>
        <v/>
      </c>
      <c r="H1810" s="25" t="str">
        <f t="shared" si="370"/>
        <v/>
      </c>
      <c r="L1810" s="13">
        <f t="shared" si="373"/>
        <v>164614.34573930781</v>
      </c>
      <c r="M1810" s="14">
        <f t="shared" si="374"/>
        <v>395.31436149637057</v>
      </c>
      <c r="N1810" s="14">
        <f t="shared" si="375"/>
        <v>34.038885824116583</v>
      </c>
      <c r="O1810" s="1">
        <f t="shared" si="376"/>
        <v>3.1625148919709645</v>
      </c>
      <c r="P1810" s="1">
        <f t="shared" si="377"/>
        <v>1709.6376606786282</v>
      </c>
      <c r="S1810" s="6">
        <f t="shared" si="371"/>
        <v>0.50624473169525974</v>
      </c>
      <c r="T1810" s="6">
        <f t="shared" si="372"/>
        <v>0.49375526830474137</v>
      </c>
      <c r="V1810" s="1">
        <f t="shared" si="378"/>
        <v>167149.70807430663</v>
      </c>
      <c r="W1810" s="7">
        <f t="shared" si="379"/>
        <v>2.6116444982548959E-3</v>
      </c>
      <c r="X1810" s="7">
        <f t="shared" si="380"/>
        <v>1.9937376630814593E-3</v>
      </c>
      <c r="Y1810">
        <f>LN(B1810/B1809)</f>
        <v>4.7549561010595664E-3</v>
      </c>
      <c r="Z1810">
        <f>LN(C1810/C1809)</f>
        <v>4.1887734123161849E-4</v>
      </c>
    </row>
    <row r="1811" spans="1:26" x14ac:dyDescent="0.3">
      <c r="A1811" s="9">
        <v>42849</v>
      </c>
      <c r="B1811" s="1">
        <v>26589.13</v>
      </c>
      <c r="C1811" s="1">
        <v>47.561680000000003</v>
      </c>
      <c r="D1811" s="6">
        <f t="shared" si="369"/>
        <v>9.0402950030947782E-3</v>
      </c>
      <c r="E1811" s="5">
        <f t="shared" si="381"/>
        <v>4.1878962436614486E-4</v>
      </c>
      <c r="G1811" s="25" t="str">
        <f>IF(VLOOKUP(A1811,Aux!B:C,2,FALSE)=0,"",VLOOKUP(A1811,Aux!B:C,2,FALSE))</f>
        <v/>
      </c>
      <c r="H1811" s="25" t="str">
        <f t="shared" si="370"/>
        <v/>
      </c>
      <c r="L1811" s="13">
        <f t="shared" si="373"/>
        <v>165401.75892269725</v>
      </c>
      <c r="M1811" s="14">
        <f t="shared" si="374"/>
        <v>753.37429756532686</v>
      </c>
      <c r="N1811" s="14">
        <f t="shared" si="375"/>
        <v>34.038885824116583</v>
      </c>
      <c r="O1811" s="1">
        <f t="shared" si="376"/>
        <v>3.1625148919709645</v>
      </c>
      <c r="P1811" s="1">
        <f t="shared" si="377"/>
        <v>1709.6376606786282</v>
      </c>
      <c r="S1811" s="6">
        <f t="shared" si="371"/>
        <v>0.50838951252538878</v>
      </c>
      <c r="T1811" s="6">
        <f t="shared" si="372"/>
        <v>0.49161048747461228</v>
      </c>
      <c r="V1811" s="1">
        <f t="shared" si="378"/>
        <v>167743.83125459545</v>
      </c>
      <c r="W1811" s="7">
        <f t="shared" si="379"/>
        <v>4.7719772853375766E-3</v>
      </c>
      <c r="X1811" s="7">
        <f t="shared" si="380"/>
        <v>3.5481353553554365E-3</v>
      </c>
      <c r="Y1811">
        <f>LN(B1811/B1810)</f>
        <v>8.9996761569168821E-3</v>
      </c>
      <c r="Z1811">
        <f>LN(C1811/C1810)</f>
        <v>4.1870195646682355E-4</v>
      </c>
    </row>
    <row r="1812" spans="1:26" x14ac:dyDescent="0.3">
      <c r="A1812" s="11">
        <v>42850</v>
      </c>
      <c r="B1812" s="12">
        <v>26903.5</v>
      </c>
      <c r="C1812" s="12">
        <v>47.581600000000002</v>
      </c>
      <c r="D1812" s="16">
        <f t="shared" si="369"/>
        <v>1.1823252584796773E-2</v>
      </c>
      <c r="E1812" s="15">
        <f t="shared" si="381"/>
        <v>4.1882456633146603E-4</v>
      </c>
      <c r="G1812" s="25" t="str">
        <f>IF(VLOOKUP(A1812,Aux!B:C,2,FALSE)=0,"",VLOOKUP(A1812,Aux!B:C,2,FALSE))</f>
        <v/>
      </c>
      <c r="H1812" s="25" t="str">
        <f t="shared" si="370"/>
        <v/>
      </c>
      <c r="L1812" s="13">
        <f t="shared" si="373"/>
        <v>166430.01471148687</v>
      </c>
      <c r="M1812" s="14">
        <f t="shared" si="374"/>
        <v>994.19980658890893</v>
      </c>
      <c r="N1812" s="14">
        <f t="shared" si="375"/>
        <v>34.055982200716649</v>
      </c>
      <c r="O1812" s="1">
        <f t="shared" si="376"/>
        <v>3.1625148919709645</v>
      </c>
      <c r="P1812" s="1">
        <f t="shared" si="377"/>
        <v>1709.6376606786282</v>
      </c>
      <c r="S1812" s="6">
        <f t="shared" si="371"/>
        <v>0.51122220678544772</v>
      </c>
      <c r="T1812" s="6">
        <f t="shared" si="372"/>
        <v>0.48877779321455345</v>
      </c>
      <c r="V1812" s="1">
        <f t="shared" si="378"/>
        <v>168513.65751995012</v>
      </c>
      <c r="W1812" s="7">
        <f t="shared" si="379"/>
        <v>6.1974721027269527E-3</v>
      </c>
      <c r="X1812" s="7">
        <f t="shared" si="380"/>
        <v>4.5787983080208417E-3</v>
      </c>
      <c r="Y1812">
        <f>LN(B1812/B1811)</f>
        <v>1.1753904015857138E-2</v>
      </c>
      <c r="Z1812">
        <f>LN(C1812/C1811)</f>
        <v>4.1873688380432796E-4</v>
      </c>
    </row>
    <row r="1813" spans="1:26" x14ac:dyDescent="0.3">
      <c r="A1813" s="9">
        <v>42851</v>
      </c>
      <c r="B1813" s="1">
        <v>26788.55</v>
      </c>
      <c r="C1813" s="1">
        <v>47.601529999999997</v>
      </c>
      <c r="D1813" s="6">
        <f t="shared" si="369"/>
        <v>-4.2726782760608151E-3</v>
      </c>
      <c r="E1813" s="5">
        <f t="shared" si="381"/>
        <v>4.1885939102503933E-4</v>
      </c>
      <c r="G1813" s="25" t="str">
        <f>IF(VLOOKUP(A1813,Aux!B:C,2,FALSE)=0,"",VLOOKUP(A1813,Aux!B:C,2,FALSE))</f>
        <v/>
      </c>
      <c r="H1813" s="25" t="str">
        <f t="shared" si="370"/>
        <v/>
      </c>
      <c r="L1813" s="13">
        <f t="shared" si="373"/>
        <v>166100.55670323214</v>
      </c>
      <c r="M1813" s="14">
        <f t="shared" si="374"/>
        <v>-363.53108683206466</v>
      </c>
      <c r="N1813" s="14">
        <f t="shared" si="375"/>
        <v>34.073078577316714</v>
      </c>
      <c r="O1813" s="1">
        <f t="shared" si="376"/>
        <v>3.1625148919709645</v>
      </c>
      <c r="P1813" s="1">
        <f t="shared" si="377"/>
        <v>1709.6376606786282</v>
      </c>
      <c r="S1813" s="6">
        <f t="shared" si="371"/>
        <v>0.51004758798415417</v>
      </c>
      <c r="T1813" s="6">
        <f t="shared" si="372"/>
        <v>0.48995241201584688</v>
      </c>
      <c r="V1813" s="1">
        <f t="shared" si="378"/>
        <v>168293.04989893545</v>
      </c>
      <c r="W1813" s="7">
        <f t="shared" si="379"/>
        <v>-1.9815207645565457E-3</v>
      </c>
      <c r="X1813" s="7">
        <f t="shared" si="380"/>
        <v>-1.309995601060338E-3</v>
      </c>
      <c r="Y1813">
        <f>LN(B1813/B1812)</f>
        <v>-4.2818322498480695E-3</v>
      </c>
      <c r="Z1813">
        <f>LN(C1813/C1812)</f>
        <v>4.187716939179644E-4</v>
      </c>
    </row>
    <row r="1814" spans="1:26" x14ac:dyDescent="0.3">
      <c r="A1814" s="11">
        <v>42852</v>
      </c>
      <c r="B1814" s="12">
        <v>26722.77</v>
      </c>
      <c r="C1814" s="12">
        <v>47.621470000000002</v>
      </c>
      <c r="D1814" s="16">
        <f t="shared" si="369"/>
        <v>-2.4555267082391197E-3</v>
      </c>
      <c r="E1814" s="15">
        <f t="shared" si="381"/>
        <v>4.1889409857209792E-4</v>
      </c>
      <c r="G1814" s="25" t="str">
        <f>IF(VLOOKUP(A1814,Aux!B:C,2,FALSE)=0,"",VLOOKUP(A1814,Aux!B:C,2,FALSE))</f>
        <v/>
      </c>
      <c r="H1814" s="25" t="str">
        <f t="shared" si="370"/>
        <v/>
      </c>
      <c r="L1814" s="13">
        <f t="shared" si="373"/>
        <v>165926.61664859223</v>
      </c>
      <c r="M1814" s="14">
        <f t="shared" si="374"/>
        <v>-208.03022959384637</v>
      </c>
      <c r="N1814" s="14">
        <f t="shared" si="375"/>
        <v>34.090174953941073</v>
      </c>
      <c r="O1814" s="1">
        <f t="shared" si="376"/>
        <v>3.1625148919709645</v>
      </c>
      <c r="P1814" s="1">
        <f t="shared" si="377"/>
        <v>1709.6376606786282</v>
      </c>
      <c r="S1814" s="6">
        <f t="shared" si="371"/>
        <v>0.50932851996070605</v>
      </c>
      <c r="T1814" s="6">
        <f t="shared" si="372"/>
        <v>0.49067148003929506</v>
      </c>
      <c r="V1814" s="1">
        <f t="shared" si="378"/>
        <v>168185.90155922121</v>
      </c>
      <c r="W1814" s="7">
        <f t="shared" si="379"/>
        <v>-1.0477459949809463E-3</v>
      </c>
      <c r="X1814" s="7">
        <f t="shared" si="380"/>
        <v>-6.3687991698538305E-4</v>
      </c>
      <c r="Y1814">
        <f>LN(B1814/B1813)</f>
        <v>-2.4585464583441255E-3</v>
      </c>
      <c r="Z1814">
        <f>LN(C1814/C1813)</f>
        <v>4.1880638693292583E-4</v>
      </c>
    </row>
    <row r="1815" spans="1:26" x14ac:dyDescent="0.3">
      <c r="A1815" s="9">
        <v>42853</v>
      </c>
      <c r="B1815" s="1">
        <v>27041.8</v>
      </c>
      <c r="C1815" s="1">
        <v>47.641419999999997</v>
      </c>
      <c r="D1815" s="6">
        <f t="shared" si="369"/>
        <v>1.1938507871751325E-2</v>
      </c>
      <c r="E1815" s="5">
        <f t="shared" si="381"/>
        <v>4.1892868909743086E-4</v>
      </c>
      <c r="G1815" s="25" t="str">
        <f>IF(VLOOKUP(A1815,Aux!B:C,2,FALSE)=0,"",VLOOKUP(A1815,Aux!B:C,2,FALSE))</f>
        <v/>
      </c>
      <c r="H1815" s="25" t="str">
        <f t="shared" si="370"/>
        <v/>
      </c>
      <c r="L1815" s="13">
        <f t="shared" si="373"/>
        <v>166969.66104590823</v>
      </c>
      <c r="M1815" s="14">
        <f t="shared" si="374"/>
        <v>1008.9371259854931</v>
      </c>
      <c r="N1815" s="14">
        <f t="shared" si="375"/>
        <v>34.107271330528995</v>
      </c>
      <c r="O1815" s="1">
        <f t="shared" si="376"/>
        <v>3.1625148919709645</v>
      </c>
      <c r="P1815" s="1">
        <f t="shared" si="377"/>
        <v>1709.6376606786282</v>
      </c>
      <c r="S1815" s="6">
        <f t="shared" si="371"/>
        <v>0.51218942812722545</v>
      </c>
      <c r="T1815" s="6">
        <f t="shared" si="372"/>
        <v>0.4878105718727756</v>
      </c>
      <c r="V1815" s="1">
        <f t="shared" si="378"/>
        <v>168966.5457215574</v>
      </c>
      <c r="W1815" s="7">
        <f t="shared" si="379"/>
        <v>6.2665032953739932E-3</v>
      </c>
      <c r="X1815" s="7">
        <f t="shared" si="380"/>
        <v>4.6308164966497971E-3</v>
      </c>
      <c r="Y1815">
        <f>LN(B1815/B1814)</f>
        <v>1.1867806046551856E-2</v>
      </c>
      <c r="Z1815">
        <f>LN(C1815/C1814)</f>
        <v>4.1884096297396123E-4</v>
      </c>
    </row>
    <row r="1816" spans="1:26" x14ac:dyDescent="0.3">
      <c r="A1816" s="11">
        <v>42857</v>
      </c>
      <c r="B1816" s="12">
        <v>27593.81</v>
      </c>
      <c r="C1816" s="12">
        <v>47.661369999999998</v>
      </c>
      <c r="D1816" s="16">
        <f t="shared" si="369"/>
        <v>2.0413212138245207E-2</v>
      </c>
      <c r="E1816" s="15">
        <f t="shared" si="381"/>
        <v>4.1875326134288571E-4</v>
      </c>
      <c r="G1816" s="25" t="str">
        <f>IF(VLOOKUP(A1816,Aux!B:C,2,FALSE)=0,"",VLOOKUP(A1816,Aux!B:C,2,FALSE))</f>
        <v/>
      </c>
      <c r="H1816" s="25" t="str">
        <f t="shared" si="370"/>
        <v/>
      </c>
      <c r="L1816" s="13">
        <f t="shared" si="373"/>
        <v>168749.50816275566</v>
      </c>
      <c r="M1816" s="14">
        <f t="shared" si="374"/>
        <v>1745.7398455168986</v>
      </c>
      <c r="N1816" s="14">
        <f t="shared" si="375"/>
        <v>34.107271330541138</v>
      </c>
      <c r="O1816" s="1">
        <f t="shared" si="376"/>
        <v>3.1625148919709645</v>
      </c>
      <c r="P1816" s="1">
        <f t="shared" si="377"/>
        <v>1709.6376606786282</v>
      </c>
      <c r="S1816" s="6">
        <f t="shared" si="371"/>
        <v>0.51713238160700947</v>
      </c>
      <c r="T1816" s="6">
        <f t="shared" si="372"/>
        <v>0.48286761839299175</v>
      </c>
      <c r="V1816" s="1">
        <f t="shared" si="378"/>
        <v>170284.68289357764</v>
      </c>
      <c r="W1816" s="7">
        <f t="shared" si="379"/>
        <v>1.0603289628405331E-2</v>
      </c>
      <c r="X1816" s="7">
        <f t="shared" si="380"/>
        <v>7.7709007014001149E-3</v>
      </c>
      <c r="Y1816">
        <f>LN(B1816/B1815)</f>
        <v>2.0207655200758956E-2</v>
      </c>
      <c r="Z1816">
        <f>LN(C1816/C1815)</f>
        <v>4.1866560866498585E-4</v>
      </c>
    </row>
    <row r="1817" spans="1:26" x14ac:dyDescent="0.3">
      <c r="A1817" s="9">
        <v>42858</v>
      </c>
      <c r="B1817" s="1">
        <v>27366.93</v>
      </c>
      <c r="C1817" s="1">
        <v>47.681339999999999</v>
      </c>
      <c r="D1817" s="6">
        <f t="shared" si="369"/>
        <v>-8.2221338771267805E-3</v>
      </c>
      <c r="E1817" s="5">
        <f t="shared" si="381"/>
        <v>4.1899760749641857E-4</v>
      </c>
      <c r="G1817" s="25" t="str">
        <f>IF(VLOOKUP(A1817,Aux!B:C,2,FALSE)=0,"",VLOOKUP(A1817,Aux!B:C,2,FALSE))</f>
        <v/>
      </c>
      <c r="H1817" s="25" t="str">
        <f t="shared" si="370"/>
        <v/>
      </c>
      <c r="L1817" s="13">
        <f t="shared" si="373"/>
        <v>168066.13824814904</v>
      </c>
      <c r="M1817" s="14">
        <f t="shared" si="374"/>
        <v>-717.51137869037564</v>
      </c>
      <c r="N1817" s="14">
        <f t="shared" si="375"/>
        <v>34.141464083753419</v>
      </c>
      <c r="O1817" s="1">
        <f t="shared" si="376"/>
        <v>3.1625148919709645</v>
      </c>
      <c r="P1817" s="1">
        <f t="shared" si="377"/>
        <v>1709.6376606786282</v>
      </c>
      <c r="S1817" s="6">
        <f t="shared" si="371"/>
        <v>0.5149658615035152</v>
      </c>
      <c r="T1817" s="6">
        <f t="shared" si="372"/>
        <v>0.48503413849648608</v>
      </c>
      <c r="V1817" s="1">
        <f t="shared" si="378"/>
        <v>169805.9383325291</v>
      </c>
      <c r="W1817" s="7">
        <f t="shared" si="379"/>
        <v>-4.0578331772074053E-3</v>
      </c>
      <c r="X1817" s="7">
        <f t="shared" si="380"/>
        <v>-2.815395940949054E-3</v>
      </c>
      <c r="Y1817">
        <f>LN(B1817/B1816)</f>
        <v>-8.256122051634656E-3</v>
      </c>
      <c r="Z1817">
        <f>LN(C1817/C1816)</f>
        <v>4.1890985251077169E-4</v>
      </c>
    </row>
    <row r="1818" spans="1:26" x14ac:dyDescent="0.3">
      <c r="A1818" s="11">
        <v>42859</v>
      </c>
      <c r="B1818" s="12">
        <v>26888.35</v>
      </c>
      <c r="C1818" s="12">
        <v>47.701309999999999</v>
      </c>
      <c r="D1818" s="16">
        <f t="shared" si="369"/>
        <v>-1.7487529657144618E-2</v>
      </c>
      <c r="E1818" s="15">
        <f t="shared" si="381"/>
        <v>4.1882212202937197E-4</v>
      </c>
      <c r="G1818" s="25" t="str">
        <f>IF(VLOOKUP(A1818,Aux!B:C,2,FALSE)=0,"",VLOOKUP(A1818,Aux!B:C,2,FALSE))</f>
        <v/>
      </c>
      <c r="H1818" s="25" t="str">
        <f t="shared" si="370"/>
        <v/>
      </c>
      <c r="L1818" s="13">
        <f t="shared" si="373"/>
        <v>166586.76333523332</v>
      </c>
      <c r="M1818" s="14">
        <f t="shared" si="374"/>
        <v>-1513.5163769994697</v>
      </c>
      <c r="N1818" s="14">
        <f t="shared" si="375"/>
        <v>34.141464083753419</v>
      </c>
      <c r="O1818" s="1">
        <f t="shared" si="376"/>
        <v>3.1625148919709645</v>
      </c>
      <c r="P1818" s="1">
        <f t="shared" si="377"/>
        <v>1709.6376606786282</v>
      </c>
      <c r="S1818" s="6">
        <f t="shared" si="371"/>
        <v>0.51045356541567732</v>
      </c>
      <c r="T1818" s="6">
        <f t="shared" si="372"/>
        <v>0.48954643458432395</v>
      </c>
      <c r="V1818" s="1">
        <f t="shared" si="378"/>
        <v>168746.5130669674</v>
      </c>
      <c r="W1818" s="7">
        <f t="shared" si="379"/>
        <v>-8.8413071731313839E-3</v>
      </c>
      <c r="X1818" s="7">
        <f t="shared" si="380"/>
        <v>-6.2585795453825623E-3</v>
      </c>
      <c r="Y1818">
        <f>LN(B1818/B1817)</f>
        <v>-1.7642242858347843E-2</v>
      </c>
      <c r="Z1818">
        <f>LN(C1818/C1817)</f>
        <v>4.1873444052553611E-4</v>
      </c>
    </row>
    <row r="1819" spans="1:26" x14ac:dyDescent="0.3">
      <c r="A1819" s="9">
        <v>42860</v>
      </c>
      <c r="B1819" s="1">
        <v>27239.74</v>
      </c>
      <c r="C1819" s="1">
        <v>47.721290000000003</v>
      </c>
      <c r="D1819" s="6">
        <f t="shared" ref="D1819:D1882" si="382">B1819/B1818-1</f>
        <v>1.306848505021696E-2</v>
      </c>
      <c r="E1819" s="5">
        <f t="shared" si="381"/>
        <v>4.1885642134364964E-4</v>
      </c>
      <c r="G1819" s="25" t="str">
        <f>IF(VLOOKUP(A1819,Aux!B:C,2,FALSE)=0,"",VLOOKUP(A1819,Aux!B:C,2,FALSE))</f>
        <v/>
      </c>
      <c r="H1819" s="25" t="str">
        <f t="shared" si="370"/>
        <v/>
      </c>
      <c r="L1819" s="13">
        <f t="shared" si="373"/>
        <v>167732.19800358338</v>
      </c>
      <c r="M1819" s="14">
        <f t="shared" si="374"/>
        <v>1111.276107889687</v>
      </c>
      <c r="N1819" s="14">
        <f t="shared" si="375"/>
        <v>34.158560460365628</v>
      </c>
      <c r="O1819" s="1">
        <f t="shared" si="376"/>
        <v>3.1625148919709645</v>
      </c>
      <c r="P1819" s="1">
        <f t="shared" si="377"/>
        <v>1709.6376606786282</v>
      </c>
      <c r="S1819" s="6">
        <f t="shared" si="371"/>
        <v>0.51359300378080519</v>
      </c>
      <c r="T1819" s="6">
        <f t="shared" si="372"/>
        <v>0.48640699621919598</v>
      </c>
      <c r="V1819" s="1">
        <f t="shared" si="378"/>
        <v>169601.87999523632</v>
      </c>
      <c r="W1819" s="7">
        <f t="shared" si="379"/>
        <v>6.8523732291565637E-3</v>
      </c>
      <c r="X1819" s="7">
        <f t="shared" si="380"/>
        <v>5.0561419416483488E-3</v>
      </c>
      <c r="Y1819">
        <f>LN(B1819/B1818)</f>
        <v>1.2983829151359082E-2</v>
      </c>
      <c r="Z1819">
        <f>LN(C1819/C1818)</f>
        <v>4.1876872547992844E-4</v>
      </c>
    </row>
    <row r="1820" spans="1:26" x14ac:dyDescent="0.3">
      <c r="A1820" s="11">
        <v>42863</v>
      </c>
      <c r="B1820" s="12">
        <v>27181.85</v>
      </c>
      <c r="C1820" s="12">
        <v>47.741280000000003</v>
      </c>
      <c r="D1820" s="16">
        <f t="shared" si="382"/>
        <v>-2.1252038382159055E-3</v>
      </c>
      <c r="E1820" s="15">
        <f t="shared" si="381"/>
        <v>4.1889060417266144E-4</v>
      </c>
      <c r="G1820" s="25" t="str">
        <f>IF(VLOOKUP(A1820,Aux!B:C,2,FALSE)=0,"",VLOOKUP(A1820,Aux!B:C,2,FALSE))</f>
        <v/>
      </c>
      <c r="H1820" s="25" t="str">
        <f t="shared" si="370"/>
        <v/>
      </c>
      <c r="L1820" s="13">
        <f t="shared" si="373"/>
        <v>167583.29567332414</v>
      </c>
      <c r="M1820" s="14">
        <f t="shared" si="374"/>
        <v>-183.0779870962088</v>
      </c>
      <c r="N1820" s="14">
        <f t="shared" si="375"/>
        <v>34.175656836965693</v>
      </c>
      <c r="O1820" s="1">
        <f t="shared" si="376"/>
        <v>3.1625148919709645</v>
      </c>
      <c r="P1820" s="1">
        <f t="shared" si="377"/>
        <v>1709.6376606786282</v>
      </c>
      <c r="S1820" s="6">
        <f t="shared" si="371"/>
        <v>0.51295688553524799</v>
      </c>
      <c r="T1820" s="6">
        <f t="shared" si="372"/>
        <v>0.48704311446475318</v>
      </c>
      <c r="V1820" s="1">
        <f t="shared" si="378"/>
        <v>169513.04601813882</v>
      </c>
      <c r="W1820" s="7">
        <f t="shared" si="379"/>
        <v>-8.8813277557822981E-4</v>
      </c>
      <c r="X1820" s="7">
        <f t="shared" si="380"/>
        <v>-5.2391665665573156E-4</v>
      </c>
      <c r="Y1820">
        <f>LN(B1820/B1819)</f>
        <v>-2.1274652884895021E-3</v>
      </c>
      <c r="Z1820">
        <f>LN(C1820/C1819)</f>
        <v>4.1880289399665364E-4</v>
      </c>
    </row>
    <row r="1821" spans="1:26" x14ac:dyDescent="0.3">
      <c r="A1821" s="9">
        <v>42864</v>
      </c>
      <c r="B1821" s="1">
        <v>27487.02</v>
      </c>
      <c r="C1821" s="1">
        <v>47.761270000000003</v>
      </c>
      <c r="D1821" s="6">
        <f t="shared" si="382"/>
        <v>1.1226976824609158E-2</v>
      </c>
      <c r="E1821" s="5">
        <f t="shared" si="381"/>
        <v>4.1871520830616404E-4</v>
      </c>
      <c r="G1821" s="25" t="str">
        <f>IF(VLOOKUP(A1821,Aux!B:C,2,FALSE)=0,"",VLOOKUP(A1821,Aux!B:C,2,FALSE))</f>
        <v/>
      </c>
      <c r="H1821" s="25" t="str">
        <f t="shared" si="370"/>
        <v/>
      </c>
      <c r="L1821" s="13">
        <f t="shared" si="373"/>
        <v>168582.57599974392</v>
      </c>
      <c r="M1821" s="14">
        <f t="shared" si="374"/>
        <v>965.10466958278516</v>
      </c>
      <c r="N1821" s="14">
        <f t="shared" si="375"/>
        <v>34.175656836965693</v>
      </c>
      <c r="O1821" s="1">
        <f t="shared" si="376"/>
        <v>3.1625148919709645</v>
      </c>
      <c r="P1821" s="1">
        <f t="shared" si="377"/>
        <v>1709.6376606786282</v>
      </c>
      <c r="S1821" s="6">
        <f t="shared" si="371"/>
        <v>0.51564113058775296</v>
      </c>
      <c r="T1821" s="6">
        <f t="shared" si="372"/>
        <v>0.48435886941224809</v>
      </c>
      <c r="V1821" s="1">
        <f t="shared" si="378"/>
        <v>170261.80416094809</v>
      </c>
      <c r="W1821" s="7">
        <f t="shared" si="379"/>
        <v>5.9451797694701084E-3</v>
      </c>
      <c r="X1821" s="7">
        <f t="shared" si="380"/>
        <v>4.4073853875255054E-3</v>
      </c>
      <c r="Y1821">
        <f>LN(B1821/B1820)</f>
        <v>1.1164422085269295E-2</v>
      </c>
      <c r="Z1821">
        <f>LN(C1821/C1820)</f>
        <v>4.18627571555704E-4</v>
      </c>
    </row>
    <row r="1822" spans="1:26" x14ac:dyDescent="0.3">
      <c r="A1822" s="11">
        <v>42865</v>
      </c>
      <c r="B1822" s="12">
        <v>27923.99</v>
      </c>
      <c r="C1822" s="12">
        <v>47.781280000000002</v>
      </c>
      <c r="D1822" s="16">
        <f t="shared" si="382"/>
        <v>1.5897321717669E-2</v>
      </c>
      <c r="E1822" s="15">
        <f t="shared" si="381"/>
        <v>4.1895870859387507E-4</v>
      </c>
      <c r="G1822" s="25" t="str">
        <f>IF(VLOOKUP(A1822,Aux!B:C,2,FALSE)=0,"",VLOOKUP(A1822,Aux!B:C,2,FALSE))</f>
        <v/>
      </c>
      <c r="H1822" s="25" t="str">
        <f t="shared" si="370"/>
        <v/>
      </c>
      <c r="L1822" s="13">
        <f t="shared" si="373"/>
        <v>169998.70998167864</v>
      </c>
      <c r="M1822" s="14">
        <f t="shared" si="374"/>
        <v>1381.924132344556</v>
      </c>
      <c r="N1822" s="14">
        <f t="shared" si="375"/>
        <v>34.209849590177974</v>
      </c>
      <c r="O1822" s="1">
        <f t="shared" si="376"/>
        <v>3.1625148919709645</v>
      </c>
      <c r="P1822" s="1">
        <f t="shared" si="377"/>
        <v>1709.6376606786282</v>
      </c>
      <c r="S1822" s="6">
        <f t="shared" si="371"/>
        <v>0.51947473147158463</v>
      </c>
      <c r="T1822" s="6">
        <f t="shared" si="372"/>
        <v>0.48052526852841648</v>
      </c>
      <c r="V1822" s="1">
        <f t="shared" si="378"/>
        <v>171314.67425679526</v>
      </c>
      <c r="W1822" s="7">
        <f t="shared" si="379"/>
        <v>8.3651536483795169E-3</v>
      </c>
      <c r="X1822" s="7">
        <f t="shared" si="380"/>
        <v>6.1647888356733656E-3</v>
      </c>
      <c r="Y1822">
        <f>LN(B1822/B1821)</f>
        <v>1.5772282747745843E-2</v>
      </c>
      <c r="Z1822">
        <f>LN(C1822/C1821)</f>
        <v>4.1887096989919319E-4</v>
      </c>
    </row>
    <row r="1823" spans="1:26" x14ac:dyDescent="0.3">
      <c r="A1823" s="9">
        <v>42866</v>
      </c>
      <c r="B1823" s="1">
        <v>28011.919999999998</v>
      </c>
      <c r="C1823" s="1">
        <v>47.801290000000002</v>
      </c>
      <c r="D1823" s="6">
        <f t="shared" si="382"/>
        <v>3.1489052961268804E-3</v>
      </c>
      <c r="E1823" s="5">
        <f t="shared" si="381"/>
        <v>4.1878325570188224E-4</v>
      </c>
      <c r="G1823" s="25" t="str">
        <f>IF(VLOOKUP(A1823,Aux!B:C,2,FALSE)=0,"",VLOOKUP(A1823,Aux!B:C,2,FALSE))</f>
        <v/>
      </c>
      <c r="H1823" s="25" t="str">
        <f t="shared" si="370"/>
        <v/>
      </c>
      <c r="L1823" s="13">
        <f t="shared" si="373"/>
        <v>170310.99976571981</v>
      </c>
      <c r="M1823" s="14">
        <f t="shared" si="374"/>
        <v>278.07993445099635</v>
      </c>
      <c r="N1823" s="14">
        <f t="shared" si="375"/>
        <v>34.209849590177974</v>
      </c>
      <c r="O1823" s="1">
        <f t="shared" si="376"/>
        <v>3.1625148919709645</v>
      </c>
      <c r="P1823" s="1">
        <f t="shared" si="377"/>
        <v>1709.6376606786282</v>
      </c>
      <c r="S1823" s="6">
        <f t="shared" si="371"/>
        <v>0.52015497692199153</v>
      </c>
      <c r="T1823" s="6">
        <f t="shared" si="372"/>
        <v>0.47984502307800964</v>
      </c>
      <c r="V1823" s="1">
        <f t="shared" si="378"/>
        <v>171562.29686315788</v>
      </c>
      <c r="W1823" s="7">
        <f t="shared" si="379"/>
        <v>1.8353274253233879E-3</v>
      </c>
      <c r="X1823" s="7">
        <f t="shared" si="380"/>
        <v>1.4443819227859405E-3</v>
      </c>
      <c r="Y1823">
        <f>LN(B1823/B1822)</f>
        <v>3.1439578770934219E-3</v>
      </c>
      <c r="Z1823">
        <f>LN(C1823/C1822)</f>
        <v>4.1869559046855471E-4</v>
      </c>
    </row>
    <row r="1824" spans="1:26" x14ac:dyDescent="0.3">
      <c r="A1824" s="11">
        <v>42867</v>
      </c>
      <c r="B1824" s="12">
        <v>28268.18</v>
      </c>
      <c r="C1824" s="12">
        <v>47.82132</v>
      </c>
      <c r="D1824" s="16">
        <f t="shared" si="382"/>
        <v>9.1482483171450024E-3</v>
      </c>
      <c r="E1824" s="15">
        <f t="shared" si="381"/>
        <v>4.1902634845203401E-4</v>
      </c>
      <c r="G1824" s="25" t="str">
        <f>IF(VLOOKUP(A1824,Aux!B:C,2,FALSE)=0,"",VLOOKUP(A1824,Aux!B:C,2,FALSE))</f>
        <v/>
      </c>
      <c r="H1824" s="25" t="str">
        <f t="shared" si="370"/>
        <v/>
      </c>
      <c r="L1824" s="13">
        <f t="shared" si="373"/>
        <v>171155.6698742797</v>
      </c>
      <c r="M1824" s="14">
        <f t="shared" si="374"/>
        <v>810.42606621648576</v>
      </c>
      <c r="N1824" s="14">
        <f t="shared" si="375"/>
        <v>34.244042343390255</v>
      </c>
      <c r="O1824" s="1">
        <f t="shared" si="376"/>
        <v>3.1625148919709645</v>
      </c>
      <c r="P1824" s="1">
        <f t="shared" si="377"/>
        <v>1709.6376606786282</v>
      </c>
      <c r="S1824" s="6">
        <f t="shared" si="371"/>
        <v>0.52232298400971688</v>
      </c>
      <c r="T1824" s="6">
        <f t="shared" si="372"/>
        <v>0.47767701599028417</v>
      </c>
      <c r="V1824" s="1">
        <f t="shared" si="378"/>
        <v>172198.30741038464</v>
      </c>
      <c r="W1824" s="7">
        <f t="shared" si="379"/>
        <v>4.9473164235380321E-3</v>
      </c>
      <c r="X1824" s="7">
        <f t="shared" si="380"/>
        <v>3.7003150740687689E-3</v>
      </c>
      <c r="Y1824">
        <f>LN(B1824/B1823)</f>
        <v>9.1066565622020916E-3</v>
      </c>
      <c r="Z1824">
        <f>LN(C1824/C1823)</f>
        <v>4.1893858142862643E-4</v>
      </c>
    </row>
    <row r="1825" spans="1:26" x14ac:dyDescent="0.3">
      <c r="A1825" s="9">
        <v>42870</v>
      </c>
      <c r="B1825" s="1">
        <v>28358.51</v>
      </c>
      <c r="C1825" s="1">
        <v>47.841340000000002</v>
      </c>
      <c r="D1825" s="6">
        <f t="shared" si="382"/>
        <v>3.1954657144535048E-3</v>
      </c>
      <c r="E1825" s="5">
        <f t="shared" si="381"/>
        <v>4.1864172716277182E-4</v>
      </c>
      <c r="G1825" s="25" t="str">
        <f>IF(VLOOKUP(A1825,Aux!B:C,2,FALSE)=0,"",VLOOKUP(A1825,Aux!B:C,2,FALSE))</f>
        <v/>
      </c>
      <c r="H1825" s="25" t="str">
        <f t="shared" si="370"/>
        <v/>
      </c>
      <c r="L1825" s="13">
        <f t="shared" si="373"/>
        <v>171475.56679043823</v>
      </c>
      <c r="M1825" s="14">
        <f t="shared" si="374"/>
        <v>285.66997019173124</v>
      </c>
      <c r="N1825" s="14">
        <f t="shared" si="375"/>
        <v>34.22694596679019</v>
      </c>
      <c r="O1825" s="1">
        <f t="shared" si="376"/>
        <v>3.1625148919709645</v>
      </c>
      <c r="P1825" s="1">
        <f t="shared" si="377"/>
        <v>1709.6376606786282</v>
      </c>
      <c r="S1825" s="6">
        <f t="shared" si="371"/>
        <v>0.52301451377449804</v>
      </c>
      <c r="T1825" s="6">
        <f t="shared" si="372"/>
        <v>0.47698548622550296</v>
      </c>
      <c r="V1825" s="1">
        <f t="shared" si="378"/>
        <v>172451.48927202437</v>
      </c>
      <c r="W1825" s="7">
        <f t="shared" si="379"/>
        <v>1.8672962350062099E-3</v>
      </c>
      <c r="X1825" s="7">
        <f t="shared" si="380"/>
        <v>1.4692125724126033E-3</v>
      </c>
      <c r="Y1825">
        <f>LN(B1825/B1824)</f>
        <v>3.1903710641890456E-3</v>
      </c>
      <c r="Z1825">
        <f>LN(C1825/C1824)</f>
        <v>4.1855412116440909E-4</v>
      </c>
    </row>
    <row r="1826" spans="1:26" x14ac:dyDescent="0.3">
      <c r="A1826" s="11">
        <v>42871</v>
      </c>
      <c r="B1826" s="12">
        <v>28460.31</v>
      </c>
      <c r="C1826" s="12">
        <v>47.861379999999997</v>
      </c>
      <c r="D1826" s="16">
        <f t="shared" si="382"/>
        <v>3.5897513656395486E-3</v>
      </c>
      <c r="E1826" s="15">
        <f t="shared" si="381"/>
        <v>4.1888458809880014E-4</v>
      </c>
      <c r="G1826" s="25" t="str">
        <f>IF(VLOOKUP(A1826,Aux!B:C,2,FALSE)=0,"",VLOOKUP(A1826,Aux!B:C,2,FALSE))</f>
        <v/>
      </c>
      <c r="H1826" s="25" t="str">
        <f t="shared" si="370"/>
        <v/>
      </c>
      <c r="L1826" s="13">
        <f t="shared" si="373"/>
        <v>171831.77194516087</v>
      </c>
      <c r="M1826" s="14">
        <f t="shared" si="374"/>
        <v>321.94401600265337</v>
      </c>
      <c r="N1826" s="14">
        <f t="shared" si="375"/>
        <v>34.261138719990321</v>
      </c>
      <c r="O1826" s="1">
        <f t="shared" si="376"/>
        <v>3.1625148919709645</v>
      </c>
      <c r="P1826" s="1">
        <f t="shared" si="377"/>
        <v>1709.6376606786282</v>
      </c>
      <c r="S1826" s="6">
        <f t="shared" si="371"/>
        <v>0.52380391115232816</v>
      </c>
      <c r="T1826" s="6">
        <f t="shared" si="372"/>
        <v>0.47619608884767278</v>
      </c>
      <c r="V1826" s="1">
        <f t="shared" si="378"/>
        <v>172731.17756753601</v>
      </c>
      <c r="W1826" s="7">
        <f t="shared" si="379"/>
        <v>2.0751393422514292E-3</v>
      </c>
      <c r="X1826" s="7">
        <f t="shared" si="380"/>
        <v>1.6205237608238148E-3</v>
      </c>
      <c r="Y1826">
        <f>LN(B1826/B1825)</f>
        <v>3.5833235863660445E-3</v>
      </c>
      <c r="Z1826">
        <f>LN(C1826/C1825)</f>
        <v>4.1879688044179584E-4</v>
      </c>
    </row>
    <row r="1827" spans="1:26" x14ac:dyDescent="0.3">
      <c r="A1827" s="9">
        <v>42872</v>
      </c>
      <c r="B1827" s="1">
        <v>28000.85</v>
      </c>
      <c r="C1827" s="1">
        <v>47.881430000000002</v>
      </c>
      <c r="D1827" s="6">
        <f t="shared" si="382"/>
        <v>-1.6143885994214457E-2</v>
      </c>
      <c r="E1827" s="5">
        <f t="shared" si="381"/>
        <v>4.1891813399463906E-4</v>
      </c>
      <c r="G1827" s="25" t="str">
        <f>IF(VLOOKUP(A1827,Aux!B:C,2,FALSE)=0,"",VLOOKUP(A1827,Aux!B:C,2,FALSE))</f>
        <v/>
      </c>
      <c r="H1827" s="25" t="str">
        <f t="shared" si="370"/>
        <v/>
      </c>
      <c r="L1827" s="13">
        <f t="shared" si="373"/>
        <v>170413.00108799248</v>
      </c>
      <c r="M1827" s="14">
        <f t="shared" si="374"/>
        <v>-1453.0490922649881</v>
      </c>
      <c r="N1827" s="14">
        <f t="shared" si="375"/>
        <v>34.278235096614679</v>
      </c>
      <c r="O1827" s="1">
        <f t="shared" si="376"/>
        <v>3.1625148919709645</v>
      </c>
      <c r="P1827" s="1">
        <f t="shared" si="377"/>
        <v>1709.6376606786282</v>
      </c>
      <c r="S1827" s="6">
        <f t="shared" si="371"/>
        <v>0.51963819982913706</v>
      </c>
      <c r="T1827" s="6">
        <f t="shared" si="372"/>
        <v>0.48036180017086411</v>
      </c>
      <c r="V1827" s="1">
        <f t="shared" si="378"/>
        <v>171716.04178139247</v>
      </c>
      <c r="W1827" s="7">
        <f t="shared" si="379"/>
        <v>-8.2910191550660296E-3</v>
      </c>
      <c r="X1827" s="7">
        <f t="shared" si="380"/>
        <v>-5.8943064027032165E-3</v>
      </c>
      <c r="Y1827">
        <f>LN(B1827/B1826)</f>
        <v>-1.6275618225766033E-2</v>
      </c>
      <c r="Z1827">
        <f>LN(C1827/C1826)</f>
        <v>4.1883041229109745E-4</v>
      </c>
    </row>
    <row r="1828" spans="1:26" x14ac:dyDescent="0.3">
      <c r="A1828" s="11">
        <v>42873</v>
      </c>
      <c r="B1828" s="12">
        <v>25537.22</v>
      </c>
      <c r="C1828" s="12">
        <v>47.901490000000003</v>
      </c>
      <c r="D1828" s="16">
        <f t="shared" si="382"/>
        <v>-8.7984114767944432E-2</v>
      </c>
      <c r="E1828" s="15">
        <f t="shared" si="381"/>
        <v>4.1895156431204228E-4</v>
      </c>
      <c r="G1828" s="25" t="str">
        <f>IF(VLOOKUP(A1828,Aux!B:C,2,FALSE)=0,"",VLOOKUP(A1828,Aux!B:C,2,FALSE))</f>
        <v/>
      </c>
      <c r="H1828" s="25" t="str">
        <f t="shared" si="370"/>
        <v/>
      </c>
      <c r="L1828" s="13">
        <f t="shared" si="373"/>
        <v>162656.02985615926</v>
      </c>
      <c r="M1828" s="14">
        <f t="shared" si="374"/>
        <v>-7791.2665633064189</v>
      </c>
      <c r="N1828" s="14">
        <f t="shared" si="375"/>
        <v>34.295331473214745</v>
      </c>
      <c r="O1828" s="1">
        <f t="shared" si="376"/>
        <v>3.1625148919709645</v>
      </c>
      <c r="P1828" s="1">
        <f t="shared" si="377"/>
        <v>1709.6376606786282</v>
      </c>
      <c r="S1828" s="6">
        <f t="shared" si="371"/>
        <v>0.49651917989734806</v>
      </c>
      <c r="T1828" s="6">
        <f t="shared" si="372"/>
        <v>0.50348082010265316</v>
      </c>
      <c r="V1828" s="1">
        <f t="shared" si="378"/>
        <v>166077.23807033175</v>
      </c>
      <c r="W1828" s="7">
        <f t="shared" si="379"/>
        <v>-4.6587184130982263E-2</v>
      </c>
      <c r="X1828" s="7">
        <f t="shared" si="380"/>
        <v>-3.3389222944645643E-2</v>
      </c>
      <c r="Y1828">
        <f>LN(B1828/B1827)</f>
        <v>-9.2097871041892779E-2</v>
      </c>
      <c r="Z1828">
        <f>LN(C1828/C1827)</f>
        <v>4.1886382860924047E-4</v>
      </c>
    </row>
    <row r="1829" spans="1:26" x14ac:dyDescent="0.3">
      <c r="A1829" s="9">
        <v>42874</v>
      </c>
      <c r="B1829" s="1">
        <v>25977.59</v>
      </c>
      <c r="C1829" s="1">
        <v>47.921550000000003</v>
      </c>
      <c r="D1829" s="6">
        <f t="shared" si="382"/>
        <v>1.7244241933930038E-2</v>
      </c>
      <c r="E1829" s="5">
        <f t="shared" si="381"/>
        <v>4.1877611740259724E-4</v>
      </c>
      <c r="G1829" s="25" t="str">
        <f>IF(VLOOKUP(A1829,Aux!B:C,2,FALSE)=0,"",VLOOKUP(A1829,Aux!B:C,2,FALSE))</f>
        <v/>
      </c>
      <c r="H1829" s="25" t="str">
        <f t="shared" si="370"/>
        <v/>
      </c>
      <c r="L1829" s="13">
        <f t="shared" si="373"/>
        <v>164083.0018706097</v>
      </c>
      <c r="M1829" s="14">
        <f t="shared" si="374"/>
        <v>1392.6766829772505</v>
      </c>
      <c r="N1829" s="14">
        <f t="shared" si="375"/>
        <v>34.295331473214745</v>
      </c>
      <c r="O1829" s="1">
        <f t="shared" si="376"/>
        <v>3.1625148919709645</v>
      </c>
      <c r="P1829" s="1">
        <f t="shared" si="377"/>
        <v>1709.6376606786282</v>
      </c>
      <c r="S1829" s="6">
        <f t="shared" si="371"/>
        <v>0.5006887629792407</v>
      </c>
      <c r="T1829" s="6">
        <f t="shared" si="372"/>
        <v>0.49931123702076069</v>
      </c>
      <c r="V1829" s="1">
        <f t="shared" si="378"/>
        <v>167138.06394173464</v>
      </c>
      <c r="W1829" s="7">
        <f t="shared" si="379"/>
        <v>8.7346839429094311E-3</v>
      </c>
      <c r="X1829" s="7">
        <f t="shared" si="380"/>
        <v>6.3672313303906845E-3</v>
      </c>
      <c r="Y1829">
        <f>LN(B1829/B1828)</f>
        <v>1.7097247459881924E-2</v>
      </c>
      <c r="Z1829">
        <f>LN(C1829/C1828)</f>
        <v>4.1868845515739307E-4</v>
      </c>
    </row>
    <row r="1830" spans="1:26" x14ac:dyDescent="0.3">
      <c r="A1830" s="11">
        <v>42877</v>
      </c>
      <c r="B1830" s="12">
        <v>25564.89</v>
      </c>
      <c r="C1830" s="12">
        <v>47.94162</v>
      </c>
      <c r="D1830" s="16">
        <f t="shared" si="382"/>
        <v>-1.5886770096841141E-2</v>
      </c>
      <c r="E1830" s="15">
        <f t="shared" si="381"/>
        <v>4.1880949176298365E-4</v>
      </c>
      <c r="G1830" s="25" t="str">
        <f>IF(VLOOKUP(A1830,Aux!B:C,2,FALSE)=0,"",VLOOKUP(A1830,Aux!B:C,2,FALSE))</f>
        <v/>
      </c>
      <c r="H1830" s="25" t="str">
        <f t="shared" si="370"/>
        <v/>
      </c>
      <c r="L1830" s="13">
        <f t="shared" si="373"/>
        <v>162812.14440254311</v>
      </c>
      <c r="M1830" s="14">
        <f t="shared" si="374"/>
        <v>-1305.1698959164194</v>
      </c>
      <c r="N1830" s="14">
        <f t="shared" si="375"/>
        <v>34.31242784981481</v>
      </c>
      <c r="O1830" s="1">
        <f t="shared" si="376"/>
        <v>3.1625148919709645</v>
      </c>
      <c r="P1830" s="1">
        <f t="shared" si="377"/>
        <v>1709.6376606786282</v>
      </c>
      <c r="S1830" s="6">
        <f t="shared" si="371"/>
        <v>0.49658055689448138</v>
      </c>
      <c r="T1830" s="6">
        <f t="shared" si="372"/>
        <v>0.50341944310551989</v>
      </c>
      <c r="V1830" s="1">
        <f t="shared" si="378"/>
        <v>166230.84985391382</v>
      </c>
      <c r="W1830" s="7">
        <f t="shared" si="379"/>
        <v>-7.7753609079484831E-3</v>
      </c>
      <c r="X1830" s="7">
        <f t="shared" si="380"/>
        <v>-5.4427170010346755E-3</v>
      </c>
      <c r="Y1830">
        <f>LN(B1830/B1829)</f>
        <v>-1.6014317510252285E-2</v>
      </c>
      <c r="Z1830">
        <f>LN(C1830/C1829)</f>
        <v>4.187218155466885E-4</v>
      </c>
    </row>
    <row r="1831" spans="1:26" x14ac:dyDescent="0.3">
      <c r="A1831" s="9">
        <v>42878</v>
      </c>
      <c r="B1831" s="1">
        <v>25992.52</v>
      </c>
      <c r="C1831" s="1">
        <v>47.9617</v>
      </c>
      <c r="D1831" s="6">
        <f t="shared" si="382"/>
        <v>1.6727238020582069E-2</v>
      </c>
      <c r="E1831" s="5">
        <f t="shared" si="381"/>
        <v>4.1884275082892941E-4</v>
      </c>
      <c r="G1831" s="25" t="str">
        <f>IF(VLOOKUP(A1831,Aux!B:C,2,FALSE)=0,"",VLOOKUP(A1831,Aux!B:C,2,FALSE))</f>
        <v/>
      </c>
      <c r="H1831" s="25" t="str">
        <f t="shared" si="370"/>
        <v/>
      </c>
      <c r="L1831" s="13">
        <f t="shared" si="373"/>
        <v>164198.86017002308</v>
      </c>
      <c r="M1831" s="14">
        <f t="shared" si="374"/>
        <v>1352.3862432535468</v>
      </c>
      <c r="N1831" s="14">
        <f t="shared" si="375"/>
        <v>34.329524226427019</v>
      </c>
      <c r="O1831" s="1">
        <f t="shared" si="376"/>
        <v>3.1625148919709645</v>
      </c>
      <c r="P1831" s="1">
        <f t="shared" si="377"/>
        <v>1709.6376606786282</v>
      </c>
      <c r="S1831" s="6">
        <f t="shared" si="371"/>
        <v>0.50062303413516795</v>
      </c>
      <c r="T1831" s="6">
        <f t="shared" si="372"/>
        <v>0.49937696586483338</v>
      </c>
      <c r="V1831" s="1">
        <f t="shared" si="378"/>
        <v>167262.32884231838</v>
      </c>
      <c r="W1831" s="7">
        <f t="shared" si="379"/>
        <v>8.4812074235215851E-3</v>
      </c>
      <c r="X1831" s="7">
        <f t="shared" si="380"/>
        <v>6.1859272901680371E-3</v>
      </c>
      <c r="Y1831">
        <f>LN(B1831/B1830)</f>
        <v>1.6588878557389716E-2</v>
      </c>
      <c r="Z1831">
        <f>LN(C1831/C1830)</f>
        <v>4.1875506068870036E-4</v>
      </c>
    </row>
    <row r="1832" spans="1:26" x14ac:dyDescent="0.3">
      <c r="A1832" s="11">
        <v>42879</v>
      </c>
      <c r="B1832" s="12">
        <v>26244.1</v>
      </c>
      <c r="C1832" s="12">
        <v>47.981789999999997</v>
      </c>
      <c r="D1832" s="16">
        <f t="shared" si="382"/>
        <v>9.6789384022788472E-3</v>
      </c>
      <c r="E1832" s="15">
        <f t="shared" si="381"/>
        <v>4.188758947243354E-4</v>
      </c>
      <c r="G1832" s="25" t="str">
        <f>IF(VLOOKUP(A1832,Aux!B:C,2,FALSE)=0,"",VLOOKUP(A1832,Aux!B:C,2,FALSE))</f>
        <v/>
      </c>
      <c r="H1832" s="25" t="str">
        <f t="shared" si="370"/>
        <v/>
      </c>
      <c r="L1832" s="13">
        <f t="shared" si="373"/>
        <v>165028.83228714817</v>
      </c>
      <c r="M1832" s="14">
        <f t="shared" si="374"/>
        <v>795.62549652204927</v>
      </c>
      <c r="N1832" s="14">
        <f t="shared" si="375"/>
        <v>34.346620603027084</v>
      </c>
      <c r="O1832" s="1">
        <f t="shared" si="376"/>
        <v>3.1625148919709645</v>
      </c>
      <c r="P1832" s="1">
        <f t="shared" si="377"/>
        <v>1709.6376606786282</v>
      </c>
      <c r="S1832" s="6">
        <f t="shared" si="371"/>
        <v>0.50292640338120298</v>
      </c>
      <c r="T1832" s="6">
        <f t="shared" si="372"/>
        <v>0.49707359661879824</v>
      </c>
      <c r="V1832" s="1">
        <f t="shared" si="378"/>
        <v>167887.67669378553</v>
      </c>
      <c r="W1832" s="7">
        <f t="shared" si="379"/>
        <v>5.0419444924014135E-3</v>
      </c>
      <c r="X1832" s="7">
        <f t="shared" si="380"/>
        <v>3.73175334538314E-3</v>
      </c>
      <c r="Y1832">
        <f>LN(B1832/B1831)</f>
        <v>9.6323975477095539E-3</v>
      </c>
      <c r="Z1832">
        <f>LN(C1832/C1831)</f>
        <v>4.1878819070728922E-4</v>
      </c>
    </row>
    <row r="1833" spans="1:26" x14ac:dyDescent="0.3">
      <c r="A1833" s="9">
        <v>42880</v>
      </c>
      <c r="B1833" s="1">
        <v>26229.9</v>
      </c>
      <c r="C1833" s="1">
        <v>48.001890000000003</v>
      </c>
      <c r="D1833" s="6">
        <f t="shared" si="382"/>
        <v>-5.4107399377367749E-4</v>
      </c>
      <c r="E1833" s="5">
        <f t="shared" si="381"/>
        <v>4.189089235731025E-4</v>
      </c>
      <c r="G1833" s="25" t="str">
        <f>IF(VLOOKUP(A1833,Aux!B:C,2,FALSE)=0,"",VLOOKUP(A1833,Aux!B:C,2,FALSE))</f>
        <v/>
      </c>
      <c r="H1833" s="25" t="str">
        <f t="shared" si="370"/>
        <v/>
      </c>
      <c r="L1833" s="13">
        <f t="shared" si="373"/>
        <v>165018.28829266183</v>
      </c>
      <c r="M1833" s="14">
        <f t="shared" si="374"/>
        <v>-44.907711465978494</v>
      </c>
      <c r="N1833" s="14">
        <f t="shared" si="375"/>
        <v>34.36371697965145</v>
      </c>
      <c r="O1833" s="1">
        <f t="shared" si="376"/>
        <v>3.1625148919709645</v>
      </c>
      <c r="P1833" s="1">
        <f t="shared" si="377"/>
        <v>1709.6376606786282</v>
      </c>
      <c r="S1833" s="6">
        <f t="shared" si="371"/>
        <v>0.502686400538782</v>
      </c>
      <c r="T1833" s="6">
        <f t="shared" si="372"/>
        <v>0.49731359946121934</v>
      </c>
      <c r="V1833" s="1">
        <f t="shared" si="378"/>
        <v>167899.88315954321</v>
      </c>
      <c r="W1833" s="7">
        <f t="shared" si="379"/>
        <v>-6.3893873525620022E-5</v>
      </c>
      <c r="X1833" s="7">
        <f t="shared" si="380"/>
        <v>7.2703501990264351E-5</v>
      </c>
      <c r="Y1833">
        <f>LN(B1833/B1832)</f>
        <v>-5.4122042713028299E-4</v>
      </c>
      <c r="Z1833">
        <f>LN(C1833/C1832)</f>
        <v>4.1882120572631543E-4</v>
      </c>
    </row>
    <row r="1834" spans="1:26" x14ac:dyDescent="0.3">
      <c r="A1834" s="11">
        <v>42881</v>
      </c>
      <c r="B1834" s="12">
        <v>26594.7</v>
      </c>
      <c r="C1834" s="12">
        <v>48.021999999999998</v>
      </c>
      <c r="D1834" s="16">
        <f t="shared" si="382"/>
        <v>1.3907792252353168E-2</v>
      </c>
      <c r="E1834" s="15">
        <f t="shared" si="381"/>
        <v>4.1894183749846547E-4</v>
      </c>
      <c r="G1834" s="25" t="str">
        <f>IF(VLOOKUP(A1834,Aux!B:C,2,FALSE)=0,"",VLOOKUP(A1834,Aux!B:C,2,FALSE))</f>
        <v/>
      </c>
      <c r="H1834" s="25" t="str">
        <f t="shared" si="370"/>
        <v/>
      </c>
      <c r="L1834" s="13">
        <f t="shared" si="373"/>
        <v>166206.35453860907</v>
      </c>
      <c r="M1834" s="14">
        <f t="shared" si="374"/>
        <v>1153.6854325910056</v>
      </c>
      <c r="N1834" s="14">
        <f t="shared" si="375"/>
        <v>34.380813356239365</v>
      </c>
      <c r="O1834" s="1">
        <f t="shared" si="376"/>
        <v>3.1625148919709645</v>
      </c>
      <c r="P1834" s="1">
        <f t="shared" si="377"/>
        <v>1709.6376606786282</v>
      </c>
      <c r="S1834" s="6">
        <f t="shared" si="371"/>
        <v>0.50603441144581929</v>
      </c>
      <c r="T1834" s="6">
        <f t="shared" si="372"/>
        <v>0.49396558855418204</v>
      </c>
      <c r="V1834" s="1">
        <f t="shared" si="378"/>
        <v>168786.4782541164</v>
      </c>
      <c r="W1834" s="7">
        <f t="shared" si="379"/>
        <v>7.1738100822633698E-3</v>
      </c>
      <c r="X1834" s="7">
        <f t="shared" si="380"/>
        <v>5.2666056335059254E-3</v>
      </c>
      <c r="Y1834">
        <f>LN(B1834/B1833)</f>
        <v>1.3811966371810742E-2</v>
      </c>
      <c r="Z1834">
        <f>LN(C1834/C1833)</f>
        <v>4.1885410586897366E-4</v>
      </c>
    </row>
    <row r="1835" spans="1:26" x14ac:dyDescent="0.3">
      <c r="A1835" s="9">
        <v>42884</v>
      </c>
      <c r="B1835" s="1">
        <v>26466.46</v>
      </c>
      <c r="C1835" s="1">
        <v>48.042110000000001</v>
      </c>
      <c r="D1835" s="6">
        <f t="shared" si="382"/>
        <v>-4.8220134086867095E-3</v>
      </c>
      <c r="E1835" s="5">
        <f t="shared" si="381"/>
        <v>4.1876639873406063E-4</v>
      </c>
      <c r="G1835" s="25" t="str">
        <f>IF(VLOOKUP(A1835,Aux!B:C,2,FALSE)=0,"",VLOOKUP(A1835,Aux!B:C,2,FALSE))</f>
        <v/>
      </c>
      <c r="H1835" s="25" t="str">
        <f t="shared" si="370"/>
        <v/>
      </c>
      <c r="L1835" s="13">
        <f t="shared" si="373"/>
        <v>165835.17444221897</v>
      </c>
      <c r="M1835" s="14">
        <f t="shared" si="374"/>
        <v>-405.56090974636157</v>
      </c>
      <c r="N1835" s="14">
        <f t="shared" si="375"/>
        <v>34.380813356251515</v>
      </c>
      <c r="O1835" s="1">
        <f t="shared" si="376"/>
        <v>3.1625148919709645</v>
      </c>
      <c r="P1835" s="1">
        <f t="shared" si="377"/>
        <v>1709.6376606786282</v>
      </c>
      <c r="S1835" s="6">
        <f t="shared" si="371"/>
        <v>0.50472147521946364</v>
      </c>
      <c r="T1835" s="6">
        <f t="shared" si="372"/>
        <v>0.49527852478053763</v>
      </c>
      <c r="V1835" s="1">
        <f t="shared" si="378"/>
        <v>168535.61282205814</v>
      </c>
      <c r="W1835" s="7">
        <f t="shared" si="379"/>
        <v>-2.2357459450523093E-3</v>
      </c>
      <c r="X1835" s="7">
        <f t="shared" si="380"/>
        <v>-1.4873943032187415E-3</v>
      </c>
      <c r="Y1835">
        <f>LN(B1835/B1834)</f>
        <v>-4.8336768245472225E-3</v>
      </c>
      <c r="Z1835">
        <f>LN(C1835/C1834)</f>
        <v>4.1867874055705184E-4</v>
      </c>
    </row>
    <row r="1836" spans="1:26" x14ac:dyDescent="0.3">
      <c r="A1836" s="11">
        <v>42885</v>
      </c>
      <c r="B1836" s="12">
        <v>26545.88</v>
      </c>
      <c r="C1836" s="12">
        <v>48.06223</v>
      </c>
      <c r="D1836" s="16">
        <f t="shared" si="382"/>
        <v>3.0007790992827577E-3</v>
      </c>
      <c r="E1836" s="15">
        <f t="shared" si="381"/>
        <v>4.1879925756793668E-4</v>
      </c>
      <c r="G1836" s="25" t="str">
        <f>IF(VLOOKUP(A1836,Aux!B:C,2,FALSE)=0,"",VLOOKUP(A1836,Aux!B:C,2,FALSE))</f>
        <v/>
      </c>
      <c r="H1836" s="25" t="str">
        <f t="shared" si="370"/>
        <v/>
      </c>
      <c r="L1836" s="13">
        <f t="shared" si="373"/>
        <v>166120.73928467216</v>
      </c>
      <c r="M1836" s="14">
        <f t="shared" si="374"/>
        <v>251.16693272033999</v>
      </c>
      <c r="N1836" s="14">
        <f t="shared" si="375"/>
        <v>34.397909732851581</v>
      </c>
      <c r="O1836" s="1">
        <f t="shared" si="376"/>
        <v>3.1625148919709645</v>
      </c>
      <c r="P1836" s="1">
        <f t="shared" si="377"/>
        <v>1709.6376606786282</v>
      </c>
      <c r="S1836" s="6">
        <f t="shared" si="371"/>
        <v>0.50536580310186685</v>
      </c>
      <c r="T1836" s="6">
        <f t="shared" si="372"/>
        <v>0.49463419689813443</v>
      </c>
      <c r="V1836" s="1">
        <f t="shared" si="378"/>
        <v>168763.84864531015</v>
      </c>
      <c r="W1836" s="7">
        <f t="shared" si="379"/>
        <v>1.7204990246400412E-3</v>
      </c>
      <c r="X1836" s="7">
        <f t="shared" si="380"/>
        <v>1.3533129112792506E-3</v>
      </c>
      <c r="Y1836">
        <f>LN(B1836/B1835)</f>
        <v>2.9962857484726242E-3</v>
      </c>
      <c r="Z1836">
        <f>LN(C1836/C1835)</f>
        <v>4.1871158563597287E-4</v>
      </c>
    </row>
    <row r="1837" spans="1:26" x14ac:dyDescent="0.3">
      <c r="A1837" s="9">
        <v>42886</v>
      </c>
      <c r="B1837" s="1">
        <v>26052.92</v>
      </c>
      <c r="C1837" s="1">
        <v>48.082369999999997</v>
      </c>
      <c r="D1837" s="6">
        <f t="shared" si="382"/>
        <v>-1.8570113328320703E-2</v>
      </c>
      <c r="E1837" s="5">
        <f t="shared" si="381"/>
        <v>4.1904006534854155E-4</v>
      </c>
      <c r="G1837" s="25" t="str">
        <f>IF(VLOOKUP(A1837,Aux!B:C,2,FALSE)=0,"",VLOOKUP(A1837,Aux!B:C,2,FALSE))</f>
        <v/>
      </c>
      <c r="H1837" s="25" t="str">
        <f t="shared" si="370"/>
        <v/>
      </c>
      <c r="L1837" s="13">
        <f t="shared" si="373"/>
        <v>164596.17804601221</v>
      </c>
      <c r="M1837" s="14">
        <f t="shared" si="374"/>
        <v>-1558.9933411460154</v>
      </c>
      <c r="N1837" s="14">
        <f t="shared" si="375"/>
        <v>34.432102486063854</v>
      </c>
      <c r="O1837" s="1">
        <f t="shared" si="376"/>
        <v>3.1625148919709645</v>
      </c>
      <c r="P1837" s="1">
        <f t="shared" si="377"/>
        <v>1709.6376606786282</v>
      </c>
      <c r="S1837" s="6">
        <f t="shared" si="371"/>
        <v>0.50057509510515852</v>
      </c>
      <c r="T1837" s="6">
        <f t="shared" si="372"/>
        <v>0.4994249048948427</v>
      </c>
      <c r="V1837" s="1">
        <f t="shared" si="378"/>
        <v>167671.62852925182</v>
      </c>
      <c r="W1837" s="7">
        <f t="shared" si="379"/>
        <v>-9.2198007318508683E-3</v>
      </c>
      <c r="X1837" s="7">
        <f t="shared" si="380"/>
        <v>-6.4929178241126895E-3</v>
      </c>
      <c r="Y1837">
        <f>LN(B1837/B1836)</f>
        <v>-1.8744702690693473E-2</v>
      </c>
      <c r="Z1837">
        <f>LN(C1837/C1836)</f>
        <v>4.1895229257970634E-4</v>
      </c>
    </row>
    <row r="1838" spans="1:26" x14ac:dyDescent="0.3">
      <c r="A1838" s="11">
        <v>42887</v>
      </c>
      <c r="B1838" s="12">
        <v>25881.08</v>
      </c>
      <c r="C1838" s="12">
        <v>48.102499999999999</v>
      </c>
      <c r="D1838" s="16">
        <f t="shared" si="382"/>
        <v>-6.5958057676450688E-3</v>
      </c>
      <c r="E1838" s="15">
        <f t="shared" si="381"/>
        <v>4.186565678854226E-4</v>
      </c>
      <c r="G1838" s="25" t="str">
        <f>IF(VLOOKUP(A1838,Aux!B:C,2,FALSE)=0,"",VLOOKUP(A1838,Aux!B:C,2,FALSE))</f>
        <v/>
      </c>
      <c r="H1838" s="25" t="str">
        <f t="shared" si="370"/>
        <v/>
      </c>
      <c r="L1838" s="13">
        <f t="shared" si="373"/>
        <v>164087.1464930854</v>
      </c>
      <c r="M1838" s="14">
        <f t="shared" si="374"/>
        <v>-543.4465590362795</v>
      </c>
      <c r="N1838" s="14">
        <f t="shared" si="375"/>
        <v>34.415006109463789</v>
      </c>
      <c r="O1838" s="1">
        <f t="shared" si="376"/>
        <v>3.1625148919709645</v>
      </c>
      <c r="P1838" s="1">
        <f t="shared" si="377"/>
        <v>1709.6376606786282</v>
      </c>
      <c r="S1838" s="6">
        <f t="shared" si="371"/>
        <v>0.49881604177778183</v>
      </c>
      <c r="T1838" s="6">
        <f t="shared" si="372"/>
        <v>0.50118395822221939</v>
      </c>
      <c r="V1838" s="1">
        <f t="shared" si="378"/>
        <v>167320.2211147066</v>
      </c>
      <c r="W1838" s="7">
        <f t="shared" si="379"/>
        <v>-3.0974005791539129E-3</v>
      </c>
      <c r="X1838" s="7">
        <f t="shared" si="380"/>
        <v>-2.0980065265220828E-3</v>
      </c>
      <c r="Y1838">
        <f>LN(B1838/B1837)</f>
        <v>-6.6176542195968795E-3</v>
      </c>
      <c r="Z1838">
        <f>LN(C1838/C1837)</f>
        <v>4.1856895567660396E-4</v>
      </c>
    </row>
    <row r="1839" spans="1:26" x14ac:dyDescent="0.3">
      <c r="A1839" s="9">
        <v>42888</v>
      </c>
      <c r="B1839" s="1">
        <v>25969.32</v>
      </c>
      <c r="C1839" s="1">
        <v>48.120939999999997</v>
      </c>
      <c r="D1839" s="6">
        <f t="shared" si="382"/>
        <v>3.4094404097508857E-3</v>
      </c>
      <c r="E1839" s="5">
        <f t="shared" si="381"/>
        <v>3.8334805883266654E-4</v>
      </c>
      <c r="G1839" s="25" t="str">
        <f>IF(VLOOKUP(A1839,Aux!B:C,2,FALSE)=0,"",VLOOKUP(A1839,Aux!B:C,2,FALSE))</f>
        <v/>
      </c>
      <c r="H1839" s="25" t="str">
        <f t="shared" si="370"/>
        <v/>
      </c>
      <c r="L1839" s="13">
        <f t="shared" si="373"/>
        <v>164397.73252561584</v>
      </c>
      <c r="M1839" s="14">
        <f t="shared" si="374"/>
        <v>279.06031406751146</v>
      </c>
      <c r="N1839" s="14">
        <f t="shared" si="375"/>
        <v>31.525718462910888</v>
      </c>
      <c r="O1839" s="1">
        <f t="shared" si="376"/>
        <v>3.1625148919709645</v>
      </c>
      <c r="P1839" s="1">
        <f t="shared" si="377"/>
        <v>1709.6376606786282</v>
      </c>
      <c r="S1839" s="6">
        <f t="shared" si="371"/>
        <v>0.49957113138140435</v>
      </c>
      <c r="T1839" s="6">
        <f t="shared" si="372"/>
        <v>0.50042886861859681</v>
      </c>
      <c r="V1839" s="1">
        <f t="shared" si="378"/>
        <v>167565.04660394852</v>
      </c>
      <c r="W1839" s="7">
        <f t="shared" si="379"/>
        <v>1.891022357023104E-3</v>
      </c>
      <c r="X1839" s="7">
        <f t="shared" si="380"/>
        <v>1.4621457344292494E-3</v>
      </c>
      <c r="Y1839">
        <f>LN(B1839/B1838)</f>
        <v>3.403641444875712E-3</v>
      </c>
      <c r="Z1839">
        <f>LN(C1839/C1838)</f>
        <v>3.8327459973856227E-4</v>
      </c>
    </row>
    <row r="1840" spans="1:26" x14ac:dyDescent="0.3">
      <c r="A1840" s="11">
        <v>42891</v>
      </c>
      <c r="B1840" s="12">
        <v>25938.94</v>
      </c>
      <c r="C1840" s="12">
        <v>48.139389999999999</v>
      </c>
      <c r="D1840" s="16">
        <f t="shared" si="382"/>
        <v>-1.1698419519649006E-3</v>
      </c>
      <c r="E1840" s="15">
        <f t="shared" si="381"/>
        <v>3.8340896915145528E-4</v>
      </c>
      <c r="G1840" s="25" t="str">
        <f>IF(VLOOKUP(A1840,Aux!B:C,2,FALSE)=0,"",VLOOKUP(A1840,Aux!B:C,2,FALSE))</f>
        <v/>
      </c>
      <c r="H1840" s="25" t="str">
        <f t="shared" si="370"/>
        <v/>
      </c>
      <c r="L1840" s="13">
        <f t="shared" si="373"/>
        <v>164333.19813803726</v>
      </c>
      <c r="M1840" s="14">
        <f t="shared" si="374"/>
        <v>-96.077202418081129</v>
      </c>
      <c r="N1840" s="14">
        <f t="shared" si="375"/>
        <v>31.5428148395231</v>
      </c>
      <c r="O1840" s="1">
        <f t="shared" si="376"/>
        <v>3.1625148919709645</v>
      </c>
      <c r="P1840" s="1">
        <f t="shared" si="377"/>
        <v>1709.6376606786282</v>
      </c>
      <c r="S1840" s="6">
        <f t="shared" si="371"/>
        <v>0.49918266644476494</v>
      </c>
      <c r="T1840" s="6">
        <f t="shared" si="372"/>
        <v>0.50081733355523628</v>
      </c>
      <c r="V1840" s="1">
        <f t="shared" si="378"/>
        <v>167536.23397516526</v>
      </c>
      <c r="W1840" s="7">
        <f t="shared" si="379"/>
        <v>-3.9262741888832484E-4</v>
      </c>
      <c r="X1840" s="7">
        <f t="shared" si="380"/>
        <v>-1.7196370485049291E-4</v>
      </c>
      <c r="Y1840">
        <f>LN(B1840/B1839)</f>
        <v>-1.1705267511845237E-3</v>
      </c>
      <c r="Z1840">
        <f>LN(C1840/C1839)</f>
        <v>3.8333548671459262E-4</v>
      </c>
    </row>
    <row r="1841" spans="1:26" x14ac:dyDescent="0.3">
      <c r="A1841" s="9">
        <v>42892</v>
      </c>
      <c r="B1841" s="1">
        <v>26148.89</v>
      </c>
      <c r="C1841" s="1">
        <v>48.15784</v>
      </c>
      <c r="D1841" s="6">
        <f t="shared" si="382"/>
        <v>8.0940084675780177E-3</v>
      </c>
      <c r="E1841" s="5">
        <f t="shared" si="381"/>
        <v>3.8326202305438706E-4</v>
      </c>
      <c r="G1841" s="25" t="str">
        <f>IF(VLOOKUP(A1841,Aux!B:C,2,FALSE)=0,"",VLOOKUP(A1841,Aux!B:C,2,FALSE))</f>
        <v/>
      </c>
      <c r="H1841" s="25" t="str">
        <f t="shared" si="370"/>
        <v/>
      </c>
      <c r="L1841" s="13">
        <f t="shared" si="373"/>
        <v>165028.71095444608</v>
      </c>
      <c r="M1841" s="14">
        <f t="shared" si="374"/>
        <v>663.97000156930631</v>
      </c>
      <c r="N1841" s="14">
        <f t="shared" si="375"/>
        <v>31.5428148395231</v>
      </c>
      <c r="O1841" s="1">
        <f t="shared" si="376"/>
        <v>3.1625148919709645</v>
      </c>
      <c r="P1841" s="1">
        <f t="shared" si="377"/>
        <v>1709.6376606786282</v>
      </c>
      <c r="S1841" s="6">
        <f t="shared" si="371"/>
        <v>0.50110222369935253</v>
      </c>
      <c r="T1841" s="6">
        <f t="shared" si="372"/>
        <v>0.4988977763006488</v>
      </c>
      <c r="V1841" s="1">
        <f t="shared" si="378"/>
        <v>168061.87106317037</v>
      </c>
      <c r="W1841" s="7">
        <f t="shared" si="379"/>
        <v>4.2234018630382423E-3</v>
      </c>
      <c r="X1841" s="7">
        <f t="shared" si="380"/>
        <v>3.1325416320615016E-3</v>
      </c>
      <c r="Y1841">
        <f>LN(B1841/B1840)</f>
        <v>8.0614276691415333E-3</v>
      </c>
      <c r="Z1841">
        <f>LN(C1841/C1840)</f>
        <v>3.8318859692559453E-4</v>
      </c>
    </row>
    <row r="1842" spans="1:26" x14ac:dyDescent="0.3">
      <c r="A1842" s="11">
        <v>42893</v>
      </c>
      <c r="B1842" s="12">
        <v>26253.61</v>
      </c>
      <c r="C1842" s="12">
        <v>48.176299999999998</v>
      </c>
      <c r="D1842" s="16">
        <f t="shared" si="382"/>
        <v>4.0047589018119556E-3</v>
      </c>
      <c r="E1842" s="15">
        <f t="shared" si="381"/>
        <v>3.8332284006092898E-4</v>
      </c>
      <c r="G1842" s="25" t="str">
        <f>IF(VLOOKUP(A1842,Aux!B:C,2,FALSE)=0,"",VLOOKUP(A1842,Aux!B:C,2,FALSE))</f>
        <v/>
      </c>
      <c r="H1842" s="25" t="str">
        <f t="shared" si="370"/>
        <v/>
      </c>
      <c r="L1842" s="13">
        <f t="shared" si="373"/>
        <v>165391.44942514939</v>
      </c>
      <c r="M1842" s="14">
        <f t="shared" si="374"/>
        <v>331.17855948720307</v>
      </c>
      <c r="N1842" s="14">
        <f t="shared" si="375"/>
        <v>31.559911216123165</v>
      </c>
      <c r="O1842" s="1">
        <f t="shared" si="376"/>
        <v>3.1625148919709645</v>
      </c>
      <c r="P1842" s="1">
        <f t="shared" si="377"/>
        <v>1709.6376606786282</v>
      </c>
      <c r="S1842" s="6">
        <f t="shared" si="371"/>
        <v>0.50200559268073441</v>
      </c>
      <c r="T1842" s="6">
        <f t="shared" si="372"/>
        <v>0.49799440731926697</v>
      </c>
      <c r="V1842" s="1">
        <f t="shared" si="378"/>
        <v>168344.76123153503</v>
      </c>
      <c r="W1842" s="7">
        <f t="shared" si="379"/>
        <v>2.1956203641398091E-3</v>
      </c>
      <c r="X1842" s="7">
        <f t="shared" si="380"/>
        <v>1.6818350644051757E-3</v>
      </c>
      <c r="Y1842">
        <f>LN(B1842/B1841)</f>
        <v>3.9967612003477433E-3</v>
      </c>
      <c r="Z1842">
        <f>LN(C1842/C1841)</f>
        <v>3.8324939063036958E-4</v>
      </c>
    </row>
    <row r="1843" spans="1:26" x14ac:dyDescent="0.3">
      <c r="A1843" s="9">
        <v>42894</v>
      </c>
      <c r="B1843" s="1">
        <v>26077.96</v>
      </c>
      <c r="C1843" s="1">
        <v>48.194769999999998</v>
      </c>
      <c r="D1843" s="6">
        <f t="shared" si="382"/>
        <v>-6.6905084672165271E-3</v>
      </c>
      <c r="E1843" s="5">
        <f t="shared" si="381"/>
        <v>3.8338353090638932E-4</v>
      </c>
      <c r="G1843" s="25" t="str">
        <f>IF(VLOOKUP(A1843,Aux!B:C,2,FALSE)=0,"",VLOOKUP(A1843,Aux!B:C,2,FALSE))</f>
        <v/>
      </c>
      <c r="H1843" s="25" t="str">
        <f t="shared" si="370"/>
        <v/>
      </c>
      <c r="L1843" s="13">
        <f t="shared" si="373"/>
        <v>164867.53069196743</v>
      </c>
      <c r="M1843" s="14">
        <f t="shared" si="374"/>
        <v>-555.49574077470447</v>
      </c>
      <c r="N1843" s="14">
        <f t="shared" si="375"/>
        <v>31.577007592735377</v>
      </c>
      <c r="O1843" s="1">
        <f t="shared" si="376"/>
        <v>3.1625148919709645</v>
      </c>
      <c r="P1843" s="1">
        <f t="shared" si="377"/>
        <v>1709.6376606786282</v>
      </c>
      <c r="S1843" s="6">
        <f t="shared" si="371"/>
        <v>0.50023152834326567</v>
      </c>
      <c r="T1843" s="6">
        <f t="shared" si="372"/>
        <v>0.49976847165673571</v>
      </c>
      <c r="V1843" s="1">
        <f t="shared" si="378"/>
        <v>167980.85037382919</v>
      </c>
      <c r="W1843" s="7">
        <f t="shared" si="379"/>
        <v>-3.1727777545926526E-3</v>
      </c>
      <c r="X1843" s="7">
        <f t="shared" si="380"/>
        <v>-2.1640397707868176E-3</v>
      </c>
      <c r="Y1843">
        <f>LN(B1843/B1842)</f>
        <v>-6.7129902514788111E-3</v>
      </c>
      <c r="Z1843">
        <f>LN(C1843/C1842)</f>
        <v>3.8331005821871667E-4</v>
      </c>
    </row>
    <row r="1844" spans="1:26" x14ac:dyDescent="0.3">
      <c r="A1844" s="11">
        <v>42895</v>
      </c>
      <c r="B1844" s="12">
        <v>25863.03</v>
      </c>
      <c r="C1844" s="12">
        <v>48.213250000000002</v>
      </c>
      <c r="D1844" s="16">
        <f t="shared" si="382"/>
        <v>-8.2418256642774468E-3</v>
      </c>
      <c r="E1844" s="15">
        <f t="shared" si="381"/>
        <v>3.8344409569757154E-4</v>
      </c>
      <c r="G1844" s="25" t="str">
        <f>IF(VLOOKUP(A1844,Aux!B:C,2,FALSE)=0,"",VLOOKUP(A1844,Aux!B:C,2,FALSE))</f>
        <v/>
      </c>
      <c r="H1844" s="25" t="str">
        <f t="shared" si="370"/>
        <v/>
      </c>
      <c r="L1844" s="13">
        <f t="shared" si="373"/>
        <v>164219.40547020544</v>
      </c>
      <c r="M1844" s="14">
        <f t="shared" si="374"/>
        <v>-679.71932573132028</v>
      </c>
      <c r="N1844" s="14">
        <f t="shared" si="375"/>
        <v>31.594103969347593</v>
      </c>
      <c r="O1844" s="1">
        <f t="shared" si="376"/>
        <v>3.1625148919709645</v>
      </c>
      <c r="P1844" s="1">
        <f t="shared" si="377"/>
        <v>1709.6376606786282</v>
      </c>
      <c r="S1844" s="6">
        <f t="shared" si="371"/>
        <v>0.49806670102292799</v>
      </c>
      <c r="T1844" s="6">
        <f t="shared" si="372"/>
        <v>0.50193329897707339</v>
      </c>
      <c r="V1844" s="1">
        <f t="shared" si="378"/>
        <v>167526.34155342623</v>
      </c>
      <c r="W1844" s="7">
        <f t="shared" si="379"/>
        <v>-3.9389352084499823E-3</v>
      </c>
      <c r="X1844" s="7">
        <f t="shared" si="380"/>
        <v>-2.7093851301908294E-3</v>
      </c>
      <c r="Y1844">
        <f>LN(B1844/B1843)</f>
        <v>-8.2759772866791998E-3</v>
      </c>
      <c r="Z1844">
        <f>LN(C1844/C1843)</f>
        <v>3.8337059979742132E-4</v>
      </c>
    </row>
    <row r="1845" spans="1:26" x14ac:dyDescent="0.3">
      <c r="A1845" s="9">
        <v>42898</v>
      </c>
      <c r="B1845" s="1">
        <v>25657.32</v>
      </c>
      <c r="C1845" s="1">
        <v>48.231729999999999</v>
      </c>
      <c r="D1845" s="6">
        <f t="shared" si="382"/>
        <v>-7.9538244358838828E-3</v>
      </c>
      <c r="E1845" s="5">
        <f t="shared" si="381"/>
        <v>3.8329712267892724E-4</v>
      </c>
      <c r="G1845" s="25" t="str">
        <f>IF(VLOOKUP(A1845,Aux!B:C,2,FALSE)=0,"",VLOOKUP(A1845,Aux!B:C,2,FALSE))</f>
        <v/>
      </c>
      <c r="H1845" s="25" t="str">
        <f t="shared" si="370"/>
        <v/>
      </c>
      <c r="L1845" s="13">
        <f t="shared" si="373"/>
        <v>163600.43863574744</v>
      </c>
      <c r="M1845" s="14">
        <f t="shared" si="374"/>
        <v>-650.56093842734435</v>
      </c>
      <c r="N1845" s="14">
        <f t="shared" si="375"/>
        <v>31.594103969335443</v>
      </c>
      <c r="O1845" s="1">
        <f t="shared" si="376"/>
        <v>3.1625148919709645</v>
      </c>
      <c r="P1845" s="1">
        <f t="shared" si="377"/>
        <v>1709.6376606786282</v>
      </c>
      <c r="S1845" s="6">
        <f t="shared" si="371"/>
        <v>0.49597456623404579</v>
      </c>
      <c r="T1845" s="6">
        <f t="shared" si="372"/>
        <v>0.50402543376595565</v>
      </c>
      <c r="V1845" s="1">
        <f t="shared" si="378"/>
        <v>167093.1035955406</v>
      </c>
      <c r="W1845" s="7">
        <f t="shared" si="379"/>
        <v>-3.7762666362959538E-3</v>
      </c>
      <c r="X1845" s="7">
        <f t="shared" si="380"/>
        <v>-2.5894382782885184E-3</v>
      </c>
      <c r="Y1845">
        <f>LN(B1845/B1844)</f>
        <v>-7.985624832888661E-3</v>
      </c>
      <c r="Z1845">
        <f>LN(C1845/C1844)</f>
        <v>3.8322368310231991E-4</v>
      </c>
    </row>
    <row r="1846" spans="1:26" x14ac:dyDescent="0.3">
      <c r="A1846" s="11">
        <v>42899</v>
      </c>
      <c r="B1846" s="12">
        <v>25716.86</v>
      </c>
      <c r="C1846" s="12">
        <v>48.250219999999999</v>
      </c>
      <c r="D1846" s="16">
        <f t="shared" si="382"/>
        <v>2.3205853144443456E-3</v>
      </c>
      <c r="E1846" s="15">
        <f t="shared" si="381"/>
        <v>3.8335759467877928E-4</v>
      </c>
      <c r="G1846" s="25" t="str">
        <f>IF(VLOOKUP(A1846,Aux!B:C,2,FALSE)=0,"",VLOOKUP(A1846,Aux!B:C,2,FALSE))</f>
        <v/>
      </c>
      <c r="H1846" s="25" t="str">
        <f t="shared" si="370"/>
        <v/>
      </c>
      <c r="L1846" s="13">
        <f t="shared" si="373"/>
        <v>163820.34597276134</v>
      </c>
      <c r="M1846" s="14">
        <f t="shared" si="374"/>
        <v>188.29613666795399</v>
      </c>
      <c r="N1846" s="14">
        <f t="shared" si="375"/>
        <v>31.611200345947658</v>
      </c>
      <c r="O1846" s="1">
        <f t="shared" si="376"/>
        <v>3.1625148919709645</v>
      </c>
      <c r="P1846" s="1">
        <f t="shared" si="377"/>
        <v>1709.6376606786282</v>
      </c>
      <c r="S1846" s="6">
        <f t="shared" si="371"/>
        <v>0.4964581916965019</v>
      </c>
      <c r="T1846" s="6">
        <f t="shared" si="372"/>
        <v>0.50354180830349948</v>
      </c>
      <c r="V1846" s="1">
        <f t="shared" si="378"/>
        <v>167271.82903747424</v>
      </c>
      <c r="W1846" s="7">
        <f t="shared" si="379"/>
        <v>1.3432706805287878E-3</v>
      </c>
      <c r="X1846" s="7">
        <f t="shared" si="380"/>
        <v>1.0690442777458141E-3</v>
      </c>
      <c r="Y1846">
        <f>LN(B1846/B1845)</f>
        <v>2.317896914647627E-3</v>
      </c>
      <c r="Z1846">
        <f>LN(C1846/C1845)</f>
        <v>3.8328413193048234E-4</v>
      </c>
    </row>
    <row r="1847" spans="1:26" x14ac:dyDescent="0.3">
      <c r="A1847" s="9">
        <v>42900</v>
      </c>
      <c r="B1847" s="1">
        <v>25754.61</v>
      </c>
      <c r="C1847" s="1">
        <v>48.268709999999999</v>
      </c>
      <c r="D1847" s="6">
        <f t="shared" si="382"/>
        <v>1.4679086015945142E-3</v>
      </c>
      <c r="E1847" s="5">
        <f t="shared" si="381"/>
        <v>3.8321068795132973E-4</v>
      </c>
      <c r="G1847" s="25" t="str">
        <f>IF(VLOOKUP(A1847,Aux!B:C,2,FALSE)=0,"",VLOOKUP(A1847,Aux!B:C,2,FALSE))</f>
        <v/>
      </c>
      <c r="H1847" s="25" t="str">
        <f t="shared" si="370"/>
        <v/>
      </c>
      <c r="L1847" s="13">
        <f t="shared" si="373"/>
        <v>163971.34211027919</v>
      </c>
      <c r="M1847" s="14">
        <f t="shared" si="374"/>
        <v>119.38493717190391</v>
      </c>
      <c r="N1847" s="14">
        <f t="shared" si="375"/>
        <v>31.611200345947658</v>
      </c>
      <c r="O1847" s="1">
        <f t="shared" si="376"/>
        <v>3.1625148919709645</v>
      </c>
      <c r="P1847" s="1">
        <f t="shared" si="377"/>
        <v>1709.6376606786282</v>
      </c>
      <c r="S1847" s="6">
        <f t="shared" si="371"/>
        <v>0.49672910286436178</v>
      </c>
      <c r="T1847" s="6">
        <f t="shared" si="372"/>
        <v>0.50327089713563977</v>
      </c>
      <c r="V1847" s="1">
        <f t="shared" si="378"/>
        <v>167400.28418718957</v>
      </c>
      <c r="W1847" s="7">
        <f t="shared" si="379"/>
        <v>9.2129333163453668E-4</v>
      </c>
      <c r="X1847" s="7">
        <f t="shared" si="380"/>
        <v>7.6764780181813846E-4</v>
      </c>
      <c r="Y1847">
        <f>LN(B1847/B1846)</f>
        <v>1.4668322769319389E-3</v>
      </c>
      <c r="Z1847">
        <f>LN(C1847/C1846)</f>
        <v>3.8313728148847833E-4</v>
      </c>
    </row>
    <row r="1848" spans="1:26" x14ac:dyDescent="0.3">
      <c r="A1848" s="11">
        <v>42902</v>
      </c>
      <c r="B1848" s="12">
        <v>25658.7</v>
      </c>
      <c r="C1848" s="12">
        <v>48.287219999999998</v>
      </c>
      <c r="D1848" s="16">
        <f t="shared" si="382"/>
        <v>-3.7239934908740446E-3</v>
      </c>
      <c r="E1848" s="15">
        <f t="shared" si="381"/>
        <v>3.8347824087270332E-4</v>
      </c>
      <c r="G1848" s="25" t="str">
        <f>IF(VLOOKUP(A1848,Aux!B:C,2,FALSE)=0,"",VLOOKUP(A1848,Aux!B:C,2,FALSE))</f>
        <v/>
      </c>
      <c r="H1848" s="25" t="str">
        <f t="shared" si="370"/>
        <v/>
      </c>
      <c r="L1848" s="13">
        <f t="shared" si="373"/>
        <v>163699.67070008942</v>
      </c>
      <c r="M1848" s="14">
        <f t="shared" si="374"/>
        <v>-303.31680328893475</v>
      </c>
      <c r="N1848" s="14">
        <f t="shared" si="375"/>
        <v>31.645393099159936</v>
      </c>
      <c r="O1848" s="1">
        <f t="shared" si="376"/>
        <v>3.1625148919709645</v>
      </c>
      <c r="P1848" s="1">
        <f t="shared" si="377"/>
        <v>1709.6376606786282</v>
      </c>
      <c r="S1848" s="6">
        <f t="shared" si="371"/>
        <v>0.49570057478784568</v>
      </c>
      <c r="T1848" s="6">
        <f t="shared" si="372"/>
        <v>0.50429942521215576</v>
      </c>
      <c r="V1848" s="1">
        <f t="shared" si="378"/>
        <v>167220.42578410232</v>
      </c>
      <c r="W1848" s="7">
        <f t="shared" si="379"/>
        <v>-1.6581965558016185E-3</v>
      </c>
      <c r="X1848" s="7">
        <f t="shared" si="380"/>
        <v>-1.0749987376655087E-3</v>
      </c>
      <c r="Y1848">
        <f>LN(B1848/B1847)</f>
        <v>-3.7309448177978823E-3</v>
      </c>
      <c r="Z1848">
        <f>LN(C1848/C1847)</f>
        <v>3.8340473188422321E-4</v>
      </c>
    </row>
    <row r="1849" spans="1:26" x14ac:dyDescent="0.3">
      <c r="A1849" s="9">
        <v>42905</v>
      </c>
      <c r="B1849" s="1">
        <v>25805.46</v>
      </c>
      <c r="C1849" s="1">
        <v>48.305729999999997</v>
      </c>
      <c r="D1849" s="6">
        <f t="shared" si="382"/>
        <v>5.719697412573499E-3</v>
      </c>
      <c r="E1849" s="5">
        <f t="shared" si="381"/>
        <v>3.8333124168254962E-4</v>
      </c>
      <c r="G1849" s="25" t="str">
        <f>IF(VLOOKUP(A1849,Aux!B:C,2,FALSE)=0,"",VLOOKUP(A1849,Aux!B:C,2,FALSE))</f>
        <v/>
      </c>
      <c r="H1849" s="25" t="str">
        <f t="shared" si="370"/>
        <v/>
      </c>
      <c r="L1849" s="13">
        <f t="shared" si="373"/>
        <v>164195.44677873424</v>
      </c>
      <c r="M1849" s="14">
        <f t="shared" si="374"/>
        <v>464.13068554565371</v>
      </c>
      <c r="N1849" s="14">
        <f t="shared" si="375"/>
        <v>31.645393099159936</v>
      </c>
      <c r="O1849" s="1">
        <f t="shared" si="376"/>
        <v>3.1625148919709645</v>
      </c>
      <c r="P1849" s="1">
        <f t="shared" si="377"/>
        <v>1709.6376606786282</v>
      </c>
      <c r="S1849" s="6">
        <f t="shared" si="371"/>
        <v>0.49703053979405942</v>
      </c>
      <c r="T1849" s="6">
        <f t="shared" si="372"/>
        <v>0.50296946020594191</v>
      </c>
      <c r="V1849" s="1">
        <f t="shared" si="378"/>
        <v>167600.41555965712</v>
      </c>
      <c r="W1849" s="7">
        <f t="shared" si="379"/>
        <v>3.0239941372746221E-3</v>
      </c>
      <c r="X1849" s="7">
        <f t="shared" si="380"/>
        <v>2.2698105480727098E-3</v>
      </c>
      <c r="Y1849">
        <f>LN(B1849/B1848)</f>
        <v>5.7034020501625267E-3</v>
      </c>
      <c r="Z1849">
        <f>LN(C1849/C1848)</f>
        <v>3.8325778903265548E-4</v>
      </c>
    </row>
    <row r="1850" spans="1:26" x14ac:dyDescent="0.3">
      <c r="A1850" s="11">
        <v>42906</v>
      </c>
      <c r="B1850" s="12">
        <v>25306.03</v>
      </c>
      <c r="C1850" s="12">
        <v>48.324249999999999</v>
      </c>
      <c r="D1850" s="16">
        <f t="shared" si="382"/>
        <v>-1.935365616423812E-2</v>
      </c>
      <c r="E1850" s="15">
        <f t="shared" si="381"/>
        <v>3.8339136992648903E-4</v>
      </c>
      <c r="G1850" s="25" t="str">
        <f>IF(VLOOKUP(A1850,Aux!B:C,2,FALSE)=0,"",VLOOKUP(A1850,Aux!B:C,2,FALSE))</f>
        <v/>
      </c>
      <c r="H1850" s="25" t="str">
        <f t="shared" si="370"/>
        <v/>
      </c>
      <c r="L1850" s="13">
        <f t="shared" si="373"/>
        <v>162647.65445571297</v>
      </c>
      <c r="M1850" s="14">
        <f t="shared" si="374"/>
        <v>-1579.4548124970597</v>
      </c>
      <c r="N1850" s="14">
        <f t="shared" si="375"/>
        <v>31.662489475772148</v>
      </c>
      <c r="O1850" s="1">
        <f t="shared" si="376"/>
        <v>3.1625148919709645</v>
      </c>
      <c r="P1850" s="1">
        <f t="shared" si="377"/>
        <v>1709.6376606786282</v>
      </c>
      <c r="S1850" s="6">
        <f t="shared" si="371"/>
        <v>0.49204949803598547</v>
      </c>
      <c r="T1850" s="6">
        <f t="shared" si="372"/>
        <v>0.50795050196401581</v>
      </c>
      <c r="V1850" s="1">
        <f t="shared" si="378"/>
        <v>166489.64477268935</v>
      </c>
      <c r="W1850" s="7">
        <f t="shared" si="379"/>
        <v>-9.4712348980848984E-3</v>
      </c>
      <c r="X1850" s="7">
        <f t="shared" si="380"/>
        <v>-6.6495535888255724E-3</v>
      </c>
      <c r="Y1850">
        <f>LN(B1850/B1849)</f>
        <v>-1.9543390188545395E-2</v>
      </c>
      <c r="Z1850">
        <f>LN(C1850/C1849)</f>
        <v>3.8331789423458622E-4</v>
      </c>
    </row>
    <row r="1851" spans="1:26" x14ac:dyDescent="0.3">
      <c r="A1851" s="9">
        <v>42907</v>
      </c>
      <c r="B1851" s="1">
        <v>25275.79</v>
      </c>
      <c r="C1851" s="1">
        <v>48.342770000000002</v>
      </c>
      <c r="D1851" s="6">
        <f t="shared" si="382"/>
        <v>-1.1949721074383524E-3</v>
      </c>
      <c r="E1851" s="5">
        <f t="shared" si="381"/>
        <v>3.8324443731663216E-4</v>
      </c>
      <c r="G1851" s="25" t="str">
        <f>IF(VLOOKUP(A1851,Aux!B:C,2,FALSE)=0,"",VLOOKUP(A1851,Aux!B:C,2,FALSE))</f>
        <v/>
      </c>
      <c r="H1851" s="25" t="str">
        <f t="shared" si="370"/>
        <v/>
      </c>
      <c r="L1851" s="13">
        <f t="shared" si="373"/>
        <v>162583.68249485554</v>
      </c>
      <c r="M1851" s="14">
        <f t="shared" si="374"/>
        <v>-95.634450333195517</v>
      </c>
      <c r="N1851" s="14">
        <f t="shared" si="375"/>
        <v>31.662489475772148</v>
      </c>
      <c r="O1851" s="1">
        <f t="shared" si="376"/>
        <v>3.1625148919709645</v>
      </c>
      <c r="P1851" s="1">
        <f t="shared" si="377"/>
        <v>1709.6376606786282</v>
      </c>
      <c r="S1851" s="6">
        <f t="shared" si="371"/>
        <v>0.49165488845327443</v>
      </c>
      <c r="T1851" s="6">
        <f t="shared" si="372"/>
        <v>0.5083451115467269</v>
      </c>
      <c r="V1851" s="1">
        <f t="shared" si="378"/>
        <v>166461.31172807561</v>
      </c>
      <c r="W1851" s="7">
        <f t="shared" si="379"/>
        <v>-3.9339359043476485E-4</v>
      </c>
      <c r="X1851" s="7">
        <f t="shared" si="380"/>
        <v>-1.7019350224976363E-4</v>
      </c>
      <c r="Y1851">
        <f>LN(B1851/B1850)</f>
        <v>-1.1956866559075122E-3</v>
      </c>
      <c r="Z1851">
        <f>LN(C1851/C1850)</f>
        <v>3.831710179250484E-4</v>
      </c>
    </row>
    <row r="1852" spans="1:26" x14ac:dyDescent="0.3">
      <c r="A1852" s="11">
        <v>42908</v>
      </c>
      <c r="B1852" s="12">
        <v>25477.35</v>
      </c>
      <c r="C1852" s="12">
        <v>48.361310000000003</v>
      </c>
      <c r="D1852" s="16">
        <f t="shared" si="382"/>
        <v>7.9744292858896504E-3</v>
      </c>
      <c r="E1852" s="15">
        <f t="shared" si="381"/>
        <v>3.8351132961556011E-4</v>
      </c>
      <c r="G1852" s="25" t="str">
        <f>IF(VLOOKUP(A1852,Aux!B:C,2,FALSE)=0,"",VLOOKUP(A1852,Aux!B:C,2,FALSE))</f>
        <v/>
      </c>
      <c r="H1852" s="25" t="str">
        <f t="shared" si="370"/>
        <v/>
      </c>
      <c r="L1852" s="13">
        <f t="shared" si="373"/>
        <v>163252.81567871021</v>
      </c>
      <c r="M1852" s="14">
        <f t="shared" si="374"/>
        <v>637.43650162566018</v>
      </c>
      <c r="N1852" s="14">
        <f t="shared" si="375"/>
        <v>31.696682228984425</v>
      </c>
      <c r="O1852" s="1">
        <f t="shared" si="376"/>
        <v>3.1625148919709645</v>
      </c>
      <c r="P1852" s="1">
        <f t="shared" si="377"/>
        <v>1709.6376606786282</v>
      </c>
      <c r="S1852" s="6">
        <f t="shared" si="371"/>
        <v>0.49354431314389824</v>
      </c>
      <c r="T1852" s="6">
        <f t="shared" si="372"/>
        <v>0.50645568685610298</v>
      </c>
      <c r="V1852" s="1">
        <f t="shared" si="378"/>
        <v>166967.79413451851</v>
      </c>
      <c r="W1852" s="7">
        <f t="shared" si="379"/>
        <v>4.107177239098825E-3</v>
      </c>
      <c r="X1852" s="7">
        <f t="shared" si="380"/>
        <v>3.0380238982712854E-3</v>
      </c>
      <c r="Y1852">
        <f>LN(B1852/B1851)</f>
        <v>7.9428015554746344E-3</v>
      </c>
      <c r="Z1852">
        <f>LN(C1852/C1851)</f>
        <v>3.8343780794258413E-4</v>
      </c>
    </row>
    <row r="1853" spans="1:26" x14ac:dyDescent="0.3">
      <c r="A1853" s="9">
        <v>42909</v>
      </c>
      <c r="B1853" s="1">
        <v>25412.21</v>
      </c>
      <c r="C1853" s="1">
        <v>48.379840000000002</v>
      </c>
      <c r="D1853" s="6">
        <f t="shared" si="382"/>
        <v>-2.5567808268913694E-3</v>
      </c>
      <c r="E1853" s="5">
        <f t="shared" si="381"/>
        <v>3.8315752819761961E-4</v>
      </c>
      <c r="G1853" s="25" t="str">
        <f>IF(VLOOKUP(A1853,Aux!B:C,2,FALSE)=0,"",VLOOKUP(A1853,Aux!B:C,2,FALSE))</f>
        <v/>
      </c>
      <c r="H1853" s="25" t="str">
        <f t="shared" si="370"/>
        <v/>
      </c>
      <c r="L1853" s="13">
        <f t="shared" si="373"/>
        <v>163078.48904449958</v>
      </c>
      <c r="M1853" s="14">
        <f t="shared" si="374"/>
        <v>-206.00622006298678</v>
      </c>
      <c r="N1853" s="14">
        <f t="shared" si="375"/>
        <v>31.679585852372213</v>
      </c>
      <c r="O1853" s="1">
        <f t="shared" si="376"/>
        <v>3.1625148919709645</v>
      </c>
      <c r="P1853" s="1">
        <f t="shared" si="377"/>
        <v>1709.6376606786282</v>
      </c>
      <c r="S1853" s="6">
        <f t="shared" si="371"/>
        <v>0.49280866553137903</v>
      </c>
      <c r="T1853" s="6">
        <f t="shared" si="372"/>
        <v>0.50719133446862219</v>
      </c>
      <c r="V1853" s="1">
        <f t="shared" si="378"/>
        <v>166858.96794042084</v>
      </c>
      <c r="W1853" s="7">
        <f t="shared" si="379"/>
        <v>-1.0684028670867184E-3</v>
      </c>
      <c r="X1853" s="7">
        <f t="shared" si="380"/>
        <v>-6.519920528621398E-4</v>
      </c>
      <c r="Y1853">
        <f>LN(B1853/B1852)</f>
        <v>-2.5600549730298381E-3</v>
      </c>
      <c r="Z1853">
        <f>LN(C1853/C1852)</f>
        <v>3.8308414209693855E-4</v>
      </c>
    </row>
    <row r="1854" spans="1:26" x14ac:dyDescent="0.3">
      <c r="A1854" s="11">
        <v>42912</v>
      </c>
      <c r="B1854" s="12">
        <v>25847.75</v>
      </c>
      <c r="C1854" s="12">
        <v>48.398389999999999</v>
      </c>
      <c r="D1854" s="16">
        <f t="shared" si="382"/>
        <v>1.713900522622791E-2</v>
      </c>
      <c r="E1854" s="15">
        <f t="shared" si="381"/>
        <v>3.8342417006753671E-4</v>
      </c>
      <c r="G1854" s="25" t="str">
        <f>IF(VLOOKUP(A1854,Aux!B:C,2,FALSE)=0,"",VLOOKUP(A1854,Aux!B:C,2,FALSE))</f>
        <v/>
      </c>
      <c r="H1854" s="25" t="str">
        <f t="shared" si="370"/>
        <v/>
      </c>
      <c r="L1854" s="13">
        <f t="shared" si="373"/>
        <v>164487.60455915422</v>
      </c>
      <c r="M1854" s="14">
        <f t="shared" si="374"/>
        <v>1377.4017360490366</v>
      </c>
      <c r="N1854" s="14">
        <f t="shared" si="375"/>
        <v>31.713778605584491</v>
      </c>
      <c r="O1854" s="1">
        <f t="shared" si="376"/>
        <v>3.1625148919709645</v>
      </c>
      <c r="P1854" s="1">
        <f t="shared" si="377"/>
        <v>1709.6376606786282</v>
      </c>
      <c r="S1854" s="6">
        <f t="shared" si="371"/>
        <v>0.49696081670120723</v>
      </c>
      <c r="T1854" s="6">
        <f t="shared" si="372"/>
        <v>0.50303918329879393</v>
      </c>
      <c r="V1854" s="1">
        <f t="shared" si="378"/>
        <v>167905.27276285255</v>
      </c>
      <c r="W1854" s="7">
        <f t="shared" si="379"/>
        <v>8.6036023525368835E-3</v>
      </c>
      <c r="X1854" s="7">
        <f t="shared" si="380"/>
        <v>6.2510155043946879E-3</v>
      </c>
      <c r="Y1854">
        <f>LN(B1854/B1853)</f>
        <v>1.6993789364714362E-2</v>
      </c>
      <c r="Z1854">
        <f>LN(C1854/C1853)</f>
        <v>3.8335068180462477E-4</v>
      </c>
    </row>
    <row r="1855" spans="1:26" x14ac:dyDescent="0.3">
      <c r="A1855" s="9">
        <v>42913</v>
      </c>
      <c r="B1855" s="1">
        <v>25642.45</v>
      </c>
      <c r="C1855" s="1">
        <v>48.416939999999997</v>
      </c>
      <c r="D1855" s="6">
        <f t="shared" si="382"/>
        <v>-7.9426642551092552E-3</v>
      </c>
      <c r="E1855" s="5">
        <f t="shared" si="381"/>
        <v>3.832772123204542E-4</v>
      </c>
      <c r="G1855" s="25" t="str">
        <f>IF(VLOOKUP(A1855,Aux!B:C,2,FALSE)=0,"",VLOOKUP(A1855,Aux!B:C,2,FALSE))</f>
        <v/>
      </c>
      <c r="H1855" s="25" t="str">
        <f t="shared" si="370"/>
        <v/>
      </c>
      <c r="L1855" s="13">
        <f t="shared" si="373"/>
        <v>163870.05403043819</v>
      </c>
      <c r="M1855" s="14">
        <f t="shared" si="374"/>
        <v>-649.26430732163669</v>
      </c>
      <c r="N1855" s="14">
        <f t="shared" si="375"/>
        <v>31.713778605584491</v>
      </c>
      <c r="O1855" s="1">
        <f t="shared" si="376"/>
        <v>3.1625148919709645</v>
      </c>
      <c r="P1855" s="1">
        <f t="shared" si="377"/>
        <v>1709.6376606786282</v>
      </c>
      <c r="S1855" s="6">
        <f t="shared" si="371"/>
        <v>0.49487156437110758</v>
      </c>
      <c r="T1855" s="6">
        <f t="shared" si="372"/>
        <v>0.50512843562889354</v>
      </c>
      <c r="V1855" s="1">
        <f t="shared" si="378"/>
        <v>167473.13728858109</v>
      </c>
      <c r="W1855" s="7">
        <f t="shared" si="379"/>
        <v>-3.7614548689892629E-3</v>
      </c>
      <c r="X1855" s="7">
        <f t="shared" si="380"/>
        <v>-2.5770037692902535E-3</v>
      </c>
      <c r="Y1855">
        <f>LN(B1855/B1854)</f>
        <v>-7.9743752375816268E-3</v>
      </c>
      <c r="Z1855">
        <f>LN(C1855/C1854)</f>
        <v>3.8320378037230788E-4</v>
      </c>
    </row>
    <row r="1856" spans="1:26" x14ac:dyDescent="0.3">
      <c r="A1856" s="11">
        <v>42914</v>
      </c>
      <c r="B1856" s="12">
        <v>25769.26</v>
      </c>
      <c r="C1856" s="12">
        <v>48.435499999999998</v>
      </c>
      <c r="D1856" s="16">
        <f t="shared" si="382"/>
        <v>4.9453152877356743E-3</v>
      </c>
      <c r="E1856" s="15">
        <f t="shared" si="381"/>
        <v>3.8333690646297214E-4</v>
      </c>
      <c r="G1856" s="25" t="str">
        <f>IF(VLOOKUP(A1856,Aux!B:C,2,FALSE)=0,"",VLOOKUP(A1856,Aux!B:C,2,FALSE))</f>
        <v/>
      </c>
      <c r="H1856" s="25" t="str">
        <f t="shared" si="370"/>
        <v/>
      </c>
      <c r="L1856" s="13">
        <f t="shared" si="373"/>
        <v>164302.82341887121</v>
      </c>
      <c r="M1856" s="14">
        <f t="shared" si="374"/>
        <v>401.03851345083064</v>
      </c>
      <c r="N1856" s="14">
        <f t="shared" si="375"/>
        <v>31.730874982196703</v>
      </c>
      <c r="O1856" s="1">
        <f t="shared" si="376"/>
        <v>3.1625148919709645</v>
      </c>
      <c r="P1856" s="1">
        <f t="shared" si="377"/>
        <v>1709.6376606786282</v>
      </c>
      <c r="S1856" s="6">
        <f t="shared" si="371"/>
        <v>0.49600893526526824</v>
      </c>
      <c r="T1856" s="6">
        <f t="shared" si="372"/>
        <v>0.50399106473473276</v>
      </c>
      <c r="V1856" s="1">
        <f t="shared" si="378"/>
        <v>167807.21357290421</v>
      </c>
      <c r="W1856" s="7">
        <f t="shared" si="379"/>
        <v>2.6374491558449533E-3</v>
      </c>
      <c r="X1856" s="7">
        <f t="shared" si="380"/>
        <v>1.9928182133259658E-3</v>
      </c>
      <c r="Y1856">
        <f>LN(B1856/B1855)</f>
        <v>4.9331273815979544E-3</v>
      </c>
      <c r="Z1856">
        <f>LN(C1856/C1855)</f>
        <v>3.8326345164240675E-4</v>
      </c>
    </row>
    <row r="1857" spans="1:26" x14ac:dyDescent="0.3">
      <c r="A1857" s="9">
        <v>42915</v>
      </c>
      <c r="B1857" s="1">
        <v>25847.49</v>
      </c>
      <c r="C1857" s="1">
        <v>48.454070000000002</v>
      </c>
      <c r="D1857" s="6">
        <f t="shared" si="382"/>
        <v>3.0357876011963825E-3</v>
      </c>
      <c r="E1857" s="5">
        <f t="shared" si="381"/>
        <v>3.8339647572560587E-4</v>
      </c>
      <c r="G1857" s="25" t="str">
        <f>IF(VLOOKUP(A1857,Aux!B:C,2,FALSE)=0,"",VLOOKUP(A1857,Aux!B:C,2,FALSE))</f>
        <v/>
      </c>
      <c r="H1857" s="25" t="str">
        <f t="shared" si="370"/>
        <v/>
      </c>
      <c r="L1857" s="13">
        <f t="shared" si="373"/>
        <v>164581.9749302289</v>
      </c>
      <c r="M1857" s="14">
        <f t="shared" si="374"/>
        <v>247.40353999889868</v>
      </c>
      <c r="N1857" s="14">
        <f t="shared" si="375"/>
        <v>31.747971358808918</v>
      </c>
      <c r="O1857" s="1">
        <f t="shared" si="376"/>
        <v>3.1625148919709645</v>
      </c>
      <c r="P1857" s="1">
        <f t="shared" si="377"/>
        <v>1709.6376606786282</v>
      </c>
      <c r="S1857" s="6">
        <f t="shared" si="371"/>
        <v>0.49667086617306577</v>
      </c>
      <c r="T1857" s="6">
        <f t="shared" si="372"/>
        <v>0.50332913382693534</v>
      </c>
      <c r="V1857" s="1">
        <f t="shared" si="378"/>
        <v>168029.23646921449</v>
      </c>
      <c r="W1857" s="7">
        <f t="shared" si="379"/>
        <v>1.6975644955037643E-3</v>
      </c>
      <c r="X1857" s="7">
        <f t="shared" si="380"/>
        <v>1.3222086442858819E-3</v>
      </c>
      <c r="Y1857">
        <f>LN(B1857/B1856)</f>
        <v>3.0311889027802852E-3</v>
      </c>
      <c r="Z1857">
        <f>LN(C1857/C1856)</f>
        <v>3.8332299807692093E-4</v>
      </c>
    </row>
    <row r="1858" spans="1:26" x14ac:dyDescent="0.3">
      <c r="A1858" s="11">
        <v>42916</v>
      </c>
      <c r="B1858" s="12">
        <v>26130.63</v>
      </c>
      <c r="C1858" s="12">
        <v>48.472639999999998</v>
      </c>
      <c r="D1858" s="16">
        <f t="shared" si="382"/>
        <v>1.0954255132703317E-2</v>
      </c>
      <c r="E1858" s="15">
        <f t="shared" si="381"/>
        <v>3.8324953920265692E-4</v>
      </c>
      <c r="G1858" s="25" t="str">
        <f>IF(VLOOKUP(A1858,Aux!B:C,2,FALSE)=0,"",VLOOKUP(A1858,Aux!B:C,2,FALSE))</f>
        <v/>
      </c>
      <c r="H1858" s="25" t="str">
        <f t="shared" si="370"/>
        <v/>
      </c>
      <c r="L1858" s="13">
        <f t="shared" si="373"/>
        <v>165509.15736810036</v>
      </c>
      <c r="M1858" s="14">
        <f t="shared" si="374"/>
        <v>895.43446651265708</v>
      </c>
      <c r="N1858" s="14">
        <f t="shared" si="375"/>
        <v>31.747971358796768</v>
      </c>
      <c r="O1858" s="1">
        <f t="shared" si="376"/>
        <v>3.1625148919709645</v>
      </c>
      <c r="P1858" s="1">
        <f t="shared" si="377"/>
        <v>1709.6376606786282</v>
      </c>
      <c r="S1858" s="6">
        <f t="shared" si="371"/>
        <v>0.49929869637237778</v>
      </c>
      <c r="T1858" s="6">
        <f t="shared" si="372"/>
        <v>0.50070130362762322</v>
      </c>
      <c r="V1858" s="1">
        <f t="shared" si="378"/>
        <v>168723.99390331487</v>
      </c>
      <c r="W1858" s="7">
        <f t="shared" si="379"/>
        <v>5.617750891013999E-3</v>
      </c>
      <c r="X1858" s="7">
        <f t="shared" si="380"/>
        <v>4.1262168090096365E-3</v>
      </c>
      <c r="Y1858">
        <f>LN(B1858/B1857)</f>
        <v>1.0894691865989846E-2</v>
      </c>
      <c r="Z1858">
        <f>LN(C1858/C1857)</f>
        <v>3.8317611785653979E-4</v>
      </c>
    </row>
    <row r="1859" spans="1:26" x14ac:dyDescent="0.3">
      <c r="A1859" s="9">
        <v>42919</v>
      </c>
      <c r="B1859" s="1">
        <v>26280.43</v>
      </c>
      <c r="C1859" s="1">
        <v>48.4912262</v>
      </c>
      <c r="D1859" s="6">
        <f t="shared" si="382"/>
        <v>5.7327358735705936E-3</v>
      </c>
      <c r="E1859" s="5">
        <f t="shared" si="381"/>
        <v>3.8343692441755728E-4</v>
      </c>
      <c r="G1859" s="25" t="str">
        <f>IF(VLOOKUP(A1859,Aux!B:C,2,FALSE)=0,"",VLOOKUP(A1859,Aux!B:C,2,FALSE))</f>
        <v/>
      </c>
      <c r="H1859" s="25" t="str">
        <f t="shared" ref="H1859:H1922" si="383">IF(ISNUMBER(G1859),1-G1859,"")</f>
        <v/>
      </c>
      <c r="L1859" s="13">
        <f t="shared" si="373"/>
        <v>166014.6777664065</v>
      </c>
      <c r="M1859" s="14">
        <f t="shared" si="374"/>
        <v>473.74473081724818</v>
      </c>
      <c r="N1859" s="14">
        <f t="shared" si="375"/>
        <v>31.775667488907583</v>
      </c>
      <c r="O1859" s="1">
        <f t="shared" si="376"/>
        <v>3.1625148919709645</v>
      </c>
      <c r="P1859" s="1">
        <f t="shared" si="377"/>
        <v>1709.6376606786282</v>
      </c>
      <c r="S1859" s="6">
        <f t="shared" ref="S1859:S1922" si="384">O1859*B1859/L1859</f>
        <v>0.5006319462869715</v>
      </c>
      <c r="T1859" s="6">
        <f t="shared" ref="T1859:T1922" si="385">P1859*C1859/L1859</f>
        <v>0.49936805371302978</v>
      </c>
      <c r="V1859" s="1">
        <f t="shared" si="378"/>
        <v>169111.16753470298</v>
      </c>
      <c r="W1859" s="7">
        <f t="shared" si="379"/>
        <v>3.0496799115656901E-3</v>
      </c>
      <c r="X1859" s="7">
        <f t="shared" si="380"/>
        <v>2.2920870595393573E-3</v>
      </c>
      <c r="Y1859">
        <f>LN(B1859/B1858)</f>
        <v>5.7163662751986378E-3</v>
      </c>
      <c r="Z1859">
        <f>LN(C1859/C1858)</f>
        <v>3.8336343126611235E-4</v>
      </c>
    </row>
    <row r="1860" spans="1:26" x14ac:dyDescent="0.3">
      <c r="A1860" s="11">
        <v>42920</v>
      </c>
      <c r="B1860" s="12">
        <v>26266.43</v>
      </c>
      <c r="C1860" s="12">
        <v>48.509815199999998</v>
      </c>
      <c r="D1860" s="16">
        <f t="shared" si="382"/>
        <v>-5.3271578889690918E-4</v>
      </c>
      <c r="E1860" s="15">
        <f t="shared" si="381"/>
        <v>3.833476992998186E-4</v>
      </c>
      <c r="G1860" s="25" t="str">
        <f>IF(VLOOKUP(A1860,Aux!B:C,2,FALSE)=0,"",VLOOKUP(A1860,Aux!B:C,2,FALSE))</f>
        <v/>
      </c>
      <c r="H1860" s="25" t="str">
        <f t="shared" si="383"/>
        <v/>
      </c>
      <c r="L1860" s="13">
        <f t="shared" ref="L1860:L1923" si="386">L1859+M1860+N1860</f>
        <v>166002.18301239327</v>
      </c>
      <c r="M1860" s="14">
        <f t="shared" ref="M1860:M1923" si="387">O1859*(B1860-B1859)</f>
        <v>-44.275208487593503</v>
      </c>
      <c r="N1860" s="14">
        <f t="shared" ref="N1860:N1923" si="388">P1859*(C1860-C1859)</f>
        <v>31.780454474352684</v>
      </c>
      <c r="O1860" s="1">
        <f t="shared" ref="O1860:O1923" si="389">IF(ISNUMBER(G1860),L1860*G1860/B1860,O1859)</f>
        <v>3.1625148919709645</v>
      </c>
      <c r="P1860" s="1">
        <f t="shared" ref="P1860:P1923" si="390">IF(ISNUMBER(H1860),L1860*H1860/C1860,P1859)</f>
        <v>1709.6376606786282</v>
      </c>
      <c r="S1860" s="6">
        <f t="shared" si="384"/>
        <v>0.50040291354307831</v>
      </c>
      <c r="T1860" s="6">
        <f t="shared" si="385"/>
        <v>0.4995970864569228</v>
      </c>
      <c r="V1860" s="1">
        <f t="shared" ref="V1860:V1923" si="391">$O$2*B1860+$P$2*C1860</f>
        <v>169120.45510030733</v>
      </c>
      <c r="W1860" s="7">
        <f t="shared" ref="W1860:W1923" si="392">LN(L1860/L1859)</f>
        <v>-7.5265780116191052E-5</v>
      </c>
      <c r="X1860" s="7">
        <f t="shared" ref="X1860:X1923" si="393">LN(V1860/V1859)</f>
        <v>5.4918375368526618E-5</v>
      </c>
      <c r="Y1860">
        <f>LN(B1860/B1859)</f>
        <v>-5.3285773236536895E-4</v>
      </c>
      <c r="Z1860">
        <f>LN(C1860/C1859)</f>
        <v>3.832742403434877E-4</v>
      </c>
    </row>
    <row r="1861" spans="1:26" x14ac:dyDescent="0.3">
      <c r="A1861" s="9">
        <v>42921</v>
      </c>
      <c r="B1861" s="1">
        <v>26243.29</v>
      </c>
      <c r="C1861" s="1">
        <v>48.5284081</v>
      </c>
      <c r="D1861" s="6">
        <f t="shared" si="382"/>
        <v>-8.8097240470053073E-4</v>
      </c>
      <c r="E1861" s="5">
        <f t="shared" ref="E1861:E1924" si="394">C1861/C1860-1</f>
        <v>3.8328119625585799E-4</v>
      </c>
      <c r="G1861" s="25" t="str">
        <f>IF(VLOOKUP(A1861,Aux!B:C,2,FALSE)=0,"",VLOOKUP(A1861,Aux!B:C,2,FALSE))</f>
        <v/>
      </c>
      <c r="H1861" s="25" t="str">
        <f t="shared" si="383"/>
        <v/>
      </c>
      <c r="L1861" s="13">
        <f t="shared" si="386"/>
        <v>165960.7895398543</v>
      </c>
      <c r="M1861" s="14">
        <f t="shared" si="387"/>
        <v>-73.180594600206277</v>
      </c>
      <c r="N1861" s="14">
        <f t="shared" si="388"/>
        <v>31.787122061234363</v>
      </c>
      <c r="O1861" s="1">
        <f t="shared" si="389"/>
        <v>3.1625148919709645</v>
      </c>
      <c r="P1861" s="1">
        <f t="shared" si="390"/>
        <v>1709.6376606786282</v>
      </c>
      <c r="S1861" s="6">
        <f t="shared" si="384"/>
        <v>0.50008677151648573</v>
      </c>
      <c r="T1861" s="6">
        <f t="shared" si="385"/>
        <v>0.49991322848351538</v>
      </c>
      <c r="V1861" s="1">
        <f t="shared" si="391"/>
        <v>169108.66509100937</v>
      </c>
      <c r="W1861" s="7">
        <f t="shared" si="392"/>
        <v>-2.4938608324454444E-4</v>
      </c>
      <c r="X1861" s="7">
        <f t="shared" si="393"/>
        <v>-6.971611016857303E-5</v>
      </c>
      <c r="Y1861">
        <f>LN(B1861/B1860)</f>
        <v>-8.8136068895134246E-4</v>
      </c>
      <c r="Z1861">
        <f>LN(C1861/C1860)</f>
        <v>3.8320776278133711E-4</v>
      </c>
    </row>
    <row r="1862" spans="1:26" x14ac:dyDescent="0.3">
      <c r="A1862" s="11">
        <v>42922</v>
      </c>
      <c r="B1862" s="12">
        <v>25981.360000000001</v>
      </c>
      <c r="C1862" s="12">
        <v>48.547012299999999</v>
      </c>
      <c r="D1862" s="16">
        <f t="shared" si="382"/>
        <v>-9.9808370063356744E-3</v>
      </c>
      <c r="E1862" s="15">
        <f t="shared" si="394"/>
        <v>3.833672013651146E-4</v>
      </c>
      <c r="G1862" s="25" t="str">
        <f>IF(VLOOKUP(A1862,Aux!B:C,2,FALSE)=0,"",VLOOKUP(A1862,Aux!B:C,2,FALSE))</f>
        <v/>
      </c>
      <c r="H1862" s="25" t="str">
        <f t="shared" si="383"/>
        <v/>
      </c>
      <c r="L1862" s="13">
        <f t="shared" si="386"/>
        <v>165164.23845516713</v>
      </c>
      <c r="M1862" s="14">
        <f t="shared" si="387"/>
        <v>-828.35752565395569</v>
      </c>
      <c r="N1862" s="14">
        <f t="shared" si="388"/>
        <v>31.806440966794987</v>
      </c>
      <c r="O1862" s="1">
        <f t="shared" si="389"/>
        <v>3.1625148919709645</v>
      </c>
      <c r="P1862" s="1">
        <f t="shared" si="390"/>
        <v>1709.6376606786282</v>
      </c>
      <c r="S1862" s="6">
        <f t="shared" si="384"/>
        <v>0.49748322446909315</v>
      </c>
      <c r="T1862" s="6">
        <f t="shared" si="385"/>
        <v>0.50251677553090812</v>
      </c>
      <c r="V1862" s="1">
        <f t="shared" si="391"/>
        <v>168546.00347838932</v>
      </c>
      <c r="W1862" s="7">
        <f t="shared" si="392"/>
        <v>-4.8111894532800407E-3</v>
      </c>
      <c r="X1862" s="7">
        <f t="shared" si="393"/>
        <v>-3.3327667928287831E-3</v>
      </c>
      <c r="Y1862">
        <f>LN(B1862/B1861)</f>
        <v>-1.0030979481580323E-2</v>
      </c>
      <c r="Z1862">
        <f>LN(C1862/C1861)</f>
        <v>3.8329373493538663E-4</v>
      </c>
    </row>
    <row r="1863" spans="1:26" x14ac:dyDescent="0.3">
      <c r="A1863" s="9">
        <v>42923</v>
      </c>
      <c r="B1863" s="1">
        <v>25925.56</v>
      </c>
      <c r="C1863" s="1">
        <v>48.5656204</v>
      </c>
      <c r="D1863" s="6">
        <f t="shared" si="382"/>
        <v>-2.1476935772415384E-3</v>
      </c>
      <c r="E1863" s="5">
        <f t="shared" si="394"/>
        <v>3.8330062177682755E-4</v>
      </c>
      <c r="G1863" s="25" t="str">
        <f>IF(VLOOKUP(A1863,Aux!B:C,2,FALSE)=0,"",VLOOKUP(A1863,Aux!B:C,2,FALSE))</f>
        <v/>
      </c>
      <c r="H1863" s="25" t="str">
        <f t="shared" si="383"/>
        <v/>
      </c>
      <c r="L1863" s="13">
        <f t="shared" si="386"/>
        <v>165019.58323274882</v>
      </c>
      <c r="M1863" s="14">
        <f t="shared" si="387"/>
        <v>-176.46833097197751</v>
      </c>
      <c r="N1863" s="14">
        <f t="shared" si="388"/>
        <v>31.813108553676667</v>
      </c>
      <c r="O1863" s="1">
        <f t="shared" si="389"/>
        <v>3.1625148919709645</v>
      </c>
      <c r="P1863" s="1">
        <f t="shared" si="390"/>
        <v>1709.6376606786282</v>
      </c>
      <c r="S1863" s="6">
        <f t="shared" si="384"/>
        <v>0.49684993730135368</v>
      </c>
      <c r="T1863" s="6">
        <f t="shared" si="385"/>
        <v>0.50315006269864759</v>
      </c>
      <c r="V1863" s="1">
        <f t="shared" si="391"/>
        <v>168458.89971105187</v>
      </c>
      <c r="W1863" s="7">
        <f t="shared" si="392"/>
        <v>-8.7621029360967519E-4</v>
      </c>
      <c r="X1863" s="7">
        <f t="shared" si="393"/>
        <v>-5.1692879511670625E-4</v>
      </c>
      <c r="Y1863">
        <f>LN(B1863/B1862)</f>
        <v>-2.1500031785622077E-3</v>
      </c>
      <c r="Z1863">
        <f>LN(C1863/C1862)</f>
        <v>3.8322718085953382E-4</v>
      </c>
    </row>
    <row r="1864" spans="1:26" x14ac:dyDescent="0.3">
      <c r="A1864" s="11">
        <v>42926</v>
      </c>
      <c r="B1864" s="12">
        <v>26208.25</v>
      </c>
      <c r="C1864" s="12">
        <v>48.584240000000001</v>
      </c>
      <c r="D1864" s="16">
        <f t="shared" si="382"/>
        <v>1.0903911043772974E-2</v>
      </c>
      <c r="E1864" s="15">
        <f t="shared" si="394"/>
        <v>3.833905517245384E-4</v>
      </c>
      <c r="G1864" s="25" t="str">
        <f>IF(VLOOKUP(A1864,Aux!B:C,2,FALSE)=0,"",VLOOKUP(A1864,Aux!B:C,2,FALSE))</f>
        <v/>
      </c>
      <c r="H1864" s="25" t="str">
        <f t="shared" si="383"/>
        <v/>
      </c>
      <c r="L1864" s="13">
        <f t="shared" si="386"/>
        <v>165945.42733694686</v>
      </c>
      <c r="M1864" s="14">
        <f t="shared" si="387"/>
        <v>894.01133481126783</v>
      </c>
      <c r="N1864" s="14">
        <f t="shared" si="388"/>
        <v>31.832769386773425</v>
      </c>
      <c r="O1864" s="1">
        <f t="shared" si="389"/>
        <v>3.1625148919709645</v>
      </c>
      <c r="P1864" s="1">
        <f t="shared" si="390"/>
        <v>1709.6376606786282</v>
      </c>
      <c r="S1864" s="6">
        <f t="shared" si="384"/>
        <v>0.4994652895689905</v>
      </c>
      <c r="T1864" s="6">
        <f t="shared" si="385"/>
        <v>0.50053471043101083</v>
      </c>
      <c r="V1864" s="1">
        <f t="shared" si="391"/>
        <v>169152.72994118129</v>
      </c>
      <c r="W1864" s="7">
        <f t="shared" si="392"/>
        <v>5.5948302068372724E-3</v>
      </c>
      <c r="X1864" s="7">
        <f t="shared" si="393"/>
        <v>4.1102328592293102E-3</v>
      </c>
      <c r="Y1864">
        <f>LN(B1864/B1863)</f>
        <v>1.0844892043447444E-2</v>
      </c>
      <c r="Z1864">
        <f>LN(C1864/C1863)</f>
        <v>3.8331707634620658E-4</v>
      </c>
    </row>
    <row r="1865" spans="1:26" x14ac:dyDescent="0.3">
      <c r="A1865" s="9">
        <v>42927</v>
      </c>
      <c r="B1865" s="1">
        <v>26521.59</v>
      </c>
      <c r="C1865" s="1">
        <v>48.602863300000003</v>
      </c>
      <c r="D1865" s="6">
        <f t="shared" si="382"/>
        <v>1.1955777283870539E-2</v>
      </c>
      <c r="E1865" s="5">
        <f t="shared" si="394"/>
        <v>3.8331977612493517E-4</v>
      </c>
      <c r="G1865" s="25" t="str">
        <f>IF(VLOOKUP(A1865,Aux!B:C,2,FALSE)=0,"",VLOOKUP(A1865,Aux!B:C,2,FALSE))</f>
        <v/>
      </c>
      <c r="H1865" s="25" t="str">
        <f t="shared" si="383"/>
        <v/>
      </c>
      <c r="L1865" s="13">
        <f t="shared" si="386"/>
        <v>166968.20884824317</v>
      </c>
      <c r="M1865" s="14">
        <f t="shared" si="387"/>
        <v>990.94241625018242</v>
      </c>
      <c r="N1865" s="14">
        <f t="shared" si="388"/>
        <v>31.83909504611897</v>
      </c>
      <c r="O1865" s="1">
        <f t="shared" si="389"/>
        <v>3.1625148919709645</v>
      </c>
      <c r="P1865" s="1">
        <f t="shared" si="390"/>
        <v>1709.6376606786282</v>
      </c>
      <c r="S1865" s="6">
        <f t="shared" si="384"/>
        <v>0.50234067857781139</v>
      </c>
      <c r="T1865" s="6">
        <f t="shared" si="385"/>
        <v>0.49765932142218977</v>
      </c>
      <c r="V1865" s="1">
        <f t="shared" si="391"/>
        <v>169917.27907084354</v>
      </c>
      <c r="W1865" s="7">
        <f t="shared" si="392"/>
        <v>6.1444447927849798E-3</v>
      </c>
      <c r="X1865" s="7">
        <f t="shared" si="393"/>
        <v>4.5096906543218842E-3</v>
      </c>
      <c r="Y1865">
        <f>LN(B1865/B1864)</f>
        <v>1.1884871574377391E-2</v>
      </c>
      <c r="Z1865">
        <f>LN(C1865/C1864)</f>
        <v>3.832463278683977E-4</v>
      </c>
    </row>
    <row r="1866" spans="1:26" x14ac:dyDescent="0.3">
      <c r="A1866" s="11">
        <v>42928</v>
      </c>
      <c r="B1866" s="12">
        <v>26943.63</v>
      </c>
      <c r="C1866" s="12">
        <v>48.621494300000002</v>
      </c>
      <c r="D1866" s="16">
        <f t="shared" si="382"/>
        <v>1.5913073084984797E-2</v>
      </c>
      <c r="E1866" s="15">
        <f t="shared" si="394"/>
        <v>3.8333132525547597E-4</v>
      </c>
      <c r="G1866" s="25" t="str">
        <f>IF(VLOOKUP(A1866,Aux!B:C,2,FALSE)=0,"",VLOOKUP(A1866,Aux!B:C,2,FALSE))</f>
        <v/>
      </c>
      <c r="H1866" s="25" t="str">
        <f t="shared" si="383"/>
        <v/>
      </c>
      <c r="L1866" s="13">
        <f t="shared" si="386"/>
        <v>168334.76889250669</v>
      </c>
      <c r="M1866" s="14">
        <f t="shared" si="387"/>
        <v>1334.7077850074286</v>
      </c>
      <c r="N1866" s="14">
        <f t="shared" si="388"/>
        <v>31.852259256102112</v>
      </c>
      <c r="O1866" s="1">
        <f t="shared" si="389"/>
        <v>3.1625148919709645</v>
      </c>
      <c r="P1866" s="1">
        <f t="shared" si="390"/>
        <v>1709.6376606786282</v>
      </c>
      <c r="S1866" s="6">
        <f t="shared" si="384"/>
        <v>0.50619151158943188</v>
      </c>
      <c r="T1866" s="6">
        <f t="shared" si="385"/>
        <v>0.49380848841056929</v>
      </c>
      <c r="V1866" s="1">
        <f t="shared" si="391"/>
        <v>170932.62012877211</v>
      </c>
      <c r="W1866" s="7">
        <f t="shared" si="392"/>
        <v>8.1512405285538835E-3</v>
      </c>
      <c r="X1866" s="7">
        <f t="shared" si="393"/>
        <v>5.9577195918580393E-3</v>
      </c>
      <c r="Y1866">
        <f>LN(B1866/B1865)</f>
        <v>1.5787787508777094E-2</v>
      </c>
      <c r="Z1866">
        <f>LN(C1866/C1865)</f>
        <v>3.8325787257355803E-4</v>
      </c>
    </row>
    <row r="1867" spans="1:26" x14ac:dyDescent="0.3">
      <c r="A1867" s="9">
        <v>42929</v>
      </c>
      <c r="B1867" s="1">
        <v>27099.97</v>
      </c>
      <c r="C1867" s="1">
        <v>48.640132899999998</v>
      </c>
      <c r="D1867" s="6">
        <f t="shared" si="382"/>
        <v>5.8024846689179732E-3</v>
      </c>
      <c r="E1867" s="5">
        <f t="shared" si="394"/>
        <v>3.83340748126626E-4</v>
      </c>
      <c r="G1867" s="25" t="str">
        <f>IF(VLOOKUP(A1867,Aux!B:C,2,FALSE)=0,"",VLOOKUP(A1867,Aux!B:C,2,FALSE))</f>
        <v/>
      </c>
      <c r="H1867" s="25" t="str">
        <f t="shared" si="383"/>
        <v/>
      </c>
      <c r="L1867" s="13">
        <f t="shared" si="386"/>
        <v>168861.06172321975</v>
      </c>
      <c r="M1867" s="14">
        <f t="shared" si="387"/>
        <v>494.42757821074105</v>
      </c>
      <c r="N1867" s="14">
        <f t="shared" si="388"/>
        <v>31.86525250231719</v>
      </c>
      <c r="O1867" s="1">
        <f t="shared" si="389"/>
        <v>3.1625148919709645</v>
      </c>
      <c r="P1867" s="1">
        <f t="shared" si="390"/>
        <v>1709.6376606786282</v>
      </c>
      <c r="S1867" s="6">
        <f t="shared" si="384"/>
        <v>0.50754186798519574</v>
      </c>
      <c r="T1867" s="6">
        <f t="shared" si="385"/>
        <v>0.49245813201480548</v>
      </c>
      <c r="V1867" s="1">
        <f t="shared" si="391"/>
        <v>171334.99899467159</v>
      </c>
      <c r="W1867" s="7">
        <f t="shared" si="392"/>
        <v>3.1215881709773957E-3</v>
      </c>
      <c r="X1867" s="7">
        <f t="shared" si="393"/>
        <v>2.3512539825167825E-3</v>
      </c>
      <c r="Y1867">
        <f>LN(B1867/B1866)</f>
        <v>5.7857150936165645E-3</v>
      </c>
      <c r="Z1867">
        <f>LN(C1867/C1866)</f>
        <v>3.8326729183396608E-4</v>
      </c>
    </row>
    <row r="1868" spans="1:26" x14ac:dyDescent="0.3">
      <c r="A1868" s="11">
        <v>42930</v>
      </c>
      <c r="B1868" s="12">
        <v>27207.83</v>
      </c>
      <c r="C1868" s="12">
        <v>48.658779099999997</v>
      </c>
      <c r="D1868" s="16">
        <f t="shared" si="382"/>
        <v>3.9800782067287432E-3</v>
      </c>
      <c r="E1868" s="15">
        <f t="shared" si="394"/>
        <v>3.8335010388101942E-4</v>
      </c>
      <c r="G1868" s="25" t="str">
        <f>IF(VLOOKUP(A1868,Aux!B:C,2,FALSE)=0,"",VLOOKUP(A1868,Aux!B:C,2,FALSE))</f>
        <v/>
      </c>
      <c r="H1868" s="25" t="str">
        <f t="shared" si="383"/>
        <v/>
      </c>
      <c r="L1868" s="13">
        <f t="shared" si="386"/>
        <v>169234.0488252163</v>
      </c>
      <c r="M1868" s="14">
        <f t="shared" si="387"/>
        <v>341.10885624799005</v>
      </c>
      <c r="N1868" s="14">
        <f t="shared" si="388"/>
        <v>31.878245748544416</v>
      </c>
      <c r="O1868" s="1">
        <f t="shared" si="389"/>
        <v>3.1625148919709645</v>
      </c>
      <c r="P1868" s="1">
        <f t="shared" si="390"/>
        <v>1709.6376606786282</v>
      </c>
      <c r="S1868" s="6">
        <f t="shared" si="384"/>
        <v>0.50843886410873018</v>
      </c>
      <c r="T1868" s="6">
        <f t="shared" si="385"/>
        <v>0.49156113589127087</v>
      </c>
      <c r="V1868" s="1">
        <f t="shared" si="391"/>
        <v>171625.54980693836</v>
      </c>
      <c r="W1868" s="7">
        <f t="shared" si="392"/>
        <v>2.2064043026635972E-3</v>
      </c>
      <c r="X1868" s="7">
        <f t="shared" si="393"/>
        <v>1.6943691208424786E-3</v>
      </c>
      <c r="Y1868">
        <f>LN(B1868/B1867)</f>
        <v>3.9721786490970129E-3</v>
      </c>
      <c r="Z1868">
        <f>LN(C1868/C1867)</f>
        <v>3.8327664400324818E-4</v>
      </c>
    </row>
    <row r="1869" spans="1:26" x14ac:dyDescent="0.3">
      <c r="A1869" s="9">
        <v>42933</v>
      </c>
      <c r="B1869" s="1">
        <v>27124.959999999999</v>
      </c>
      <c r="C1869" s="1">
        <v>48.677433000000001</v>
      </c>
      <c r="D1869" s="6">
        <f t="shared" si="382"/>
        <v>-3.0458143850502495E-3</v>
      </c>
      <c r="E1869" s="5">
        <f t="shared" si="394"/>
        <v>3.8336144771866643E-4</v>
      </c>
      <c r="G1869" s="25" t="str">
        <f>IF(VLOOKUP(A1869,Aux!B:C,2,FALSE)=0,"",VLOOKUP(A1869,Aux!B:C,2,FALSE))</f>
        <v/>
      </c>
      <c r="H1869" s="25" t="str">
        <f t="shared" si="383"/>
        <v/>
      </c>
      <c r="L1869" s="13">
        <f t="shared" si="386"/>
        <v>169003.8626260772</v>
      </c>
      <c r="M1869" s="14">
        <f t="shared" si="387"/>
        <v>-262.0776090976421</v>
      </c>
      <c r="N1869" s="14">
        <f t="shared" si="388"/>
        <v>31.891409958539708</v>
      </c>
      <c r="O1869" s="1">
        <f t="shared" si="389"/>
        <v>3.1625148919709645</v>
      </c>
      <c r="P1869" s="1">
        <f t="shared" si="390"/>
        <v>1709.6376606786282</v>
      </c>
      <c r="S1869" s="6">
        <f t="shared" si="384"/>
        <v>0.50758064704066974</v>
      </c>
      <c r="T1869" s="6">
        <f t="shared" si="385"/>
        <v>0.49241935295933137</v>
      </c>
      <c r="V1869" s="1">
        <f t="shared" si="391"/>
        <v>171476.09706335398</v>
      </c>
      <c r="W1869" s="7">
        <f t="shared" si="392"/>
        <v>-1.3610906813356677E-3</v>
      </c>
      <c r="X1869" s="7">
        <f t="shared" si="393"/>
        <v>-8.7118645101311458E-4</v>
      </c>
      <c r="Y1869">
        <f>LN(B1869/B1868)</f>
        <v>-3.0504623179109058E-3</v>
      </c>
      <c r="Z1869">
        <f>LN(C1869/C1868)</f>
        <v>3.8328798349383596E-4</v>
      </c>
    </row>
    <row r="1870" spans="1:26" x14ac:dyDescent="0.3">
      <c r="A1870" s="11">
        <v>42934</v>
      </c>
      <c r="B1870" s="12">
        <v>27174.43</v>
      </c>
      <c r="C1870" s="12">
        <v>48.696090699999999</v>
      </c>
      <c r="D1870" s="16">
        <f t="shared" si="382"/>
        <v>1.8237814912906991E-3</v>
      </c>
      <c r="E1870" s="15">
        <f t="shared" si="394"/>
        <v>3.8329260296032786E-4</v>
      </c>
      <c r="G1870" s="25" t="str">
        <f>IF(VLOOKUP(A1870,Aux!B:C,2,FALSE)=0,"",VLOOKUP(A1870,Aux!B:C,2,FALSE))</f>
        <v/>
      </c>
      <c r="H1870" s="25" t="str">
        <f t="shared" si="383"/>
        <v/>
      </c>
      <c r="L1870" s="13">
        <f t="shared" si="386"/>
        <v>169192.21014436465</v>
      </c>
      <c r="M1870" s="14">
        <f t="shared" si="387"/>
        <v>156.44961170580729</v>
      </c>
      <c r="N1870" s="14">
        <f t="shared" si="388"/>
        <v>31.897906581641173</v>
      </c>
      <c r="O1870" s="1">
        <f t="shared" si="389"/>
        <v>3.1625148919709645</v>
      </c>
      <c r="P1870" s="1">
        <f t="shared" si="390"/>
        <v>1709.6376606786282</v>
      </c>
      <c r="S1870" s="6">
        <f t="shared" si="384"/>
        <v>0.50794028568155658</v>
      </c>
      <c r="T1870" s="6">
        <f t="shared" si="385"/>
        <v>0.49205971431844453</v>
      </c>
      <c r="V1870" s="1">
        <f t="shared" si="391"/>
        <v>171631.9658301509</v>
      </c>
      <c r="W1870" s="7">
        <f t="shared" si="392"/>
        <v>1.1138363388848189E-3</v>
      </c>
      <c r="X1870" s="7">
        <f t="shared" si="393"/>
        <v>9.0856959877236678E-4</v>
      </c>
      <c r="Y1870">
        <f>LN(B1870/B1869)</f>
        <v>1.8221204211393966E-3</v>
      </c>
      <c r="Z1870">
        <f>LN(C1870/C1869)</f>
        <v>3.8321916511544168E-4</v>
      </c>
    </row>
    <row r="1871" spans="1:26" x14ac:dyDescent="0.3">
      <c r="A1871" s="9">
        <v>42935</v>
      </c>
      <c r="B1871" s="1">
        <v>27103.23</v>
      </c>
      <c r="C1871" s="1">
        <v>48.714759800000003</v>
      </c>
      <c r="D1871" s="6">
        <f t="shared" si="382"/>
        <v>-2.620110155024391E-3</v>
      </c>
      <c r="E1871" s="5">
        <f t="shared" si="394"/>
        <v>3.8337985106484673E-4</v>
      </c>
      <c r="G1871" s="25" t="str">
        <f>IF(VLOOKUP(A1871,Aux!B:C,2,FALSE)=0,"",VLOOKUP(A1871,Aux!B:C,2,FALSE))</f>
        <v/>
      </c>
      <c r="H1871" s="25" t="str">
        <f t="shared" si="383"/>
        <v/>
      </c>
      <c r="L1871" s="13">
        <f t="shared" si="386"/>
        <v>168998.95648050727</v>
      </c>
      <c r="M1871" s="14">
        <f t="shared" si="387"/>
        <v>-225.17106030833497</v>
      </c>
      <c r="N1871" s="14">
        <f t="shared" si="388"/>
        <v>31.917396450982011</v>
      </c>
      <c r="O1871" s="1">
        <f t="shared" si="389"/>
        <v>3.1625148919709645</v>
      </c>
      <c r="P1871" s="1">
        <f t="shared" si="390"/>
        <v>1709.6376606786282</v>
      </c>
      <c r="S1871" s="6">
        <f t="shared" si="384"/>
        <v>0.50718874412340353</v>
      </c>
      <c r="T1871" s="6">
        <f t="shared" si="385"/>
        <v>0.4928112558765978</v>
      </c>
      <c r="V1871" s="1">
        <f t="shared" si="391"/>
        <v>171509.47018919874</v>
      </c>
      <c r="W1871" s="7">
        <f t="shared" si="392"/>
        <v>-1.1428665439183303E-3</v>
      </c>
      <c r="X1871" s="7">
        <f t="shared" si="393"/>
        <v>-7.1396592365342273E-4</v>
      </c>
      <c r="Y1871">
        <f>LN(B1871/B1870)</f>
        <v>-2.6235486511088633E-3</v>
      </c>
      <c r="Z1871">
        <f>LN(C1871/C1870)</f>
        <v>3.8330637978741726E-4</v>
      </c>
    </row>
    <row r="1872" spans="1:26" x14ac:dyDescent="0.3">
      <c r="A1872" s="11">
        <v>42936</v>
      </c>
      <c r="B1872" s="12">
        <v>27024.98</v>
      </c>
      <c r="C1872" s="12">
        <v>48.733432800000003</v>
      </c>
      <c r="D1872" s="16">
        <f t="shared" si="382"/>
        <v>-2.8871097651460564E-3</v>
      </c>
      <c r="E1872" s="15">
        <f t="shared" si="394"/>
        <v>3.8331298515403844E-4</v>
      </c>
      <c r="G1872" s="25" t="str">
        <f>IF(VLOOKUP(A1872,Aux!B:C,2,FALSE)=0,"",VLOOKUP(A1872,Aux!B:C,2,FALSE))</f>
        <v/>
      </c>
      <c r="H1872" s="25" t="str">
        <f t="shared" si="383"/>
        <v/>
      </c>
      <c r="L1872" s="13">
        <f t="shared" si="386"/>
        <v>168783.41375424841</v>
      </c>
      <c r="M1872" s="14">
        <f t="shared" si="387"/>
        <v>-247.46679029672796</v>
      </c>
      <c r="N1872" s="14">
        <f t="shared" si="388"/>
        <v>31.92406403785154</v>
      </c>
      <c r="O1872" s="1">
        <f t="shared" si="389"/>
        <v>3.1625148919709645</v>
      </c>
      <c r="P1872" s="1">
        <f t="shared" si="390"/>
        <v>1709.6376606786282</v>
      </c>
      <c r="S1872" s="6">
        <f t="shared" si="384"/>
        <v>0.50637026354768944</v>
      </c>
      <c r="T1872" s="6">
        <f t="shared" si="385"/>
        <v>0.49362973645231178</v>
      </c>
      <c r="V1872" s="1">
        <f t="shared" si="391"/>
        <v>171370.71867645282</v>
      </c>
      <c r="W1872" s="7">
        <f t="shared" si="392"/>
        <v>-1.2762226481174664E-3</v>
      </c>
      <c r="X1872" s="7">
        <f t="shared" si="393"/>
        <v>-8.0932946740743211E-4</v>
      </c>
      <c r="Y1872">
        <f>LN(B1872/B1871)</f>
        <v>-2.8912855056949438E-3</v>
      </c>
      <c r="Z1872">
        <f>LN(C1872/C1871)</f>
        <v>3.8323953949959388E-4</v>
      </c>
    </row>
    <row r="1873" spans="1:26" x14ac:dyDescent="0.3">
      <c r="A1873" s="9">
        <v>42937</v>
      </c>
      <c r="B1873" s="1">
        <v>26934.400000000001</v>
      </c>
      <c r="C1873" s="1">
        <v>48.752113299999998</v>
      </c>
      <c r="D1873" s="6">
        <f t="shared" si="382"/>
        <v>-3.3517138588076145E-3</v>
      </c>
      <c r="E1873" s="5">
        <f t="shared" si="394"/>
        <v>3.83320011062116E-4</v>
      </c>
      <c r="G1873" s="25" t="str">
        <f>IF(VLOOKUP(A1873,Aux!B:C,2,FALSE)=0,"",VLOOKUP(A1873,Aux!B:C,2,FALSE))</f>
        <v/>
      </c>
      <c r="H1873" s="25" t="str">
        <f t="shared" si="383"/>
        <v/>
      </c>
      <c r="L1873" s="13">
        <f t="shared" si="386"/>
        <v>168528.890041654</v>
      </c>
      <c r="M1873" s="14">
        <f t="shared" si="387"/>
        <v>-286.46059891472396</v>
      </c>
      <c r="N1873" s="14">
        <f t="shared" si="388"/>
        <v>31.936886320298555</v>
      </c>
      <c r="O1873" s="1">
        <f t="shared" si="389"/>
        <v>3.1625148919709645</v>
      </c>
      <c r="P1873" s="1">
        <f t="shared" si="390"/>
        <v>1709.6376606786282</v>
      </c>
      <c r="S1873" s="6">
        <f t="shared" si="384"/>
        <v>0.50543524665266204</v>
      </c>
      <c r="T1873" s="6">
        <f t="shared" si="385"/>
        <v>0.49456475334733907</v>
      </c>
      <c r="V1873" s="1">
        <f t="shared" si="391"/>
        <v>171203.53820089466</v>
      </c>
      <c r="W1873" s="7">
        <f t="shared" si="392"/>
        <v>-1.5091282353828623E-3</v>
      </c>
      <c r="X1873" s="7">
        <f t="shared" si="393"/>
        <v>-9.7602482074237676E-4</v>
      </c>
      <c r="Y1873">
        <f>LN(B1873/B1872)</f>
        <v>-3.3573434343740099E-3</v>
      </c>
      <c r="Z1873">
        <f>LN(C1873/C1872)</f>
        <v>3.8324656271555689E-4</v>
      </c>
    </row>
    <row r="1874" spans="1:26" x14ac:dyDescent="0.3">
      <c r="A1874" s="11">
        <v>42940</v>
      </c>
      <c r="B1874" s="12">
        <v>27095.62</v>
      </c>
      <c r="C1874" s="12">
        <v>48.7708054</v>
      </c>
      <c r="D1874" s="16">
        <f t="shared" si="382"/>
        <v>5.9856540335034847E-3</v>
      </c>
      <c r="E1874" s="15">
        <f t="shared" si="394"/>
        <v>3.8341107153616605E-4</v>
      </c>
      <c r="G1874" s="25" t="str">
        <f>IF(VLOOKUP(A1874,Aux!B:C,2,FALSE)=0,"",VLOOKUP(A1874,Aux!B:C,2,FALSE))</f>
        <v/>
      </c>
      <c r="H1874" s="25" t="str">
        <f t="shared" si="383"/>
        <v/>
      </c>
      <c r="L1874" s="13">
        <f t="shared" si="386"/>
        <v>169070.70741065472</v>
      </c>
      <c r="M1874" s="14">
        <f t="shared" si="387"/>
        <v>509.86065088355105</v>
      </c>
      <c r="N1874" s="14">
        <f t="shared" si="388"/>
        <v>31.956718117175523</v>
      </c>
      <c r="O1874" s="1">
        <f t="shared" si="389"/>
        <v>3.1625148919709645</v>
      </c>
      <c r="P1874" s="1">
        <f t="shared" si="390"/>
        <v>1709.6376606786282</v>
      </c>
      <c r="S1874" s="6">
        <f t="shared" si="384"/>
        <v>0.50683115407480783</v>
      </c>
      <c r="T1874" s="6">
        <f t="shared" si="385"/>
        <v>0.49316884592519328</v>
      </c>
      <c r="V1874" s="1">
        <f t="shared" si="391"/>
        <v>171617.29508408418</v>
      </c>
      <c r="W1874" s="7">
        <f t="shared" si="392"/>
        <v>3.2098251199574553E-3</v>
      </c>
      <c r="X1874" s="7">
        <f t="shared" si="393"/>
        <v>2.4138386230791679E-3</v>
      </c>
      <c r="Y1874">
        <f>LN(B1874/B1873)</f>
        <v>5.9678111717948517E-3</v>
      </c>
      <c r="Z1874">
        <f>LN(C1874/C1873)</f>
        <v>3.8333758829353697E-4</v>
      </c>
    </row>
    <row r="1875" spans="1:26" x14ac:dyDescent="0.3">
      <c r="A1875" s="9">
        <v>42941</v>
      </c>
      <c r="B1875" s="1">
        <v>27317.07</v>
      </c>
      <c r="C1875" s="1">
        <v>48.789501199999997</v>
      </c>
      <c r="D1875" s="6">
        <f t="shared" si="382"/>
        <v>8.1729076507568443E-3</v>
      </c>
      <c r="E1875" s="5">
        <f t="shared" si="394"/>
        <v>3.8333998888595566E-4</v>
      </c>
      <c r="G1875" s="25" t="str">
        <f>IF(VLOOKUP(A1875,Aux!B:C,2,FALSE)=0,"",VLOOKUP(A1875,Aux!B:C,2,FALSE))</f>
        <v/>
      </c>
      <c r="H1875" s="25" t="str">
        <f t="shared" si="383"/>
        <v/>
      </c>
      <c r="L1875" s="13">
        <f t="shared" si="386"/>
        <v>169803.00937725822</v>
      </c>
      <c r="M1875" s="14">
        <f t="shared" si="387"/>
        <v>700.33892282697241</v>
      </c>
      <c r="N1875" s="14">
        <f t="shared" si="388"/>
        <v>31.963043776508922</v>
      </c>
      <c r="O1875" s="1">
        <f t="shared" si="389"/>
        <v>3.1625148919709645</v>
      </c>
      <c r="P1875" s="1">
        <f t="shared" si="390"/>
        <v>1709.6376606786282</v>
      </c>
      <c r="S1875" s="6">
        <f t="shared" si="384"/>
        <v>0.50876978562892061</v>
      </c>
      <c r="T1875" s="6">
        <f t="shared" si="385"/>
        <v>0.49123021437108039</v>
      </c>
      <c r="V1875" s="1">
        <f t="shared" si="391"/>
        <v>172170.01296152049</v>
      </c>
      <c r="W1875" s="7">
        <f t="shared" si="392"/>
        <v>4.3219823211187794E-3</v>
      </c>
      <c r="X1875" s="7">
        <f t="shared" si="393"/>
        <v>3.215466893186802E-3</v>
      </c>
      <c r="Y1875">
        <f>LN(B1875/B1874)</f>
        <v>8.1396903064822213E-3</v>
      </c>
      <c r="Z1875">
        <f>LN(C1875/C1874)</f>
        <v>3.832665328842318E-4</v>
      </c>
    </row>
    <row r="1876" spans="1:26" x14ac:dyDescent="0.3">
      <c r="A1876" s="11">
        <v>42942</v>
      </c>
      <c r="B1876" s="12">
        <v>27056.33</v>
      </c>
      <c r="C1876" s="12">
        <v>48.808200800000002</v>
      </c>
      <c r="D1876" s="16">
        <f t="shared" si="382"/>
        <v>-9.5449475364670633E-3</v>
      </c>
      <c r="E1876" s="15">
        <f t="shared" si="394"/>
        <v>3.8327098125789938E-4</v>
      </c>
      <c r="G1876" s="25" t="str">
        <f>IF(VLOOKUP(A1876,Aux!B:C,2,FALSE)=0,"",VLOOKUP(A1876,Aux!B:C,2,FALSE))</f>
        <v/>
      </c>
      <c r="H1876" s="25" t="str">
        <f t="shared" si="383"/>
        <v/>
      </c>
      <c r="L1876" s="13">
        <f t="shared" si="386"/>
        <v>169010.38478472535</v>
      </c>
      <c r="M1876" s="14">
        <f t="shared" si="387"/>
        <v>-824.59413293250282</v>
      </c>
      <c r="N1876" s="14">
        <f t="shared" si="388"/>
        <v>31.969540399634685</v>
      </c>
      <c r="O1876" s="1">
        <f t="shared" si="389"/>
        <v>3.1625148919709645</v>
      </c>
      <c r="P1876" s="1">
        <f t="shared" si="390"/>
        <v>1709.6376606786282</v>
      </c>
      <c r="S1876" s="6">
        <f t="shared" si="384"/>
        <v>0.50627685781598175</v>
      </c>
      <c r="T1876" s="6">
        <f t="shared" si="385"/>
        <v>0.49372314218401925</v>
      </c>
      <c r="V1876" s="1">
        <f t="shared" si="391"/>
        <v>171610.31014296372</v>
      </c>
      <c r="W1876" s="7">
        <f t="shared" si="392"/>
        <v>-4.6788353245080941E-3</v>
      </c>
      <c r="X1876" s="7">
        <f t="shared" si="393"/>
        <v>-3.2561684044583139E-3</v>
      </c>
      <c r="Y1876">
        <f>LN(B1876/B1875)</f>
        <v>-9.5907925066579421E-3</v>
      </c>
      <c r="Z1876">
        <f>LN(C1876/C1875)</f>
        <v>3.8319755169704297E-4</v>
      </c>
    </row>
    <row r="1877" spans="1:26" x14ac:dyDescent="0.3">
      <c r="A1877" s="9">
        <v>42943</v>
      </c>
      <c r="B1877" s="1">
        <v>27165.79</v>
      </c>
      <c r="C1877" s="1">
        <v>48.826911899999999</v>
      </c>
      <c r="D1877" s="6">
        <f t="shared" si="382"/>
        <v>4.0456336835039686E-3</v>
      </c>
      <c r="E1877" s="5">
        <f t="shared" si="394"/>
        <v>3.8335975703485126E-4</v>
      </c>
      <c r="G1877" s="25" t="str">
        <f>IF(VLOOKUP(A1877,Aux!B:C,2,FALSE)=0,"",VLOOKUP(A1877,Aux!B:C,2,FALSE))</f>
        <v/>
      </c>
      <c r="H1877" s="25" t="str">
        <f t="shared" si="383"/>
        <v/>
      </c>
      <c r="L1877" s="13">
        <f t="shared" si="386"/>
        <v>169388.54286603321</v>
      </c>
      <c r="M1877" s="14">
        <f t="shared" si="387"/>
        <v>346.16888007513899</v>
      </c>
      <c r="N1877" s="14">
        <f t="shared" si="388"/>
        <v>31.989201232719292</v>
      </c>
      <c r="O1877" s="1">
        <f t="shared" si="389"/>
        <v>3.1625148919709645</v>
      </c>
      <c r="P1877" s="1">
        <f t="shared" si="390"/>
        <v>1709.6376606786282</v>
      </c>
      <c r="S1877" s="6">
        <f t="shared" si="384"/>
        <v>0.50719023833331256</v>
      </c>
      <c r="T1877" s="6">
        <f t="shared" si="385"/>
        <v>0.4928097616666885</v>
      </c>
      <c r="V1877" s="1">
        <f t="shared" si="391"/>
        <v>171904.6974010955</v>
      </c>
      <c r="W1877" s="7">
        <f t="shared" si="392"/>
        <v>2.234984852619774E-3</v>
      </c>
      <c r="X1877" s="7">
        <f t="shared" si="393"/>
        <v>1.7139707071596507E-3</v>
      </c>
      <c r="Y1877">
        <f>LN(B1877/B1876)</f>
        <v>4.0374721126322042E-3</v>
      </c>
      <c r="Z1877">
        <f>LN(C1877/C1876)</f>
        <v>3.8328629345791399E-4</v>
      </c>
    </row>
    <row r="1878" spans="1:26" x14ac:dyDescent="0.3">
      <c r="A1878" s="11">
        <v>42944</v>
      </c>
      <c r="B1878" s="12">
        <v>27243.85</v>
      </c>
      <c r="C1878" s="12">
        <v>48.843860599999999</v>
      </c>
      <c r="D1878" s="16">
        <f t="shared" si="382"/>
        <v>2.8734669597312301E-3</v>
      </c>
      <c r="E1878" s="15">
        <f t="shared" si="394"/>
        <v>3.4711799989950443E-4</v>
      </c>
      <c r="G1878" s="25" t="str">
        <f>IF(VLOOKUP(A1878,Aux!B:C,2,FALSE)=0,"",VLOOKUP(A1878,Aux!B:C,2,FALSE))</f>
        <v/>
      </c>
      <c r="H1878" s="25" t="str">
        <f t="shared" si="383"/>
        <v/>
      </c>
      <c r="L1878" s="13">
        <f t="shared" si="386"/>
        <v>169664.38491431999</v>
      </c>
      <c r="M1878" s="14">
        <f t="shared" si="387"/>
        <v>246.86591246724612</v>
      </c>
      <c r="N1878" s="14">
        <f t="shared" si="388"/>
        <v>28.976135819544503</v>
      </c>
      <c r="O1878" s="1">
        <f t="shared" si="389"/>
        <v>3.1625148919709645</v>
      </c>
      <c r="P1878" s="1">
        <f t="shared" si="390"/>
        <v>1709.6376606786282</v>
      </c>
      <c r="S1878" s="6">
        <f t="shared" si="384"/>
        <v>0.50782066833374151</v>
      </c>
      <c r="T1878" s="6">
        <f t="shared" si="385"/>
        <v>0.49217933166625949</v>
      </c>
      <c r="V1878" s="1">
        <f t="shared" si="391"/>
        <v>172122.70103859928</v>
      </c>
      <c r="W1878" s="7">
        <f t="shared" si="392"/>
        <v>1.6271330317169054E-3</v>
      </c>
      <c r="X1878" s="7">
        <f t="shared" si="393"/>
        <v>1.267362237266193E-3</v>
      </c>
      <c r="Y1878">
        <f>LN(B1878/B1877)</f>
        <v>2.8693464451014232E-3</v>
      </c>
      <c r="Z1878">
        <f>LN(C1878/C1877)</f>
        <v>3.4705776838446956E-4</v>
      </c>
    </row>
    <row r="1879" spans="1:26" x14ac:dyDescent="0.3">
      <c r="A1879" s="9">
        <v>42947</v>
      </c>
      <c r="B1879" s="1">
        <v>27413.77</v>
      </c>
      <c r="C1879" s="1">
        <v>48.860816999999997</v>
      </c>
      <c r="D1879" s="6">
        <f t="shared" si="382"/>
        <v>6.2370039476800088E-3</v>
      </c>
      <c r="E1879" s="5">
        <f t="shared" si="394"/>
        <v>3.4715519600014844E-4</v>
      </c>
      <c r="G1879" s="25" t="str">
        <f>IF(VLOOKUP(A1879,Aux!B:C,2,FALSE)=0,"",VLOOKUP(A1879,Aux!B:C,2,FALSE))</f>
        <v/>
      </c>
      <c r="H1879" s="25" t="str">
        <f t="shared" si="383"/>
        <v/>
      </c>
      <c r="L1879" s="13">
        <f t="shared" si="386"/>
        <v>170230.74874479324</v>
      </c>
      <c r="M1879" s="14">
        <f t="shared" si="387"/>
        <v>537.37453044371227</v>
      </c>
      <c r="N1879" s="14">
        <f t="shared" si="388"/>
        <v>28.989300029527644</v>
      </c>
      <c r="O1879" s="1">
        <f t="shared" si="389"/>
        <v>3.1625148919709645</v>
      </c>
      <c r="P1879" s="1">
        <f t="shared" si="390"/>
        <v>1709.6376606786282</v>
      </c>
      <c r="S1879" s="6">
        <f t="shared" si="384"/>
        <v>0.50928787254552099</v>
      </c>
      <c r="T1879" s="6">
        <f t="shared" si="385"/>
        <v>0.49071212745448001</v>
      </c>
      <c r="V1879" s="1">
        <f t="shared" si="391"/>
        <v>172552.64613530299</v>
      </c>
      <c r="W1879" s="7">
        <f t="shared" si="392"/>
        <v>3.3325828972652597E-3</v>
      </c>
      <c r="X1879" s="7">
        <f t="shared" si="393"/>
        <v>2.4947842845465286E-3</v>
      </c>
      <c r="Y1879">
        <f>LN(B1879/B1878)</f>
        <v>6.2176343357343341E-3</v>
      </c>
      <c r="Z1879">
        <f>LN(C1879/C1878)</f>
        <v>3.4709495157746645E-4</v>
      </c>
    </row>
    <row r="1880" spans="1:26" x14ac:dyDescent="0.3">
      <c r="A1880" s="11">
        <v>42948</v>
      </c>
      <c r="B1880" s="12">
        <v>27649.38</v>
      </c>
      <c r="C1880" s="12">
        <v>48.877777100000003</v>
      </c>
      <c r="D1880" s="16">
        <f t="shared" si="382"/>
        <v>8.5945858595881663E-3</v>
      </c>
      <c r="E1880" s="15">
        <f t="shared" si="394"/>
        <v>3.4711044639323951E-4</v>
      </c>
      <c r="G1880" s="25" t="str">
        <f>IF(VLOOKUP(A1880,Aux!B:C,2,FALSE)=0,"",VLOOKUP(A1880,Aux!B:C,2,FALSE))</f>
        <v/>
      </c>
      <c r="H1880" s="25" t="str">
        <f t="shared" si="383"/>
        <v/>
      </c>
      <c r="L1880" s="13">
        <f t="shared" si="386"/>
        <v>171004.86450417942</v>
      </c>
      <c r="M1880" s="14">
        <f t="shared" si="387"/>
        <v>745.12013369728083</v>
      </c>
      <c r="N1880" s="14">
        <f t="shared" si="388"/>
        <v>28.99562568888534</v>
      </c>
      <c r="O1880" s="1">
        <f t="shared" si="389"/>
        <v>3.1625148919709645</v>
      </c>
      <c r="P1880" s="1">
        <f t="shared" si="390"/>
        <v>1709.6376606786282</v>
      </c>
      <c r="S1880" s="6">
        <f t="shared" si="384"/>
        <v>0.51133969935473411</v>
      </c>
      <c r="T1880" s="6">
        <f t="shared" si="385"/>
        <v>0.48866030064526678</v>
      </c>
      <c r="V1880" s="1">
        <f t="shared" si="391"/>
        <v>173134.14863724535</v>
      </c>
      <c r="W1880" s="7">
        <f t="shared" si="392"/>
        <v>4.5371412437772611E-3</v>
      </c>
      <c r="X1880" s="7">
        <f t="shared" si="393"/>
        <v>3.3643347632928661E-3</v>
      </c>
      <c r="Y1880">
        <f>LN(B1880/B1879)</f>
        <v>8.5578626702604559E-3</v>
      </c>
      <c r="Z1880">
        <f>LN(C1880/C1879)</f>
        <v>3.4705021749922431E-4</v>
      </c>
    </row>
    <row r="1881" spans="1:26" x14ac:dyDescent="0.3">
      <c r="A1881" s="9">
        <v>42949</v>
      </c>
      <c r="B1881" s="1">
        <v>27897.85</v>
      </c>
      <c r="C1881" s="1">
        <v>48.894744899999999</v>
      </c>
      <c r="D1881" s="6">
        <f t="shared" si="382"/>
        <v>8.9864582858638631E-3</v>
      </c>
      <c r="E1881" s="5">
        <f t="shared" si="394"/>
        <v>3.4714753834408363E-4</v>
      </c>
      <c r="G1881" s="25" t="str">
        <f>IF(VLOOKUP(A1881,Aux!B:C,2,FALSE)=0,"",VLOOKUP(A1881,Aux!B:C,2,FALSE))</f>
        <v/>
      </c>
      <c r="H1881" s="25" t="str">
        <f t="shared" si="383"/>
        <v/>
      </c>
      <c r="L1881" s="13">
        <f t="shared" si="386"/>
        <v>171819.66336928631</v>
      </c>
      <c r="M1881" s="14">
        <f t="shared" si="387"/>
        <v>785.7900752080177</v>
      </c>
      <c r="N1881" s="14">
        <f t="shared" si="388"/>
        <v>29.008789898856335</v>
      </c>
      <c r="O1881" s="1">
        <f t="shared" si="389"/>
        <v>3.1625148919709645</v>
      </c>
      <c r="P1881" s="1">
        <f t="shared" si="390"/>
        <v>1709.6376606786282</v>
      </c>
      <c r="S1881" s="6">
        <f t="shared" si="384"/>
        <v>0.51348817911107181</v>
      </c>
      <c r="T1881" s="6">
        <f t="shared" si="385"/>
        <v>0.48651182088892891</v>
      </c>
      <c r="V1881" s="1">
        <f t="shared" si="391"/>
        <v>173745.33683495282</v>
      </c>
      <c r="W1881" s="7">
        <f t="shared" si="392"/>
        <v>4.7534545114450676E-3</v>
      </c>
      <c r="X1881" s="7">
        <f t="shared" si="393"/>
        <v>3.5239260653080044E-3</v>
      </c>
      <c r="Y1881">
        <f>LN(B1881/B1880)</f>
        <v>8.9463203556065726E-3</v>
      </c>
      <c r="Z1881">
        <f>LN(C1881/C1880)</f>
        <v>3.4708729657884486E-4</v>
      </c>
    </row>
    <row r="1882" spans="1:26" x14ac:dyDescent="0.3">
      <c r="A1882" s="11">
        <v>42950</v>
      </c>
      <c r="B1882" s="12">
        <v>27765.06</v>
      </c>
      <c r="C1882" s="12">
        <v>48.911716499999997</v>
      </c>
      <c r="D1882" s="16">
        <f t="shared" si="382"/>
        <v>-4.7598650075183491E-3</v>
      </c>
      <c r="E1882" s="15">
        <f t="shared" si="394"/>
        <v>3.4710478671495792E-4</v>
      </c>
      <c r="G1882" s="25" t="str">
        <f>IF(VLOOKUP(A1882,Aux!B:C,2,FALSE)=0,"",VLOOKUP(A1882,Aux!B:C,2,FALSE))</f>
        <v/>
      </c>
      <c r="H1882" s="25" t="str">
        <f t="shared" si="383"/>
        <v/>
      </c>
      <c r="L1882" s="13">
        <f t="shared" si="386"/>
        <v>171428.72830330345</v>
      </c>
      <c r="M1882" s="14">
        <f t="shared" si="387"/>
        <v>-419.95035250481561</v>
      </c>
      <c r="N1882" s="14">
        <f t="shared" si="388"/>
        <v>29.015286521969948</v>
      </c>
      <c r="O1882" s="1">
        <f t="shared" si="389"/>
        <v>3.1625148919709645</v>
      </c>
      <c r="P1882" s="1">
        <f t="shared" si="390"/>
        <v>1709.6376606786282</v>
      </c>
      <c r="S1882" s="6">
        <f t="shared" si="384"/>
        <v>0.51220945634685255</v>
      </c>
      <c r="T1882" s="6">
        <f t="shared" si="385"/>
        <v>0.48779054365314839</v>
      </c>
      <c r="V1882" s="1">
        <f t="shared" si="391"/>
        <v>173476.95337721746</v>
      </c>
      <c r="W1882" s="7">
        <f t="shared" si="392"/>
        <v>-2.2778561793844409E-3</v>
      </c>
      <c r="X1882" s="7">
        <f t="shared" si="393"/>
        <v>-1.5458887217136674E-3</v>
      </c>
      <c r="Y1882">
        <f>LN(B1882/B1881)</f>
        <v>-4.7712292407811486E-3</v>
      </c>
      <c r="Z1882">
        <f>LN(C1882/C1881)</f>
        <v>3.470445597847785E-4</v>
      </c>
    </row>
    <row r="1883" spans="1:26" x14ac:dyDescent="0.3">
      <c r="A1883" s="9">
        <v>42951</v>
      </c>
      <c r="B1883" s="1">
        <v>27812.25</v>
      </c>
      <c r="C1883" s="1">
        <v>48.928695699999999</v>
      </c>
      <c r="D1883" s="6">
        <f t="shared" ref="D1883:D1946" si="395">B1883/B1882-1</f>
        <v>1.6996181531752086E-3</v>
      </c>
      <c r="E1883" s="5">
        <f t="shared" si="394"/>
        <v>3.4713972878064325E-4</v>
      </c>
      <c r="G1883" s="25" t="str">
        <f>IF(VLOOKUP(A1883,Aux!B:C,2,FALSE)=0,"",VLOOKUP(A1883,Aux!B:C,2,FALSE))</f>
        <v/>
      </c>
      <c r="H1883" s="25" t="str">
        <f t="shared" si="383"/>
        <v/>
      </c>
      <c r="L1883" s="13">
        <f t="shared" si="386"/>
        <v>171606.99566082374</v>
      </c>
      <c r="M1883" s="14">
        <f t="shared" si="387"/>
        <v>149.23907775210566</v>
      </c>
      <c r="N1883" s="14">
        <f t="shared" si="388"/>
        <v>29.028279768197173</v>
      </c>
      <c r="O1883" s="1">
        <f t="shared" si="389"/>
        <v>3.1625148919709645</v>
      </c>
      <c r="P1883" s="1">
        <f t="shared" si="390"/>
        <v>1709.6376606786282</v>
      </c>
      <c r="S1883" s="6">
        <f t="shared" si="384"/>
        <v>0.5125470233047098</v>
      </c>
      <c r="T1883" s="6">
        <f t="shared" si="385"/>
        <v>0.4874529766952912</v>
      </c>
      <c r="V1883" s="1">
        <f t="shared" si="391"/>
        <v>173623.80707742294</v>
      </c>
      <c r="W1883" s="7">
        <f t="shared" si="392"/>
        <v>1.0393516541544528E-3</v>
      </c>
      <c r="X1883" s="7">
        <f t="shared" si="393"/>
        <v>8.4617336346670083E-4</v>
      </c>
      <c r="Y1883">
        <f>LN(B1883/B1882)</f>
        <v>1.6981754367219673E-3</v>
      </c>
      <c r="Z1883">
        <f>LN(C1883/C1882)</f>
        <v>3.4707948972550394E-4</v>
      </c>
    </row>
    <row r="1884" spans="1:26" x14ac:dyDescent="0.3">
      <c r="A1884" s="11">
        <v>42954</v>
      </c>
      <c r="B1884" s="12">
        <v>28218.49</v>
      </c>
      <c r="C1884" s="12">
        <v>48.945682499999997</v>
      </c>
      <c r="D1884" s="16">
        <f t="shared" si="395"/>
        <v>1.4606513316973713E-2</v>
      </c>
      <c r="E1884" s="15">
        <f t="shared" si="394"/>
        <v>3.4717459267974426E-4</v>
      </c>
      <c r="G1884" s="25" t="str">
        <f>IF(VLOOKUP(A1884,Aux!B:C,2,FALSE)=0,"",VLOOKUP(A1884,Aux!B:C,2,FALSE))</f>
        <v/>
      </c>
      <c r="H1884" s="25" t="str">
        <f t="shared" si="383"/>
        <v/>
      </c>
      <c r="L1884" s="13">
        <f t="shared" si="386"/>
        <v>172920.77698355244</v>
      </c>
      <c r="M1884" s="14">
        <f t="shared" si="387"/>
        <v>1284.7400497142896</v>
      </c>
      <c r="N1884" s="14">
        <f t="shared" si="388"/>
        <v>29.041273014412251</v>
      </c>
      <c r="O1884" s="1">
        <f t="shared" si="389"/>
        <v>3.1625148919709645</v>
      </c>
      <c r="P1884" s="1">
        <f t="shared" si="390"/>
        <v>1709.6376606786282</v>
      </c>
      <c r="S1884" s="6">
        <f t="shared" si="384"/>
        <v>0.51608254606918658</v>
      </c>
      <c r="T1884" s="6">
        <f t="shared" si="385"/>
        <v>0.48391745393081442</v>
      </c>
      <c r="V1884" s="1">
        <f t="shared" si="391"/>
        <v>174599.01868947133</v>
      </c>
      <c r="W1884" s="7">
        <f t="shared" si="392"/>
        <v>7.6265996244578565E-3</v>
      </c>
      <c r="X1884" s="7">
        <f t="shared" si="393"/>
        <v>5.6010926879763697E-3</v>
      </c>
      <c r="Y1884">
        <f>LN(B1884/B1883)</f>
        <v>1.4500865720792979E-2</v>
      </c>
      <c r="Z1884">
        <f>LN(C1884/C1883)</f>
        <v>3.4711434152555299E-4</v>
      </c>
    </row>
    <row r="1885" spans="1:26" x14ac:dyDescent="0.3">
      <c r="A1885" s="9">
        <v>42955</v>
      </c>
      <c r="B1885" s="1">
        <v>28192.35</v>
      </c>
      <c r="C1885" s="1">
        <v>48.962673199999998</v>
      </c>
      <c r="D1885" s="6">
        <f t="shared" si="395"/>
        <v>-9.2634297582905312E-4</v>
      </c>
      <c r="E1885" s="5">
        <f t="shared" si="394"/>
        <v>3.471337844762612E-4</v>
      </c>
      <c r="G1885" s="25" t="str">
        <f>IF(VLOOKUP(A1885,Aux!B:C,2,FALSE)=0,"",VLOOKUP(A1885,Aux!B:C,2,FALSE))</f>
        <v/>
      </c>
      <c r="H1885" s="25" t="str">
        <f t="shared" si="383"/>
        <v/>
      </c>
      <c r="L1885" s="13">
        <f t="shared" si="386"/>
        <v>172867.15678487762</v>
      </c>
      <c r="M1885" s="14">
        <f t="shared" si="387"/>
        <v>-82.668139276130674</v>
      </c>
      <c r="N1885" s="14">
        <f t="shared" si="388"/>
        <v>29.047940601293931</v>
      </c>
      <c r="O1885" s="1">
        <f t="shared" si="389"/>
        <v>3.1625148919709645</v>
      </c>
      <c r="P1885" s="1">
        <f t="shared" si="390"/>
        <v>1709.6376606786282</v>
      </c>
      <c r="S1885" s="6">
        <f t="shared" si="384"/>
        <v>0.51576440761162101</v>
      </c>
      <c r="T1885" s="6">
        <f t="shared" si="385"/>
        <v>0.48423559238837988</v>
      </c>
      <c r="V1885" s="1">
        <f t="shared" si="391"/>
        <v>174576.72324160297</v>
      </c>
      <c r="W1885" s="7">
        <f t="shared" si="392"/>
        <v>-3.101334307431963E-4</v>
      </c>
      <c r="X1885" s="7">
        <f t="shared" si="393"/>
        <v>-1.2770330364506922E-4</v>
      </c>
      <c r="Y1885">
        <f>LN(B1885/B1884)</f>
        <v>-9.2677229663617349E-4</v>
      </c>
      <c r="Z1885">
        <f>LN(C1885/C1884)</f>
        <v>3.4707354748389236E-4</v>
      </c>
    </row>
    <row r="1886" spans="1:26" x14ac:dyDescent="0.3">
      <c r="A1886" s="11">
        <v>42956</v>
      </c>
      <c r="B1886" s="12">
        <v>28099.48</v>
      </c>
      <c r="C1886" s="12">
        <v>48.9796677</v>
      </c>
      <c r="D1886" s="16">
        <f t="shared" si="395"/>
        <v>-3.29415603878358E-3</v>
      </c>
      <c r="E1886" s="15">
        <f t="shared" si="394"/>
        <v>3.4709093456930518E-4</v>
      </c>
      <c r="G1886" s="25" t="str">
        <f>IF(VLOOKUP(A1886,Aux!B:C,2,FALSE)=0,"",VLOOKUP(A1886,Aux!B:C,2,FALSE))</f>
        <v/>
      </c>
      <c r="H1886" s="25" t="str">
        <f t="shared" si="383"/>
        <v/>
      </c>
      <c r="L1886" s="13">
        <f t="shared" si="386"/>
        <v>172602.50846408468</v>
      </c>
      <c r="M1886" s="14">
        <f t="shared" si="387"/>
        <v>-293.70275801734027</v>
      </c>
      <c r="N1886" s="14">
        <f t="shared" si="388"/>
        <v>29.054437224407543</v>
      </c>
      <c r="O1886" s="1">
        <f t="shared" si="389"/>
        <v>3.1625148919709645</v>
      </c>
      <c r="P1886" s="1">
        <f t="shared" si="390"/>
        <v>1709.6376606786282</v>
      </c>
      <c r="S1886" s="6">
        <f t="shared" si="384"/>
        <v>0.5148536064012732</v>
      </c>
      <c r="T1886" s="6">
        <f t="shared" si="385"/>
        <v>0.48514639359872774</v>
      </c>
      <c r="V1886" s="1">
        <f t="shared" si="391"/>
        <v>174400.48785061011</v>
      </c>
      <c r="W1886" s="7">
        <f t="shared" si="392"/>
        <v>-1.5321077314897171E-3</v>
      </c>
      <c r="X1886" s="7">
        <f t="shared" si="393"/>
        <v>-1.0100109713359041E-3</v>
      </c>
      <c r="Y1886">
        <f>LN(B1886/B1885)</f>
        <v>-3.2995937157757659E-3</v>
      </c>
      <c r="Z1886">
        <f>LN(C1886/C1885)</f>
        <v>3.4703071244550761E-4</v>
      </c>
    </row>
    <row r="1887" spans="1:26" x14ac:dyDescent="0.3">
      <c r="A1887" s="9">
        <v>42957</v>
      </c>
      <c r="B1887" s="1">
        <v>27814.71</v>
      </c>
      <c r="C1887" s="1">
        <v>48.996669799999999</v>
      </c>
      <c r="D1887" s="6">
        <f t="shared" si="395"/>
        <v>-1.0134351240663531E-2</v>
      </c>
      <c r="E1887" s="5">
        <f t="shared" si="394"/>
        <v>3.4712567067907152E-4</v>
      </c>
      <c r="G1887" s="25" t="str">
        <f>IF(VLOOKUP(A1887,Aux!B:C,2,FALSE)=0,"",VLOOKUP(A1887,Aux!B:C,2,FALSE))</f>
        <v/>
      </c>
      <c r="H1887" s="25" t="str">
        <f t="shared" si="383"/>
        <v/>
      </c>
      <c r="L1887" s="13">
        <f t="shared" si="386"/>
        <v>171730.98652876873</v>
      </c>
      <c r="M1887" s="14">
        <f t="shared" si="387"/>
        <v>-900.5893657865729</v>
      </c>
      <c r="N1887" s="14">
        <f t="shared" si="388"/>
        <v>29.067430470622622</v>
      </c>
      <c r="O1887" s="1">
        <f t="shared" si="389"/>
        <v>3.1625148919709645</v>
      </c>
      <c r="P1887" s="1">
        <f t="shared" si="390"/>
        <v>1709.6376606786282</v>
      </c>
      <c r="S1887" s="6">
        <f t="shared" si="384"/>
        <v>0.51222226325543019</v>
      </c>
      <c r="T1887" s="6">
        <f t="shared" si="385"/>
        <v>0.48777773674457087</v>
      </c>
      <c r="V1887" s="1">
        <f t="shared" si="391"/>
        <v>173781.54944912597</v>
      </c>
      <c r="W1887" s="7">
        <f t="shared" si="392"/>
        <v>-5.0620913099313457E-3</v>
      </c>
      <c r="X1887" s="7">
        <f t="shared" si="393"/>
        <v>-3.555261254868092E-3</v>
      </c>
      <c r="Y1887">
        <f>LN(B1887/B1886)</f>
        <v>-1.0186053386611773E-2</v>
      </c>
      <c r="Z1887">
        <f>LN(C1887/C1886)</f>
        <v>3.4706543650226551E-4</v>
      </c>
    </row>
    <row r="1888" spans="1:26" x14ac:dyDescent="0.3">
      <c r="A1888" s="11">
        <v>42958</v>
      </c>
      <c r="B1888" s="12">
        <v>27974.400000000001</v>
      </c>
      <c r="C1888" s="12">
        <v>49.013679500000002</v>
      </c>
      <c r="D1888" s="16">
        <f t="shared" si="395"/>
        <v>5.7412067211919382E-3</v>
      </c>
      <c r="E1888" s="15">
        <f t="shared" si="394"/>
        <v>3.4716032884340997E-4</v>
      </c>
      <c r="G1888" s="25" t="str">
        <f>IF(VLOOKUP(A1888,Aux!B:C,2,FALSE)=0,"",VLOOKUP(A1888,Aux!B:C,2,FALSE))</f>
        <v/>
      </c>
      <c r="H1888" s="25" t="str">
        <f t="shared" si="383"/>
        <v/>
      </c>
      <c r="L1888" s="13">
        <f t="shared" si="386"/>
        <v>172265.08895558445</v>
      </c>
      <c r="M1888" s="14">
        <f t="shared" si="387"/>
        <v>505.02200309885069</v>
      </c>
      <c r="N1888" s="14">
        <f t="shared" si="388"/>
        <v>29.080423716849847</v>
      </c>
      <c r="O1888" s="1">
        <f t="shared" si="389"/>
        <v>3.1625148919709645</v>
      </c>
      <c r="P1888" s="1">
        <f t="shared" si="390"/>
        <v>1709.6376606786282</v>
      </c>
      <c r="S1888" s="6">
        <f t="shared" si="384"/>
        <v>0.51356579055180973</v>
      </c>
      <c r="T1888" s="6">
        <f t="shared" si="385"/>
        <v>0.48643420944819116</v>
      </c>
      <c r="V1888" s="1">
        <f t="shared" si="391"/>
        <v>174188.01281714259</v>
      </c>
      <c r="W1888" s="7">
        <f t="shared" si="392"/>
        <v>3.1052845893674774E-3</v>
      </c>
      <c r="X1888" s="7">
        <f t="shared" si="393"/>
        <v>2.3362017656773132E-3</v>
      </c>
      <c r="Y1888">
        <f>LN(B1888/B1887)</f>
        <v>5.7247888030196713E-3</v>
      </c>
      <c r="Z1888">
        <f>LN(C1888/C1887)</f>
        <v>3.4710008263943998E-4</v>
      </c>
    </row>
    <row r="1889" spans="1:26" x14ac:dyDescent="0.3">
      <c r="A1889" s="9">
        <v>42961</v>
      </c>
      <c r="B1889" s="1">
        <v>28347.33</v>
      </c>
      <c r="C1889" s="1">
        <v>49.030693100000001</v>
      </c>
      <c r="D1889" s="6">
        <f t="shared" si="395"/>
        <v>1.3331117021276651E-2</v>
      </c>
      <c r="E1889" s="5">
        <f t="shared" si="394"/>
        <v>3.4711941999776563E-4</v>
      </c>
      <c r="G1889" s="25" t="str">
        <f>IF(VLOOKUP(A1889,Aux!B:C,2,FALSE)=0,"",VLOOKUP(A1889,Aux!B:C,2,FALSE))</f>
        <v/>
      </c>
      <c r="H1889" s="25" t="str">
        <f t="shared" si="383"/>
        <v/>
      </c>
      <c r="L1889" s="13">
        <f t="shared" si="386"/>
        <v>173473.57272555091</v>
      </c>
      <c r="M1889" s="14">
        <f t="shared" si="387"/>
        <v>1179.3966786627327</v>
      </c>
      <c r="N1889" s="14">
        <f t="shared" si="388"/>
        <v>29.087091303719376</v>
      </c>
      <c r="O1889" s="1">
        <f t="shared" si="389"/>
        <v>3.1625148919709645</v>
      </c>
      <c r="P1889" s="1">
        <f t="shared" si="390"/>
        <v>1709.6376606786282</v>
      </c>
      <c r="S1889" s="6">
        <f t="shared" si="384"/>
        <v>0.51678680426122869</v>
      </c>
      <c r="T1889" s="6">
        <f t="shared" si="385"/>
        <v>0.48321319573877208</v>
      </c>
      <c r="V1889" s="1">
        <f t="shared" si="391"/>
        <v>175086.4370491509</v>
      </c>
      <c r="W1889" s="7">
        <f t="shared" si="392"/>
        <v>6.990763981760342E-3</v>
      </c>
      <c r="X1889" s="7">
        <f t="shared" si="393"/>
        <v>5.1445286870490858E-3</v>
      </c>
      <c r="Y1889">
        <f>LN(B1889/B1888)</f>
        <v>1.3243039597572885E-2</v>
      </c>
      <c r="Z1889">
        <f>LN(C1889/C1888)</f>
        <v>3.4705918798995914E-4</v>
      </c>
    </row>
    <row r="1890" spans="1:26" x14ac:dyDescent="0.3">
      <c r="A1890" s="11">
        <v>42962</v>
      </c>
      <c r="B1890" s="12">
        <v>28374.37</v>
      </c>
      <c r="C1890" s="12">
        <v>49.047714200000001</v>
      </c>
      <c r="D1890" s="16">
        <f t="shared" si="395"/>
        <v>9.5388172360499901E-4</v>
      </c>
      <c r="E1890" s="15">
        <f t="shared" si="394"/>
        <v>3.4715193532530719E-4</v>
      </c>
      <c r="G1890" s="25" t="str">
        <f>IF(VLOOKUP(A1890,Aux!B:C,2,FALSE)=0,"",VLOOKUP(A1890,Aux!B:C,2,FALSE))</f>
        <v/>
      </c>
      <c r="H1890" s="25" t="str">
        <f t="shared" si="383"/>
        <v/>
      </c>
      <c r="L1890" s="13">
        <f t="shared" si="386"/>
        <v>173588.18704181598</v>
      </c>
      <c r="M1890" s="14">
        <f t="shared" si="387"/>
        <v>85.514402678886142</v>
      </c>
      <c r="N1890" s="14">
        <f t="shared" si="388"/>
        <v>29.099913586178538</v>
      </c>
      <c r="O1890" s="1">
        <f t="shared" si="389"/>
        <v>3.1625148919709645</v>
      </c>
      <c r="P1890" s="1">
        <f t="shared" si="390"/>
        <v>1709.6376606786282</v>
      </c>
      <c r="S1890" s="6">
        <f t="shared" si="384"/>
        <v>0.51693821569596721</v>
      </c>
      <c r="T1890" s="6">
        <f t="shared" si="385"/>
        <v>0.48306178430403357</v>
      </c>
      <c r="V1890" s="1">
        <f t="shared" si="391"/>
        <v>175186.89773035573</v>
      </c>
      <c r="W1890" s="7">
        <f t="shared" si="392"/>
        <v>6.6048371626132414E-4</v>
      </c>
      <c r="X1890" s="7">
        <f t="shared" si="393"/>
        <v>5.7361308432253002E-4</v>
      </c>
      <c r="Y1890">
        <f>LN(B1890/B1889)</f>
        <v>9.5342706753612401E-4</v>
      </c>
      <c r="Z1890">
        <f>LN(C1890/C1889)</f>
        <v>3.4709169203418728E-4</v>
      </c>
    </row>
    <row r="1891" spans="1:26" x14ac:dyDescent="0.3">
      <c r="A1891" s="9">
        <v>42963</v>
      </c>
      <c r="B1891" s="1">
        <v>28471.13</v>
      </c>
      <c r="C1891" s="1">
        <v>49.064739199999998</v>
      </c>
      <c r="D1891" s="6">
        <f t="shared" si="395"/>
        <v>3.4101197665359351E-3</v>
      </c>
      <c r="E1891" s="5">
        <f t="shared" si="394"/>
        <v>3.4711097709005934E-4</v>
      </c>
      <c r="G1891" s="25" t="str">
        <f>IF(VLOOKUP(A1891,Aux!B:C,2,FALSE)=0,"",VLOOKUP(A1891,Aux!B:C,2,FALSE))</f>
        <v/>
      </c>
      <c r="H1891" s="25" t="str">
        <f t="shared" si="383"/>
        <v/>
      </c>
      <c r="L1891" s="13">
        <f t="shared" si="386"/>
        <v>173923.29856393614</v>
      </c>
      <c r="M1891" s="14">
        <f t="shared" si="387"/>
        <v>306.00494094711695</v>
      </c>
      <c r="N1891" s="14">
        <f t="shared" si="388"/>
        <v>29.106581173048067</v>
      </c>
      <c r="O1891" s="1">
        <f t="shared" si="389"/>
        <v>3.1625148919709645</v>
      </c>
      <c r="P1891" s="1">
        <f t="shared" si="390"/>
        <v>1709.6376606786282</v>
      </c>
      <c r="S1891" s="6">
        <f t="shared" si="384"/>
        <v>0.51770161536547354</v>
      </c>
      <c r="T1891" s="6">
        <f t="shared" si="385"/>
        <v>0.48229838463452718</v>
      </c>
      <c r="V1891" s="1">
        <f t="shared" si="391"/>
        <v>175448.21361519583</v>
      </c>
      <c r="W1891" s="7">
        <f t="shared" si="392"/>
        <v>1.9286362602403844E-3</v>
      </c>
      <c r="X1891" s="7">
        <f t="shared" si="393"/>
        <v>1.4905291841267284E-3</v>
      </c>
      <c r="Y1891">
        <f>LN(B1891/B1890)</f>
        <v>3.4043184930752915E-3</v>
      </c>
      <c r="Z1891">
        <f>LN(C1891/C1890)</f>
        <v>3.4705074801189749E-4</v>
      </c>
    </row>
    <row r="1892" spans="1:26" x14ac:dyDescent="0.3">
      <c r="A1892" s="11">
        <v>42964</v>
      </c>
      <c r="B1892" s="12">
        <v>28222.73</v>
      </c>
      <c r="C1892" s="12">
        <v>49.0817719</v>
      </c>
      <c r="D1892" s="16">
        <f t="shared" si="395"/>
        <v>-8.7246273681444997E-3</v>
      </c>
      <c r="E1892" s="15">
        <f t="shared" si="394"/>
        <v>3.4714746837982702E-4</v>
      </c>
      <c r="G1892" s="25" t="str">
        <f>IF(VLOOKUP(A1892,Aux!B:C,2,FALSE)=0,"",VLOOKUP(A1892,Aux!B:C,2,FALSE))</f>
        <v/>
      </c>
      <c r="H1892" s="25" t="str">
        <f t="shared" si="383"/>
        <v/>
      </c>
      <c r="L1892" s="13">
        <f t="shared" si="386"/>
        <v>173166.84961015359</v>
      </c>
      <c r="M1892" s="14">
        <f t="shared" si="387"/>
        <v>-785.56869916559219</v>
      </c>
      <c r="N1892" s="14">
        <f t="shared" si="388"/>
        <v>29.119745383043359</v>
      </c>
      <c r="O1892" s="1">
        <f t="shared" si="389"/>
        <v>3.1625148919709645</v>
      </c>
      <c r="P1892" s="1">
        <f t="shared" si="390"/>
        <v>1709.6376606786282</v>
      </c>
      <c r="S1892" s="6">
        <f t="shared" si="384"/>
        <v>0.51542661957535707</v>
      </c>
      <c r="T1892" s="6">
        <f t="shared" si="385"/>
        <v>0.48457338042464382</v>
      </c>
      <c r="V1892" s="1">
        <f t="shared" si="391"/>
        <v>174913.25053219445</v>
      </c>
      <c r="W1892" s="7">
        <f t="shared" si="392"/>
        <v>-4.3588108474066434E-3</v>
      </c>
      <c r="X1892" s="7">
        <f t="shared" si="393"/>
        <v>-3.053780472345561E-3</v>
      </c>
      <c r="Y1892">
        <f>LN(B1892/B1891)</f>
        <v>-8.7629097585426551E-3</v>
      </c>
      <c r="Z1892">
        <f>LN(C1892/C1891)</f>
        <v>3.4708722663886777E-4</v>
      </c>
    </row>
    <row r="1893" spans="1:26" x14ac:dyDescent="0.3">
      <c r="A1893" s="9">
        <v>42965</v>
      </c>
      <c r="B1893" s="1">
        <v>28513.599999999999</v>
      </c>
      <c r="C1893" s="1">
        <v>49.098808300000002</v>
      </c>
      <c r="D1893" s="6">
        <f t="shared" si="395"/>
        <v>1.0306231891811901E-2</v>
      </c>
      <c r="E1893" s="5">
        <f t="shared" si="394"/>
        <v>3.4710238323731879E-4</v>
      </c>
      <c r="G1893" s="25" t="str">
        <f>IF(VLOOKUP(A1893,Aux!B:C,2,FALSE)=0,"",VLOOKUP(A1893,Aux!B:C,2,FALSE))</f>
        <v/>
      </c>
      <c r="H1893" s="25" t="str">
        <f t="shared" si="383"/>
        <v/>
      </c>
      <c r="L1893" s="13">
        <f t="shared" si="386"/>
        <v>174115.85638782356</v>
      </c>
      <c r="M1893" s="14">
        <f t="shared" si="387"/>
        <v>919.88070662759117</v>
      </c>
      <c r="N1893" s="14">
        <f t="shared" si="388"/>
        <v>29.126071042388904</v>
      </c>
      <c r="O1893" s="1">
        <f t="shared" si="389"/>
        <v>3.1625148919709645</v>
      </c>
      <c r="P1893" s="1">
        <f t="shared" si="390"/>
        <v>1709.6376606786282</v>
      </c>
      <c r="S1893" s="6">
        <f t="shared" si="384"/>
        <v>0.51790047439935216</v>
      </c>
      <c r="T1893" s="6">
        <f t="shared" si="385"/>
        <v>0.48209952560064873</v>
      </c>
      <c r="V1893" s="1">
        <f t="shared" si="391"/>
        <v>175622.41048034874</v>
      </c>
      <c r="W1893" s="7">
        <f t="shared" si="392"/>
        <v>5.4653406202511629E-3</v>
      </c>
      <c r="X1893" s="7">
        <f t="shared" si="393"/>
        <v>4.0461556099554759E-3</v>
      </c>
      <c r="Y1893">
        <f>LN(B1893/B1892)</f>
        <v>1.0253484790252593E-2</v>
      </c>
      <c r="Z1893">
        <f>LN(C1893/C1892)</f>
        <v>3.4704215714110556E-4</v>
      </c>
    </row>
    <row r="1894" spans="1:26" x14ac:dyDescent="0.3">
      <c r="A1894" s="11">
        <v>42968</v>
      </c>
      <c r="B1894" s="12">
        <v>28491.15</v>
      </c>
      <c r="C1894" s="12">
        <v>49.115852400000001</v>
      </c>
      <c r="D1894" s="16">
        <f t="shared" si="395"/>
        <v>-7.8734358341270294E-4</v>
      </c>
      <c r="E1894" s="15">
        <f t="shared" si="394"/>
        <v>3.4713877159409101E-4</v>
      </c>
      <c r="G1894" s="25" t="str">
        <f>IF(VLOOKUP(A1894,Aux!B:C,2,FALSE)=0,"",VLOOKUP(A1894,Aux!B:C,2,FALSE))</f>
        <v/>
      </c>
      <c r="H1894" s="25" t="str">
        <f t="shared" si="383"/>
        <v/>
      </c>
      <c r="L1894" s="13">
        <f t="shared" si="386"/>
        <v>174073.99716375119</v>
      </c>
      <c r="M1894" s="14">
        <f t="shared" si="387"/>
        <v>-70.998459324738945</v>
      </c>
      <c r="N1894" s="14">
        <f t="shared" si="388"/>
        <v>29.13923525237205</v>
      </c>
      <c r="O1894" s="1">
        <f t="shared" si="389"/>
        <v>3.1625148919709645</v>
      </c>
      <c r="P1894" s="1">
        <f t="shared" si="390"/>
        <v>1709.6376606786282</v>
      </c>
      <c r="S1894" s="6">
        <f t="shared" si="384"/>
        <v>0.51761714921510149</v>
      </c>
      <c r="T1894" s="6">
        <f t="shared" si="385"/>
        <v>0.48238285078489934</v>
      </c>
      <c r="V1894" s="1">
        <f t="shared" si="391"/>
        <v>175608.74745443073</v>
      </c>
      <c r="W1894" s="7">
        <f t="shared" si="392"/>
        <v>-2.4043908142100422E-4</v>
      </c>
      <c r="X1894" s="7">
        <f t="shared" si="393"/>
        <v>-7.7800762354003337E-5</v>
      </c>
      <c r="Y1894">
        <f>LN(B1894/B1893)</f>
        <v>-7.8765370116203829E-4</v>
      </c>
      <c r="Z1894">
        <f>LN(C1894/C1893)</f>
        <v>3.470785328711134E-4</v>
      </c>
    </row>
    <row r="1895" spans="1:26" x14ac:dyDescent="0.3">
      <c r="A1895" s="9">
        <v>42969</v>
      </c>
      <c r="B1895" s="1">
        <v>29039.06</v>
      </c>
      <c r="C1895" s="1">
        <v>49.132900200000002</v>
      </c>
      <c r="D1895" s="6">
        <f t="shared" si="395"/>
        <v>1.9230883976252278E-2</v>
      </c>
      <c r="E1895" s="5">
        <f t="shared" si="394"/>
        <v>3.4709364017881938E-4</v>
      </c>
      <c r="G1895" s="25" t="str">
        <f>IF(VLOOKUP(A1895,Aux!B:C,2,FALSE)=0,"",VLOOKUP(A1895,Aux!B:C,2,FALSE))</f>
        <v/>
      </c>
      <c r="H1895" s="25" t="str">
        <f t="shared" si="383"/>
        <v/>
      </c>
      <c r="L1895" s="13">
        <f t="shared" si="386"/>
        <v>175835.91625912272</v>
      </c>
      <c r="M1895" s="14">
        <f t="shared" si="387"/>
        <v>1732.7735344598107</v>
      </c>
      <c r="N1895" s="14">
        <f t="shared" si="388"/>
        <v>29.145560911717595</v>
      </c>
      <c r="O1895" s="1">
        <f t="shared" si="389"/>
        <v>3.1625148919709645</v>
      </c>
      <c r="P1895" s="1">
        <f t="shared" si="390"/>
        <v>1709.6376606786282</v>
      </c>
      <c r="S1895" s="6">
        <f t="shared" si="384"/>
        <v>0.52228498962352177</v>
      </c>
      <c r="T1895" s="6">
        <f t="shared" si="385"/>
        <v>0.47771501037647907</v>
      </c>
      <c r="V1895" s="1">
        <f t="shared" si="391"/>
        <v>176910.93317720239</v>
      </c>
      <c r="W1895" s="7">
        <f t="shared" si="392"/>
        <v>1.0070786331098706E-2</v>
      </c>
      <c r="X1895" s="7">
        <f t="shared" si="393"/>
        <v>7.3879089152571152E-3</v>
      </c>
      <c r="Y1895">
        <f>LN(B1895/B1894)</f>
        <v>1.9048307551162075E-2</v>
      </c>
      <c r="Z1895">
        <f>LN(C1895/C1894)</f>
        <v>3.4703341711625143E-4</v>
      </c>
    </row>
    <row r="1896" spans="1:26" x14ac:dyDescent="0.3">
      <c r="A1896" s="11">
        <v>42970</v>
      </c>
      <c r="B1896" s="12">
        <v>29227.01</v>
      </c>
      <c r="C1896" s="12">
        <v>49.1499557</v>
      </c>
      <c r="D1896" s="16">
        <f t="shared" si="395"/>
        <v>6.4723169413885007E-3</v>
      </c>
      <c r="E1896" s="15">
        <f t="shared" si="394"/>
        <v>3.4712992578445068E-4</v>
      </c>
      <c r="G1896" s="25" t="str">
        <f>IF(VLOOKUP(A1896,Aux!B:C,2,FALSE)=0,"",VLOOKUP(A1896,Aux!B:C,2,FALSE))</f>
        <v/>
      </c>
      <c r="H1896" s="25" t="str">
        <f t="shared" si="383"/>
        <v/>
      </c>
      <c r="L1896" s="13">
        <f t="shared" si="386"/>
        <v>176459.46965819036</v>
      </c>
      <c r="M1896" s="14">
        <f t="shared" si="387"/>
        <v>594.39467394593362</v>
      </c>
      <c r="N1896" s="14">
        <f t="shared" si="388"/>
        <v>29.158725121700741</v>
      </c>
      <c r="O1896" s="1">
        <f t="shared" si="389"/>
        <v>3.1625148919709645</v>
      </c>
      <c r="P1896" s="1">
        <f t="shared" si="390"/>
        <v>1709.6376606786282</v>
      </c>
      <c r="S1896" s="6">
        <f t="shared" si="384"/>
        <v>0.5238078441005567</v>
      </c>
      <c r="T1896" s="6">
        <f t="shared" si="385"/>
        <v>0.47619215589944414</v>
      </c>
      <c r="V1896" s="1">
        <f t="shared" si="391"/>
        <v>177382.6958144258</v>
      </c>
      <c r="W1896" s="7">
        <f t="shared" si="392"/>
        <v>3.5399501392976949E-3</v>
      </c>
      <c r="X1896" s="7">
        <f t="shared" si="393"/>
        <v>2.663118258071028E-3</v>
      </c>
      <c r="Y1896">
        <f>LN(B1896/B1895)</f>
        <v>6.4514614386730687E-3</v>
      </c>
      <c r="Z1896">
        <f>LN(C1896/C1895)</f>
        <v>3.4706969013109185E-4</v>
      </c>
    </row>
    <row r="1897" spans="1:26" x14ac:dyDescent="0.3">
      <c r="A1897" s="9">
        <v>42971</v>
      </c>
      <c r="B1897" s="1">
        <v>29505.96</v>
      </c>
      <c r="C1897" s="1">
        <v>49.167018900000002</v>
      </c>
      <c r="D1897" s="6">
        <f t="shared" si="395"/>
        <v>9.5442537570555874E-3</v>
      </c>
      <c r="E1897" s="5">
        <f t="shared" si="394"/>
        <v>3.471661318303898E-4</v>
      </c>
      <c r="G1897" s="25" t="str">
        <f>IF(VLOOKUP(A1897,Aux!B:C,2,FALSE)=0,"",VLOOKUP(A1897,Aux!B:C,2,FALSE))</f>
        <v/>
      </c>
      <c r="H1897" s="25" t="str">
        <f t="shared" si="383"/>
        <v/>
      </c>
      <c r="L1897" s="13">
        <f t="shared" si="386"/>
        <v>177370.82507663735</v>
      </c>
      <c r="M1897" s="14">
        <f t="shared" si="387"/>
        <v>882.1835291153028</v>
      </c>
      <c r="N1897" s="14">
        <f t="shared" si="388"/>
        <v>29.171889331696029</v>
      </c>
      <c r="O1897" s="1">
        <f t="shared" si="389"/>
        <v>3.1625148919709645</v>
      </c>
      <c r="P1897" s="1">
        <f t="shared" si="390"/>
        <v>1709.6376606786282</v>
      </c>
      <c r="S1897" s="6">
        <f t="shared" si="384"/>
        <v>0.52609011578753972</v>
      </c>
      <c r="T1897" s="6">
        <f t="shared" si="385"/>
        <v>0.47390988421246116</v>
      </c>
      <c r="V1897" s="1">
        <f t="shared" si="391"/>
        <v>178064.41586076622</v>
      </c>
      <c r="W1897" s="7">
        <f t="shared" si="392"/>
        <v>5.1513815937967045E-3</v>
      </c>
      <c r="X1897" s="7">
        <f t="shared" si="393"/>
        <v>3.8358498906641905E-3</v>
      </c>
      <c r="Y1897">
        <f>LN(B1897/B1896)</f>
        <v>9.4989951126087883E-3</v>
      </c>
      <c r="Z1897">
        <f>LN(C1897/C1896)</f>
        <v>3.4710588361253525E-4</v>
      </c>
    </row>
    <row r="1898" spans="1:26" x14ac:dyDescent="0.3">
      <c r="A1898" s="11">
        <v>42972</v>
      </c>
      <c r="B1898" s="12">
        <v>29484.75</v>
      </c>
      <c r="C1898" s="12">
        <v>49.184085799999998</v>
      </c>
      <c r="D1898" s="16">
        <f t="shared" si="395"/>
        <v>-7.1883782124015916E-4</v>
      </c>
      <c r="E1898" s="15">
        <f t="shared" si="394"/>
        <v>3.4712090303279375E-4</v>
      </c>
      <c r="G1898" s="25" t="str">
        <f>IF(VLOOKUP(A1898,Aux!B:C,2,FALSE)=0,"",VLOOKUP(A1898,Aux!B:C,2,FALSE))</f>
        <v/>
      </c>
      <c r="H1898" s="25" t="str">
        <f t="shared" si="383"/>
        <v/>
      </c>
      <c r="L1898" s="13">
        <f t="shared" si="386"/>
        <v>177332.92635076967</v>
      </c>
      <c r="M1898" s="14">
        <f t="shared" si="387"/>
        <v>-67.076940858701391</v>
      </c>
      <c r="N1898" s="14">
        <f t="shared" si="388"/>
        <v>29.178214991029428</v>
      </c>
      <c r="O1898" s="1">
        <f t="shared" si="389"/>
        <v>3.1625148919709645</v>
      </c>
      <c r="P1898" s="1">
        <f t="shared" si="390"/>
        <v>1709.6376606786282</v>
      </c>
      <c r="S1898" s="6">
        <f t="shared" si="384"/>
        <v>0.52582429490052895</v>
      </c>
      <c r="T1898" s="6">
        <f t="shared" si="385"/>
        <v>0.47417570509947193</v>
      </c>
      <c r="V1898" s="1">
        <f t="shared" si="391"/>
        <v>178053.66456484376</v>
      </c>
      <c r="W1898" s="7">
        <f t="shared" si="392"/>
        <v>-2.1369227621290411E-4</v>
      </c>
      <c r="X1898" s="7">
        <f t="shared" si="393"/>
        <v>-6.0380511502793674E-5</v>
      </c>
      <c r="Y1898">
        <f>LN(B1898/B1897)</f>
        <v>-7.1909630902807062E-4</v>
      </c>
      <c r="Z1898">
        <f>LN(C1898/C1897)</f>
        <v>3.4706067051037455E-4</v>
      </c>
    </row>
    <row r="1899" spans="1:26" x14ac:dyDescent="0.3">
      <c r="A1899" s="9">
        <v>42975</v>
      </c>
      <c r="B1899" s="1">
        <v>29475.27</v>
      </c>
      <c r="C1899" s="1">
        <v>49.201160399999999</v>
      </c>
      <c r="D1899" s="6">
        <f t="shared" si="395"/>
        <v>-3.2152214280256608E-4</v>
      </c>
      <c r="E1899" s="5">
        <f t="shared" si="394"/>
        <v>3.4715700662668603E-4</v>
      </c>
      <c r="G1899" s="25" t="str">
        <f>IF(VLOOKUP(A1899,Aux!B:C,2,FALSE)=0,"",VLOOKUP(A1899,Aux!B:C,2,FALSE))</f>
        <v/>
      </c>
      <c r="H1899" s="25" t="str">
        <f t="shared" si="383"/>
        <v/>
      </c>
      <c r="L1899" s="13">
        <f t="shared" si="386"/>
        <v>177332.13708879481</v>
      </c>
      <c r="M1899" s="14">
        <f t="shared" si="387"/>
        <v>-29.980641175883363</v>
      </c>
      <c r="N1899" s="14">
        <f t="shared" si="388"/>
        <v>29.19137920102472</v>
      </c>
      <c r="O1899" s="1">
        <f t="shared" si="389"/>
        <v>3.1625148919709645</v>
      </c>
      <c r="P1899" s="1">
        <f t="shared" si="390"/>
        <v>1709.6376606786282</v>
      </c>
      <c r="S1899" s="6">
        <f t="shared" si="384"/>
        <v>0.52565757030937565</v>
      </c>
      <c r="T1899" s="6">
        <f t="shared" si="385"/>
        <v>0.47434242969062518</v>
      </c>
      <c r="V1899" s="1">
        <f t="shared" si="391"/>
        <v>178069.99201515884</v>
      </c>
      <c r="W1899" s="7">
        <f t="shared" si="392"/>
        <v>-4.4507455411496118E-6</v>
      </c>
      <c r="X1899" s="7">
        <f t="shared" si="393"/>
        <v>9.1695398633979554E-5</v>
      </c>
      <c r="Y1899">
        <f>LN(B1899/B1898)</f>
        <v>-3.2157384212867129E-4</v>
      </c>
      <c r="Z1899">
        <f>LN(C1899/C1898)</f>
        <v>3.4709676157565212E-4</v>
      </c>
    </row>
    <row r="1900" spans="1:26" x14ac:dyDescent="0.3">
      <c r="A1900" s="11">
        <v>42976</v>
      </c>
      <c r="B1900" s="12">
        <v>29587.39</v>
      </c>
      <c r="C1900" s="12">
        <v>49.218238800000002</v>
      </c>
      <c r="D1900" s="16">
        <f t="shared" si="395"/>
        <v>3.8038667669539894E-3</v>
      </c>
      <c r="E1900" s="15">
        <f t="shared" si="394"/>
        <v>3.4711376441443065E-4</v>
      </c>
      <c r="G1900" s="25" t="str">
        <f>IF(VLOOKUP(A1900,Aux!B:C,2,FALSE)=0,"",VLOOKUP(A1900,Aux!B:C,2,FALSE))</f>
        <v/>
      </c>
      <c r="H1900" s="25" t="str">
        <f t="shared" si="383"/>
        <v/>
      </c>
      <c r="L1900" s="13">
        <f t="shared" si="386"/>
        <v>177715.91613430675</v>
      </c>
      <c r="M1900" s="14">
        <f t="shared" si="387"/>
        <v>354.58116968778131</v>
      </c>
      <c r="N1900" s="14">
        <f t="shared" si="388"/>
        <v>29.197875824138332</v>
      </c>
      <c r="O1900" s="1">
        <f t="shared" si="389"/>
        <v>3.1625148919709645</v>
      </c>
      <c r="P1900" s="1">
        <f t="shared" si="390"/>
        <v>1709.6376606786282</v>
      </c>
      <c r="S1900" s="6">
        <f t="shared" si="384"/>
        <v>0.52651762163405735</v>
      </c>
      <c r="T1900" s="6">
        <f t="shared" si="385"/>
        <v>0.47348237836594342</v>
      </c>
      <c r="V1900" s="1">
        <f t="shared" si="391"/>
        <v>178366.86342016805</v>
      </c>
      <c r="W1900" s="7">
        <f t="shared" si="392"/>
        <v>2.1618436800096433E-3</v>
      </c>
      <c r="X1900" s="7">
        <f t="shared" si="393"/>
        <v>1.6657731608209511E-3</v>
      </c>
      <c r="Y1900">
        <f>LN(B1900/B1899)</f>
        <v>3.7966503601411126E-3</v>
      </c>
      <c r="Z1900">
        <f>LN(C1900/C1899)</f>
        <v>3.4705353436908978E-4</v>
      </c>
    </row>
    <row r="1901" spans="1:26" x14ac:dyDescent="0.3">
      <c r="A1901" s="9">
        <v>42977</v>
      </c>
      <c r="B1901" s="1">
        <v>29427.63</v>
      </c>
      <c r="C1901" s="1">
        <v>49.235324900000002</v>
      </c>
      <c r="D1901" s="6">
        <f t="shared" si="395"/>
        <v>-5.3995975988418987E-3</v>
      </c>
      <c r="E1901" s="5">
        <f t="shared" si="394"/>
        <v>3.471497643268151E-4</v>
      </c>
      <c r="G1901" s="25" t="str">
        <f>IF(VLOOKUP(A1901,Aux!B:C,2,FALSE)=0,"",VLOOKUP(A1901,Aux!B:C,2,FALSE))</f>
        <v/>
      </c>
      <c r="H1901" s="25" t="str">
        <f t="shared" si="383"/>
        <v/>
      </c>
      <c r="L1901" s="13">
        <f t="shared" si="386"/>
        <v>177239.88379519962</v>
      </c>
      <c r="M1901" s="14">
        <f t="shared" si="387"/>
        <v>-505.24337914127619</v>
      </c>
      <c r="N1901" s="14">
        <f t="shared" si="388"/>
        <v>29.211040034121478</v>
      </c>
      <c r="O1901" s="1">
        <f t="shared" si="389"/>
        <v>3.1625148919709645</v>
      </c>
      <c r="P1901" s="1">
        <f t="shared" si="390"/>
        <v>1709.6376606786282</v>
      </c>
      <c r="S1901" s="6">
        <f t="shared" si="384"/>
        <v>0.52508112800360629</v>
      </c>
      <c r="T1901" s="6">
        <f t="shared" si="385"/>
        <v>0.47491887199639438</v>
      </c>
      <c r="V1901" s="1">
        <f t="shared" si="391"/>
        <v>178036.51538068394</v>
      </c>
      <c r="W1901" s="7">
        <f t="shared" si="392"/>
        <v>-2.6822078951380195E-3</v>
      </c>
      <c r="X1901" s="7">
        <f t="shared" si="393"/>
        <v>-1.8537878916851391E-3</v>
      </c>
      <c r="Y1901">
        <f>LN(B1901/B1900)</f>
        <v>-5.414228115658646E-3</v>
      </c>
      <c r="Z1901">
        <f>LN(C1901/C1900)</f>
        <v>3.4708952178909763E-4</v>
      </c>
    </row>
    <row r="1902" spans="1:26" x14ac:dyDescent="0.3">
      <c r="A1902" s="11">
        <v>42978</v>
      </c>
      <c r="B1902" s="12">
        <v>29427.9</v>
      </c>
      <c r="C1902" s="12">
        <v>49.252414700000003</v>
      </c>
      <c r="D1902" s="16">
        <f t="shared" si="395"/>
        <v>9.1750507940080439E-6</v>
      </c>
      <c r="E1902" s="15">
        <f t="shared" si="394"/>
        <v>3.4710444248542416E-4</v>
      </c>
      <c r="G1902" s="25" t="str">
        <f>IF(VLOOKUP(A1902,Aux!B:C,2,FALSE)=0,"",VLOOKUP(A1902,Aux!B:C,2,FALSE))</f>
        <v/>
      </c>
      <c r="H1902" s="25" t="str">
        <f t="shared" si="383"/>
        <v/>
      </c>
      <c r="L1902" s="13">
        <f t="shared" si="386"/>
        <v>177269.95503991394</v>
      </c>
      <c r="M1902" s="14">
        <f t="shared" si="387"/>
        <v>0.85387902083354106</v>
      </c>
      <c r="N1902" s="14">
        <f t="shared" si="388"/>
        <v>29.217365693467023</v>
      </c>
      <c r="O1902" s="1">
        <f t="shared" si="389"/>
        <v>3.1625148919709645</v>
      </c>
      <c r="P1902" s="1">
        <f t="shared" si="390"/>
        <v>1709.6376606786282</v>
      </c>
      <c r="S1902" s="6">
        <f t="shared" si="384"/>
        <v>0.52499687252968308</v>
      </c>
      <c r="T1902" s="6">
        <f t="shared" si="385"/>
        <v>0.47500312747031742</v>
      </c>
      <c r="V1902" s="1">
        <f t="shared" si="391"/>
        <v>178075.37042646925</v>
      </c>
      <c r="W1902" s="7">
        <f t="shared" si="392"/>
        <v>1.6964970498567809E-4</v>
      </c>
      <c r="X1902" s="7">
        <f t="shared" si="393"/>
        <v>2.1821819202375991E-4</v>
      </c>
      <c r="Y1902">
        <f>LN(B1902/B1901)</f>
        <v>9.1750087034869628E-6</v>
      </c>
      <c r="Z1902">
        <f>LN(C1902/C1901)</f>
        <v>3.4704421567468695E-4</v>
      </c>
    </row>
    <row r="1903" spans="1:26" x14ac:dyDescent="0.3">
      <c r="A1903" s="9">
        <v>42979</v>
      </c>
      <c r="B1903" s="1">
        <v>29846.46</v>
      </c>
      <c r="C1903" s="1">
        <v>49.269512200000001</v>
      </c>
      <c r="D1903" s="6">
        <f t="shared" si="395"/>
        <v>1.4223237132109157E-2</v>
      </c>
      <c r="E1903" s="5">
        <f t="shared" si="394"/>
        <v>3.4714034030902674E-4</v>
      </c>
      <c r="G1903" s="25" t="str">
        <f>IF(VLOOKUP(A1903,Aux!B:C,2,FALSE)=0,"",VLOOKUP(A1903,Aux!B:C,2,FALSE))</f>
        <v/>
      </c>
      <c r="H1903" s="25" t="str">
        <f t="shared" si="383"/>
        <v/>
      </c>
      <c r="L1903" s="13">
        <f t="shared" si="386"/>
        <v>178622.88780300078</v>
      </c>
      <c r="M1903" s="14">
        <f t="shared" si="387"/>
        <v>1323.7022331833596</v>
      </c>
      <c r="N1903" s="14">
        <f t="shared" si="388"/>
        <v>29.230529903450169</v>
      </c>
      <c r="O1903" s="1">
        <f t="shared" si="389"/>
        <v>3.1625148919709645</v>
      </c>
      <c r="P1903" s="1">
        <f t="shared" si="390"/>
        <v>1709.6376606786282</v>
      </c>
      <c r="S1903" s="6">
        <f t="shared" si="384"/>
        <v>0.52843101678389726</v>
      </c>
      <c r="T1903" s="6">
        <f t="shared" si="385"/>
        <v>0.47156898321610302</v>
      </c>
      <c r="V1903" s="1">
        <f t="shared" si="391"/>
        <v>179079.252360037</v>
      </c>
      <c r="W1903" s="7">
        <f t="shared" si="392"/>
        <v>7.6030710235889271E-3</v>
      </c>
      <c r="X1903" s="7">
        <f t="shared" si="393"/>
        <v>5.6215684369968584E-3</v>
      </c>
      <c r="Y1903">
        <f>LN(B1903/B1902)</f>
        <v>1.4123035901076192E-2</v>
      </c>
      <c r="Z1903">
        <f>LN(C1903/C1902)</f>
        <v>3.4708010104167513E-4</v>
      </c>
    </row>
    <row r="1904" spans="1:26" x14ac:dyDescent="0.3">
      <c r="A1904" s="11">
        <v>42982</v>
      </c>
      <c r="B1904" s="12">
        <v>29947.759999999998</v>
      </c>
      <c r="C1904" s="12">
        <v>49.286613500000001</v>
      </c>
      <c r="D1904" s="16">
        <f t="shared" si="395"/>
        <v>3.3940373498231313E-3</v>
      </c>
      <c r="E1904" s="15">
        <f t="shared" si="394"/>
        <v>3.4709700251500664E-4</v>
      </c>
      <c r="G1904" s="25" t="str">
        <f>IF(VLOOKUP(A1904,Aux!B:C,2,FALSE)=0,"",VLOOKUP(A1904,Aux!B:C,2,FALSE))</f>
        <v/>
      </c>
      <c r="H1904" s="25" t="str">
        <f t="shared" si="383"/>
        <v/>
      </c>
      <c r="L1904" s="13">
        <f t="shared" si="386"/>
        <v>178972.48758808398</v>
      </c>
      <c r="M1904" s="14">
        <f t="shared" si="387"/>
        <v>320.36275855665639</v>
      </c>
      <c r="N1904" s="14">
        <f t="shared" si="388"/>
        <v>29.237026526563781</v>
      </c>
      <c r="O1904" s="1">
        <f t="shared" si="389"/>
        <v>3.1625148919709645</v>
      </c>
      <c r="P1904" s="1">
        <f t="shared" si="390"/>
        <v>1709.6376606786282</v>
      </c>
      <c r="S1904" s="6">
        <f t="shared" si="384"/>
        <v>0.52918880581887928</v>
      </c>
      <c r="T1904" s="6">
        <f t="shared" si="385"/>
        <v>0.47081119418112111</v>
      </c>
      <c r="V1904" s="1">
        <f t="shared" si="391"/>
        <v>179351.21287689399</v>
      </c>
      <c r="W1904" s="7">
        <f t="shared" si="392"/>
        <v>1.9552819780246592E-3</v>
      </c>
      <c r="X1904" s="7">
        <f t="shared" si="393"/>
        <v>1.5175081106295748E-3</v>
      </c>
      <c r="Y1904">
        <f>LN(B1904/B1903)</f>
        <v>3.3882906044982045E-3</v>
      </c>
      <c r="Z1904">
        <f>LN(C1904/C1903)</f>
        <v>3.4703677828579248E-4</v>
      </c>
    </row>
    <row r="1905" spans="1:26" x14ac:dyDescent="0.3">
      <c r="A1905" s="9">
        <v>42983</v>
      </c>
      <c r="B1905" s="1">
        <v>29968.95</v>
      </c>
      <c r="C1905" s="1">
        <v>49.303722399999998</v>
      </c>
      <c r="D1905" s="6">
        <f t="shared" si="395"/>
        <v>7.0756544062078319E-4</v>
      </c>
      <c r="E1905" s="5">
        <f t="shared" si="394"/>
        <v>3.4713076807357801E-4</v>
      </c>
      <c r="G1905" s="25" t="str">
        <f>IF(VLOOKUP(A1905,Aux!B:C,2,FALSE)=0,"",VLOOKUP(A1905,Aux!B:C,2,FALSE))</f>
        <v/>
      </c>
      <c r="H1905" s="25" t="str">
        <f t="shared" si="383"/>
        <v/>
      </c>
      <c r="L1905" s="13">
        <f t="shared" si="386"/>
        <v>179068.75129841766</v>
      </c>
      <c r="M1905" s="14">
        <f t="shared" si="387"/>
        <v>67.013690560872107</v>
      </c>
      <c r="N1905" s="14">
        <f t="shared" si="388"/>
        <v>29.25001977277886</v>
      </c>
      <c r="O1905" s="1">
        <f t="shared" si="389"/>
        <v>3.1625148919709645</v>
      </c>
      <c r="P1905" s="1">
        <f t="shared" si="390"/>
        <v>1709.6376606786282</v>
      </c>
      <c r="S1905" s="6">
        <f t="shared" si="384"/>
        <v>0.52927855912608213</v>
      </c>
      <c r="T1905" s="6">
        <f t="shared" si="385"/>
        <v>0.47072144087391821</v>
      </c>
      <c r="V1905" s="1">
        <f t="shared" si="391"/>
        <v>179438.37382369483</v>
      </c>
      <c r="W1905" s="7">
        <f t="shared" si="392"/>
        <v>5.3772416246004949E-4</v>
      </c>
      <c r="X1905" s="7">
        <f t="shared" si="393"/>
        <v>4.8586108263041448E-4</v>
      </c>
      <c r="Y1905">
        <f>LN(B1905/B1904)</f>
        <v>7.0731523421238454E-4</v>
      </c>
      <c r="Z1905">
        <f>LN(C1905/C1904)</f>
        <v>3.4707053212793655E-4</v>
      </c>
    </row>
    <row r="1906" spans="1:26" x14ac:dyDescent="0.3">
      <c r="A1906" s="11">
        <v>42984</v>
      </c>
      <c r="B1906" s="12">
        <v>30458.47</v>
      </c>
      <c r="C1906" s="12">
        <v>49.320838899999998</v>
      </c>
      <c r="D1906" s="16">
        <f t="shared" si="395"/>
        <v>1.6334239270978879E-2</v>
      </c>
      <c r="E1906" s="15">
        <f t="shared" si="394"/>
        <v>3.4716445669435991E-4</v>
      </c>
      <c r="G1906" s="25" t="str">
        <f>IF(VLOOKUP(A1906,Aux!B:C,2,FALSE)=0,"",VLOOKUP(A1906,Aux!B:C,2,FALSE))</f>
        <v/>
      </c>
      <c r="H1906" s="25" t="str">
        <f t="shared" si="383"/>
        <v/>
      </c>
      <c r="L1906" s="13">
        <f t="shared" si="386"/>
        <v>180646.12860135428</v>
      </c>
      <c r="M1906" s="14">
        <f t="shared" si="387"/>
        <v>1548.114289917628</v>
      </c>
      <c r="N1906" s="14">
        <f t="shared" si="388"/>
        <v>29.263013019006085</v>
      </c>
      <c r="O1906" s="1">
        <f t="shared" si="389"/>
        <v>3.1625148919709645</v>
      </c>
      <c r="P1906" s="1">
        <f t="shared" si="390"/>
        <v>1709.6376606786282</v>
      </c>
      <c r="S1906" s="6">
        <f t="shared" si="384"/>
        <v>0.53322684359441463</v>
      </c>
      <c r="T1906" s="6">
        <f t="shared" si="385"/>
        <v>0.46677315640558564</v>
      </c>
      <c r="V1906" s="1">
        <f t="shared" si="391"/>
        <v>180606.00546497345</v>
      </c>
      <c r="W1906" s="7">
        <f t="shared" si="392"/>
        <v>8.7702094164201841E-3</v>
      </c>
      <c r="X1906" s="7">
        <f t="shared" si="393"/>
        <v>6.4860656178654923E-3</v>
      </c>
      <c r="Y1906">
        <f>LN(B1906/B1905)</f>
        <v>1.6202270716074729E-2</v>
      </c>
      <c r="Z1906">
        <f>LN(C1906/C1905)</f>
        <v>3.4710420905785262E-4</v>
      </c>
    </row>
    <row r="1907" spans="1:26" x14ac:dyDescent="0.3">
      <c r="A1907" s="9">
        <v>42986</v>
      </c>
      <c r="B1907" s="1">
        <v>30350.46</v>
      </c>
      <c r="C1907" s="1">
        <v>49.337959300000001</v>
      </c>
      <c r="D1907" s="6">
        <f t="shared" si="395"/>
        <v>-3.5461400392075015E-3</v>
      </c>
      <c r="E1907" s="5">
        <f t="shared" si="394"/>
        <v>3.4712304944184424E-4</v>
      </c>
      <c r="G1907" s="25" t="str">
        <f>IF(VLOOKUP(A1907,Aux!B:C,2,FALSE)=0,"",VLOOKUP(A1907,Aux!B:C,2,FALSE))</f>
        <v/>
      </c>
      <c r="H1907" s="25" t="str">
        <f t="shared" si="383"/>
        <v/>
      </c>
      <c r="L1907" s="13">
        <f t="shared" si="386"/>
        <v>180333.81504847837</v>
      </c>
      <c r="M1907" s="14">
        <f t="shared" si="387"/>
        <v>-341.58323348179033</v>
      </c>
      <c r="N1907" s="14">
        <f t="shared" si="388"/>
        <v>29.269680605887761</v>
      </c>
      <c r="O1907" s="1">
        <f t="shared" si="389"/>
        <v>3.1625148919709645</v>
      </c>
      <c r="P1907" s="1">
        <f t="shared" si="390"/>
        <v>1709.6376606786282</v>
      </c>
      <c r="S1907" s="6">
        <f t="shared" si="384"/>
        <v>0.53225614786869657</v>
      </c>
      <c r="T1907" s="6">
        <f t="shared" si="385"/>
        <v>0.46774385213130393</v>
      </c>
      <c r="V1907" s="1">
        <f t="shared" si="391"/>
        <v>180395.12321935745</v>
      </c>
      <c r="W1907" s="7">
        <f t="shared" si="392"/>
        <v>-1.7303655579568979E-3</v>
      </c>
      <c r="X1907" s="7">
        <f t="shared" si="393"/>
        <v>-1.1683191704795442E-3</v>
      </c>
      <c r="Y1907">
        <f>LN(B1907/B1906)</f>
        <v>-3.5524424978082155E-3</v>
      </c>
      <c r="Z1907">
        <f>LN(C1907/C1906)</f>
        <v>3.4706281617461783E-4</v>
      </c>
    </row>
    <row r="1908" spans="1:26" x14ac:dyDescent="0.3">
      <c r="A1908" s="11">
        <v>42989</v>
      </c>
      <c r="B1908" s="12">
        <v>30843.98</v>
      </c>
      <c r="C1908" s="12">
        <v>49.353282900000004</v>
      </c>
      <c r="D1908" s="16">
        <f t="shared" si="395"/>
        <v>1.6260709063388168E-2</v>
      </c>
      <c r="E1908" s="15">
        <f t="shared" si="394"/>
        <v>3.1058439014119976E-4</v>
      </c>
      <c r="G1908" s="25" t="str">
        <f>IF(VLOOKUP(A1908,Aux!B:C,2,FALSE)=0,"",VLOOKUP(A1908,Aux!B:C,2,FALSE))</f>
        <v/>
      </c>
      <c r="H1908" s="25" t="str">
        <f t="shared" si="383"/>
        <v/>
      </c>
      <c r="L1908" s="13">
        <f t="shared" si="386"/>
        <v>181920.77720162107</v>
      </c>
      <c r="M1908" s="14">
        <f t="shared" si="387"/>
        <v>1560.7643494855117</v>
      </c>
      <c r="N1908" s="14">
        <f t="shared" si="388"/>
        <v>26.197803657178621</v>
      </c>
      <c r="O1908" s="1">
        <f t="shared" si="389"/>
        <v>3.1625148919709645</v>
      </c>
      <c r="P1908" s="1">
        <f t="shared" si="390"/>
        <v>1709.6376606786282</v>
      </c>
      <c r="S1908" s="6">
        <f t="shared" si="384"/>
        <v>0.53619244364565843</v>
      </c>
      <c r="T1908" s="6">
        <f t="shared" si="385"/>
        <v>0.4638075563543419</v>
      </c>
      <c r="V1908" s="1">
        <f t="shared" si="391"/>
        <v>181567.9720457666</v>
      </c>
      <c r="W1908" s="7">
        <f t="shared" si="392"/>
        <v>8.761640786276885E-3</v>
      </c>
      <c r="X1908" s="7">
        <f t="shared" si="393"/>
        <v>6.4805111152408433E-3</v>
      </c>
      <c r="Y1908">
        <f>LN(B1908/B1907)</f>
        <v>1.6129919648113014E-2</v>
      </c>
      <c r="Z1908">
        <f>LN(C1908/C1907)</f>
        <v>3.1053616879377354E-4</v>
      </c>
    </row>
    <row r="1909" spans="1:26" x14ac:dyDescent="0.3">
      <c r="A1909" s="9">
        <v>42990</v>
      </c>
      <c r="B1909" s="1">
        <v>30914.93</v>
      </c>
      <c r="C1909" s="1">
        <v>49.368610400000001</v>
      </c>
      <c r="D1909" s="6">
        <f t="shared" si="395"/>
        <v>2.3002867982666597E-3</v>
      </c>
      <c r="E1909" s="5">
        <f t="shared" si="394"/>
        <v>3.1056697952713819E-4</v>
      </c>
      <c r="G1909" s="25" t="str">
        <f>IF(VLOOKUP(A1909,Aux!B:C,2,FALSE)=0,"",VLOOKUP(A1909,Aux!B:C,2,FALSE))</f>
        <v/>
      </c>
      <c r="H1909" s="25" t="str">
        <f t="shared" si="383"/>
        <v/>
      </c>
      <c r="L1909" s="13">
        <f t="shared" si="386"/>
        <v>182171.36210445044</v>
      </c>
      <c r="M1909" s="14">
        <f t="shared" si="387"/>
        <v>224.38043158534222</v>
      </c>
      <c r="N1909" s="14">
        <f t="shared" si="388"/>
        <v>26.20447124404815</v>
      </c>
      <c r="O1909" s="1">
        <f t="shared" si="389"/>
        <v>3.1625148919709645</v>
      </c>
      <c r="P1909" s="1">
        <f t="shared" si="390"/>
        <v>1709.6376606786282</v>
      </c>
      <c r="S1909" s="6">
        <f t="shared" si="384"/>
        <v>0.53668658662815938</v>
      </c>
      <c r="T1909" s="6">
        <f t="shared" si="385"/>
        <v>0.46331341337184112</v>
      </c>
      <c r="V1909" s="1">
        <f t="shared" si="391"/>
        <v>181765.94582541462</v>
      </c>
      <c r="W1909" s="7">
        <f t="shared" si="392"/>
        <v>1.3764919114862041E-3</v>
      </c>
      <c r="X1909" s="7">
        <f t="shared" si="393"/>
        <v>1.0897622792854526E-3</v>
      </c>
      <c r="Y1909">
        <f>LN(B1909/B1908)</f>
        <v>2.2976451887868794E-3</v>
      </c>
      <c r="Z1909">
        <f>LN(C1909/C1908)</f>
        <v>3.1051876358534651E-4</v>
      </c>
    </row>
    <row r="1910" spans="1:26" x14ac:dyDescent="0.3">
      <c r="A1910" s="11">
        <v>42991</v>
      </c>
      <c r="B1910" s="12">
        <v>31034.25</v>
      </c>
      <c r="C1910" s="12">
        <v>49.383945500000003</v>
      </c>
      <c r="D1910" s="16">
        <f t="shared" si="395"/>
        <v>3.8596238128307814E-3</v>
      </c>
      <c r="E1910" s="15">
        <f t="shared" si="394"/>
        <v>3.1062450159624611E-4</v>
      </c>
      <c r="G1910" s="25" t="str">
        <f>IF(VLOOKUP(A1910,Aux!B:C,2,FALSE)=0,"",VLOOKUP(A1910,Aux!B:C,2,FALSE))</f>
        <v/>
      </c>
      <c r="H1910" s="25" t="str">
        <f t="shared" si="383"/>
        <v/>
      </c>
      <c r="L1910" s="13">
        <f t="shared" si="386"/>
        <v>182574.93084585067</v>
      </c>
      <c r="M1910" s="14">
        <f t="shared" si="387"/>
        <v>377.35127690997456</v>
      </c>
      <c r="N1910" s="14">
        <f t="shared" si="388"/>
        <v>26.217464490275379</v>
      </c>
      <c r="O1910" s="1">
        <f t="shared" si="389"/>
        <v>3.1625148919709645</v>
      </c>
      <c r="P1910" s="1">
        <f t="shared" si="390"/>
        <v>1709.6376606786282</v>
      </c>
      <c r="S1910" s="6">
        <f t="shared" si="384"/>
        <v>0.53756710919428208</v>
      </c>
      <c r="T1910" s="6">
        <f t="shared" si="385"/>
        <v>0.46243289080571848</v>
      </c>
      <c r="V1910" s="1">
        <f t="shared" si="391"/>
        <v>182075.52788926102</v>
      </c>
      <c r="W1910" s="7">
        <f t="shared" si="392"/>
        <v>2.2128746138546443E-3</v>
      </c>
      <c r="X1910" s="7">
        <f t="shared" si="393"/>
        <v>1.7017418899293992E-3</v>
      </c>
      <c r="Y1910">
        <f>LN(B1910/B1909)</f>
        <v>3.8521945747495329E-3</v>
      </c>
      <c r="Z1910">
        <f>LN(C1910/C1909)</f>
        <v>3.1057626779389217E-4</v>
      </c>
    </row>
    <row r="1911" spans="1:26" x14ac:dyDescent="0.3">
      <c r="A1911" s="9">
        <v>42992</v>
      </c>
      <c r="B1911" s="1">
        <v>31011.38</v>
      </c>
      <c r="C1911" s="1">
        <v>49.399284399999999</v>
      </c>
      <c r="D1911" s="6">
        <f t="shared" si="395"/>
        <v>-7.3692774918032722E-4</v>
      </c>
      <c r="E1911" s="5">
        <f t="shared" si="394"/>
        <v>3.1060499206159164E-4</v>
      </c>
      <c r="G1911" s="25" t="str">
        <f>IF(VLOOKUP(A1911,Aux!B:C,2,FALSE)=0,"",VLOOKUP(A1911,Aux!B:C,2,FALSE))</f>
        <v/>
      </c>
      <c r="H1911" s="25" t="str">
        <f t="shared" si="383"/>
        <v/>
      </c>
      <c r="L1911" s="13">
        <f t="shared" si="386"/>
        <v>182528.82809138467</v>
      </c>
      <c r="M1911" s="14">
        <f t="shared" si="387"/>
        <v>-72.326715579372731</v>
      </c>
      <c r="N1911" s="14">
        <f t="shared" si="388"/>
        <v>26.223961113376841</v>
      </c>
      <c r="O1911" s="1">
        <f t="shared" si="389"/>
        <v>3.1625148919709645</v>
      </c>
      <c r="P1911" s="1">
        <f t="shared" si="390"/>
        <v>1709.6376606786282</v>
      </c>
      <c r="S1911" s="6">
        <f t="shared" si="384"/>
        <v>0.53730663860652705</v>
      </c>
      <c r="T1911" s="6">
        <f t="shared" si="385"/>
        <v>0.46269336139347356</v>
      </c>
      <c r="V1911" s="1">
        <f t="shared" si="391"/>
        <v>182057.08115037798</v>
      </c>
      <c r="W1911" s="7">
        <f t="shared" si="392"/>
        <v>-2.525460425016756E-4</v>
      </c>
      <c r="X1911" s="7">
        <f t="shared" si="393"/>
        <v>-1.0131879672883281E-4</v>
      </c>
      <c r="Y1911">
        <f>LN(B1911/B1910)</f>
        <v>-7.3719941390713308E-4</v>
      </c>
      <c r="Z1911">
        <f>LN(C1911/C1910)</f>
        <v>3.1055676431730517E-4</v>
      </c>
    </row>
    <row r="1912" spans="1:26" x14ac:dyDescent="0.3">
      <c r="A1912" s="11">
        <v>42993</v>
      </c>
      <c r="B1912" s="12">
        <v>31452.32</v>
      </c>
      <c r="C1912" s="12">
        <v>49.414627099999997</v>
      </c>
      <c r="D1912" s="16">
        <f t="shared" si="395"/>
        <v>1.4218651346699085E-2</v>
      </c>
      <c r="E1912" s="15">
        <f t="shared" si="394"/>
        <v>3.1058547074813703E-4</v>
      </c>
      <c r="G1912" s="25" t="str">
        <f>IF(VLOOKUP(A1912,Aux!B:C,2,FALSE)=0,"",VLOOKUP(A1912,Aux!B:C,2,FALSE))</f>
        <v/>
      </c>
      <c r="H1912" s="25" t="str">
        <f t="shared" si="383"/>
        <v/>
      </c>
      <c r="L1912" s="13">
        <f t="shared" si="386"/>
        <v>183949.53786558684</v>
      </c>
      <c r="M1912" s="14">
        <f t="shared" si="387"/>
        <v>1394.479316465673</v>
      </c>
      <c r="N1912" s="14">
        <f t="shared" si="388"/>
        <v>26.230457736490454</v>
      </c>
      <c r="O1912" s="1">
        <f t="shared" si="389"/>
        <v>3.1625148919709645</v>
      </c>
      <c r="P1912" s="1">
        <f t="shared" si="390"/>
        <v>1709.6376606786282</v>
      </c>
      <c r="S1912" s="6">
        <f t="shared" si="384"/>
        <v>0.54073759326168269</v>
      </c>
      <c r="T1912" s="6">
        <f t="shared" si="385"/>
        <v>0.45926240673831781</v>
      </c>
      <c r="V1912" s="1">
        <f t="shared" si="391"/>
        <v>183108.66880675888</v>
      </c>
      <c r="W1912" s="7">
        <f t="shared" si="392"/>
        <v>7.7533465724566718E-3</v>
      </c>
      <c r="X1912" s="7">
        <f t="shared" si="393"/>
        <v>5.759524618354322E-3</v>
      </c>
      <c r="Y1912">
        <f>LN(B1912/B1911)</f>
        <v>1.4118514415460925E-2</v>
      </c>
      <c r="Z1912">
        <f>LN(C1912/C1911)</f>
        <v>3.1053724906519479E-4</v>
      </c>
    </row>
    <row r="1913" spans="1:26" x14ac:dyDescent="0.3">
      <c r="A1913" s="9">
        <v>42996</v>
      </c>
      <c r="B1913" s="1">
        <v>31539.84</v>
      </c>
      <c r="C1913" s="1">
        <v>49.429973599999997</v>
      </c>
      <c r="D1913" s="6">
        <f t="shared" si="395"/>
        <v>2.782624620377705E-3</v>
      </c>
      <c r="E1913" s="5">
        <f t="shared" si="394"/>
        <v>3.1056593767142537E-4</v>
      </c>
      <c r="G1913" s="25" t="str">
        <f>IF(VLOOKUP(A1913,Aux!B:C,2,FALSE)=0,"",VLOOKUP(A1913,Aux!B:C,2,FALSE))</f>
        <v/>
      </c>
      <c r="H1913" s="25" t="str">
        <f t="shared" si="383"/>
        <v/>
      </c>
      <c r="L1913" s="13">
        <f t="shared" si="386"/>
        <v>184252.55812329173</v>
      </c>
      <c r="M1913" s="14">
        <f t="shared" si="387"/>
        <v>276.78330334530017</v>
      </c>
      <c r="N1913" s="14">
        <f t="shared" si="388"/>
        <v>26.236954359604066</v>
      </c>
      <c r="O1913" s="1">
        <f t="shared" si="389"/>
        <v>3.1625148919709645</v>
      </c>
      <c r="P1913" s="1">
        <f t="shared" si="390"/>
        <v>1709.6376606786282</v>
      </c>
      <c r="S1913" s="6">
        <f t="shared" si="384"/>
        <v>0.54135049578870686</v>
      </c>
      <c r="T1913" s="6">
        <f t="shared" si="385"/>
        <v>0.4586495042112938</v>
      </c>
      <c r="V1913" s="1">
        <f t="shared" si="391"/>
        <v>183344.91266154539</v>
      </c>
      <c r="W1913" s="7">
        <f t="shared" si="392"/>
        <v>1.6459456880675782E-3</v>
      </c>
      <c r="X1913" s="7">
        <f t="shared" si="393"/>
        <v>1.2893523188837752E-3</v>
      </c>
      <c r="Y1913">
        <f>LN(B1913/B1912)</f>
        <v>2.7787602874874556E-3</v>
      </c>
      <c r="Z1913">
        <f>LN(C1913/C1912)</f>
        <v>3.1051772205309869E-4</v>
      </c>
    </row>
    <row r="1914" spans="1:26" x14ac:dyDescent="0.3">
      <c r="A1914" s="11">
        <v>42997</v>
      </c>
      <c r="B1914" s="12">
        <v>31528.46</v>
      </c>
      <c r="C1914" s="12">
        <v>49.445327800000001</v>
      </c>
      <c r="D1914" s="16">
        <f t="shared" si="395"/>
        <v>-3.6081349810279661E-4</v>
      </c>
      <c r="E1914" s="15">
        <f t="shared" si="394"/>
        <v>3.1062529234304748E-4</v>
      </c>
      <c r="G1914" s="25" t="str">
        <f>IF(VLOOKUP(A1914,Aux!B:C,2,FALSE)=0,"",VLOOKUP(A1914,Aux!B:C,2,FALSE))</f>
        <v/>
      </c>
      <c r="H1914" s="25" t="str">
        <f t="shared" si="383"/>
        <v/>
      </c>
      <c r="L1914" s="13">
        <f t="shared" si="386"/>
        <v>184242.81882239069</v>
      </c>
      <c r="M1914" s="14">
        <f t="shared" si="387"/>
        <v>-35.989419470632797</v>
      </c>
      <c r="N1914" s="14">
        <f t="shared" si="388"/>
        <v>26.250118569599358</v>
      </c>
      <c r="O1914" s="1">
        <f t="shared" si="389"/>
        <v>3.1625148919709645</v>
      </c>
      <c r="P1914" s="1">
        <f t="shared" si="390"/>
        <v>1709.6376606786282</v>
      </c>
      <c r="S1914" s="6">
        <f t="shared" si="384"/>
        <v>0.54118377534719631</v>
      </c>
      <c r="T1914" s="6">
        <f t="shared" si="385"/>
        <v>0.45881622465280436</v>
      </c>
      <c r="V1914" s="1">
        <f t="shared" si="391"/>
        <v>183353.00798271137</v>
      </c>
      <c r="W1914" s="7">
        <f t="shared" si="392"/>
        <v>-5.2859826812692838E-5</v>
      </c>
      <c r="X1914" s="7">
        <f t="shared" si="393"/>
        <v>4.4152533797239551E-5</v>
      </c>
      <c r="Y1914">
        <f>LN(B1914/B1913)</f>
        <v>-3.6087860695490932E-4</v>
      </c>
      <c r="Z1914">
        <f>LN(C1914/C1913)</f>
        <v>3.1057705829514419E-4</v>
      </c>
    </row>
    <row r="1915" spans="1:26" x14ac:dyDescent="0.3">
      <c r="A1915" s="9">
        <v>42998</v>
      </c>
      <c r="B1915" s="1">
        <v>31538.06</v>
      </c>
      <c r="C1915" s="1">
        <v>49.460681899999997</v>
      </c>
      <c r="D1915" s="6">
        <f t="shared" si="395"/>
        <v>3.0448680335171119E-4</v>
      </c>
      <c r="E1915" s="5">
        <f t="shared" si="394"/>
        <v>3.1052681179710717E-4</v>
      </c>
      <c r="G1915" s="25" t="str">
        <f>IF(VLOOKUP(A1915,Aux!B:C,2,FALSE)=0,"",VLOOKUP(A1915,Aux!B:C,2,FALSE))</f>
        <v/>
      </c>
      <c r="H1915" s="25" t="str">
        <f t="shared" si="383"/>
        <v/>
      </c>
      <c r="L1915" s="13">
        <f t="shared" si="386"/>
        <v>184299.42891295944</v>
      </c>
      <c r="M1915" s="14">
        <f t="shared" si="387"/>
        <v>30.360142962928162</v>
      </c>
      <c r="N1915" s="14">
        <f t="shared" si="388"/>
        <v>26.249947605819145</v>
      </c>
      <c r="O1915" s="1">
        <f t="shared" si="389"/>
        <v>3.1625148919709645</v>
      </c>
      <c r="P1915" s="1">
        <f t="shared" si="390"/>
        <v>1709.6376606786282</v>
      </c>
      <c r="S1915" s="6">
        <f t="shared" si="384"/>
        <v>0.54118227605023461</v>
      </c>
      <c r="T1915" s="6">
        <f t="shared" si="385"/>
        <v>0.45881772394976611</v>
      </c>
      <c r="V1915" s="1">
        <f t="shared" si="391"/>
        <v>183409.5046740484</v>
      </c>
      <c r="W1915" s="7">
        <f t="shared" si="392"/>
        <v>3.0721086313348958E-4</v>
      </c>
      <c r="X1915" s="7">
        <f t="shared" si="393"/>
        <v>3.0808324097608713E-4</v>
      </c>
      <c r="Y1915">
        <f>LN(B1915/B1914)</f>
        <v>3.0444045665273701E-4</v>
      </c>
      <c r="Z1915">
        <f>LN(C1915/C1914)</f>
        <v>3.104786083254068E-4</v>
      </c>
    </row>
    <row r="1916" spans="1:26" x14ac:dyDescent="0.3">
      <c r="A1916" s="11">
        <v>42999</v>
      </c>
      <c r="B1916" s="12">
        <v>31369.279999999999</v>
      </c>
      <c r="C1916" s="12">
        <v>49.476043699999998</v>
      </c>
      <c r="D1916" s="16">
        <f t="shared" si="395"/>
        <v>-5.3516291109853009E-3</v>
      </c>
      <c r="E1916" s="15">
        <f t="shared" si="394"/>
        <v>3.1058609404244208E-4</v>
      </c>
      <c r="G1916" s="25" t="str">
        <f>IF(VLOOKUP(A1916,Aux!B:C,2,FALSE)=0,"",VLOOKUP(A1916,Aux!B:C,2,FALSE))</f>
        <v/>
      </c>
      <c r="H1916" s="25" t="str">
        <f t="shared" si="383"/>
        <v/>
      </c>
      <c r="L1916" s="13">
        <f t="shared" si="386"/>
        <v>183791.92276130838</v>
      </c>
      <c r="M1916" s="14">
        <f t="shared" si="387"/>
        <v>-533.76926346686719</v>
      </c>
      <c r="N1916" s="14">
        <f t="shared" si="388"/>
        <v>26.263111815814437</v>
      </c>
      <c r="O1916" s="1">
        <f t="shared" si="389"/>
        <v>3.1625148919709645</v>
      </c>
      <c r="P1916" s="1">
        <f t="shared" si="390"/>
        <v>1709.6376606786282</v>
      </c>
      <c r="S1916" s="6">
        <f t="shared" si="384"/>
        <v>0.5397724429884011</v>
      </c>
      <c r="T1916" s="6">
        <f t="shared" si="385"/>
        <v>0.46022755701159973</v>
      </c>
      <c r="V1916" s="1">
        <f t="shared" si="391"/>
        <v>183054.48969153958</v>
      </c>
      <c r="W1916" s="7">
        <f t="shared" si="392"/>
        <v>-2.757502836862749E-3</v>
      </c>
      <c r="X1916" s="7">
        <f t="shared" si="393"/>
        <v>-1.9375169131313208E-3</v>
      </c>
      <c r="Y1916">
        <f>LN(B1916/B1915)</f>
        <v>-5.3660003741011573E-3</v>
      </c>
      <c r="Z1916">
        <f>LN(C1916/C1915)</f>
        <v>3.1053787216597361E-4</v>
      </c>
    </row>
    <row r="1917" spans="1:26" x14ac:dyDescent="0.3">
      <c r="A1917" s="9">
        <v>43000</v>
      </c>
      <c r="B1917" s="1">
        <v>31295.61</v>
      </c>
      <c r="C1917" s="1">
        <v>49.491413100000003</v>
      </c>
      <c r="D1917" s="6">
        <f t="shared" si="395"/>
        <v>-2.34847596119514E-3</v>
      </c>
      <c r="E1917" s="5">
        <f t="shared" si="394"/>
        <v>3.1064326996710356E-4</v>
      </c>
      <c r="G1917" s="25" t="str">
        <f>IF(VLOOKUP(A1917,Aux!B:C,2,FALSE)=0,"",VLOOKUP(A1917,Aux!B:C,2,FALSE))</f>
        <v/>
      </c>
      <c r="H1917" s="25" t="str">
        <f t="shared" si="383"/>
        <v/>
      </c>
      <c r="L1917" s="13">
        <f t="shared" si="386"/>
        <v>183585.21639427892</v>
      </c>
      <c r="M1917" s="14">
        <f t="shared" si="387"/>
        <v>-232.98247209149542</v>
      </c>
      <c r="N1917" s="14">
        <f t="shared" si="388"/>
        <v>26.276105062041662</v>
      </c>
      <c r="O1917" s="1">
        <f t="shared" si="389"/>
        <v>3.1625148919709645</v>
      </c>
      <c r="P1917" s="1">
        <f t="shared" si="390"/>
        <v>1709.6376606786282</v>
      </c>
      <c r="S1917" s="6">
        <f t="shared" si="384"/>
        <v>0.53911112573332309</v>
      </c>
      <c r="T1917" s="6">
        <f t="shared" si="385"/>
        <v>0.46088887426667763</v>
      </c>
      <c r="V1917" s="1">
        <f t="shared" si="391"/>
        <v>182918.91380820313</v>
      </c>
      <c r="W1917" s="7">
        <f t="shared" si="392"/>
        <v>-1.1253089363023724E-3</v>
      </c>
      <c r="X1917" s="7">
        <f t="shared" si="393"/>
        <v>-7.4090569556086545E-4</v>
      </c>
      <c r="Y1917">
        <f>LN(B1917/B1916)</f>
        <v>-2.3512379560316396E-3</v>
      </c>
      <c r="Z1917">
        <f>LN(C1917/C1916)</f>
        <v>3.1059503033646814E-4</v>
      </c>
    </row>
    <row r="1918" spans="1:26" x14ac:dyDescent="0.3">
      <c r="A1918" s="11">
        <v>43003</v>
      </c>
      <c r="B1918" s="12">
        <v>30880.22</v>
      </c>
      <c r="C1918" s="12">
        <v>49.5067825</v>
      </c>
      <c r="D1918" s="16">
        <f t="shared" si="395"/>
        <v>-1.3273107633946069E-2</v>
      </c>
      <c r="E1918" s="15">
        <f t="shared" si="394"/>
        <v>3.1054680069342311E-4</v>
      </c>
      <c r="G1918" s="25" t="str">
        <f>IF(VLOOKUP(A1918,Aux!B:C,2,FALSE)=0,"",VLOOKUP(A1918,Aux!B:C,2,FALSE))</f>
        <v/>
      </c>
      <c r="H1918" s="25" t="str">
        <f t="shared" si="383"/>
        <v/>
      </c>
      <c r="L1918" s="13">
        <f t="shared" si="386"/>
        <v>182297.81543836513</v>
      </c>
      <c r="M1918" s="14">
        <f t="shared" si="387"/>
        <v>-1313.6770609758171</v>
      </c>
      <c r="N1918" s="14">
        <f t="shared" si="388"/>
        <v>26.276105062029515</v>
      </c>
      <c r="O1918" s="1">
        <f t="shared" si="389"/>
        <v>3.1625148919709645</v>
      </c>
      <c r="P1918" s="1">
        <f t="shared" si="390"/>
        <v>1709.6376606786282</v>
      </c>
      <c r="S1918" s="6">
        <f t="shared" si="384"/>
        <v>0.53571215531300853</v>
      </c>
      <c r="T1918" s="6">
        <f t="shared" si="385"/>
        <v>0.46428784468699225</v>
      </c>
      <c r="V1918" s="1">
        <f t="shared" si="391"/>
        <v>181994.97793143702</v>
      </c>
      <c r="W1918" s="7">
        <f t="shared" si="392"/>
        <v>-7.0372559364361657E-3</v>
      </c>
      <c r="X1918" s="7">
        <f t="shared" si="393"/>
        <v>-5.0638677892796422E-3</v>
      </c>
      <c r="Y1918">
        <f>LN(B1918/B1917)</f>
        <v>-1.336198263478904E-2</v>
      </c>
      <c r="Z1918">
        <f>LN(C1918/C1917)</f>
        <v>3.104985910163617E-4</v>
      </c>
    </row>
    <row r="1919" spans="1:26" x14ac:dyDescent="0.3">
      <c r="A1919" s="9">
        <v>43004</v>
      </c>
      <c r="B1919" s="1">
        <v>30821.56</v>
      </c>
      <c r="C1919" s="1">
        <v>49.522159600000002</v>
      </c>
      <c r="D1919" s="6">
        <f t="shared" si="395"/>
        <v>-1.899597865559266E-3</v>
      </c>
      <c r="E1919" s="5">
        <f t="shared" si="394"/>
        <v>3.106059255617577E-4</v>
      </c>
      <c r="G1919" s="25" t="str">
        <f>IF(VLOOKUP(A1919,Aux!B:C,2,FALSE)=0,"",VLOOKUP(A1919,Aux!B:C,2,FALSE))</f>
        <v/>
      </c>
      <c r="H1919" s="25" t="str">
        <f t="shared" si="383"/>
        <v/>
      </c>
      <c r="L1919" s="13">
        <f t="shared" si="386"/>
        <v>182138.59158407414</v>
      </c>
      <c r="M1919" s="14">
        <f t="shared" si="387"/>
        <v>-185.51312356301631</v>
      </c>
      <c r="N1919" s="14">
        <f t="shared" si="388"/>
        <v>26.289269272024807</v>
      </c>
      <c r="O1919" s="1">
        <f t="shared" si="389"/>
        <v>3.1625148919709645</v>
      </c>
      <c r="P1919" s="1">
        <f t="shared" si="390"/>
        <v>1709.6376606786282</v>
      </c>
      <c r="S1919" s="6">
        <f t="shared" si="384"/>
        <v>0.53516194259569272</v>
      </c>
      <c r="T1919" s="6">
        <f t="shared" si="385"/>
        <v>0.464838057404308</v>
      </c>
      <c r="V1919" s="1">
        <f t="shared" si="391"/>
        <v>181894.04786907311</v>
      </c>
      <c r="W1919" s="7">
        <f t="shared" si="392"/>
        <v>-8.7380877077061899E-4</v>
      </c>
      <c r="X1919" s="7">
        <f t="shared" si="393"/>
        <v>-5.5472991926646266E-4</v>
      </c>
      <c r="Y1919">
        <f>LN(B1919/B1918)</f>
        <v>-1.9014043897268424E-3</v>
      </c>
      <c r="Z1919">
        <f>LN(C1919/C1918)</f>
        <v>3.1055769752761102E-4</v>
      </c>
    </row>
    <row r="1920" spans="1:26" x14ac:dyDescent="0.3">
      <c r="A1920" s="11">
        <v>43005</v>
      </c>
      <c r="B1920" s="12">
        <v>30586.15</v>
      </c>
      <c r="C1920" s="12">
        <v>49.537540399999997</v>
      </c>
      <c r="D1920" s="16">
        <f t="shared" si="395"/>
        <v>-7.6378353334484173E-3</v>
      </c>
      <c r="E1920" s="15">
        <f t="shared" si="394"/>
        <v>3.1058419350515898E-4</v>
      </c>
      <c r="G1920" s="25" t="str">
        <f>IF(VLOOKUP(A1920,Aux!B:C,2,FALSE)=0,"",VLOOKUP(A1920,Aux!B:C,2,FALSE))</f>
        <v/>
      </c>
      <c r="H1920" s="25" t="str">
        <f t="shared" si="383"/>
        <v/>
      </c>
      <c r="L1920" s="13">
        <f t="shared" si="386"/>
        <v>181420.3995482866</v>
      </c>
      <c r="M1920" s="14">
        <f t="shared" si="387"/>
        <v>-744.48763071888425</v>
      </c>
      <c r="N1920" s="14">
        <f t="shared" si="388"/>
        <v>26.295594931358206</v>
      </c>
      <c r="O1920" s="1">
        <f t="shared" si="389"/>
        <v>3.1625148919709645</v>
      </c>
      <c r="P1920" s="1">
        <f t="shared" si="390"/>
        <v>1709.6376606786282</v>
      </c>
      <c r="S1920" s="6">
        <f t="shared" si="384"/>
        <v>0.53317683735622257</v>
      </c>
      <c r="T1920" s="6">
        <f t="shared" si="385"/>
        <v>0.46682316264377827</v>
      </c>
      <c r="V1920" s="1">
        <f t="shared" si="391"/>
        <v>181385.35765135119</v>
      </c>
      <c r="W1920" s="7">
        <f t="shared" si="392"/>
        <v>-3.9509019858161385E-3</v>
      </c>
      <c r="X1920" s="7">
        <f t="shared" si="393"/>
        <v>-2.8005471406633412E-3</v>
      </c>
      <c r="Y1920">
        <f>LN(B1920/B1919)</f>
        <v>-7.6671529753580842E-3</v>
      </c>
      <c r="Z1920">
        <f>LN(C1920/C1919)</f>
        <v>3.1053597221878586E-4</v>
      </c>
    </row>
    <row r="1921" spans="1:26" x14ac:dyDescent="0.3">
      <c r="A1921" s="9">
        <v>43006</v>
      </c>
      <c r="B1921" s="1">
        <v>30487.08</v>
      </c>
      <c r="C1921" s="1">
        <v>49.552925100000003</v>
      </c>
      <c r="D1921" s="6">
        <f t="shared" si="395"/>
        <v>-3.2390477389275807E-3</v>
      </c>
      <c r="E1921" s="5">
        <f t="shared" si="394"/>
        <v>3.105664890863391E-4</v>
      </c>
      <c r="G1921" s="25" t="str">
        <f>IF(VLOOKUP(A1921,Aux!B:C,2,FALSE)=0,"",VLOOKUP(A1921,Aux!B:C,2,FALSE))</f>
        <v/>
      </c>
      <c r="H1921" s="25" t="str">
        <f t="shared" si="383"/>
        <v/>
      </c>
      <c r="L1921" s="13">
        <f t="shared" si="386"/>
        <v>181133.39146045729</v>
      </c>
      <c r="M1921" s="14">
        <f t="shared" si="387"/>
        <v>-313.31035034756252</v>
      </c>
      <c r="N1921" s="14">
        <f t="shared" si="388"/>
        <v>26.302262518252032</v>
      </c>
      <c r="O1921" s="1">
        <f t="shared" si="389"/>
        <v>3.1625148919709645</v>
      </c>
      <c r="P1921" s="1">
        <f t="shared" si="390"/>
        <v>1709.6376606786282</v>
      </c>
      <c r="S1921" s="6">
        <f t="shared" si="384"/>
        <v>0.53229194095754795</v>
      </c>
      <c r="T1921" s="6">
        <f t="shared" si="385"/>
        <v>0.46770805904245283</v>
      </c>
      <c r="V1921" s="1">
        <f t="shared" si="391"/>
        <v>181191.21730764463</v>
      </c>
      <c r="W1921" s="7">
        <f t="shared" si="392"/>
        <v>-1.5832582910497936E-3</v>
      </c>
      <c r="X1921" s="7">
        <f t="shared" si="393"/>
        <v>-1.0708930232575487E-3</v>
      </c>
      <c r="Y1921">
        <f>LN(B1921/B1920)</f>
        <v>-3.244304809058613E-3</v>
      </c>
      <c r="Z1921">
        <f>LN(C1921/C1920)</f>
        <v>3.1051827329681473E-4</v>
      </c>
    </row>
    <row r="1922" spans="1:26" x14ac:dyDescent="0.3">
      <c r="A1922" s="11">
        <v>43007</v>
      </c>
      <c r="B1922" s="12">
        <v>30808.59</v>
      </c>
      <c r="C1922" s="12">
        <v>49.568317399999998</v>
      </c>
      <c r="D1922" s="16">
        <f t="shared" si="395"/>
        <v>1.0545778736435141E-2</v>
      </c>
      <c r="E1922" s="15">
        <f t="shared" si="394"/>
        <v>3.106234388572382E-4</v>
      </c>
      <c r="G1922" s="25" t="str">
        <f>IF(VLOOKUP(A1922,Aux!B:C,2,FALSE)=0,"",VLOOKUP(A1922,Aux!B:C,2,FALSE))</f>
        <v/>
      </c>
      <c r="H1922" s="25" t="str">
        <f t="shared" si="383"/>
        <v/>
      </c>
      <c r="L1922" s="13">
        <f t="shared" si="386"/>
        <v>182176.48687913932</v>
      </c>
      <c r="M1922" s="14">
        <f t="shared" si="387"/>
        <v>1016.7801629175797</v>
      </c>
      <c r="N1922" s="14">
        <f t="shared" si="388"/>
        <v>26.31525576445496</v>
      </c>
      <c r="O1922" s="1">
        <f t="shared" si="389"/>
        <v>3.1625148919709645</v>
      </c>
      <c r="P1922" s="1">
        <f t="shared" si="390"/>
        <v>1709.6376606786282</v>
      </c>
      <c r="S1922" s="6">
        <f t="shared" si="384"/>
        <v>0.53482546702235567</v>
      </c>
      <c r="T1922" s="6">
        <f t="shared" si="385"/>
        <v>0.46517453297764522</v>
      </c>
      <c r="V1922" s="1">
        <f t="shared" si="391"/>
        <v>181967.38673811185</v>
      </c>
      <c r="W1922" s="7">
        <f t="shared" si="392"/>
        <v>5.7421961087163482E-3</v>
      </c>
      <c r="X1922" s="7">
        <f t="shared" si="393"/>
        <v>4.2745544434600038E-3</v>
      </c>
      <c r="Y1922">
        <f>LN(B1922/B1921)</f>
        <v>1.0490559889750589E-2</v>
      </c>
      <c r="Z1922">
        <f>LN(C1922/C1921)</f>
        <v>3.1057520538489399E-4</v>
      </c>
    </row>
    <row r="1923" spans="1:26" x14ac:dyDescent="0.3">
      <c r="A1923" s="9">
        <v>43010</v>
      </c>
      <c r="B1923" s="1">
        <v>30834.799999999999</v>
      </c>
      <c r="C1923" s="1">
        <v>49.583713500000002</v>
      </c>
      <c r="D1923" s="6">
        <f t="shared" si="395"/>
        <v>8.5073675880642519E-4</v>
      </c>
      <c r="E1923" s="5">
        <f t="shared" si="394"/>
        <v>3.1060364377033522E-4</v>
      </c>
      <c r="G1923" s="25" t="str">
        <f>IF(VLOOKUP(A1923,Aux!B:C,2,FALSE)=0,"",VLOOKUP(A1923,Aux!B:C,2,FALSE))</f>
        <v/>
      </c>
      <c r="H1923" s="25" t="str">
        <f t="shared" ref="H1923:H1986" si="396">IF(ISNUMBER(G1923),1-G1923,"")</f>
        <v/>
      </c>
      <c r="L1923" s="13">
        <f t="shared" si="386"/>
        <v>182285.69814684548</v>
      </c>
      <c r="M1923" s="14">
        <f t="shared" si="387"/>
        <v>82.889515318556221</v>
      </c>
      <c r="N1923" s="14">
        <f t="shared" si="388"/>
        <v>26.321752387580723</v>
      </c>
      <c r="O1923" s="1">
        <f t="shared" si="389"/>
        <v>3.1625148919709645</v>
      </c>
      <c r="P1923" s="1">
        <f t="shared" si="390"/>
        <v>1709.6376606786282</v>
      </c>
      <c r="S1923" s="6">
        <f t="shared" ref="S1923:S1986" si="397">O1923*B1923/L1923</f>
        <v>0.53495976471171025</v>
      </c>
      <c r="T1923" s="6">
        <f t="shared" ref="T1923:T1986" si="398">P1923*C1923/L1923</f>
        <v>0.46504023528829053</v>
      </c>
      <c r="V1923" s="1">
        <f t="shared" si="391"/>
        <v>182062.29724003322</v>
      </c>
      <c r="W1923" s="7">
        <f t="shared" si="392"/>
        <v>5.9930097256639188E-4</v>
      </c>
      <c r="X1923" s="7">
        <f t="shared" si="393"/>
        <v>5.2144376268830456E-4</v>
      </c>
      <c r="Y1923">
        <f>LN(B1923/B1922)</f>
        <v>8.5037508740027051E-4</v>
      </c>
      <c r="Z1923">
        <f>LN(C1923/C1922)</f>
        <v>3.1055541644470382E-4</v>
      </c>
    </row>
    <row r="1924" spans="1:26" x14ac:dyDescent="0.3">
      <c r="A1924" s="11">
        <v>43011</v>
      </c>
      <c r="B1924" s="12">
        <v>31783.38</v>
      </c>
      <c r="C1924" s="12">
        <v>49.599113500000001</v>
      </c>
      <c r="D1924" s="16">
        <f t="shared" si="395"/>
        <v>3.0763293421718352E-2</v>
      </c>
      <c r="E1924" s="15">
        <f t="shared" si="394"/>
        <v>3.1058585396182004E-4</v>
      </c>
      <c r="G1924" s="25" t="str">
        <f>IF(VLOOKUP(A1924,Aux!B:C,2,FALSE)=0,"",VLOOKUP(A1924,Aux!B:C,2,FALSE))</f>
        <v/>
      </c>
      <c r="H1924" s="25" t="str">
        <f t="shared" si="396"/>
        <v/>
      </c>
      <c r="L1924" s="13">
        <f t="shared" ref="L1924:L1987" si="399">L1923+M1924+N1924</f>
        <v>185311.92494304574</v>
      </c>
      <c r="M1924" s="14">
        <f t="shared" ref="M1924:M1987" si="400">O1923*(B1924-B1923)</f>
        <v>2999.8983762258231</v>
      </c>
      <c r="N1924" s="14">
        <f t="shared" ref="N1924:N1987" si="401">P1923*(C1924-C1923)</f>
        <v>26.328419974450252</v>
      </c>
      <c r="O1924" s="1">
        <f t="shared" ref="O1924:O1987" si="402">IF(ISNUMBER(G1924),L1924*G1924/B1924,O1923)</f>
        <v>3.1625148919709645</v>
      </c>
      <c r="P1924" s="1">
        <f t="shared" ref="P1924:P1987" si="403">IF(ISNUMBER(H1924),L1924*H1924/C1924,P1923)</f>
        <v>1709.6376606786282</v>
      </c>
      <c r="S1924" s="6">
        <f t="shared" si="397"/>
        <v>0.54241200396609546</v>
      </c>
      <c r="T1924" s="6">
        <f t="shared" si="398"/>
        <v>0.45758799603390532</v>
      </c>
      <c r="V1924" s="1">
        <f t="shared" ref="V1924:V1987" si="404">$O$2*B1924+$P$2*C1924</f>
        <v>184285.15632144638</v>
      </c>
      <c r="W1924" s="7">
        <f t="shared" ref="W1924:W1987" si="405">LN(L1924/L1923)</f>
        <v>1.6465259699805199E-2</v>
      </c>
      <c r="X1924" s="7">
        <f t="shared" ref="X1924:X1987" si="406">LN(V1924/V1923)</f>
        <v>1.2135399547011505E-2</v>
      </c>
      <c r="Y1924">
        <f>LN(B1924/B1923)</f>
        <v>3.0299589365481116E-2</v>
      </c>
      <c r="Z1924">
        <f>LN(C1924/C1923)</f>
        <v>3.1053763215989409E-4</v>
      </c>
    </row>
    <row r="1925" spans="1:26" x14ac:dyDescent="0.3">
      <c r="A1925" s="9">
        <v>43012</v>
      </c>
      <c r="B1925" s="1">
        <v>31726.22</v>
      </c>
      <c r="C1925" s="1">
        <v>49.614517200000002</v>
      </c>
      <c r="D1925" s="6">
        <f t="shared" si="395"/>
        <v>-1.7984242078721291E-3</v>
      </c>
      <c r="E1925" s="5">
        <f t="shared" ref="E1925:E1988" si="407">C1925/C1924-1</f>
        <v>3.1056401844753445E-4</v>
      </c>
      <c r="G1925" s="25" t="str">
        <f>IF(VLOOKUP(A1925,Aux!B:C,2,FALSE)=0,"",VLOOKUP(A1925,Aux!B:C,2,FALSE))</f>
        <v/>
      </c>
      <c r="H1925" s="25" t="str">
        <f t="shared" si="396"/>
        <v/>
      </c>
      <c r="L1925" s="13">
        <f t="shared" si="399"/>
        <v>185157.49033745448</v>
      </c>
      <c r="M1925" s="14">
        <f t="shared" si="400"/>
        <v>-180.76935122505986</v>
      </c>
      <c r="N1925" s="14">
        <f t="shared" si="401"/>
        <v>26.334745633795798</v>
      </c>
      <c r="O1925" s="1">
        <f t="shared" si="402"/>
        <v>3.1625148919709645</v>
      </c>
      <c r="P1925" s="1">
        <f t="shared" si="403"/>
        <v>1709.6376606786282</v>
      </c>
      <c r="S1925" s="6">
        <f t="shared" si="397"/>
        <v>0.54188811391364444</v>
      </c>
      <c r="T1925" s="6">
        <f t="shared" si="398"/>
        <v>0.45811188608635633</v>
      </c>
      <c r="V1925" s="1">
        <f t="shared" si="404"/>
        <v>184187.74631927622</v>
      </c>
      <c r="W1925" s="7">
        <f t="shared" si="405"/>
        <v>-8.3372396298836329E-4</v>
      </c>
      <c r="X1925" s="7">
        <f t="shared" si="406"/>
        <v>-5.2872275676870686E-4</v>
      </c>
      <c r="Y1925">
        <f>LN(B1925/B1924)</f>
        <v>-1.8000433142057516E-3</v>
      </c>
      <c r="Z1925">
        <f>LN(C1925/C1924)</f>
        <v>3.1051580342506642E-4</v>
      </c>
    </row>
    <row r="1926" spans="1:26" x14ac:dyDescent="0.3">
      <c r="A1926" s="11">
        <v>43013</v>
      </c>
      <c r="B1926" s="12">
        <v>31745.02</v>
      </c>
      <c r="C1926" s="12">
        <v>49.6299286</v>
      </c>
      <c r="D1926" s="16">
        <f t="shared" si="395"/>
        <v>5.9256980503819001E-4</v>
      </c>
      <c r="E1926" s="15">
        <f t="shared" si="407"/>
        <v>3.1062279489435518E-4</v>
      </c>
      <c r="G1926" s="25" t="str">
        <f>IF(VLOOKUP(A1926,Aux!B:C,2,FALSE)=0,"",VLOOKUP(A1926,Aux!B:C,2,FALSE))</f>
        <v/>
      </c>
      <c r="H1926" s="25" t="str">
        <f t="shared" si="396"/>
        <v/>
      </c>
      <c r="L1926" s="13">
        <f t="shared" si="399"/>
        <v>185243.29352726732</v>
      </c>
      <c r="M1926" s="14">
        <f t="shared" si="400"/>
        <v>59.45527996905183</v>
      </c>
      <c r="N1926" s="14">
        <f t="shared" si="401"/>
        <v>26.347909843778943</v>
      </c>
      <c r="O1926" s="1">
        <f t="shared" si="402"/>
        <v>3.1625148919709645</v>
      </c>
      <c r="P1926" s="1">
        <f t="shared" si="403"/>
        <v>1709.6376606786282</v>
      </c>
      <c r="S1926" s="6">
        <f t="shared" si="397"/>
        <v>0.54195807353823777</v>
      </c>
      <c r="T1926" s="6">
        <f t="shared" si="398"/>
        <v>0.458041926461763</v>
      </c>
      <c r="V1926" s="1">
        <f t="shared" si="404"/>
        <v>184265.59592012101</v>
      </c>
      <c r="W1926" s="7">
        <f t="shared" si="405"/>
        <v>4.6329918879946616E-4</v>
      </c>
      <c r="X1926" s="7">
        <f t="shared" si="406"/>
        <v>4.2257508931841303E-4</v>
      </c>
      <c r="Y1926">
        <f>LN(B1926/B1925)</f>
        <v>5.9239430487857626E-4</v>
      </c>
      <c r="Z1926">
        <f>LN(C1926/C1925)</f>
        <v>3.1057456162197862E-4</v>
      </c>
    </row>
    <row r="1927" spans="1:26" x14ac:dyDescent="0.3">
      <c r="A1927" s="9">
        <v>43014</v>
      </c>
      <c r="B1927" s="1">
        <v>31537.15</v>
      </c>
      <c r="C1927" s="1">
        <v>49.645343799999999</v>
      </c>
      <c r="D1927" s="6">
        <f t="shared" si="395"/>
        <v>-6.5481136883832614E-3</v>
      </c>
      <c r="E1927" s="5">
        <f t="shared" si="407"/>
        <v>3.1060290503814869E-4</v>
      </c>
      <c r="G1927" s="25" t="str">
        <f>IF(VLOOKUP(A1927,Aux!B:C,2,FALSE)=0,"",VLOOKUP(A1927,Aux!B:C,2,FALSE))</f>
        <v/>
      </c>
      <c r="H1927" s="25" t="str">
        <f t="shared" si="396"/>
        <v/>
      </c>
      <c r="L1927" s="13">
        <f t="shared" si="399"/>
        <v>184612.2559631402</v>
      </c>
      <c r="M1927" s="14">
        <f t="shared" si="400"/>
        <v>-657.39197059400112</v>
      </c>
      <c r="N1927" s="14">
        <f t="shared" si="401"/>
        <v>26.354406466892556</v>
      </c>
      <c r="O1927" s="1">
        <f t="shared" si="402"/>
        <v>3.1625148919709645</v>
      </c>
      <c r="P1927" s="1">
        <f t="shared" si="403"/>
        <v>1709.6376606786282</v>
      </c>
      <c r="S1927" s="6">
        <f t="shared" si="397"/>
        <v>0.54024964921741492</v>
      </c>
      <c r="T1927" s="6">
        <f t="shared" si="398"/>
        <v>0.45975035078258586</v>
      </c>
      <c r="V1927" s="1">
        <f t="shared" si="404"/>
        <v>183820.51840311015</v>
      </c>
      <c r="W1927" s="7">
        <f t="shared" si="405"/>
        <v>-3.4123493743435031E-3</v>
      </c>
      <c r="X1927" s="7">
        <f t="shared" si="406"/>
        <v>-2.4183348222358886E-3</v>
      </c>
      <c r="Y1927">
        <f>LN(B1927/B1926)</f>
        <v>-6.5696466364226517E-3</v>
      </c>
      <c r="Z1927">
        <f>LN(C1927/C1926)</f>
        <v>3.1055467794189863E-4</v>
      </c>
    </row>
    <row r="1928" spans="1:26" x14ac:dyDescent="0.3">
      <c r="A1928" s="11">
        <v>43017</v>
      </c>
      <c r="B1928" s="12">
        <v>31403.03</v>
      </c>
      <c r="C1928" s="12">
        <v>49.660762800000001</v>
      </c>
      <c r="D1928" s="16">
        <f t="shared" si="395"/>
        <v>-4.2527622185264402E-3</v>
      </c>
      <c r="E1928" s="15">
        <f t="shared" si="407"/>
        <v>3.1058300375796932E-4</v>
      </c>
      <c r="G1928" s="25" t="str">
        <f>IF(VLOOKUP(A1928,Aux!B:C,2,FALSE)=0,"",VLOOKUP(A1928,Aux!B:C,2,FALSE))</f>
        <v/>
      </c>
      <c r="H1928" s="25" t="str">
        <f t="shared" si="396"/>
        <v/>
      </c>
      <c r="L1928" s="13">
        <f t="shared" si="399"/>
        <v>184214.46036891904</v>
      </c>
      <c r="M1928" s="14">
        <f t="shared" si="400"/>
        <v>-424.15649731115406</v>
      </c>
      <c r="N1928" s="14">
        <f t="shared" si="401"/>
        <v>26.360903090006168</v>
      </c>
      <c r="O1928" s="1">
        <f t="shared" si="402"/>
        <v>3.1625148919709645</v>
      </c>
      <c r="P1928" s="1">
        <f t="shared" si="403"/>
        <v>1709.6376606786282</v>
      </c>
      <c r="S1928" s="6">
        <f t="shared" si="397"/>
        <v>0.5391137581117228</v>
      </c>
      <c r="T1928" s="6">
        <f t="shared" si="398"/>
        <v>0.46088624188827815</v>
      </c>
      <c r="V1928" s="1">
        <f t="shared" si="404"/>
        <v>183545.5932169914</v>
      </c>
      <c r="W1928" s="7">
        <f t="shared" si="405"/>
        <v>-2.1570874931366095E-3</v>
      </c>
      <c r="X1928" s="7">
        <f t="shared" si="406"/>
        <v>-1.496737062821437E-3</v>
      </c>
      <c r="Y1928">
        <f>LN(B1928/B1927)</f>
        <v>-4.2618309322917103E-3</v>
      </c>
      <c r="Z1928">
        <f>LN(C1928/C1927)</f>
        <v>3.1053478284099744E-4</v>
      </c>
    </row>
    <row r="1929" spans="1:26" x14ac:dyDescent="0.3">
      <c r="A1929" s="9">
        <v>43018</v>
      </c>
      <c r="B1929" s="1">
        <v>31870.28</v>
      </c>
      <c r="C1929" s="1">
        <v>49.676185599999997</v>
      </c>
      <c r="D1929" s="6">
        <f t="shared" si="395"/>
        <v>1.4879137459028691E-2</v>
      </c>
      <c r="E1929" s="5">
        <f t="shared" si="407"/>
        <v>3.1056309106869406E-4</v>
      </c>
      <c r="G1929" s="25" t="str">
        <f>IF(VLOOKUP(A1929,Aux!B:C,2,FALSE)=0,"",VLOOKUP(A1929,Aux!B:C,2,FALSE))</f>
        <v/>
      </c>
      <c r="H1929" s="25" t="str">
        <f t="shared" si="396"/>
        <v/>
      </c>
      <c r="L1929" s="13">
        <f t="shared" si="399"/>
        <v>185718.51285190557</v>
      </c>
      <c r="M1929" s="14">
        <f t="shared" si="400"/>
        <v>1477.6850832734331</v>
      </c>
      <c r="N1929" s="14">
        <f t="shared" si="401"/>
        <v>26.367399713107634</v>
      </c>
      <c r="O1929" s="1">
        <f t="shared" si="402"/>
        <v>3.1625148919709645</v>
      </c>
      <c r="P1929" s="1">
        <f t="shared" si="403"/>
        <v>1709.6376606786282</v>
      </c>
      <c r="S1929" s="6">
        <f t="shared" si="397"/>
        <v>0.54270429782978002</v>
      </c>
      <c r="T1929" s="6">
        <f t="shared" si="398"/>
        <v>0.45729570217022092</v>
      </c>
      <c r="V1929" s="1">
        <f t="shared" si="404"/>
        <v>184658.05815801123</v>
      </c>
      <c r="W1929" s="7">
        <f t="shared" si="405"/>
        <v>8.1315312740963645E-3</v>
      </c>
      <c r="X1929" s="7">
        <f t="shared" si="406"/>
        <v>6.042679489497515E-3</v>
      </c>
      <c r="Y1929">
        <f>LN(B1929/B1928)</f>
        <v>1.4769529008548249E-2</v>
      </c>
      <c r="Z1929">
        <f>LN(C1929/C1928)</f>
        <v>3.105148763341467E-4</v>
      </c>
    </row>
    <row r="1930" spans="1:26" x14ac:dyDescent="0.3">
      <c r="A1930" s="11">
        <v>43019</v>
      </c>
      <c r="B1930" s="12">
        <v>31772.59</v>
      </c>
      <c r="C1930" s="12">
        <v>49.691616099999997</v>
      </c>
      <c r="D1930" s="16">
        <f t="shared" si="395"/>
        <v>-3.0652382093913078E-3</v>
      </c>
      <c r="E1930" s="15">
        <f t="shared" si="407"/>
        <v>3.1062167542916796E-4</v>
      </c>
      <c r="G1930" s="25" t="str">
        <f>IF(VLOOKUP(A1930,Aux!B:C,2,FALSE)=0,"",VLOOKUP(A1930,Aux!B:C,2,FALSE))</f>
        <v/>
      </c>
      <c r="H1930" s="25" t="str">
        <f t="shared" si="396"/>
        <v/>
      </c>
      <c r="L1930" s="13">
        <f t="shared" si="399"/>
        <v>185435.94733603203</v>
      </c>
      <c r="M1930" s="14">
        <f t="shared" si="400"/>
        <v>-308.94607979663937</v>
      </c>
      <c r="N1930" s="14">
        <f t="shared" si="401"/>
        <v>26.380563923102926</v>
      </c>
      <c r="O1930" s="1">
        <f t="shared" si="402"/>
        <v>3.1625148919709645</v>
      </c>
      <c r="P1930" s="1">
        <f t="shared" si="403"/>
        <v>1709.6376606786282</v>
      </c>
      <c r="S1930" s="6">
        <f t="shared" si="397"/>
        <v>0.54186521262462495</v>
      </c>
      <c r="T1930" s="6">
        <f t="shared" si="398"/>
        <v>0.458134787375376</v>
      </c>
      <c r="V1930" s="1">
        <f t="shared" si="404"/>
        <v>184467.20398324405</v>
      </c>
      <c r="W1930" s="7">
        <f t="shared" si="405"/>
        <v>-1.5226306067948564E-3</v>
      </c>
      <c r="X1930" s="7">
        <f t="shared" si="406"/>
        <v>-1.0340890280301936E-3</v>
      </c>
      <c r="Y1930">
        <f>LN(B1930/B1929)</f>
        <v>-3.0699456741599554E-3</v>
      </c>
      <c r="Z1930">
        <f>LN(C1930/C1929)</f>
        <v>3.1057344250441421E-4</v>
      </c>
    </row>
    <row r="1931" spans="1:26" x14ac:dyDescent="0.3">
      <c r="A1931" s="9">
        <v>43021</v>
      </c>
      <c r="B1931" s="1">
        <v>31877.32</v>
      </c>
      <c r="C1931" s="1">
        <v>49.707050299999999</v>
      </c>
      <c r="D1931" s="6">
        <f t="shared" si="395"/>
        <v>3.2962374172202935E-3</v>
      </c>
      <c r="E1931" s="5">
        <f t="shared" si="407"/>
        <v>3.1059967880575634E-4</v>
      </c>
      <c r="G1931" s="25" t="str">
        <f>IF(VLOOKUP(A1931,Aux!B:C,2,FALSE)=0,"",VLOOKUP(A1931,Aux!B:C,2,FALSE))</f>
        <v/>
      </c>
      <c r="H1931" s="25" t="str">
        <f t="shared" si="396"/>
        <v/>
      </c>
      <c r="L1931" s="13">
        <f t="shared" si="399"/>
        <v>185793.54441025059</v>
      </c>
      <c r="M1931" s="14">
        <f t="shared" si="400"/>
        <v>331.21018463611773</v>
      </c>
      <c r="N1931" s="14">
        <f t="shared" si="401"/>
        <v>26.386889582448472</v>
      </c>
      <c r="O1931" s="1">
        <f t="shared" si="402"/>
        <v>3.1625148919709645</v>
      </c>
      <c r="P1931" s="1">
        <f t="shared" si="403"/>
        <v>1709.6376606786282</v>
      </c>
      <c r="S1931" s="6">
        <f t="shared" si="397"/>
        <v>0.54260496260042201</v>
      </c>
      <c r="T1931" s="6">
        <f t="shared" si="398"/>
        <v>0.45739503739957893</v>
      </c>
      <c r="V1931" s="1">
        <f t="shared" si="404"/>
        <v>184743.34810655646</v>
      </c>
      <c r="W1931" s="7">
        <f t="shared" si="405"/>
        <v>1.9265559055757979E-3</v>
      </c>
      <c r="X1931" s="7">
        <f t="shared" si="406"/>
        <v>1.4958628524628984E-3</v>
      </c>
      <c r="Y1931">
        <f>LN(B1931/B1930)</f>
        <v>3.2908167353016982E-3</v>
      </c>
      <c r="Z1931">
        <f>LN(C1931/C1930)</f>
        <v>3.1055145271126708E-4</v>
      </c>
    </row>
    <row r="1932" spans="1:26" x14ac:dyDescent="0.3">
      <c r="A1932" s="11">
        <v>43024</v>
      </c>
      <c r="B1932" s="12">
        <v>31811.59</v>
      </c>
      <c r="C1932" s="12">
        <v>49.722488400000003</v>
      </c>
      <c r="D1932" s="16">
        <f t="shared" si="395"/>
        <v>-2.0619675681644578E-3</v>
      </c>
      <c r="E1932" s="15">
        <f t="shared" si="407"/>
        <v>3.1058169629516463E-4</v>
      </c>
      <c r="G1932" s="25" t="str">
        <f>IF(VLOOKUP(A1932,Aux!B:C,2,FALSE)=0,"",VLOOKUP(A1932,Aux!B:C,2,FALSE))</f>
        <v/>
      </c>
      <c r="H1932" s="25" t="str">
        <f t="shared" si="396"/>
        <v/>
      </c>
      <c r="L1932" s="13">
        <f t="shared" si="399"/>
        <v>185612.06586357066</v>
      </c>
      <c r="M1932" s="14">
        <f t="shared" si="400"/>
        <v>-207.87210384925012</v>
      </c>
      <c r="N1932" s="14">
        <f t="shared" si="401"/>
        <v>26.393557169330151</v>
      </c>
      <c r="O1932" s="1">
        <f t="shared" si="402"/>
        <v>3.1625148919709645</v>
      </c>
      <c r="P1932" s="1">
        <f t="shared" si="403"/>
        <v>1709.6376606786282</v>
      </c>
      <c r="S1932" s="6">
        <f t="shared" si="397"/>
        <v>0.54201555617737396</v>
      </c>
      <c r="T1932" s="6">
        <f t="shared" si="398"/>
        <v>0.45798444382262704</v>
      </c>
      <c r="V1932" s="1">
        <f t="shared" si="404"/>
        <v>184626.24377196276</v>
      </c>
      <c r="W1932" s="7">
        <f t="shared" si="405"/>
        <v>-9.772526644879812E-4</v>
      </c>
      <c r="X1932" s="7">
        <f t="shared" si="406"/>
        <v>-6.340767680503834E-4</v>
      </c>
      <c r="Y1932">
        <f>LN(B1932/B1931)</f>
        <v>-2.064096350113483E-3</v>
      </c>
      <c r="Z1932">
        <f>LN(C1932/C1931)</f>
        <v>3.1053347578414157E-4</v>
      </c>
    </row>
    <row r="1933" spans="1:26" x14ac:dyDescent="0.3">
      <c r="A1933" s="9">
        <v>43025</v>
      </c>
      <c r="B1933" s="1">
        <v>31521.69</v>
      </c>
      <c r="C1933" s="1">
        <v>49.737930300000002</v>
      </c>
      <c r="D1933" s="6">
        <f t="shared" si="395"/>
        <v>-9.1130308167558516E-3</v>
      </c>
      <c r="E1933" s="5">
        <f t="shared" si="407"/>
        <v>3.1056168942655837E-4</v>
      </c>
      <c r="G1933" s="25" t="str">
        <f>IF(VLOOKUP(A1933,Aux!B:C,2,FALSE)=0,"",VLOOKUP(A1933,Aux!B:C,2,FALSE))</f>
        <v/>
      </c>
      <c r="H1933" s="25" t="str">
        <f t="shared" si="396"/>
        <v/>
      </c>
      <c r="L1933" s="13">
        <f t="shared" si="399"/>
        <v>184721.65285018072</v>
      </c>
      <c r="M1933" s="14">
        <f t="shared" si="400"/>
        <v>-916.81306718238716</v>
      </c>
      <c r="N1933" s="14">
        <f t="shared" si="401"/>
        <v>26.400053792431613</v>
      </c>
      <c r="O1933" s="1">
        <f t="shared" si="402"/>
        <v>3.1625148919709645</v>
      </c>
      <c r="P1933" s="1">
        <f t="shared" si="403"/>
        <v>1709.6376606786282</v>
      </c>
      <c r="S1933" s="6">
        <f t="shared" si="397"/>
        <v>0.53966501764654762</v>
      </c>
      <c r="T1933" s="6">
        <f t="shared" si="398"/>
        <v>0.46033498235345321</v>
      </c>
      <c r="V1933" s="1">
        <f t="shared" si="404"/>
        <v>183991.97990696382</v>
      </c>
      <c r="W1933" s="7">
        <f t="shared" si="405"/>
        <v>-4.8087154056009832E-3</v>
      </c>
      <c r="X1933" s="7">
        <f t="shared" si="406"/>
        <v>-3.4413083792399868E-3</v>
      </c>
      <c r="Y1933">
        <f>LN(B1933/B1932)</f>
        <v>-9.1548084899318819E-3</v>
      </c>
      <c r="Z1933">
        <f>LN(C1933/C1932)</f>
        <v>3.1051347512717317E-4</v>
      </c>
    </row>
    <row r="1934" spans="1:26" x14ac:dyDescent="0.3">
      <c r="A1934" s="11">
        <v>43026</v>
      </c>
      <c r="B1934" s="12">
        <v>31720.77</v>
      </c>
      <c r="C1934" s="12">
        <v>49.753379799999998</v>
      </c>
      <c r="D1934" s="16">
        <f t="shared" si="395"/>
        <v>6.3156512230151396E-3</v>
      </c>
      <c r="E1934" s="15">
        <f t="shared" si="407"/>
        <v>3.1061807169718847E-4</v>
      </c>
      <c r="G1934" s="25" t="str">
        <f>IF(VLOOKUP(A1934,Aux!B:C,2,FALSE)=0,"",VLOOKUP(A1934,Aux!B:C,2,FALSE))</f>
        <v/>
      </c>
      <c r="H1934" s="25" t="str">
        <f t="shared" si="396"/>
        <v/>
      </c>
      <c r="L1934" s="13">
        <f t="shared" si="399"/>
        <v>185377.65936191296</v>
      </c>
      <c r="M1934" s="14">
        <f t="shared" si="400"/>
        <v>629.59346469358513</v>
      </c>
      <c r="N1934" s="14">
        <f t="shared" si="401"/>
        <v>26.413047038646692</v>
      </c>
      <c r="O1934" s="1">
        <f t="shared" si="402"/>
        <v>3.1625148919709645</v>
      </c>
      <c r="P1934" s="1">
        <f t="shared" si="403"/>
        <v>1709.6376606786282</v>
      </c>
      <c r="S1934" s="6">
        <f t="shared" si="397"/>
        <v>0.54115154897892015</v>
      </c>
      <c r="T1934" s="6">
        <f t="shared" si="398"/>
        <v>0.45884845102108079</v>
      </c>
      <c r="V1934" s="1">
        <f t="shared" si="404"/>
        <v>184485.82700878358</v>
      </c>
      <c r="W1934" s="7">
        <f t="shared" si="405"/>
        <v>3.5450333308009261E-3</v>
      </c>
      <c r="X1934" s="7">
        <f t="shared" si="406"/>
        <v>2.6804729524506393E-3</v>
      </c>
      <c r="Y1934">
        <f>LN(B1934/B1933)</f>
        <v>6.2957910738182825E-3</v>
      </c>
      <c r="Z1934">
        <f>LN(C1934/C1933)</f>
        <v>3.1056983989147789E-4</v>
      </c>
    </row>
    <row r="1935" spans="1:26" x14ac:dyDescent="0.3">
      <c r="A1935" s="9">
        <v>43027</v>
      </c>
      <c r="B1935" s="1">
        <v>31604.06</v>
      </c>
      <c r="C1935" s="1">
        <v>49.768833200000003</v>
      </c>
      <c r="D1935" s="6">
        <f t="shared" si="395"/>
        <v>-3.6792927788322771E-3</v>
      </c>
      <c r="E1935" s="5">
        <f t="shared" si="407"/>
        <v>3.1060000470573002E-4</v>
      </c>
      <c r="G1935" s="25" t="str">
        <f>IF(VLOOKUP(A1935,Aux!B:C,2,FALSE)=0,"",VLOOKUP(A1935,Aux!B:C,2,FALSE))</f>
        <v/>
      </c>
      <c r="H1935" s="25" t="str">
        <f t="shared" si="396"/>
        <v/>
      </c>
      <c r="L1935" s="13">
        <f t="shared" si="399"/>
        <v>185034.98196349657</v>
      </c>
      <c r="M1935" s="14">
        <f t="shared" si="400"/>
        <v>-369.09711304192848</v>
      </c>
      <c r="N1935" s="14">
        <f t="shared" si="401"/>
        <v>26.419714625540518</v>
      </c>
      <c r="O1935" s="1">
        <f t="shared" si="402"/>
        <v>3.1625148919709645</v>
      </c>
      <c r="P1935" s="1">
        <f t="shared" si="403"/>
        <v>1709.6376606786282</v>
      </c>
      <c r="S1935" s="6">
        <f t="shared" si="397"/>
        <v>0.54015899769948117</v>
      </c>
      <c r="T1935" s="6">
        <f t="shared" si="398"/>
        <v>0.45984100230051972</v>
      </c>
      <c r="V1935" s="1">
        <f t="shared" si="404"/>
        <v>184251.14425902662</v>
      </c>
      <c r="W1935" s="7">
        <f t="shared" si="405"/>
        <v>-1.8502473077095535E-3</v>
      </c>
      <c r="X1935" s="7">
        <f t="shared" si="406"/>
        <v>-1.2729007380932256E-3</v>
      </c>
      <c r="Y1935">
        <f>LN(B1935/B1934)</f>
        <v>-3.6860780248926753E-3</v>
      </c>
      <c r="Z1935">
        <f>LN(C1935/C1934)</f>
        <v>3.1055177851004772E-4</v>
      </c>
    </row>
    <row r="1936" spans="1:26" x14ac:dyDescent="0.3">
      <c r="A1936" s="11">
        <v>43028</v>
      </c>
      <c r="B1936" s="12">
        <v>31666.32</v>
      </c>
      <c r="C1936" s="12">
        <v>49.784290300000002</v>
      </c>
      <c r="D1936" s="16">
        <f t="shared" si="395"/>
        <v>1.9700000569546905E-3</v>
      </c>
      <c r="E1936" s="15">
        <f t="shared" si="407"/>
        <v>3.1057790601374258E-4</v>
      </c>
      <c r="G1936" s="25" t="str">
        <f>IF(VLOOKUP(A1936,Aux!B:C,2,FALSE)=0,"",VLOOKUP(A1936,Aux!B:C,2,FALSE))</f>
        <v/>
      </c>
      <c r="H1936" s="25" t="str">
        <f t="shared" si="396"/>
        <v/>
      </c>
      <c r="L1936" s="13">
        <f t="shared" si="399"/>
        <v>185258.30618095552</v>
      </c>
      <c r="M1936" s="14">
        <f t="shared" si="400"/>
        <v>196.89817717410719</v>
      </c>
      <c r="N1936" s="14">
        <f t="shared" si="401"/>
        <v>26.426040284873917</v>
      </c>
      <c r="O1936" s="1">
        <f t="shared" si="402"/>
        <v>3.1625148919709645</v>
      </c>
      <c r="P1936" s="1">
        <f t="shared" si="403"/>
        <v>1709.6376606786282</v>
      </c>
      <c r="S1936" s="6">
        <f t="shared" si="397"/>
        <v>0.54057068014051013</v>
      </c>
      <c r="T1936" s="6">
        <f t="shared" si="398"/>
        <v>0.45942931985949093</v>
      </c>
      <c r="V1936" s="1">
        <f t="shared" si="404"/>
        <v>184429.35983706382</v>
      </c>
      <c r="W1936" s="7">
        <f t="shared" si="405"/>
        <v>1.2062019576679201E-3</v>
      </c>
      <c r="X1936" s="7">
        <f t="shared" si="406"/>
        <v>9.6677524272654677E-4</v>
      </c>
      <c r="Y1936">
        <f>LN(B1936/B1935)</f>
        <v>1.9680621515409552E-3</v>
      </c>
      <c r="Z1936">
        <f>LN(C1936/C1935)</f>
        <v>3.1052968667953884E-4</v>
      </c>
    </row>
    <row r="1937" spans="1:26" x14ac:dyDescent="0.3">
      <c r="A1937" s="9">
        <v>43031</v>
      </c>
      <c r="B1937" s="1">
        <v>31263.3</v>
      </c>
      <c r="C1937" s="1">
        <v>49.799751299999997</v>
      </c>
      <c r="D1937" s="6">
        <f t="shared" si="395"/>
        <v>-1.2727086696528112E-2</v>
      </c>
      <c r="E1937" s="5">
        <f t="shared" si="407"/>
        <v>3.1055981529171106E-4</v>
      </c>
      <c r="G1937" s="25" t="str">
        <f>IF(VLOOKUP(A1937,Aux!B:C,2,FALSE)=0,"",VLOOKUP(A1937,Aux!B:C,2,FALSE))</f>
        <v/>
      </c>
      <c r="H1937" s="25" t="str">
        <f t="shared" si="396"/>
        <v/>
      </c>
      <c r="L1937" s="13">
        <f t="shared" si="399"/>
        <v>184010.18213706513</v>
      </c>
      <c r="M1937" s="14">
        <f t="shared" si="400"/>
        <v>-1274.5567517621396</v>
      </c>
      <c r="N1937" s="14">
        <f t="shared" si="401"/>
        <v>26.43270787174345</v>
      </c>
      <c r="O1937" s="1">
        <f t="shared" si="402"/>
        <v>3.1625148919709645</v>
      </c>
      <c r="P1937" s="1">
        <f t="shared" si="403"/>
        <v>1709.6376606786282</v>
      </c>
      <c r="S1937" s="6">
        <f t="shared" si="397"/>
        <v>0.53731076549073398</v>
      </c>
      <c r="T1937" s="6">
        <f t="shared" si="398"/>
        <v>0.46268923450926702</v>
      </c>
      <c r="V1937" s="1">
        <f t="shared" si="404"/>
        <v>183534.16690433613</v>
      </c>
      <c r="W1937" s="7">
        <f t="shared" si="405"/>
        <v>-6.7600070756353974E-3</v>
      </c>
      <c r="X1937" s="7">
        <f t="shared" si="406"/>
        <v>-4.8656708276346387E-3</v>
      </c>
      <c r="Y1937">
        <f>LN(B1937/B1936)</f>
        <v>-1.2808769863667907E-2</v>
      </c>
      <c r="Z1937">
        <f>LN(C1937/C1936)</f>
        <v>3.1051160157417792E-4</v>
      </c>
    </row>
    <row r="1938" spans="1:26" x14ac:dyDescent="0.3">
      <c r="A1938" s="11">
        <v>43032</v>
      </c>
      <c r="B1938" s="12">
        <v>31628.71</v>
      </c>
      <c r="C1938" s="12">
        <v>49.815219900000002</v>
      </c>
      <c r="D1938" s="16">
        <f t="shared" si="395"/>
        <v>1.1688145525264426E-2</v>
      </c>
      <c r="E1938" s="15">
        <f t="shared" si="407"/>
        <v>3.1061600904025433E-4</v>
      </c>
      <c r="G1938" s="25" t="str">
        <f>IF(VLOOKUP(A1938,Aux!B:C,2,FALSE)=0,"",VLOOKUP(A1938,Aux!B:C,2,FALSE))</f>
        <v/>
      </c>
      <c r="H1938" s="25" t="str">
        <f t="shared" si="396"/>
        <v/>
      </c>
      <c r="L1938" s="13">
        <f t="shared" si="399"/>
        <v>185192.2424048582</v>
      </c>
      <c r="M1938" s="14">
        <f t="shared" si="400"/>
        <v>1155.6145666751097</v>
      </c>
      <c r="N1938" s="14">
        <f t="shared" si="401"/>
        <v>26.445701117982821</v>
      </c>
      <c r="O1938" s="1">
        <f t="shared" si="402"/>
        <v>3.1625148919709645</v>
      </c>
      <c r="P1938" s="1">
        <f t="shared" si="403"/>
        <v>1709.6376606786282</v>
      </c>
      <c r="S1938" s="6">
        <f t="shared" si="397"/>
        <v>0.54012125502621455</v>
      </c>
      <c r="T1938" s="6">
        <f t="shared" si="398"/>
        <v>0.45987874497378656</v>
      </c>
      <c r="V1938" s="1">
        <f t="shared" si="404"/>
        <v>184411.78586364043</v>
      </c>
      <c r="W1938" s="7">
        <f t="shared" si="405"/>
        <v>6.4033398926612575E-3</v>
      </c>
      <c r="X1938" s="7">
        <f t="shared" si="406"/>
        <v>4.7703779155420945E-3</v>
      </c>
      <c r="Y1938">
        <f>LN(B1938/B1937)</f>
        <v>1.1620366779685099E-2</v>
      </c>
      <c r="Z1938">
        <f>LN(C1938/C1937)</f>
        <v>3.1056777787504116E-4</v>
      </c>
    </row>
    <row r="1939" spans="1:26" x14ac:dyDescent="0.3">
      <c r="A1939" s="9">
        <v>43033</v>
      </c>
      <c r="B1939" s="1">
        <v>31741.38</v>
      </c>
      <c r="C1939" s="1">
        <v>49.830692300000003</v>
      </c>
      <c r="D1939" s="6">
        <f t="shared" si="395"/>
        <v>3.5622698491339921E-3</v>
      </c>
      <c r="E1939" s="5">
        <f t="shared" si="407"/>
        <v>3.105958386022678E-4</v>
      </c>
      <c r="G1939" s="25" t="str">
        <f>IF(VLOOKUP(A1939,Aux!B:C,2,FALSE)=0,"",VLOOKUP(A1939,Aux!B:C,2,FALSE))</f>
        <v/>
      </c>
      <c r="H1939" s="25" t="str">
        <f t="shared" si="396"/>
        <v/>
      </c>
      <c r="L1939" s="13">
        <f t="shared" si="399"/>
        <v>185575.01515547765</v>
      </c>
      <c r="M1939" s="14">
        <f t="shared" si="400"/>
        <v>356.32055287837454</v>
      </c>
      <c r="N1939" s="14">
        <f t="shared" si="401"/>
        <v>26.452197741084287</v>
      </c>
      <c r="O1939" s="1">
        <f t="shared" si="402"/>
        <v>3.1625148919709645</v>
      </c>
      <c r="P1939" s="1">
        <f t="shared" si="403"/>
        <v>1709.6376606786282</v>
      </c>
      <c r="S1939" s="6">
        <f t="shared" si="397"/>
        <v>0.54092727330566148</v>
      </c>
      <c r="T1939" s="6">
        <f t="shared" si="398"/>
        <v>0.45907272669433968</v>
      </c>
      <c r="V1939" s="1">
        <f t="shared" si="404"/>
        <v>184706.33330315558</v>
      </c>
      <c r="W1939" s="7">
        <f t="shared" si="405"/>
        <v>2.0647609992625925E-3</v>
      </c>
      <c r="X1939" s="7">
        <f t="shared" si="406"/>
        <v>1.5959525514449987E-3</v>
      </c>
      <c r="Y1939">
        <f>LN(B1939/B1938)</f>
        <v>3.5559399938759838E-3</v>
      </c>
      <c r="Z1939">
        <f>LN(C1939/C1938)</f>
        <v>3.105476137001668E-4</v>
      </c>
    </row>
    <row r="1940" spans="1:26" x14ac:dyDescent="0.3">
      <c r="A1940" s="11">
        <v>43034</v>
      </c>
      <c r="B1940" s="12">
        <v>31424.35</v>
      </c>
      <c r="C1940" s="12">
        <v>49.846168499999997</v>
      </c>
      <c r="D1940" s="16">
        <f t="shared" si="395"/>
        <v>-9.9879085282367219E-3</v>
      </c>
      <c r="E1940" s="15">
        <f t="shared" si="407"/>
        <v>3.1057565700320922E-4</v>
      </c>
      <c r="G1940" s="25" t="str">
        <f>IF(VLOOKUP(A1940,Aux!B:C,2,FALSE)=0,"",VLOOKUP(A1940,Aux!B:C,2,FALSE))</f>
        <v/>
      </c>
      <c r="H1940" s="25" t="str">
        <f t="shared" si="396"/>
        <v/>
      </c>
      <c r="L1940" s="13">
        <f t="shared" si="399"/>
        <v>184598.86175364026</v>
      </c>
      <c r="M1940" s="14">
        <f t="shared" si="400"/>
        <v>-1002.6120962015627</v>
      </c>
      <c r="N1940" s="14">
        <f t="shared" si="401"/>
        <v>26.458694364185753</v>
      </c>
      <c r="O1940" s="1">
        <f t="shared" si="402"/>
        <v>3.1625148919709645</v>
      </c>
      <c r="P1940" s="1">
        <f t="shared" si="403"/>
        <v>1709.6376606786282</v>
      </c>
      <c r="S1940" s="6">
        <f t="shared" si="397"/>
        <v>0.53835637934830349</v>
      </c>
      <c r="T1940" s="6">
        <f t="shared" si="398"/>
        <v>0.46164362065169789</v>
      </c>
      <c r="V1940" s="1">
        <f t="shared" si="404"/>
        <v>184009.55631278761</v>
      </c>
      <c r="W1940" s="7">
        <f t="shared" si="405"/>
        <v>-5.2740386364842264E-3</v>
      </c>
      <c r="X1940" s="7">
        <f t="shared" si="406"/>
        <v>-3.779483550433501E-3</v>
      </c>
      <c r="Y1940">
        <f>LN(B1940/B1939)</f>
        <v>-1.0038122320245247E-2</v>
      </c>
      <c r="Z1940">
        <f>LN(C1940/C1939)</f>
        <v>3.1052743836727906E-4</v>
      </c>
    </row>
    <row r="1941" spans="1:26" x14ac:dyDescent="0.3">
      <c r="A1941" s="9">
        <v>43035</v>
      </c>
      <c r="B1941" s="1">
        <v>31449.279999999999</v>
      </c>
      <c r="C1941" s="1">
        <v>49.860271500000003</v>
      </c>
      <c r="D1941" s="6">
        <f t="shared" si="395"/>
        <v>7.9333383188506801E-4</v>
      </c>
      <c r="E1941" s="5">
        <f t="shared" si="407"/>
        <v>2.8293047237926139E-4</v>
      </c>
      <c r="G1941" s="25" t="str">
        <f>IF(VLOOKUP(A1941,Aux!B:C,2,FALSE)=0,"",VLOOKUP(A1941,Aux!B:C,2,FALSE))</f>
        <v/>
      </c>
      <c r="H1941" s="25" t="str">
        <f t="shared" si="396"/>
        <v/>
      </c>
      <c r="L1941" s="13">
        <f t="shared" si="399"/>
        <v>184701.81426982567</v>
      </c>
      <c r="M1941" s="14">
        <f t="shared" si="400"/>
        <v>78.841496256837061</v>
      </c>
      <c r="N1941" s="14">
        <f t="shared" si="401"/>
        <v>24.111019928560523</v>
      </c>
      <c r="O1941" s="1">
        <f t="shared" si="402"/>
        <v>3.1625148919709645</v>
      </c>
      <c r="P1941" s="1">
        <f t="shared" si="403"/>
        <v>1709.6376606786282</v>
      </c>
      <c r="S1941" s="6">
        <f t="shared" si="397"/>
        <v>0.53848315857075468</v>
      </c>
      <c r="T1941" s="6">
        <f t="shared" si="398"/>
        <v>0.46151684142924654</v>
      </c>
      <c r="V1941" s="1">
        <f t="shared" si="404"/>
        <v>184098.62097394833</v>
      </c>
      <c r="W1941" s="7">
        <f t="shared" si="405"/>
        <v>5.5755391493464608E-4</v>
      </c>
      <c r="X1941" s="7">
        <f t="shared" si="406"/>
        <v>4.8390483229786806E-4</v>
      </c>
      <c r="Y1941">
        <f>LN(B1941/B1940)</f>
        <v>7.930193089374653E-4</v>
      </c>
      <c r="Z1941">
        <f>LN(C1941/C1940)</f>
        <v>2.8289045510105471E-4</v>
      </c>
    </row>
    <row r="1942" spans="1:26" x14ac:dyDescent="0.3">
      <c r="A1942" s="11">
        <v>43038</v>
      </c>
      <c r="B1942" s="12">
        <v>30961.25</v>
      </c>
      <c r="C1942" s="12">
        <v>49.874381999999997</v>
      </c>
      <c r="D1942" s="16">
        <f t="shared" si="395"/>
        <v>-1.5518002319925839E-2</v>
      </c>
      <c r="E1942" s="15">
        <f t="shared" si="407"/>
        <v>2.8300086572929928E-4</v>
      </c>
      <c r="G1942" s="25" t="str">
        <f>IF(VLOOKUP(A1942,Aux!B:C,2,FALSE)=0,"",VLOOKUP(A1942,Aux!B:C,2,FALSE))</f>
        <v/>
      </c>
      <c r="H1942" s="25" t="str">
        <f t="shared" si="396"/>
        <v/>
      </c>
      <c r="L1942" s="13">
        <f t="shared" si="399"/>
        <v>183182.53596930808</v>
      </c>
      <c r="M1942" s="14">
        <f t="shared" si="400"/>
        <v>-1543.4021427285861</v>
      </c>
      <c r="N1942" s="14">
        <f t="shared" si="401"/>
        <v>24.123842210995388</v>
      </c>
      <c r="O1942" s="1">
        <f t="shared" si="402"/>
        <v>3.1625148919709645</v>
      </c>
      <c r="P1942" s="1">
        <f t="shared" si="403"/>
        <v>1709.6376606786282</v>
      </c>
      <c r="S1942" s="6">
        <f t="shared" si="397"/>
        <v>0.53452373983643064</v>
      </c>
      <c r="T1942" s="6">
        <f t="shared" si="398"/>
        <v>0.46547626016357058</v>
      </c>
      <c r="V1942" s="1">
        <f t="shared" si="404"/>
        <v>183004.28575016567</v>
      </c>
      <c r="W1942" s="7">
        <f t="shared" si="405"/>
        <v>-8.2595899321180211E-3</v>
      </c>
      <c r="X1942" s="7">
        <f t="shared" si="406"/>
        <v>-5.962025608168939E-3</v>
      </c>
      <c r="Y1942">
        <f>LN(B1942/B1941)</f>
        <v>-1.5639666819179065E-2</v>
      </c>
      <c r="Z1942">
        <f>LN(C1942/C1941)</f>
        <v>2.8296082853782598E-4</v>
      </c>
    </row>
    <row r="1943" spans="1:26" x14ac:dyDescent="0.3">
      <c r="A1943" s="9">
        <v>43039</v>
      </c>
      <c r="B1943" s="1">
        <v>30768.93</v>
      </c>
      <c r="C1943" s="1">
        <v>49.888492599999999</v>
      </c>
      <c r="D1943" s="6">
        <f t="shared" si="395"/>
        <v>-6.2116355121321076E-3</v>
      </c>
      <c r="E1943" s="5">
        <f t="shared" si="407"/>
        <v>2.8292280393582558E-4</v>
      </c>
      <c r="G1943" s="25" t="str">
        <f>IF(VLOOKUP(A1943,Aux!B:C,2,FALSE)=0,"",VLOOKUP(A1943,Aux!B:C,2,FALSE))</f>
        <v/>
      </c>
      <c r="H1943" s="25" t="str">
        <f t="shared" si="396"/>
        <v/>
      </c>
      <c r="L1943" s="13">
        <f t="shared" si="399"/>
        <v>182598.445118459</v>
      </c>
      <c r="M1943" s="14">
        <f t="shared" si="400"/>
        <v>-608.21486402385494</v>
      </c>
      <c r="N1943" s="14">
        <f t="shared" si="401"/>
        <v>24.124013174775602</v>
      </c>
      <c r="O1943" s="1">
        <f t="shared" si="402"/>
        <v>3.1625148919709645</v>
      </c>
      <c r="P1943" s="1">
        <f t="shared" si="403"/>
        <v>1709.6376606786282</v>
      </c>
      <c r="S1943" s="6">
        <f t="shared" si="397"/>
        <v>0.53290267215520393</v>
      </c>
      <c r="T1943" s="6">
        <f t="shared" si="398"/>
        <v>0.46709732784479724</v>
      </c>
      <c r="V1943" s="1">
        <f t="shared" si="404"/>
        <v>182592.16406408744</v>
      </c>
      <c r="W1943" s="7">
        <f t="shared" si="405"/>
        <v>-3.1936671259691044E-3</v>
      </c>
      <c r="X1943" s="7">
        <f t="shared" si="406"/>
        <v>-2.2545178480280741E-3</v>
      </c>
      <c r="Y1943">
        <f>LN(B1943/B1942)</f>
        <v>-6.2310079848239969E-3</v>
      </c>
      <c r="Z1943">
        <f>LN(C1943/C1942)</f>
        <v>2.8288278882661214E-4</v>
      </c>
    </row>
    <row r="1944" spans="1:26" x14ac:dyDescent="0.3">
      <c r="A1944" s="11">
        <v>43040</v>
      </c>
      <c r="B1944" s="12">
        <v>30590.720000000001</v>
      </c>
      <c r="C1944" s="12">
        <v>49.902610799999998</v>
      </c>
      <c r="D1944" s="16">
        <f t="shared" si="395"/>
        <v>-5.7918816156428132E-3</v>
      </c>
      <c r="E1944" s="15">
        <f t="shared" si="407"/>
        <v>2.8299512100304902E-4</v>
      </c>
      <c r="G1944" s="25" t="str">
        <f>IF(VLOOKUP(A1944,Aux!B:C,2,FALSE)=0,"",VLOOKUP(A1944,Aux!B:C,2,FALSE))</f>
        <v/>
      </c>
      <c r="H1944" s="25" t="str">
        <f t="shared" si="396"/>
        <v/>
      </c>
      <c r="L1944" s="13">
        <f t="shared" si="399"/>
        <v>182058.99034598185</v>
      </c>
      <c r="M1944" s="14">
        <f t="shared" si="400"/>
        <v>-563.59177889814282</v>
      </c>
      <c r="N1944" s="14">
        <f t="shared" si="401"/>
        <v>24.13700642099068</v>
      </c>
      <c r="O1944" s="1">
        <f t="shared" si="402"/>
        <v>3.1625148919709645</v>
      </c>
      <c r="P1944" s="1">
        <f t="shared" si="403"/>
        <v>1709.6376606786282</v>
      </c>
      <c r="S1944" s="6">
        <f t="shared" si="397"/>
        <v>0.5313860489518486</v>
      </c>
      <c r="T1944" s="6">
        <f t="shared" si="398"/>
        <v>0.46861395104815273</v>
      </c>
      <c r="V1944" s="1">
        <f t="shared" si="404"/>
        <v>182212.61164378634</v>
      </c>
      <c r="W1944" s="7">
        <f t="shared" si="405"/>
        <v>-2.9586955511649643E-3</v>
      </c>
      <c r="X1944" s="7">
        <f t="shared" si="406"/>
        <v>-2.0808530070263488E-3</v>
      </c>
      <c r="Y1944">
        <f>LN(B1944/B1943)</f>
        <v>-5.8087196092222E-3</v>
      </c>
      <c r="Z1944">
        <f>LN(C1944/C1943)</f>
        <v>2.8295508543686173E-4</v>
      </c>
    </row>
    <row r="1945" spans="1:26" x14ac:dyDescent="0.3">
      <c r="A1945" s="9">
        <v>43042</v>
      </c>
      <c r="B1945" s="1">
        <v>30584.98</v>
      </c>
      <c r="C1945" s="1">
        <v>49.916728999999997</v>
      </c>
      <c r="D1945" s="6">
        <f t="shared" si="395"/>
        <v>-1.8763860412573941E-4</v>
      </c>
      <c r="E1945" s="5">
        <f t="shared" si="407"/>
        <v>2.8291505742217282E-4</v>
      </c>
      <c r="G1945" s="25" t="str">
        <f>IF(VLOOKUP(A1945,Aux!B:C,2,FALSE)=0,"",VLOOKUP(A1945,Aux!B:C,2,FALSE))</f>
        <v/>
      </c>
      <c r="H1945" s="25" t="str">
        <f t="shared" si="396"/>
        <v/>
      </c>
      <c r="L1945" s="13">
        <f t="shared" si="399"/>
        <v>182064.97451692293</v>
      </c>
      <c r="M1945" s="14">
        <f t="shared" si="400"/>
        <v>-18.152835479918398</v>
      </c>
      <c r="N1945" s="14">
        <f t="shared" si="401"/>
        <v>24.13700642099068</v>
      </c>
      <c r="O1945" s="1">
        <f t="shared" si="402"/>
        <v>3.1625148919709645</v>
      </c>
      <c r="P1945" s="1">
        <f t="shared" si="403"/>
        <v>1709.6376606786282</v>
      </c>
      <c r="S1945" s="6">
        <f t="shared" si="397"/>
        <v>0.53126887792271915</v>
      </c>
      <c r="T1945" s="6">
        <f t="shared" si="398"/>
        <v>0.46873112207728201</v>
      </c>
      <c r="V1945" s="1">
        <f t="shared" si="404"/>
        <v>182230.95354651811</v>
      </c>
      <c r="W1945" s="7">
        <f t="shared" si="405"/>
        <v>3.286886620536492E-5</v>
      </c>
      <c r="X1945" s="7">
        <f t="shared" si="406"/>
        <v>1.0065702621297715E-4</v>
      </c>
      <c r="Y1945">
        <f>LN(B1945/B1944)</f>
        <v>-1.8765621045107052E-4</v>
      </c>
      <c r="Z1945">
        <f>LN(C1945/C1944)</f>
        <v>2.8287504450397486E-4</v>
      </c>
    </row>
    <row r="1946" spans="1:26" x14ac:dyDescent="0.3">
      <c r="A1946" s="11">
        <v>43045</v>
      </c>
      <c r="B1946" s="12">
        <v>30719.27</v>
      </c>
      <c r="C1946" s="12">
        <v>49.930854799999999</v>
      </c>
      <c r="D1946" s="16">
        <f t="shared" si="395"/>
        <v>4.3907172736421529E-3</v>
      </c>
      <c r="E1946" s="15">
        <f t="shared" si="407"/>
        <v>2.8298729269704559E-4</v>
      </c>
      <c r="G1946" s="25" t="str">
        <f>IF(VLOOKUP(A1946,Aux!B:C,2,FALSE)=0,"",VLOOKUP(A1946,Aux!B:C,2,FALSE))</f>
        <v/>
      </c>
      <c r="H1946" s="25" t="str">
        <f t="shared" si="396"/>
        <v/>
      </c>
      <c r="L1946" s="13">
        <f t="shared" si="399"/>
        <v>182513.81864143294</v>
      </c>
      <c r="M1946" s="14">
        <f t="shared" si="400"/>
        <v>424.69412484278359</v>
      </c>
      <c r="N1946" s="14">
        <f t="shared" si="401"/>
        <v>24.149999667217905</v>
      </c>
      <c r="O1946" s="1">
        <f t="shared" si="402"/>
        <v>3.1625148919709645</v>
      </c>
      <c r="P1946" s="1">
        <f t="shared" si="403"/>
        <v>1709.6376606786282</v>
      </c>
      <c r="S1946" s="6">
        <f t="shared" si="397"/>
        <v>0.53228927852492247</v>
      </c>
      <c r="T1946" s="6">
        <f t="shared" si="398"/>
        <v>0.46771072147507864</v>
      </c>
      <c r="V1946" s="1">
        <f t="shared" si="404"/>
        <v>182572.36655973224</v>
      </c>
      <c r="W1946" s="7">
        <f t="shared" si="405"/>
        <v>2.4622625325532652E-3</v>
      </c>
      <c r="X1946" s="7">
        <f t="shared" si="406"/>
        <v>1.87176538192259E-3</v>
      </c>
      <c r="Y1946">
        <f>LN(B1946/B1945)</f>
        <v>4.3811061972966036E-3</v>
      </c>
      <c r="Z1946">
        <f>LN(C1946/C1945)</f>
        <v>2.8294725934557336E-4</v>
      </c>
    </row>
    <row r="1947" spans="1:26" x14ac:dyDescent="0.3">
      <c r="A1947" s="9">
        <v>43046</v>
      </c>
      <c r="B1947" s="1">
        <v>29946.84</v>
      </c>
      <c r="C1947" s="1">
        <v>49.944984400000003</v>
      </c>
      <c r="D1947" s="6">
        <f t="shared" ref="D1947:D2010" si="408">B1947/B1946-1</f>
        <v>-2.5144803245650049E-2</v>
      </c>
      <c r="E1947" s="5">
        <f t="shared" si="407"/>
        <v>2.8298333879117621E-4</v>
      </c>
      <c r="G1947" s="25" t="str">
        <f>IF(VLOOKUP(A1947,Aux!B:C,2,FALSE)=0,"",VLOOKUP(A1947,Aux!B:C,2,FALSE))</f>
        <v/>
      </c>
      <c r="H1947" s="25" t="str">
        <f t="shared" si="396"/>
        <v/>
      </c>
      <c r="L1947" s="13">
        <f t="shared" si="399"/>
        <v>180095.15375971812</v>
      </c>
      <c r="M1947" s="14">
        <f t="shared" si="400"/>
        <v>-2442.8213780051328</v>
      </c>
      <c r="N1947" s="14">
        <f t="shared" si="401"/>
        <v>24.156496290331518</v>
      </c>
      <c r="O1947" s="1">
        <f t="shared" si="402"/>
        <v>3.1625148919709645</v>
      </c>
      <c r="P1947" s="1">
        <f t="shared" si="403"/>
        <v>1709.6376606786282</v>
      </c>
      <c r="S1947" s="6">
        <f t="shared" si="397"/>
        <v>0.52587382553241668</v>
      </c>
      <c r="T1947" s="6">
        <f t="shared" si="398"/>
        <v>0.47412617446758459</v>
      </c>
      <c r="V1947" s="1">
        <f t="shared" si="404"/>
        <v>180821.95331681438</v>
      </c>
      <c r="W1947" s="7">
        <f t="shared" si="405"/>
        <v>-1.3340545527260782E-2</v>
      </c>
      <c r="X1947" s="7">
        <f t="shared" si="406"/>
        <v>-9.633759720741205E-3</v>
      </c>
      <c r="Y1947">
        <f>LN(B1947/B1946)</f>
        <v>-2.5466335163289919E-2</v>
      </c>
      <c r="Z1947">
        <f>LN(C1947/C1946)</f>
        <v>2.8294330655828474E-4</v>
      </c>
    </row>
    <row r="1948" spans="1:26" x14ac:dyDescent="0.3">
      <c r="A1948" s="11">
        <v>43047</v>
      </c>
      <c r="B1948" s="12">
        <v>30714.639999999999</v>
      </c>
      <c r="C1948" s="12">
        <v>49.959114100000001</v>
      </c>
      <c r="D1948" s="16">
        <f t="shared" si="408"/>
        <v>2.5638765225312499E-2</v>
      </c>
      <c r="E1948" s="15">
        <f t="shared" si="407"/>
        <v>2.8290528407892701E-4</v>
      </c>
      <c r="G1948" s="25" t="str">
        <f>IF(VLOOKUP(A1948,Aux!B:C,2,FALSE)=0,"",VLOOKUP(A1948,Aux!B:C,2,FALSE))</f>
        <v/>
      </c>
      <c r="H1948" s="25" t="str">
        <f t="shared" si="396"/>
        <v/>
      </c>
      <c r="L1948" s="13">
        <f t="shared" si="399"/>
        <v>182547.48936102749</v>
      </c>
      <c r="M1948" s="14">
        <f t="shared" si="400"/>
        <v>2428.1789340553041</v>
      </c>
      <c r="N1948" s="14">
        <f t="shared" si="401"/>
        <v>24.156667254087434</v>
      </c>
      <c r="O1948" s="1">
        <f t="shared" si="402"/>
        <v>3.1625148919709645</v>
      </c>
      <c r="P1948" s="1">
        <f t="shared" si="403"/>
        <v>1709.6376606786282</v>
      </c>
      <c r="S1948" s="6">
        <f t="shared" si="397"/>
        <v>0.53211088655084382</v>
      </c>
      <c r="T1948" s="6">
        <f t="shared" si="398"/>
        <v>0.46788911344915757</v>
      </c>
      <c r="V1948" s="1">
        <f t="shared" si="404"/>
        <v>182624.90478514344</v>
      </c>
      <c r="W1948" s="7">
        <f t="shared" si="405"/>
        <v>1.3525011637209648E-2</v>
      </c>
      <c r="X1948" s="7">
        <f t="shared" si="406"/>
        <v>9.9214849032442931E-3</v>
      </c>
      <c r="Y1948">
        <f>LN(B1948/B1947)</f>
        <v>2.531560407654096E-2</v>
      </c>
      <c r="Z1948">
        <f>LN(C1948/C1947)</f>
        <v>2.8286527392492526E-4</v>
      </c>
    </row>
    <row r="1949" spans="1:26" x14ac:dyDescent="0.3">
      <c r="A1949" s="9">
        <v>43048</v>
      </c>
      <c r="B1949" s="1">
        <v>30130.11</v>
      </c>
      <c r="C1949" s="1">
        <v>49.973251300000001</v>
      </c>
      <c r="D1949" s="6">
        <f t="shared" si="408"/>
        <v>-1.9030989782071295E-2</v>
      </c>
      <c r="E1949" s="5">
        <f t="shared" si="407"/>
        <v>2.8297539407340366E-4</v>
      </c>
      <c r="G1949" s="25" t="str">
        <f>IF(VLOOKUP(A1949,Aux!B:C,2,FALSE)=0,"",VLOOKUP(A1949,Aux!B:C,2,FALSE))</f>
        <v/>
      </c>
      <c r="H1949" s="25" t="str">
        <f t="shared" si="396"/>
        <v/>
      </c>
      <c r="L1949" s="13">
        <f t="shared" si="399"/>
        <v>180723.07402076025</v>
      </c>
      <c r="M1949" s="14">
        <f t="shared" si="400"/>
        <v>-1848.5848298037843</v>
      </c>
      <c r="N1949" s="14">
        <f t="shared" si="401"/>
        <v>24.169489536546596</v>
      </c>
      <c r="O1949" s="1">
        <f t="shared" si="402"/>
        <v>3.1625148919709645</v>
      </c>
      <c r="P1949" s="1">
        <f t="shared" si="403"/>
        <v>1709.6376606786282</v>
      </c>
      <c r="S1949" s="6">
        <f t="shared" si="397"/>
        <v>0.52725376705786531</v>
      </c>
      <c r="T1949" s="6">
        <f t="shared" si="398"/>
        <v>0.47274623294213608</v>
      </c>
      <c r="V1949" s="1">
        <f t="shared" si="404"/>
        <v>181308.00041720946</v>
      </c>
      <c r="W1949" s="7">
        <f t="shared" si="405"/>
        <v>-1.0044472980402409E-2</v>
      </c>
      <c r="X1949" s="7">
        <f t="shared" si="406"/>
        <v>-7.2371038557745675E-3</v>
      </c>
      <c r="Y1949">
        <f>LN(B1949/B1948)</f>
        <v>-1.9214409907666003E-2</v>
      </c>
      <c r="Z1949">
        <f>LN(C1949/C1948)</f>
        <v>2.8293536408806737E-4</v>
      </c>
    </row>
    <row r="1950" spans="1:26" x14ac:dyDescent="0.3">
      <c r="A1950" s="11">
        <v>43049</v>
      </c>
      <c r="B1950" s="12">
        <v>29793.33</v>
      </c>
      <c r="C1950" s="12">
        <v>49.987392399999997</v>
      </c>
      <c r="D1950" s="16">
        <f t="shared" si="408"/>
        <v>-1.1177523082391616E-2</v>
      </c>
      <c r="E1950" s="15">
        <f t="shared" si="407"/>
        <v>2.8297338340266265E-4</v>
      </c>
      <c r="G1950" s="25" t="str">
        <f>IF(VLOOKUP(A1950,Aux!B:C,2,FALSE)=0,"",VLOOKUP(A1950,Aux!B:C,2,FALSE))</f>
        <v/>
      </c>
      <c r="H1950" s="25" t="str">
        <f t="shared" si="396"/>
        <v/>
      </c>
      <c r="L1950" s="13">
        <f t="shared" si="399"/>
        <v>179682.17841256567</v>
      </c>
      <c r="M1950" s="14">
        <f t="shared" si="400"/>
        <v>-1065.0717653179777</v>
      </c>
      <c r="N1950" s="14">
        <f t="shared" si="401"/>
        <v>24.176157123416125</v>
      </c>
      <c r="O1950" s="1">
        <f t="shared" si="402"/>
        <v>3.1625148919709645</v>
      </c>
      <c r="P1950" s="1">
        <f t="shared" si="403"/>
        <v>1709.6376606786282</v>
      </c>
      <c r="S1950" s="6">
        <f t="shared" si="397"/>
        <v>0.52438060712990608</v>
      </c>
      <c r="T1950" s="6">
        <f t="shared" si="398"/>
        <v>0.47561939287009536</v>
      </c>
      <c r="V1950" s="1">
        <f t="shared" si="404"/>
        <v>180562.67269043345</v>
      </c>
      <c r="W1950" s="7">
        <f t="shared" si="405"/>
        <v>-5.776267106605123E-3</v>
      </c>
      <c r="X1950" s="7">
        <f t="shared" si="406"/>
        <v>-4.1193102182775082E-3</v>
      </c>
      <c r="Y1950">
        <f>LN(B1950/B1949)</f>
        <v>-1.1240461026541318E-2</v>
      </c>
      <c r="Z1950">
        <f>LN(C1950/C1949)</f>
        <v>2.8293335398613372E-4</v>
      </c>
    </row>
    <row r="1951" spans="1:26" x14ac:dyDescent="0.3">
      <c r="A1951" s="9">
        <v>43052</v>
      </c>
      <c r="B1951" s="1">
        <v>29932.54</v>
      </c>
      <c r="C1951" s="1">
        <v>50.001537300000003</v>
      </c>
      <c r="D1951" s="6">
        <f t="shared" si="408"/>
        <v>4.6725223397316995E-3</v>
      </c>
      <c r="E1951" s="5">
        <f t="shared" si="407"/>
        <v>2.8296935128802048E-4</v>
      </c>
      <c r="G1951" s="25" t="str">
        <f>IF(VLOOKUP(A1951,Aux!B:C,2,FALSE)=0,"",VLOOKUP(A1951,Aux!B:C,2,FALSE))</f>
        <v/>
      </c>
      <c r="H1951" s="25" t="str">
        <f t="shared" si="396"/>
        <v/>
      </c>
      <c r="L1951" s="13">
        <f t="shared" si="399"/>
        <v>180146.61476442349</v>
      </c>
      <c r="M1951" s="14">
        <f t="shared" si="400"/>
        <v>440.25369811127518</v>
      </c>
      <c r="N1951" s="14">
        <f t="shared" si="401"/>
        <v>24.182653746541888</v>
      </c>
      <c r="O1951" s="1">
        <f t="shared" si="402"/>
        <v>3.1625148919709645</v>
      </c>
      <c r="P1951" s="1">
        <f t="shared" si="403"/>
        <v>1709.6376606786282</v>
      </c>
      <c r="S1951" s="6">
        <f t="shared" si="397"/>
        <v>0.52547256371320417</v>
      </c>
      <c r="T1951" s="6">
        <f t="shared" si="398"/>
        <v>0.47452743628679722</v>
      </c>
      <c r="V1951" s="1">
        <f t="shared" si="404"/>
        <v>180915.47904498011</v>
      </c>
      <c r="W1951" s="7">
        <f t="shared" si="405"/>
        <v>2.5814310503943301E-3</v>
      </c>
      <c r="X1951" s="7">
        <f t="shared" si="406"/>
        <v>1.9520209721125784E-3</v>
      </c>
      <c r="Y1951">
        <f>LN(B1951/B1950)</f>
        <v>4.6616399927304703E-3</v>
      </c>
      <c r="Z1951">
        <f>LN(C1951/C1950)</f>
        <v>2.8292932301214179E-4</v>
      </c>
    </row>
    <row r="1952" spans="1:26" x14ac:dyDescent="0.3">
      <c r="A1952" s="11">
        <v>43053</v>
      </c>
      <c r="B1952" s="12">
        <v>29305.81</v>
      </c>
      <c r="C1952" s="12">
        <v>50.015686000000002</v>
      </c>
      <c r="D1952" s="16">
        <f t="shared" si="408"/>
        <v>-2.0938082768786059E-2</v>
      </c>
      <c r="E1952" s="15">
        <f t="shared" si="407"/>
        <v>2.8296529994897845E-4</v>
      </c>
      <c r="G1952" s="25" t="str">
        <f>IF(VLOOKUP(A1952,Aux!B:C,2,FALSE)=0,"",VLOOKUP(A1952,Aux!B:C,2,FALSE))</f>
        <v/>
      </c>
      <c r="H1952" s="25" t="str">
        <f t="shared" si="396"/>
        <v/>
      </c>
      <c r="L1952" s="13">
        <f t="shared" si="399"/>
        <v>178188.76095654815</v>
      </c>
      <c r="M1952" s="14">
        <f t="shared" si="400"/>
        <v>-1982.0429582449613</v>
      </c>
      <c r="N1952" s="14">
        <f t="shared" si="401"/>
        <v>24.18915036964335</v>
      </c>
      <c r="O1952" s="1">
        <f t="shared" si="402"/>
        <v>3.1625148919709645</v>
      </c>
      <c r="P1952" s="1">
        <f t="shared" si="403"/>
        <v>1709.6376606786282</v>
      </c>
      <c r="S1952" s="6">
        <f t="shared" si="397"/>
        <v>0.52012293058635684</v>
      </c>
      <c r="T1952" s="6">
        <f t="shared" si="398"/>
        <v>0.47987706941364483</v>
      </c>
      <c r="V1952" s="1">
        <f t="shared" si="404"/>
        <v>179501.24352790555</v>
      </c>
      <c r="W1952" s="7">
        <f t="shared" si="405"/>
        <v>-1.0927602593418993E-2</v>
      </c>
      <c r="X1952" s="7">
        <f t="shared" si="406"/>
        <v>-7.847819964247011E-3</v>
      </c>
      <c r="Y1952">
        <f>LN(B1952/B1951)</f>
        <v>-2.1160393067247762E-2</v>
      </c>
      <c r="Z1952">
        <f>LN(C1952/C1951)</f>
        <v>2.8292527281917199E-4</v>
      </c>
    </row>
    <row r="1953" spans="1:26" x14ac:dyDescent="0.3">
      <c r="A1953" s="9">
        <v>43055</v>
      </c>
      <c r="B1953" s="1">
        <v>29992.67</v>
      </c>
      <c r="C1953" s="1">
        <v>50.029838599999998</v>
      </c>
      <c r="D1953" s="6">
        <f t="shared" si="408"/>
        <v>2.343767328048596E-2</v>
      </c>
      <c r="E1953" s="5">
        <f t="shared" si="407"/>
        <v>2.8296322877574553E-4</v>
      </c>
      <c r="G1953" s="25" t="str">
        <f>IF(VLOOKUP(A1953,Aux!B:C,2,FALSE)=0,"",VLOOKUP(A1953,Aux!B:C,2,FALSE))</f>
        <v/>
      </c>
      <c r="H1953" s="25" t="str">
        <f t="shared" si="396"/>
        <v/>
      </c>
      <c r="L1953" s="13">
        <f t="shared" si="399"/>
        <v>180385.16175320384</v>
      </c>
      <c r="M1953" s="14">
        <f t="shared" si="400"/>
        <v>2172.204978699167</v>
      </c>
      <c r="N1953" s="14">
        <f t="shared" si="401"/>
        <v>24.195817956512883</v>
      </c>
      <c r="O1953" s="1">
        <f t="shared" si="402"/>
        <v>3.1625148919709645</v>
      </c>
      <c r="P1953" s="1">
        <f t="shared" si="403"/>
        <v>1709.6376606786282</v>
      </c>
      <c r="S1953" s="6">
        <f t="shared" si="397"/>
        <v>0.52583186223900202</v>
      </c>
      <c r="T1953" s="6">
        <f t="shared" si="398"/>
        <v>0.47416813776099953</v>
      </c>
      <c r="V1953" s="1">
        <f t="shared" si="404"/>
        <v>181117.5148152716</v>
      </c>
      <c r="W1953" s="7">
        <f t="shared" si="405"/>
        <v>1.2250909104125096E-2</v>
      </c>
      <c r="X1953" s="7">
        <f t="shared" si="406"/>
        <v>8.9639380788451191E-3</v>
      </c>
      <c r="Y1953">
        <f>LN(B1953/B1952)</f>
        <v>2.3167228593750602E-2</v>
      </c>
      <c r="Z1953">
        <f>LN(C1953/C1952)</f>
        <v>2.8292320223184133E-4</v>
      </c>
    </row>
    <row r="1954" spans="1:26" x14ac:dyDescent="0.3">
      <c r="A1954" s="11">
        <v>43056</v>
      </c>
      <c r="B1954" s="12">
        <v>30370.639999999999</v>
      </c>
      <c r="C1954" s="12">
        <v>50.043994900000001</v>
      </c>
      <c r="D1954" s="16">
        <f t="shared" si="408"/>
        <v>1.260207910799549E-2</v>
      </c>
      <c r="E1954" s="15">
        <f t="shared" si="407"/>
        <v>2.8295713910231335E-4</v>
      </c>
      <c r="G1954" s="25" t="str">
        <f>IF(VLOOKUP(A1954,Aux!B:C,2,FALSE)=0,"",VLOOKUP(A1954,Aux!B:C,2,FALSE))</f>
        <v/>
      </c>
      <c r="H1954" s="25" t="str">
        <f t="shared" si="396"/>
        <v/>
      </c>
      <c r="L1954" s="13">
        <f t="shared" si="399"/>
        <v>181604.69965053798</v>
      </c>
      <c r="M1954" s="14">
        <f t="shared" si="400"/>
        <v>1195.3357537182692</v>
      </c>
      <c r="N1954" s="14">
        <f t="shared" si="401"/>
        <v>24.202143615870575</v>
      </c>
      <c r="O1954" s="1">
        <f t="shared" si="402"/>
        <v>3.1625148919709645</v>
      </c>
      <c r="P1954" s="1">
        <f t="shared" si="403"/>
        <v>1709.6376606786282</v>
      </c>
      <c r="S1954" s="6">
        <f t="shared" si="397"/>
        <v>0.528882795783994</v>
      </c>
      <c r="T1954" s="6">
        <f t="shared" si="398"/>
        <v>0.4711172042160075</v>
      </c>
      <c r="V1954" s="1">
        <f t="shared" si="404"/>
        <v>182021.17434499782</v>
      </c>
      <c r="W1954" s="7">
        <f t="shared" si="405"/>
        <v>6.7379926419772465E-3</v>
      </c>
      <c r="X1954" s="7">
        <f t="shared" si="406"/>
        <v>4.9769491492119384E-3</v>
      </c>
      <c r="Y1954">
        <f>LN(B1954/B1953)</f>
        <v>1.2523333788770543E-2</v>
      </c>
      <c r="Z1954">
        <f>LN(C1954/C1953)</f>
        <v>2.8291711428105683E-4</v>
      </c>
    </row>
    <row r="1955" spans="1:26" x14ac:dyDescent="0.3">
      <c r="A1955" s="9">
        <v>43060</v>
      </c>
      <c r="B1955" s="1">
        <v>30847.61</v>
      </c>
      <c r="C1955" s="1">
        <v>50.072319</v>
      </c>
      <c r="D1955" s="6">
        <f t="shared" si="408"/>
        <v>1.5704970326605006E-2</v>
      </c>
      <c r="E1955" s="5">
        <f t="shared" si="407"/>
        <v>5.6598399181750914E-4</v>
      </c>
      <c r="G1955" s="25" t="str">
        <f>IF(VLOOKUP(A1955,Aux!B:C,2,FALSE)=0,"",VLOOKUP(A1955,Aux!B:C,2,FALSE))</f>
        <v/>
      </c>
      <c r="H1955" s="25" t="str">
        <f t="shared" si="396"/>
        <v/>
      </c>
      <c r="L1955" s="13">
        <f t="shared" si="399"/>
        <v>183161.54832662619</v>
      </c>
      <c r="M1955" s="14">
        <f t="shared" si="400"/>
        <v>1508.4247280233947</v>
      </c>
      <c r="N1955" s="14">
        <f t="shared" si="401"/>
        <v>48.423948064825765</v>
      </c>
      <c r="O1955" s="1">
        <f t="shared" si="402"/>
        <v>3.1625148919709645</v>
      </c>
      <c r="P1955" s="1">
        <f t="shared" si="403"/>
        <v>1709.6376606786282</v>
      </c>
      <c r="S1955" s="6">
        <f t="shared" si="397"/>
        <v>0.53262285069104065</v>
      </c>
      <c r="T1955" s="6">
        <f t="shared" si="398"/>
        <v>0.46737714930896096</v>
      </c>
      <c r="V1955" s="1">
        <f t="shared" si="404"/>
        <v>183184.9255830507</v>
      </c>
      <c r="W1955" s="7">
        <f t="shared" si="405"/>
        <v>8.5361961981886888E-3</v>
      </c>
      <c r="X1955" s="7">
        <f t="shared" si="406"/>
        <v>6.3731420547500587E-3</v>
      </c>
      <c r="Y1955">
        <f>LN(B1955/B1954)</f>
        <v>1.5582923450021085E-2</v>
      </c>
      <c r="Z1955">
        <f>LN(C1955/C1954)</f>
        <v>5.6582388328774028E-4</v>
      </c>
    </row>
    <row r="1956" spans="1:26" x14ac:dyDescent="0.3">
      <c r="A1956" s="11">
        <v>43061</v>
      </c>
      <c r="B1956" s="12">
        <v>30812.62</v>
      </c>
      <c r="C1956" s="12">
        <v>50.086486800000003</v>
      </c>
      <c r="D1956" s="16">
        <f t="shared" si="408"/>
        <v>-1.1342856059189943E-3</v>
      </c>
      <c r="E1956" s="15">
        <f t="shared" si="407"/>
        <v>2.8294675147755299E-4</v>
      </c>
      <c r="G1956" s="25" t="str">
        <f>IF(VLOOKUP(A1956,Aux!B:C,2,FALSE)=0,"",VLOOKUP(A1956,Aux!B:C,2,FALSE))</f>
        <v/>
      </c>
      <c r="H1956" s="25" t="str">
        <f t="shared" si="396"/>
        <v/>
      </c>
      <c r="L1956" s="13">
        <f t="shared" si="399"/>
        <v>183075.11373500508</v>
      </c>
      <c r="M1956" s="14">
        <f t="shared" si="400"/>
        <v>-110.65639607006911</v>
      </c>
      <c r="N1956" s="14">
        <f t="shared" si="401"/>
        <v>24.221804448967333</v>
      </c>
      <c r="O1956" s="1">
        <f t="shared" si="402"/>
        <v>3.1625148919709645</v>
      </c>
      <c r="P1956" s="1">
        <f t="shared" si="403"/>
        <v>1709.6376606786282</v>
      </c>
      <c r="S1956" s="6">
        <f t="shared" si="397"/>
        <v>0.53226988432568278</v>
      </c>
      <c r="T1956" s="6">
        <f t="shared" si="398"/>
        <v>0.46773011567431882</v>
      </c>
      <c r="V1956" s="1">
        <f t="shared" si="404"/>
        <v>183135.89767438211</v>
      </c>
      <c r="W1956" s="7">
        <f t="shared" si="405"/>
        <v>-4.7201496835038424E-4</v>
      </c>
      <c r="X1956" s="7">
        <f t="shared" si="406"/>
        <v>-2.6767743381528656E-4</v>
      </c>
      <c r="Y1956">
        <f>LN(B1956/B1955)</f>
        <v>-1.1349293947098423E-3</v>
      </c>
      <c r="Z1956">
        <f>LN(C1956/C1955)</f>
        <v>2.8290672959466369E-4</v>
      </c>
    </row>
    <row r="1957" spans="1:26" x14ac:dyDescent="0.3">
      <c r="A1957" s="9">
        <v>43062</v>
      </c>
      <c r="B1957" s="1">
        <v>30785.759999999998</v>
      </c>
      <c r="C1957" s="1">
        <v>50.1006584</v>
      </c>
      <c r="D1957" s="6">
        <f t="shared" si="408"/>
        <v>-8.7172074299424196E-4</v>
      </c>
      <c r="E1957" s="5">
        <f t="shared" si="407"/>
        <v>2.8294258402650208E-4</v>
      </c>
      <c r="G1957" s="25" t="str">
        <f>IF(VLOOKUP(A1957,Aux!B:C,2,FALSE)=0,"",VLOOKUP(A1957,Aux!B:C,2,FALSE))</f>
        <v/>
      </c>
      <c r="H1957" s="25" t="str">
        <f t="shared" si="396"/>
        <v/>
      </c>
      <c r="L1957" s="13">
        <f t="shared" si="399"/>
        <v>183014.39688607879</v>
      </c>
      <c r="M1957" s="14">
        <f t="shared" si="400"/>
        <v>-84.945149998341947</v>
      </c>
      <c r="N1957" s="14">
        <f t="shared" si="401"/>
        <v>24.228301072068799</v>
      </c>
      <c r="O1957" s="1">
        <f t="shared" si="402"/>
        <v>3.1625148919709645</v>
      </c>
      <c r="P1957" s="1">
        <f t="shared" si="403"/>
        <v>1709.6376606786282</v>
      </c>
      <c r="S1957" s="6">
        <f t="shared" si="397"/>
        <v>0.53198232552845615</v>
      </c>
      <c r="T1957" s="6">
        <f t="shared" si="398"/>
        <v>0.46801767447154552</v>
      </c>
      <c r="V1957" s="1">
        <f t="shared" si="404"/>
        <v>183105.63446120577</v>
      </c>
      <c r="W1957" s="7">
        <f t="shared" si="405"/>
        <v>-3.3170493948328738E-4</v>
      </c>
      <c r="X1957" s="7">
        <f t="shared" si="406"/>
        <v>-1.6526368852132225E-4</v>
      </c>
      <c r="Y1957">
        <f>LN(B1957/B1956)</f>
        <v>-8.7210091247159492E-4</v>
      </c>
      <c r="Z1957">
        <f>LN(C1957/C1956)</f>
        <v>2.8290256332243728E-4</v>
      </c>
    </row>
    <row r="1958" spans="1:26" x14ac:dyDescent="0.3">
      <c r="A1958" s="11">
        <v>43063</v>
      </c>
      <c r="B1958" s="12">
        <v>30656.99</v>
      </c>
      <c r="C1958" s="12">
        <v>50.114837600000001</v>
      </c>
      <c r="D1958" s="16">
        <f t="shared" si="408"/>
        <v>-4.1827780116520108E-3</v>
      </c>
      <c r="E1958" s="15">
        <f t="shared" si="407"/>
        <v>2.8301424477894521E-4</v>
      </c>
      <c r="G1958" s="25" t="str">
        <f>IF(VLOOKUP(A1958,Aux!B:C,2,FALSE)=0,"",VLOOKUP(A1958,Aux!B:C,2,FALSE))</f>
        <v/>
      </c>
      <c r="H1958" s="25" t="str">
        <f t="shared" si="396"/>
        <v/>
      </c>
      <c r="L1958" s="13">
        <f t="shared" si="399"/>
        <v>182631.40113775799</v>
      </c>
      <c r="M1958" s="14">
        <f t="shared" si="400"/>
        <v>-407.23704263909099</v>
      </c>
      <c r="N1958" s="14">
        <f t="shared" si="401"/>
        <v>24.241294318296024</v>
      </c>
      <c r="O1958" s="1">
        <f t="shared" si="402"/>
        <v>3.1625148919709645</v>
      </c>
      <c r="P1958" s="1">
        <f t="shared" si="403"/>
        <v>1709.6376606786282</v>
      </c>
      <c r="S1958" s="6">
        <f t="shared" si="397"/>
        <v>0.53086811366504072</v>
      </c>
      <c r="T1958" s="6">
        <f t="shared" si="398"/>
        <v>0.46913188633496106</v>
      </c>
      <c r="V1958" s="1">
        <f t="shared" si="404"/>
        <v>182840.2783154053</v>
      </c>
      <c r="W1958" s="7">
        <f t="shared" si="405"/>
        <v>-2.0949010789074103E-3</v>
      </c>
      <c r="X1958" s="7">
        <f t="shared" si="406"/>
        <v>-1.4502481544094678E-3</v>
      </c>
      <c r="Y1958">
        <f>LN(B1958/B1957)</f>
        <v>-4.1915502978287673E-3</v>
      </c>
      <c r="Z1958">
        <f>LN(C1958/C1957)</f>
        <v>2.8297420380217101E-4</v>
      </c>
    </row>
    <row r="1959" spans="1:26" x14ac:dyDescent="0.3">
      <c r="A1959" s="9">
        <v>43066</v>
      </c>
      <c r="B1959" s="1">
        <v>30606.63</v>
      </c>
      <c r="C1959" s="1">
        <v>50.129016900000003</v>
      </c>
      <c r="D1959" s="6">
        <f t="shared" si="408"/>
        <v>-1.6426922538710365E-3</v>
      </c>
      <c r="E1959" s="5">
        <f t="shared" si="407"/>
        <v>2.8293616579544434E-4</v>
      </c>
      <c r="G1959" s="25" t="str">
        <f>IF(VLOOKUP(A1959,Aux!B:C,2,FALSE)=0,"",VLOOKUP(A1959,Aux!B:C,2,FALSE))</f>
        <v/>
      </c>
      <c r="H1959" s="25" t="str">
        <f t="shared" si="396"/>
        <v/>
      </c>
      <c r="L1959" s="13">
        <f t="shared" si="399"/>
        <v>182496.37835308039</v>
      </c>
      <c r="M1959" s="14">
        <f t="shared" si="400"/>
        <v>-159.26424995965962</v>
      </c>
      <c r="N1959" s="14">
        <f t="shared" si="401"/>
        <v>24.241465282064087</v>
      </c>
      <c r="O1959" s="1">
        <f t="shared" si="402"/>
        <v>3.1625148919709645</v>
      </c>
      <c r="P1959" s="1">
        <f t="shared" si="403"/>
        <v>1709.6376606786282</v>
      </c>
      <c r="S1959" s="6">
        <f t="shared" si="397"/>
        <v>0.53038818655773878</v>
      </c>
      <c r="T1959" s="6">
        <f t="shared" si="398"/>
        <v>0.46961181344226294</v>
      </c>
      <c r="V1959" s="1">
        <f t="shared" si="404"/>
        <v>182755.81700611452</v>
      </c>
      <c r="W1959" s="7">
        <f t="shared" si="405"/>
        <v>-7.3959199171664549E-4</v>
      </c>
      <c r="X1959" s="7">
        <f t="shared" si="406"/>
        <v>-4.6204711633547233E-4</v>
      </c>
      <c r="Y1959">
        <f>LN(B1959/B1958)</f>
        <v>-1.6440429521819339E-3</v>
      </c>
      <c r="Z1959">
        <f>LN(C1959/C1958)</f>
        <v>2.8289614690683613E-4</v>
      </c>
    </row>
    <row r="1960" spans="1:26" x14ac:dyDescent="0.3">
      <c r="A1960" s="11">
        <v>43067</v>
      </c>
      <c r="B1960" s="12">
        <v>30628.02</v>
      </c>
      <c r="C1960" s="12">
        <v>50.143199899999999</v>
      </c>
      <c r="D1960" s="16">
        <f t="shared" si="408"/>
        <v>6.9886818640263471E-4</v>
      </c>
      <c r="E1960" s="15">
        <f t="shared" si="407"/>
        <v>2.8292994511125436E-4</v>
      </c>
      <c r="G1960" s="25" t="str">
        <f>IF(VLOOKUP(A1960,Aux!B:C,2,FALSE)=0,"",VLOOKUP(A1960,Aux!B:C,2,FALSE))</f>
        <v/>
      </c>
      <c r="H1960" s="25" t="str">
        <f t="shared" si="396"/>
        <v/>
      </c>
      <c r="L1960" s="13">
        <f t="shared" si="399"/>
        <v>182588.27233756104</v>
      </c>
      <c r="M1960" s="14">
        <f t="shared" si="400"/>
        <v>67.646193539257084</v>
      </c>
      <c r="N1960" s="14">
        <f t="shared" si="401"/>
        <v>24.24779094139749</v>
      </c>
      <c r="O1960" s="1">
        <f t="shared" si="402"/>
        <v>3.1625148919709645</v>
      </c>
      <c r="P1960" s="1">
        <f t="shared" si="403"/>
        <v>1709.6376606786282</v>
      </c>
      <c r="S1960" s="6">
        <f t="shared" si="397"/>
        <v>0.53049173488268297</v>
      </c>
      <c r="T1960" s="6">
        <f t="shared" si="398"/>
        <v>0.46950826511731886</v>
      </c>
      <c r="V1960" s="1">
        <f t="shared" si="404"/>
        <v>182836.8937340423</v>
      </c>
      <c r="W1960" s="7">
        <f t="shared" si="405"/>
        <v>5.0341194157283277E-4</v>
      </c>
      <c r="X1960" s="7">
        <f t="shared" si="406"/>
        <v>4.4353580842896386E-4</v>
      </c>
      <c r="Y1960">
        <f>LN(B1960/B1959)</f>
        <v>6.9862409175168829E-4</v>
      </c>
      <c r="Z1960">
        <f>LN(C1960/C1959)</f>
        <v>2.8288992798218549E-4</v>
      </c>
    </row>
    <row r="1961" spans="1:26" x14ac:dyDescent="0.3">
      <c r="A1961" s="9">
        <v>43068</v>
      </c>
      <c r="B1961" s="1">
        <v>30051.23</v>
      </c>
      <c r="C1961" s="1">
        <v>50.157390599999999</v>
      </c>
      <c r="D1961" s="6">
        <f t="shared" si="408"/>
        <v>-1.8832102107808502E-2</v>
      </c>
      <c r="E1961" s="5">
        <f t="shared" si="407"/>
        <v>2.8300347860321651E-4</v>
      </c>
      <c r="G1961" s="25" t="str">
        <f>IF(VLOOKUP(A1961,Aux!B:C,2,FALSE)=0,"",VLOOKUP(A1961,Aux!B:C,2,FALSE))</f>
        <v/>
      </c>
      <c r="H1961" s="25" t="str">
        <f t="shared" si="396"/>
        <v/>
      </c>
      <c r="L1961" s="13">
        <f t="shared" si="399"/>
        <v>180788.4263281725</v>
      </c>
      <c r="M1961" s="14">
        <f t="shared" si="400"/>
        <v>-1824.1069645399355</v>
      </c>
      <c r="N1961" s="14">
        <f t="shared" si="401"/>
        <v>24.260955151392778</v>
      </c>
      <c r="O1961" s="1">
        <f t="shared" si="402"/>
        <v>3.1625148919709645</v>
      </c>
      <c r="P1961" s="1">
        <f t="shared" si="403"/>
        <v>1709.6376606786282</v>
      </c>
      <c r="S1961" s="6">
        <f t="shared" si="397"/>
        <v>0.52568333231979025</v>
      </c>
      <c r="T1961" s="6">
        <f t="shared" si="398"/>
        <v>0.47431666768021158</v>
      </c>
      <c r="V1961" s="1">
        <f t="shared" si="404"/>
        <v>181537.96550344164</v>
      </c>
      <c r="W1961" s="7">
        <f t="shared" si="405"/>
        <v>-9.906307889054923E-3</v>
      </c>
      <c r="X1961" s="7">
        <f t="shared" si="406"/>
        <v>-7.1296561764657576E-3</v>
      </c>
      <c r="Y1961">
        <f>LN(B1961/B1960)</f>
        <v>-1.9011684324021071E-2</v>
      </c>
      <c r="Z1961">
        <f>LN(C1961/C1960)</f>
        <v>2.8296344067250338E-4</v>
      </c>
    </row>
    <row r="1962" spans="1:26" x14ac:dyDescent="0.3">
      <c r="A1962" s="11">
        <v>43069</v>
      </c>
      <c r="B1962" s="12">
        <v>29729.33</v>
      </c>
      <c r="C1962" s="12">
        <v>50.1715813</v>
      </c>
      <c r="D1962" s="16">
        <f t="shared" si="408"/>
        <v>-1.0711707973350748E-2</v>
      </c>
      <c r="E1962" s="15">
        <f t="shared" si="407"/>
        <v>2.8292341029390045E-4</v>
      </c>
      <c r="G1962" s="25" t="str">
        <f>IF(VLOOKUP(A1962,Aux!B:C,2,FALSE)=0,"",VLOOKUP(A1962,Aux!B:C,2,FALSE))</f>
        <v/>
      </c>
      <c r="H1962" s="25" t="str">
        <f t="shared" si="396"/>
        <v/>
      </c>
      <c r="L1962" s="13">
        <f t="shared" si="399"/>
        <v>179794.67373959845</v>
      </c>
      <c r="M1962" s="14">
        <f t="shared" si="400"/>
        <v>-1018.0135437254465</v>
      </c>
      <c r="N1962" s="14">
        <f t="shared" si="401"/>
        <v>24.260955151392778</v>
      </c>
      <c r="O1962" s="1">
        <f t="shared" si="402"/>
        <v>3.1625148919709645</v>
      </c>
      <c r="P1962" s="1">
        <f t="shared" si="403"/>
        <v>1709.6376606786282</v>
      </c>
      <c r="S1962" s="6">
        <f t="shared" si="397"/>
        <v>0.52292677473577498</v>
      </c>
      <c r="T1962" s="6">
        <f t="shared" si="398"/>
        <v>0.4770732252642268</v>
      </c>
      <c r="V1962" s="1">
        <f t="shared" si="404"/>
        <v>180827.0774189409</v>
      </c>
      <c r="W1962" s="7">
        <f t="shared" si="405"/>
        <v>-5.5119338890452741E-3</v>
      </c>
      <c r="X1962" s="7">
        <f t="shared" si="406"/>
        <v>-3.9236069283022264E-3</v>
      </c>
      <c r="Y1962">
        <f>LN(B1962/B1961)</f>
        <v>-1.0769491326599006E-2</v>
      </c>
      <c r="Z1962">
        <f>LN(C1962/C1961)</f>
        <v>2.828833950131828E-4</v>
      </c>
    </row>
    <row r="1963" spans="1:26" x14ac:dyDescent="0.3">
      <c r="A1963" s="9">
        <v>43070</v>
      </c>
      <c r="B1963" s="1">
        <v>29847.5</v>
      </c>
      <c r="C1963" s="1">
        <v>50.185779599999996</v>
      </c>
      <c r="D1963" s="6">
        <f t="shared" si="408"/>
        <v>3.9748625347426625E-3</v>
      </c>
      <c r="E1963" s="5">
        <f t="shared" si="407"/>
        <v>2.8299486745497759E-4</v>
      </c>
      <c r="G1963" s="25" t="str">
        <f>IF(VLOOKUP(A1963,Aux!B:C,2,FALSE)=0,"",VLOOKUP(A1963,Aux!B:C,2,FALSE))</f>
        <v/>
      </c>
      <c r="H1963" s="25" t="str">
        <f t="shared" si="396"/>
        <v/>
      </c>
      <c r="L1963" s="13">
        <f t="shared" si="399"/>
        <v>180192.66207278025</v>
      </c>
      <c r="M1963" s="14">
        <f t="shared" si="400"/>
        <v>373.71438478420333</v>
      </c>
      <c r="N1963" s="14">
        <f t="shared" si="401"/>
        <v>24.273948397607857</v>
      </c>
      <c r="O1963" s="1">
        <f t="shared" si="402"/>
        <v>3.1625148919709645</v>
      </c>
      <c r="P1963" s="1">
        <f t="shared" si="403"/>
        <v>1709.6376606786282</v>
      </c>
      <c r="S1963" s="6">
        <f t="shared" si="397"/>
        <v>0.52384576681584138</v>
      </c>
      <c r="T1963" s="6">
        <f t="shared" si="398"/>
        <v>0.47615423318416034</v>
      </c>
      <c r="V1963" s="1">
        <f t="shared" si="404"/>
        <v>181131.46322037786</v>
      </c>
      <c r="W1963" s="7">
        <f t="shared" si="405"/>
        <v>2.2111249799006117E-3</v>
      </c>
      <c r="X1963" s="7">
        <f t="shared" si="406"/>
        <v>1.6818825308080024E-3</v>
      </c>
      <c r="Y1963">
        <f>LN(B1963/B1962)</f>
        <v>3.9669836401052608E-3</v>
      </c>
      <c r="Z1963">
        <f>LN(C1963/C1962)</f>
        <v>2.8295483196052285E-4</v>
      </c>
    </row>
    <row r="1964" spans="1:26" x14ac:dyDescent="0.3">
      <c r="A1964" s="11">
        <v>43073</v>
      </c>
      <c r="B1964" s="12">
        <v>30168.62</v>
      </c>
      <c r="C1964" s="12">
        <v>50.1999779</v>
      </c>
      <c r="D1964" s="16">
        <f t="shared" si="408"/>
        <v>1.0758690007538263E-2</v>
      </c>
      <c r="E1964" s="15">
        <f t="shared" si="407"/>
        <v>2.8291480401754221E-4</v>
      </c>
      <c r="G1964" s="25" t="str">
        <f>IF(VLOOKUP(A1964,Aux!B:C,2,FALSE)=0,"",VLOOKUP(A1964,Aux!B:C,2,FALSE))</f>
        <v/>
      </c>
      <c r="H1964" s="25" t="str">
        <f t="shared" si="396"/>
        <v/>
      </c>
      <c r="L1964" s="13">
        <f t="shared" si="399"/>
        <v>181232.4828032876</v>
      </c>
      <c r="M1964" s="14">
        <f t="shared" si="400"/>
        <v>1015.5467821097129</v>
      </c>
      <c r="N1964" s="14">
        <f t="shared" si="401"/>
        <v>24.273948397620003</v>
      </c>
      <c r="O1964" s="1">
        <f t="shared" si="402"/>
        <v>3.1625148919709645</v>
      </c>
      <c r="P1964" s="1">
        <f t="shared" si="403"/>
        <v>1709.6376606786282</v>
      </c>
      <c r="S1964" s="6">
        <f t="shared" si="397"/>
        <v>0.52644376187116015</v>
      </c>
      <c r="T1964" s="6">
        <f t="shared" si="398"/>
        <v>0.47355623812884151</v>
      </c>
      <c r="V1964" s="1">
        <f t="shared" si="404"/>
        <v>181904.06177104381</v>
      </c>
      <c r="W1964" s="7">
        <f t="shared" si="405"/>
        <v>5.7540191332924075E-3</v>
      </c>
      <c r="X1964" s="7">
        <f t="shared" si="406"/>
        <v>4.2563312065562516E-3</v>
      </c>
      <c r="Y1964">
        <f>LN(B1964/B1963)</f>
        <v>1.0701227085299662E-2</v>
      </c>
      <c r="Z1964">
        <f>LN(C1964/C1963)</f>
        <v>2.8287479117101592E-4</v>
      </c>
    </row>
    <row r="1965" spans="1:26" x14ac:dyDescent="0.3">
      <c r="A1965" s="9">
        <v>43074</v>
      </c>
      <c r="B1965" s="1">
        <v>29958.37</v>
      </c>
      <c r="C1965" s="1">
        <v>50.214183800000001</v>
      </c>
      <c r="D1965" s="6">
        <f t="shared" si="408"/>
        <v>-6.9691619968033081E-3</v>
      </c>
      <c r="E1965" s="5">
        <f t="shared" si="407"/>
        <v>2.8298618035837997E-4</v>
      </c>
      <c r="G1965" s="25" t="str">
        <f>IF(VLOOKUP(A1965,Aux!B:C,2,FALSE)=0,"",VLOOKUP(A1965,Aux!B:C,2,FALSE))</f>
        <v/>
      </c>
      <c r="H1965" s="25" t="str">
        <f t="shared" si="396"/>
        <v/>
      </c>
      <c r="L1965" s="13">
        <f t="shared" si="399"/>
        <v>180591.85098889453</v>
      </c>
      <c r="M1965" s="14">
        <f t="shared" si="400"/>
        <v>-664.91875603689527</v>
      </c>
      <c r="N1965" s="14">
        <f t="shared" si="401"/>
        <v>24.286941643835082</v>
      </c>
      <c r="O1965" s="1">
        <f t="shared" si="402"/>
        <v>3.1625148919709645</v>
      </c>
      <c r="P1965" s="1">
        <f t="shared" si="403"/>
        <v>1709.6376606786282</v>
      </c>
      <c r="S1965" s="6">
        <f t="shared" si="397"/>
        <v>0.52462938247419832</v>
      </c>
      <c r="T1965" s="6">
        <f t="shared" si="398"/>
        <v>0.47537061752580345</v>
      </c>
      <c r="V1965" s="1">
        <f t="shared" si="404"/>
        <v>181450.78814649436</v>
      </c>
      <c r="W1965" s="7">
        <f t="shared" si="405"/>
        <v>-3.5411243744470841E-3</v>
      </c>
      <c r="X1965" s="7">
        <f t="shared" si="406"/>
        <v>-2.4949377159941264E-3</v>
      </c>
      <c r="Y1965">
        <f>LN(B1965/B1964)</f>
        <v>-6.9935600282399046E-3</v>
      </c>
      <c r="Z1965">
        <f>LN(C1965/C1964)</f>
        <v>2.8294614732159574E-4</v>
      </c>
    </row>
    <row r="1966" spans="1:26" x14ac:dyDescent="0.3">
      <c r="A1966" s="11">
        <v>43075</v>
      </c>
      <c r="B1966" s="12">
        <v>30236.21</v>
      </c>
      <c r="C1966" s="12">
        <v>50.228393599999997</v>
      </c>
      <c r="D1966" s="16">
        <f t="shared" si="408"/>
        <v>9.2742028354679817E-3</v>
      </c>
      <c r="E1966" s="15">
        <f t="shared" si="407"/>
        <v>2.8298378913405031E-4</v>
      </c>
      <c r="G1966" s="25" t="str">
        <f>IF(VLOOKUP(A1966,Aux!B:C,2,FALSE)=0,"",VLOOKUP(A1966,Aux!B:C,2,FALSE))</f>
        <v/>
      </c>
      <c r="H1966" s="25" t="str">
        <f t="shared" si="396"/>
        <v/>
      </c>
      <c r="L1966" s="13">
        <f t="shared" si="399"/>
        <v>181494.81773571044</v>
      </c>
      <c r="M1966" s="14">
        <f t="shared" si="400"/>
        <v>878.67313758521323</v>
      </c>
      <c r="N1966" s="14">
        <f t="shared" si="401"/>
        <v>24.293609230704615</v>
      </c>
      <c r="O1966" s="1">
        <f t="shared" si="402"/>
        <v>3.1625148919709645</v>
      </c>
      <c r="P1966" s="1">
        <f t="shared" si="403"/>
        <v>1709.6376606786282</v>
      </c>
      <c r="S1966" s="6">
        <f t="shared" si="397"/>
        <v>0.52686057703865208</v>
      </c>
      <c r="T1966" s="6">
        <f t="shared" si="398"/>
        <v>0.4731394229613497</v>
      </c>
      <c r="V1966" s="1">
        <f t="shared" si="404"/>
        <v>182123.56395024111</v>
      </c>
      <c r="W1966" s="7">
        <f t="shared" si="405"/>
        <v>4.9875827897472563E-3</v>
      </c>
      <c r="X1966" s="7">
        <f t="shared" si="406"/>
        <v>3.7009022653336052E-3</v>
      </c>
      <c r="Y1966">
        <f>LN(B1966/B1965)</f>
        <v>9.2314614744884605E-3</v>
      </c>
      <c r="Z1966">
        <f>LN(C1966/C1965)</f>
        <v>2.8294375677375523E-4</v>
      </c>
    </row>
    <row r="1967" spans="1:26" x14ac:dyDescent="0.3">
      <c r="A1967" s="9">
        <v>43076</v>
      </c>
      <c r="B1967" s="1">
        <v>29947.74</v>
      </c>
      <c r="C1967" s="1">
        <v>50.242607100000001</v>
      </c>
      <c r="D1967" s="6">
        <f t="shared" si="408"/>
        <v>-9.5405475752416979E-3</v>
      </c>
      <c r="E1967" s="5">
        <f t="shared" si="407"/>
        <v>2.829773954786674E-4</v>
      </c>
      <c r="G1967" s="25" t="str">
        <f>IF(VLOOKUP(A1967,Aux!B:C,2,FALSE)=0,"",VLOOKUP(A1967,Aux!B:C,2,FALSE))</f>
        <v/>
      </c>
      <c r="H1967" s="25" t="str">
        <f t="shared" si="396"/>
        <v/>
      </c>
      <c r="L1967" s="13">
        <f t="shared" si="399"/>
        <v>180606.82699971364</v>
      </c>
      <c r="M1967" s="14">
        <f t="shared" si="400"/>
        <v>-912.29067088685633</v>
      </c>
      <c r="N1967" s="14">
        <f t="shared" si="401"/>
        <v>24.299934890062307</v>
      </c>
      <c r="O1967" s="1">
        <f t="shared" si="402"/>
        <v>3.1625148919709645</v>
      </c>
      <c r="P1967" s="1">
        <f t="shared" si="403"/>
        <v>1709.6376606786282</v>
      </c>
      <c r="S1967" s="6">
        <f t="shared" si="397"/>
        <v>0.52439974337750095</v>
      </c>
      <c r="T1967" s="6">
        <f t="shared" si="398"/>
        <v>0.47560025662250094</v>
      </c>
      <c r="V1967" s="1">
        <f t="shared" si="404"/>
        <v>181489.85105174815</v>
      </c>
      <c r="W1967" s="7">
        <f t="shared" si="405"/>
        <v>-4.9046588382471142E-3</v>
      </c>
      <c r="X1967" s="7">
        <f t="shared" si="406"/>
        <v>-3.4856444452618924E-3</v>
      </c>
      <c r="Y1967">
        <f>LN(B1967/B1966)</f>
        <v>-9.5863501531747251E-3</v>
      </c>
      <c r="Z1967">
        <f>LN(C1967/C1966)</f>
        <v>2.8293736492714089E-4</v>
      </c>
    </row>
    <row r="1968" spans="1:26" x14ac:dyDescent="0.3">
      <c r="A1968" s="11">
        <v>43077</v>
      </c>
      <c r="B1968" s="12">
        <v>30073.26</v>
      </c>
      <c r="C1968" s="12">
        <v>50.2558899</v>
      </c>
      <c r="D1968" s="16">
        <f t="shared" si="408"/>
        <v>4.1913012467718058E-3</v>
      </c>
      <c r="E1968" s="15">
        <f t="shared" si="407"/>
        <v>2.643732235780849E-4</v>
      </c>
      <c r="G1968" s="25" t="str">
        <f>IF(VLOOKUP(A1968,Aux!B:C,2,FALSE)=0,"",VLOOKUP(A1968,Aux!B:C,2,FALSE))</f>
        <v/>
      </c>
      <c r="H1968" s="25" t="str">
        <f t="shared" si="396"/>
        <v/>
      </c>
      <c r="L1968" s="13">
        <f t="shared" si="399"/>
        <v>181026.4946440731</v>
      </c>
      <c r="M1968" s="14">
        <f t="shared" si="400"/>
        <v>396.95886924018532</v>
      </c>
      <c r="N1968" s="14">
        <f t="shared" si="401"/>
        <v>22.708775119260252</v>
      </c>
      <c r="O1968" s="1">
        <f t="shared" si="402"/>
        <v>3.1625148919709645</v>
      </c>
      <c r="P1968" s="1">
        <f t="shared" si="403"/>
        <v>1709.6376606786282</v>
      </c>
      <c r="S1968" s="6">
        <f t="shared" si="397"/>
        <v>0.52537686700010677</v>
      </c>
      <c r="T1968" s="6">
        <f t="shared" si="398"/>
        <v>0.47462313299989506</v>
      </c>
      <c r="V1968" s="1">
        <f t="shared" si="404"/>
        <v>181809.14546552097</v>
      </c>
      <c r="W1968" s="7">
        <f t="shared" si="405"/>
        <v>2.3209577637495174E-3</v>
      </c>
      <c r="X1968" s="7">
        <f t="shared" si="406"/>
        <v>1.7577504977644859E-3</v>
      </c>
      <c r="Y1968">
        <f>LN(B1968/B1967)</f>
        <v>4.1825422096806513E-3</v>
      </c>
      <c r="Z1968">
        <f>LN(C1968/C1967)</f>
        <v>2.6433828313548834E-4</v>
      </c>
    </row>
    <row r="1969" spans="1:26" x14ac:dyDescent="0.3">
      <c r="A1969" s="9">
        <v>43080</v>
      </c>
      <c r="B1969" s="1">
        <v>30094.63</v>
      </c>
      <c r="C1969" s="1">
        <v>50.269180300000002</v>
      </c>
      <c r="D1969" s="6">
        <f t="shared" si="408"/>
        <v>7.1059805288831157E-4</v>
      </c>
      <c r="E1969" s="5">
        <f t="shared" si="407"/>
        <v>2.6445457490553714E-4</v>
      </c>
      <c r="G1969" s="25" t="str">
        <f>IF(VLOOKUP(A1969,Aux!B:C,2,FALSE)=0,"",VLOOKUP(A1969,Aux!B:C,2,FALSE))</f>
        <v/>
      </c>
      <c r="H1969" s="25" t="str">
        <f t="shared" si="396"/>
        <v/>
      </c>
      <c r="L1969" s="13">
        <f t="shared" si="399"/>
        <v>181116.79935568001</v>
      </c>
      <c r="M1969" s="14">
        <f t="shared" si="400"/>
        <v>67.582943241427799</v>
      </c>
      <c r="N1969" s="14">
        <f t="shared" si="401"/>
        <v>22.721768365487478</v>
      </c>
      <c r="O1969" s="1">
        <f t="shared" si="402"/>
        <v>3.1625148919709645</v>
      </c>
      <c r="P1969" s="1">
        <f t="shared" si="403"/>
        <v>1709.6376606786282</v>
      </c>
      <c r="S1969" s="6">
        <f t="shared" si="397"/>
        <v>0.52548806009127047</v>
      </c>
      <c r="T1969" s="6">
        <f t="shared" si="398"/>
        <v>0.47451193990873136</v>
      </c>
      <c r="V1969" s="1">
        <f t="shared" si="404"/>
        <v>181888.17918831401</v>
      </c>
      <c r="W1969" s="7">
        <f t="shared" si="405"/>
        <v>4.9872365428202934E-4</v>
      </c>
      <c r="X1969" s="7">
        <f t="shared" si="406"/>
        <v>4.3461262252797407E-4</v>
      </c>
      <c r="Y1969">
        <f>LN(B1969/B1968)</f>
        <v>7.1034569763361909E-4</v>
      </c>
      <c r="Z1969">
        <f>LN(C1969/C1968)</f>
        <v>2.6441961295820503E-4</v>
      </c>
    </row>
    <row r="1970" spans="1:26" x14ac:dyDescent="0.3">
      <c r="A1970" s="11">
        <v>43081</v>
      </c>
      <c r="B1970" s="12">
        <v>30485.98</v>
      </c>
      <c r="C1970" s="12">
        <v>50.282474499999999</v>
      </c>
      <c r="D1970" s="16">
        <f t="shared" si="408"/>
        <v>1.300398110892198E-2</v>
      </c>
      <c r="E1970" s="15">
        <f t="shared" si="407"/>
        <v>2.644602502102078E-4</v>
      </c>
      <c r="G1970" s="25" t="str">
        <f>IF(VLOOKUP(A1970,Aux!B:C,2,FALSE)=0,"",VLOOKUP(A1970,Aux!B:C,2,FALSE))</f>
        <v/>
      </c>
      <c r="H1970" s="25" t="str">
        <f t="shared" si="396"/>
        <v/>
      </c>
      <c r="L1970" s="13">
        <f t="shared" si="399"/>
        <v>182377.17782364142</v>
      </c>
      <c r="M1970" s="14">
        <f t="shared" si="400"/>
        <v>1237.6502029728324</v>
      </c>
      <c r="N1970" s="14">
        <f t="shared" si="401"/>
        <v>22.728264988588943</v>
      </c>
      <c r="O1970" s="1">
        <f t="shared" si="402"/>
        <v>3.1625148919709645</v>
      </c>
      <c r="P1970" s="1">
        <f t="shared" si="403"/>
        <v>1709.6376606786282</v>
      </c>
      <c r="S1970" s="6">
        <f t="shared" si="397"/>
        <v>0.52864271120347994</v>
      </c>
      <c r="T1970" s="6">
        <f t="shared" si="398"/>
        <v>0.47135728879652189</v>
      </c>
      <c r="V1970" s="1">
        <f t="shared" si="404"/>
        <v>182820.77821418003</v>
      </c>
      <c r="W1970" s="7">
        <f t="shared" si="405"/>
        <v>6.9348247742261927E-3</v>
      </c>
      <c r="X1970" s="7">
        <f t="shared" si="406"/>
        <v>5.1142207485347984E-3</v>
      </c>
      <c r="Y1970">
        <f>LN(B1970/B1969)</f>
        <v>1.2920155277502976E-2</v>
      </c>
      <c r="Z1970">
        <f>LN(C1970/C1969)</f>
        <v>2.644252867623961E-4</v>
      </c>
    </row>
    <row r="1971" spans="1:26" x14ac:dyDescent="0.3">
      <c r="A1971" s="9">
        <v>43082</v>
      </c>
      <c r="B1971" s="1">
        <v>30143.33</v>
      </c>
      <c r="C1971" s="1">
        <v>50.295772599999999</v>
      </c>
      <c r="D1971" s="6">
        <f t="shared" si="408"/>
        <v>-1.1239592757063988E-2</v>
      </c>
      <c r="E1971" s="5">
        <f t="shared" si="407"/>
        <v>2.644678912928633E-4</v>
      </c>
      <c r="G1971" s="25" t="str">
        <f>IF(VLOOKUP(A1971,Aux!B:C,2,FALSE)=0,"",VLOOKUP(A1971,Aux!B:C,2,FALSE))</f>
        <v/>
      </c>
      <c r="H1971" s="25" t="str">
        <f t="shared" si="396"/>
        <v/>
      </c>
      <c r="L1971" s="13">
        <f t="shared" si="399"/>
        <v>181316.27702848305</v>
      </c>
      <c r="M1971" s="14">
        <f t="shared" si="400"/>
        <v>-1083.6357277338441</v>
      </c>
      <c r="N1971" s="14">
        <f t="shared" si="401"/>
        <v>22.734932575470619</v>
      </c>
      <c r="O1971" s="1">
        <f t="shared" si="402"/>
        <v>3.1625148919709645</v>
      </c>
      <c r="P1971" s="1">
        <f t="shared" si="403"/>
        <v>1709.6376606786282</v>
      </c>
      <c r="S1971" s="6">
        <f t="shared" si="397"/>
        <v>0.52575936138165857</v>
      </c>
      <c r="T1971" s="6">
        <f t="shared" si="398"/>
        <v>0.47424063861834331</v>
      </c>
      <c r="V1971" s="1">
        <f t="shared" si="404"/>
        <v>182060.02228940529</v>
      </c>
      <c r="W1971" s="7">
        <f t="shared" si="405"/>
        <v>-5.8340549717825468E-3</v>
      </c>
      <c r="X1971" s="7">
        <f t="shared" si="406"/>
        <v>-4.1698934340229235E-3</v>
      </c>
      <c r="Y1971">
        <f>LN(B1971/B1970)</f>
        <v>-1.1303234299095305E-2</v>
      </c>
      <c r="Z1971">
        <f>LN(C1971/C1970)</f>
        <v>2.644329258247941E-4</v>
      </c>
    </row>
    <row r="1972" spans="1:26" x14ac:dyDescent="0.3">
      <c r="A1972" s="11">
        <v>43083</v>
      </c>
      <c r="B1972" s="12">
        <v>29951.15</v>
      </c>
      <c r="C1972" s="12">
        <v>50.309070599999998</v>
      </c>
      <c r="D1972" s="16">
        <f t="shared" si="408"/>
        <v>-6.3755397960344462E-3</v>
      </c>
      <c r="E1972" s="15">
        <f t="shared" si="407"/>
        <v>2.6439597828153971E-4</v>
      </c>
      <c r="G1972" s="25" t="str">
        <f>IF(VLOOKUP(A1972,Aux!B:C,2,FALSE)=0,"",VLOOKUP(A1972,Aux!B:C,2,FALSE))</f>
        <v/>
      </c>
      <c r="H1972" s="25" t="str">
        <f t="shared" si="396"/>
        <v/>
      </c>
      <c r="L1972" s="13">
        <f t="shared" si="399"/>
        <v>180731.23967815578</v>
      </c>
      <c r="M1972" s="14">
        <f t="shared" si="400"/>
        <v>-607.77211193898086</v>
      </c>
      <c r="N1972" s="14">
        <f t="shared" si="401"/>
        <v>22.734761611702556</v>
      </c>
      <c r="O1972" s="1">
        <f t="shared" si="402"/>
        <v>3.1625148919709645</v>
      </c>
      <c r="P1972" s="1">
        <f t="shared" si="403"/>
        <v>1709.6376606786282</v>
      </c>
      <c r="S1972" s="6">
        <f t="shared" si="397"/>
        <v>0.52409842413151264</v>
      </c>
      <c r="T1972" s="6">
        <f t="shared" si="398"/>
        <v>0.47590157586848919</v>
      </c>
      <c r="V1972" s="1">
        <f t="shared" si="404"/>
        <v>181646.40569438605</v>
      </c>
      <c r="W1972" s="7">
        <f t="shared" si="405"/>
        <v>-3.2318291524911953E-3</v>
      </c>
      <c r="X1972" s="7">
        <f t="shared" si="406"/>
        <v>-2.2744540184246077E-3</v>
      </c>
      <c r="Y1972">
        <f>LN(B1972/B1971)</f>
        <v>-6.3959503483204698E-3</v>
      </c>
      <c r="Z1972">
        <f>LN(C1972/C1971)</f>
        <v>2.6436103182454009E-4</v>
      </c>
    </row>
    <row r="1973" spans="1:26" x14ac:dyDescent="0.3">
      <c r="A1973" s="9">
        <v>43084</v>
      </c>
      <c r="B1973" s="1">
        <v>30041.98</v>
      </c>
      <c r="C1973" s="1">
        <v>50.322376300000002</v>
      </c>
      <c r="D1973" s="6">
        <f t="shared" si="408"/>
        <v>3.0326047580810922E-3</v>
      </c>
      <c r="E1973" s="5">
        <f t="shared" si="407"/>
        <v>2.6447914543670237E-4</v>
      </c>
      <c r="G1973" s="25" t="str">
        <f>IF(VLOOKUP(A1973,Aux!B:C,2,FALSE)=0,"",VLOOKUP(A1973,Aux!B:C,2,FALSE))</f>
        <v/>
      </c>
      <c r="H1973" s="25" t="str">
        <f t="shared" si="396"/>
        <v/>
      </c>
      <c r="L1973" s="13">
        <f t="shared" si="399"/>
        <v>181041.23883161519</v>
      </c>
      <c r="M1973" s="14">
        <f t="shared" si="400"/>
        <v>287.25122763771674</v>
      </c>
      <c r="N1973" s="14">
        <f t="shared" si="401"/>
        <v>22.747925821697844</v>
      </c>
      <c r="O1973" s="1">
        <f t="shared" si="402"/>
        <v>3.1625148919709645</v>
      </c>
      <c r="P1973" s="1">
        <f t="shared" si="403"/>
        <v>1709.6376606786282</v>
      </c>
      <c r="S1973" s="6">
        <f t="shared" si="397"/>
        <v>0.52478766576857194</v>
      </c>
      <c r="T1973" s="6">
        <f t="shared" si="398"/>
        <v>0.47521233423142989</v>
      </c>
      <c r="V1973" s="1">
        <f t="shared" si="404"/>
        <v>181885.72029502952</v>
      </c>
      <c r="W1973" s="7">
        <f t="shared" si="405"/>
        <v>1.7137800565138149E-3</v>
      </c>
      <c r="X1973" s="7">
        <f t="shared" si="406"/>
        <v>1.3166079039769526E-3</v>
      </c>
      <c r="Y1973">
        <f>LN(B1973/B1972)</f>
        <v>3.028015687821697E-3</v>
      </c>
      <c r="Z1973">
        <f>LN(C1973/C1972)</f>
        <v>2.644441769929971E-4</v>
      </c>
    </row>
    <row r="1974" spans="1:26" x14ac:dyDescent="0.3">
      <c r="A1974" s="11">
        <v>43087</v>
      </c>
      <c r="B1974" s="12">
        <v>30236.639999999999</v>
      </c>
      <c r="C1974" s="12">
        <v>50.335681899999997</v>
      </c>
      <c r="D1974" s="16">
        <f t="shared" si="408"/>
        <v>6.4795995470339207E-3</v>
      </c>
      <c r="E1974" s="15">
        <f t="shared" si="407"/>
        <v>2.6440722752574253E-4</v>
      </c>
      <c r="G1974" s="25" t="str">
        <f>IF(VLOOKUP(A1974,Aux!B:C,2,FALSE)=0,"",VLOOKUP(A1974,Aux!B:C,2,FALSE))</f>
        <v/>
      </c>
      <c r="H1974" s="25" t="str">
        <f t="shared" si="396"/>
        <v/>
      </c>
      <c r="L1974" s="13">
        <f t="shared" si="399"/>
        <v>181679.60173534416</v>
      </c>
      <c r="M1974" s="14">
        <f t="shared" si="400"/>
        <v>615.6151488710675</v>
      </c>
      <c r="N1974" s="14">
        <f t="shared" si="401"/>
        <v>22.747754857917631</v>
      </c>
      <c r="O1974" s="1">
        <f t="shared" si="402"/>
        <v>3.1625148919709645</v>
      </c>
      <c r="P1974" s="1">
        <f t="shared" si="403"/>
        <v>1709.6376606786282</v>
      </c>
      <c r="S1974" s="6">
        <f t="shared" si="397"/>
        <v>0.52633219893591487</v>
      </c>
      <c r="T1974" s="6">
        <f t="shared" si="398"/>
        <v>0.47366780106408707</v>
      </c>
      <c r="V1974" s="1">
        <f t="shared" si="404"/>
        <v>182364.57411395258</v>
      </c>
      <c r="W1974" s="7">
        <f t="shared" si="405"/>
        <v>3.5198615100809341E-3</v>
      </c>
      <c r="X1974" s="7">
        <f t="shared" si="406"/>
        <v>2.6292585188418954E-3</v>
      </c>
      <c r="Y1974">
        <f>LN(B1974/B1973)</f>
        <v>6.4586971859214738E-3</v>
      </c>
      <c r="Z1974">
        <f>LN(C1974/C1973)</f>
        <v>2.6437227809521089E-4</v>
      </c>
    </row>
    <row r="1975" spans="1:26" x14ac:dyDescent="0.3">
      <c r="A1975" s="9">
        <v>43088</v>
      </c>
      <c r="B1975" s="1">
        <v>30056.69</v>
      </c>
      <c r="C1975" s="1">
        <v>50.348991400000003</v>
      </c>
      <c r="D1975" s="6">
        <f t="shared" si="408"/>
        <v>-5.9513887786474262E-3</v>
      </c>
      <c r="E1975" s="5">
        <f t="shared" si="407"/>
        <v>2.6441481465266925E-4</v>
      </c>
      <c r="G1975" s="25" t="str">
        <f>IF(VLOOKUP(A1975,Aux!B:C,2,FALSE)=0,"",VLOOKUP(A1975,Aux!B:C,2,FALSE))</f>
        <v/>
      </c>
      <c r="H1975" s="25" t="str">
        <f t="shared" si="396"/>
        <v/>
      </c>
      <c r="L1975" s="13">
        <f t="shared" si="399"/>
        <v>181133.2616029788</v>
      </c>
      <c r="M1975" s="14">
        <f t="shared" si="400"/>
        <v>-569.09455481017733</v>
      </c>
      <c r="N1975" s="14">
        <f t="shared" si="401"/>
        <v>22.754422444811457</v>
      </c>
      <c r="O1975" s="1">
        <f t="shared" si="402"/>
        <v>3.1625148919709645</v>
      </c>
      <c r="P1975" s="1">
        <f t="shared" si="403"/>
        <v>1709.6376606786282</v>
      </c>
      <c r="S1975" s="6">
        <f t="shared" si="397"/>
        <v>0.52477788390242053</v>
      </c>
      <c r="T1975" s="6">
        <f t="shared" si="398"/>
        <v>0.47522211609758136</v>
      </c>
      <c r="V1975" s="1">
        <f t="shared" si="404"/>
        <v>181979.19828376436</v>
      </c>
      <c r="W1975" s="7">
        <f t="shared" si="405"/>
        <v>-3.0116933578037777E-3</v>
      </c>
      <c r="X1975" s="7">
        <f t="shared" si="406"/>
        <v>-2.1154525099721859E-3</v>
      </c>
      <c r="Y1975">
        <f>LN(B1975/B1974)</f>
        <v>-5.9691688721083269E-3</v>
      </c>
      <c r="Z1975">
        <f>LN(C1975/C1974)</f>
        <v>2.6437986321654796E-4</v>
      </c>
    </row>
    <row r="1976" spans="1:26" x14ac:dyDescent="0.3">
      <c r="A1976" s="11">
        <v>43089</v>
      </c>
      <c r="B1976" s="12">
        <v>30338.44</v>
      </c>
      <c r="C1976" s="12">
        <v>50.362308499999997</v>
      </c>
      <c r="D1976" s="16">
        <f t="shared" si="408"/>
        <v>9.3739530201095711E-3</v>
      </c>
      <c r="E1976" s="15">
        <f t="shared" si="407"/>
        <v>2.6449586436005923E-4</v>
      </c>
      <c r="G1976" s="25" t="str">
        <f>IF(VLOOKUP(A1976,Aux!B:C,2,FALSE)=0,"",VLOOKUP(A1976,Aux!B:C,2,FALSE))</f>
        <v/>
      </c>
      <c r="H1976" s="25" t="str">
        <f t="shared" si="396"/>
        <v/>
      </c>
      <c r="L1976" s="13">
        <f t="shared" si="399"/>
        <v>182047.06758948264</v>
      </c>
      <c r="M1976" s="14">
        <f t="shared" si="400"/>
        <v>891.03857081281922</v>
      </c>
      <c r="N1976" s="14">
        <f t="shared" si="401"/>
        <v>22.767415691014389</v>
      </c>
      <c r="O1976" s="1">
        <f t="shared" si="402"/>
        <v>3.1625148919709645</v>
      </c>
      <c r="P1976" s="1">
        <f t="shared" si="403"/>
        <v>1709.6376606786282</v>
      </c>
      <c r="S1976" s="6">
        <f t="shared" si="397"/>
        <v>0.52703825208284005</v>
      </c>
      <c r="T1976" s="6">
        <f t="shared" si="398"/>
        <v>0.47296174791716172</v>
      </c>
      <c r="V1976" s="1">
        <f t="shared" si="404"/>
        <v>182658.99750613523</v>
      </c>
      <c r="W1976" s="7">
        <f t="shared" si="405"/>
        <v>5.0322544557327943E-3</v>
      </c>
      <c r="X1976" s="7">
        <f t="shared" si="406"/>
        <v>3.7286275426140162E-3</v>
      </c>
      <c r="Y1976">
        <f>LN(B1976/B1975)</f>
        <v>9.3302901727273582E-3</v>
      </c>
      <c r="Z1976">
        <f>LN(C1976/C1975)</f>
        <v>2.644608914955769E-4</v>
      </c>
    </row>
    <row r="1977" spans="1:26" x14ac:dyDescent="0.3">
      <c r="A1977" s="9">
        <v>43090</v>
      </c>
      <c r="B1977" s="1">
        <v>31038.48</v>
      </c>
      <c r="C1977" s="1">
        <v>50.375625599999999</v>
      </c>
      <c r="D1977" s="6">
        <f t="shared" si="408"/>
        <v>2.3074357152180536E-2</v>
      </c>
      <c r="E1977" s="5">
        <f t="shared" si="407"/>
        <v>2.6442592479658522E-4</v>
      </c>
      <c r="G1977" s="25" t="str">
        <f>IF(VLOOKUP(A1977,Aux!B:C,2,FALSE)=0,"",VLOOKUP(A1977,Aux!B:C,2,FALSE))</f>
        <v/>
      </c>
      <c r="H1977" s="25" t="str">
        <f t="shared" si="396"/>
        <v/>
      </c>
      <c r="L1977" s="13">
        <f t="shared" si="399"/>
        <v>184283.72193014901</v>
      </c>
      <c r="M1977" s="14">
        <f t="shared" si="400"/>
        <v>2213.8869249753566</v>
      </c>
      <c r="N1977" s="14">
        <f t="shared" si="401"/>
        <v>22.767415691026535</v>
      </c>
      <c r="O1977" s="1">
        <f t="shared" si="402"/>
        <v>3.1625148919709645</v>
      </c>
      <c r="P1977" s="1">
        <f t="shared" si="403"/>
        <v>1709.6376606786282</v>
      </c>
      <c r="S1977" s="6">
        <f t="shared" si="397"/>
        <v>0.53265505057114826</v>
      </c>
      <c r="T1977" s="6">
        <f t="shared" si="398"/>
        <v>0.46734494942885363</v>
      </c>
      <c r="V1977" s="1">
        <f t="shared" si="404"/>
        <v>184303.80639036861</v>
      </c>
      <c r="W1977" s="7">
        <f t="shared" si="405"/>
        <v>1.2211270239003169E-2</v>
      </c>
      <c r="X1977" s="7">
        <f t="shared" si="406"/>
        <v>8.9645047498646078E-3</v>
      </c>
      <c r="Y1977">
        <f>LN(B1977/B1976)</f>
        <v>2.2812169716285361E-2</v>
      </c>
      <c r="Z1977">
        <f>LN(C1977/C1976)</f>
        <v>2.6439097042349214E-4</v>
      </c>
    </row>
    <row r="1978" spans="1:26" x14ac:dyDescent="0.3">
      <c r="A1978" s="11">
        <v>43091</v>
      </c>
      <c r="B1978" s="12">
        <v>31066.76</v>
      </c>
      <c r="C1978" s="12">
        <v>50.388946500000003</v>
      </c>
      <c r="D1978" s="16">
        <f t="shared" si="408"/>
        <v>9.1112709127494362E-4</v>
      </c>
      <c r="E1978" s="15">
        <f t="shared" si="407"/>
        <v>2.6443145551735547E-4</v>
      </c>
      <c r="G1978" s="25" t="str">
        <f>IF(VLOOKUP(A1978,Aux!B:C,2,FALSE)=0,"",VLOOKUP(A1978,Aux!B:C,2,FALSE))</f>
        <v/>
      </c>
      <c r="H1978" s="25" t="str">
        <f t="shared" si="396"/>
        <v/>
      </c>
      <c r="L1978" s="13">
        <f t="shared" si="399"/>
        <v>184395.9317636081</v>
      </c>
      <c r="M1978" s="14">
        <f t="shared" si="400"/>
        <v>89.435921144935193</v>
      </c>
      <c r="N1978" s="14">
        <f t="shared" si="401"/>
        <v>22.773912314140148</v>
      </c>
      <c r="O1978" s="1">
        <f t="shared" si="402"/>
        <v>3.1625148919709645</v>
      </c>
      <c r="P1978" s="1">
        <f t="shared" si="403"/>
        <v>1709.6376606786282</v>
      </c>
      <c r="S1978" s="6">
        <f t="shared" si="397"/>
        <v>0.53281593691145668</v>
      </c>
      <c r="T1978" s="6">
        <f t="shared" si="398"/>
        <v>0.46718406308854515</v>
      </c>
      <c r="V1978" s="1">
        <f t="shared" si="404"/>
        <v>184398.84995741482</v>
      </c>
      <c r="W1978" s="7">
        <f t="shared" si="405"/>
        <v>6.0871184943156616E-4</v>
      </c>
      <c r="X1978" s="7">
        <f t="shared" si="406"/>
        <v>5.155567366552545E-4</v>
      </c>
      <c r="Y1978">
        <f>LN(B1978/B1977)</f>
        <v>9.1071226693938731E-4</v>
      </c>
      <c r="Z1978">
        <f>LN(C1978/C1977)</f>
        <v>2.6439649968216779E-4</v>
      </c>
    </row>
    <row r="1979" spans="1:26" x14ac:dyDescent="0.3">
      <c r="A1979" s="9">
        <v>43095</v>
      </c>
      <c r="B1979" s="1">
        <v>31280.17</v>
      </c>
      <c r="C1979" s="1">
        <v>50.402271300000002</v>
      </c>
      <c r="D1979" s="6">
        <f t="shared" si="408"/>
        <v>6.8693999631761482E-3</v>
      </c>
      <c r="E1979" s="5">
        <f t="shared" si="407"/>
        <v>2.6443894793470868E-4</v>
      </c>
      <c r="G1979" s="25" t="str">
        <f>IF(VLOOKUP(A1979,Aux!B:C,2,FALSE)=0,"",VLOOKUP(A1979,Aux!B:C,2,FALSE))</f>
        <v/>
      </c>
      <c r="H1979" s="25" t="str">
        <f t="shared" si="396"/>
        <v/>
      </c>
      <c r="L1979" s="13">
        <f t="shared" si="399"/>
        <v>185093.62464660461</v>
      </c>
      <c r="M1979" s="14">
        <f t="shared" si="400"/>
        <v>674.91230309552304</v>
      </c>
      <c r="N1979" s="14">
        <f t="shared" si="401"/>
        <v>22.780579901009681</v>
      </c>
      <c r="O1979" s="1">
        <f t="shared" si="402"/>
        <v>3.1625148919709645</v>
      </c>
      <c r="P1979" s="1">
        <f t="shared" si="403"/>
        <v>1709.6376606786282</v>
      </c>
      <c r="S1979" s="6">
        <f t="shared" si="397"/>
        <v>0.53445386699437614</v>
      </c>
      <c r="T1979" s="6">
        <f t="shared" si="398"/>
        <v>0.46554613300562575</v>
      </c>
      <c r="V1979" s="1">
        <f t="shared" si="404"/>
        <v>184921.00363515964</v>
      </c>
      <c r="W1979" s="7">
        <f t="shared" si="405"/>
        <v>3.7765273746410283E-3</v>
      </c>
      <c r="X1979" s="7">
        <f t="shared" si="406"/>
        <v>2.8276520776081711E-3</v>
      </c>
      <c r="Y1979">
        <f>LN(B1979/B1978)</f>
        <v>6.8459131341822941E-3</v>
      </c>
      <c r="Z1979">
        <f>LN(C1979/C1978)</f>
        <v>2.6440399011878587E-4</v>
      </c>
    </row>
    <row r="1980" spans="1:26" x14ac:dyDescent="0.3">
      <c r="A1980" s="11">
        <v>43096</v>
      </c>
      <c r="B1980" s="12">
        <v>31454.06</v>
      </c>
      <c r="C1980" s="12">
        <v>50.415599800000003</v>
      </c>
      <c r="D1980" s="16">
        <f t="shared" si="408"/>
        <v>5.5591130099357233E-3</v>
      </c>
      <c r="E1980" s="15">
        <f t="shared" si="407"/>
        <v>2.6444244785461812E-4</v>
      </c>
      <c r="G1980" s="25" t="str">
        <f>IF(VLOOKUP(A1980,Aux!B:C,2,FALSE)=0,"",VLOOKUP(A1980,Aux!B:C,2,FALSE))</f>
        <v/>
      </c>
      <c r="H1980" s="25" t="str">
        <f t="shared" si="396"/>
        <v/>
      </c>
      <c r="L1980" s="13">
        <f t="shared" si="399"/>
        <v>185666.34126672981</v>
      </c>
      <c r="M1980" s="14">
        <f t="shared" si="400"/>
        <v>549.92971456484065</v>
      </c>
      <c r="N1980" s="14">
        <f t="shared" si="401"/>
        <v>22.786905560355226</v>
      </c>
      <c r="O1980" s="1">
        <f t="shared" si="402"/>
        <v>3.1625148919709645</v>
      </c>
      <c r="P1980" s="1">
        <f t="shared" si="403"/>
        <v>1709.6376606786282</v>
      </c>
      <c r="S1980" s="6">
        <f t="shared" si="397"/>
        <v>0.53576718582526039</v>
      </c>
      <c r="T1980" s="6">
        <f t="shared" si="398"/>
        <v>0.46423281417474155</v>
      </c>
      <c r="V1980" s="1">
        <f t="shared" si="404"/>
        <v>185351.99156787765</v>
      </c>
      <c r="W1980" s="7">
        <f t="shared" si="405"/>
        <v>3.0894224204614474E-3</v>
      </c>
      <c r="X1980" s="7">
        <f t="shared" si="406"/>
        <v>2.3279479353924336E-3</v>
      </c>
      <c r="Y1980">
        <f>LN(B1980/B1979)</f>
        <v>5.5437181692934495E-3</v>
      </c>
      <c r="Z1980">
        <f>LN(C1980/C1979)</f>
        <v>2.6440748911341874E-4</v>
      </c>
    </row>
    <row r="1981" spans="1:26" x14ac:dyDescent="0.3">
      <c r="A1981" s="9">
        <v>43097</v>
      </c>
      <c r="B1981" s="1">
        <v>31616</v>
      </c>
      <c r="C1981" s="1">
        <v>50.428932199999998</v>
      </c>
      <c r="D1981" s="6">
        <f t="shared" si="408"/>
        <v>5.1484609617962196E-3</v>
      </c>
      <c r="E1981" s="5">
        <f t="shared" si="407"/>
        <v>2.6444989354268422E-4</v>
      </c>
      <c r="G1981" s="25">
        <f>IF(VLOOKUP(A1981,Aux!B:C,2,FALSE)=0,"",VLOOKUP(A1981,Aux!B:C,2,FALSE))</f>
        <v>0.5</v>
      </c>
      <c r="H1981" s="25">
        <f t="shared" si="396"/>
        <v>0.5</v>
      </c>
      <c r="L1981" s="13">
        <f t="shared" si="399"/>
        <v>186201.27250148283</v>
      </c>
      <c r="M1981" s="14">
        <f t="shared" si="400"/>
        <v>512.13766160577381</v>
      </c>
      <c r="N1981" s="14">
        <f t="shared" si="401"/>
        <v>22.793573147224759</v>
      </c>
      <c r="O1981" s="1">
        <f t="shared" si="402"/>
        <v>2.9447316627891391</v>
      </c>
      <c r="P1981" s="1">
        <f t="shared" si="403"/>
        <v>1846.1750465289729</v>
      </c>
      <c r="S1981" s="6">
        <f t="shared" si="397"/>
        <v>0.5</v>
      </c>
      <c r="T1981" s="6">
        <f t="shared" si="398"/>
        <v>0.5</v>
      </c>
      <c r="V1981" s="1">
        <f t="shared" si="404"/>
        <v>185755.41915739892</v>
      </c>
      <c r="W1981" s="7">
        <f t="shared" si="405"/>
        <v>2.8770002222405114E-3</v>
      </c>
      <c r="X1981" s="7">
        <f t="shared" si="406"/>
        <v>2.1741831975390243E-3</v>
      </c>
      <c r="Y1981">
        <f>LN(B1981/B1980)</f>
        <v>5.1352529512131194E-3</v>
      </c>
      <c r="Z1981">
        <f>LN(C1981/C1980)</f>
        <v>2.6441493283302169E-4</v>
      </c>
    </row>
    <row r="1982" spans="1:26" x14ac:dyDescent="0.3">
      <c r="A1982" s="11">
        <v>43102</v>
      </c>
      <c r="B1982" s="12">
        <v>32197.54</v>
      </c>
      <c r="C1982" s="12">
        <v>50.455604600000001</v>
      </c>
      <c r="D1982" s="16">
        <f t="shared" si="408"/>
        <v>1.839385121457493E-2</v>
      </c>
      <c r="E1982" s="15">
        <f t="shared" si="407"/>
        <v>5.2891066370830409E-4</v>
      </c>
      <c r="G1982" s="25" t="str">
        <f>IF(VLOOKUP(A1982,Aux!B:C,2,FALSE)=0,"",VLOOKUP(A1982,Aux!B:C,2,FALSE))</f>
        <v/>
      </c>
      <c r="H1982" s="25" t="str">
        <f t="shared" si="396"/>
        <v/>
      </c>
      <c r="L1982" s="13">
        <f t="shared" si="399"/>
        <v>187962.99367197228</v>
      </c>
      <c r="M1982" s="14">
        <f t="shared" si="400"/>
        <v>1712.4792511783985</v>
      </c>
      <c r="N1982" s="14">
        <f t="shared" si="401"/>
        <v>49.241919311043958</v>
      </c>
      <c r="O1982" s="1">
        <f t="shared" si="402"/>
        <v>2.9447316627891391</v>
      </c>
      <c r="P1982" s="1">
        <f t="shared" si="403"/>
        <v>1846.1750465289729</v>
      </c>
      <c r="S1982" s="6">
        <f t="shared" si="397"/>
        <v>0.50442437444566879</v>
      </c>
      <c r="T1982" s="6">
        <f t="shared" si="398"/>
        <v>0.49557562555433121</v>
      </c>
      <c r="V1982" s="1">
        <f t="shared" si="404"/>
        <v>187156.72197164333</v>
      </c>
      <c r="W1982" s="7">
        <f t="shared" si="405"/>
        <v>9.4169024066386112E-3</v>
      </c>
      <c r="X1982" s="7">
        <f t="shared" si="406"/>
        <v>7.5154936268343915E-3</v>
      </c>
      <c r="Y1982">
        <f>LN(B1982/B1981)</f>
        <v>1.8226730550938559E-2</v>
      </c>
      <c r="Z1982">
        <f>LN(C1982/C1981)</f>
        <v>5.287708397639562E-4</v>
      </c>
    </row>
    <row r="1983" spans="1:26" x14ac:dyDescent="0.3">
      <c r="A1983" s="9">
        <v>43103</v>
      </c>
      <c r="B1983" s="1">
        <v>32237.71</v>
      </c>
      <c r="C1983" s="1">
        <v>50.468948400000002</v>
      </c>
      <c r="D1983" s="6">
        <f t="shared" si="408"/>
        <v>1.2476108423189469E-3</v>
      </c>
      <c r="E1983" s="5">
        <f t="shared" si="407"/>
        <v>2.644661600190723E-4</v>
      </c>
      <c r="G1983" s="25" t="str">
        <f>IF(VLOOKUP(A1983,Aux!B:C,2,FALSE)=0,"",VLOOKUP(A1983,Aux!B:C,2,FALSE))</f>
        <v/>
      </c>
      <c r="H1983" s="25" t="str">
        <f t="shared" si="396"/>
        <v/>
      </c>
      <c r="L1983" s="13">
        <f t="shared" si="399"/>
        <v>188105.91853345238</v>
      </c>
      <c r="M1983" s="14">
        <f t="shared" si="400"/>
        <v>118.28987089423458</v>
      </c>
      <c r="N1983" s="14">
        <f t="shared" si="401"/>
        <v>24.634990585875595</v>
      </c>
      <c r="O1983" s="1">
        <f t="shared" si="402"/>
        <v>2.9447316627891391</v>
      </c>
      <c r="P1983" s="1">
        <f t="shared" si="403"/>
        <v>1846.1750465289729</v>
      </c>
      <c r="S1983" s="6">
        <f t="shared" si="397"/>
        <v>0.50466995463479603</v>
      </c>
      <c r="T1983" s="6">
        <f t="shared" si="398"/>
        <v>0.49533004536520403</v>
      </c>
      <c r="V1983" s="1">
        <f t="shared" si="404"/>
        <v>187279.2474149373</v>
      </c>
      <c r="W1983" s="7">
        <f t="shared" si="405"/>
        <v>7.6009935265958185E-4</v>
      </c>
      <c r="X1983" s="7">
        <f t="shared" si="406"/>
        <v>6.5445340557391683E-4</v>
      </c>
      <c r="Y1983">
        <f>LN(B1983/B1982)</f>
        <v>1.2468332226226546E-3</v>
      </c>
      <c r="Z1983">
        <f>LN(C1983/C1982)</f>
        <v>2.6443119500874687E-4</v>
      </c>
    </row>
    <row r="1984" spans="1:26" x14ac:dyDescent="0.3">
      <c r="A1984" s="11">
        <v>43104</v>
      </c>
      <c r="B1984" s="12">
        <v>32487.24</v>
      </c>
      <c r="C1984" s="12">
        <v>50.482295999999998</v>
      </c>
      <c r="D1984" s="16">
        <f t="shared" si="408"/>
        <v>7.7403140607692489E-3</v>
      </c>
      <c r="E1984" s="15">
        <f t="shared" si="407"/>
        <v>2.6447152998332335E-4</v>
      </c>
      <c r="G1984" s="25" t="str">
        <f>IF(VLOOKUP(A1984,Aux!B:C,2,FALSE)=0,"",VLOOKUP(A1984,Aux!B:C,2,FALSE))</f>
        <v/>
      </c>
      <c r="H1984" s="25" t="str">
        <f t="shared" si="396"/>
        <v/>
      </c>
      <c r="L1984" s="13">
        <f t="shared" si="399"/>
        <v>188865.3594313192</v>
      </c>
      <c r="M1984" s="14">
        <f t="shared" si="400"/>
        <v>734.79889181578119</v>
      </c>
      <c r="N1984" s="14">
        <f t="shared" si="401"/>
        <v>24.642006051042561</v>
      </c>
      <c r="O1984" s="1">
        <f t="shared" si="402"/>
        <v>2.9447316627891391</v>
      </c>
      <c r="P1984" s="1">
        <f t="shared" si="403"/>
        <v>1846.1750465289729</v>
      </c>
      <c r="S1984" s="6">
        <f t="shared" si="397"/>
        <v>0.50653123766414565</v>
      </c>
      <c r="T1984" s="6">
        <f t="shared" si="398"/>
        <v>0.49346876233585446</v>
      </c>
      <c r="V1984" s="1">
        <f t="shared" si="404"/>
        <v>187884.78220278665</v>
      </c>
      <c r="W1984" s="7">
        <f t="shared" si="405"/>
        <v>4.0291765960545666E-3</v>
      </c>
      <c r="X1984" s="7">
        <f t="shared" si="406"/>
        <v>3.2281096580993834E-3</v>
      </c>
      <c r="Y1984">
        <f>LN(B1984/B1983)</f>
        <v>7.7105115184583697E-3</v>
      </c>
      <c r="Z1984">
        <f>LN(C1984/C1983)</f>
        <v>2.6443656355318513E-4</v>
      </c>
    </row>
    <row r="1985" spans="1:26" x14ac:dyDescent="0.3">
      <c r="A1985" s="9">
        <v>43105</v>
      </c>
      <c r="B1985" s="1">
        <v>32655.54</v>
      </c>
      <c r="C1985" s="1">
        <v>50.495643600000001</v>
      </c>
      <c r="D1985" s="6">
        <f t="shared" si="408"/>
        <v>5.1804954806871084E-3</v>
      </c>
      <c r="E1985" s="5">
        <f t="shared" si="407"/>
        <v>2.6440160328689011E-4</v>
      </c>
      <c r="G1985" s="25" t="str">
        <f>IF(VLOOKUP(A1985,Aux!B:C,2,FALSE)=0,"",VLOOKUP(A1985,Aux!B:C,2,FALSE))</f>
        <v/>
      </c>
      <c r="H1985" s="25" t="str">
        <f t="shared" si="396"/>
        <v/>
      </c>
      <c r="L1985" s="13">
        <f t="shared" si="399"/>
        <v>189385.59977621766</v>
      </c>
      <c r="M1985" s="14">
        <f t="shared" si="400"/>
        <v>495.59833884740999</v>
      </c>
      <c r="N1985" s="14">
        <f t="shared" si="401"/>
        <v>24.642006051055681</v>
      </c>
      <c r="O1985" s="1">
        <f t="shared" si="402"/>
        <v>2.9447316627891391</v>
      </c>
      <c r="P1985" s="1">
        <f t="shared" si="403"/>
        <v>1846.1750465289729</v>
      </c>
      <c r="S1985" s="6">
        <f t="shared" si="397"/>
        <v>0.50775667588826301</v>
      </c>
      <c r="T1985" s="6">
        <f t="shared" si="398"/>
        <v>0.4922433241117371</v>
      </c>
      <c r="V1985" s="1">
        <f t="shared" si="404"/>
        <v>188302.91653919537</v>
      </c>
      <c r="W1985" s="7">
        <f t="shared" si="405"/>
        <v>2.7507698805669164E-3</v>
      </c>
      <c r="X1985" s="7">
        <f t="shared" si="406"/>
        <v>2.2230100027233503E-3</v>
      </c>
      <c r="Y1985">
        <f>LN(B1985/B1984)</f>
        <v>5.1671228785610196E-3</v>
      </c>
      <c r="Z1985">
        <f>LN(C1985/C1984)</f>
        <v>2.6436665534303899E-4</v>
      </c>
    </row>
    <row r="1986" spans="1:26" x14ac:dyDescent="0.3">
      <c r="A1986" s="11">
        <v>43108</v>
      </c>
      <c r="B1986" s="12">
        <v>32752.25</v>
      </c>
      <c r="C1986" s="12">
        <v>50.508998900000002</v>
      </c>
      <c r="D1986" s="16">
        <f t="shared" si="408"/>
        <v>2.9615189336940073E-3</v>
      </c>
      <c r="E1986" s="15">
        <f t="shared" si="407"/>
        <v>2.6448420195990252E-4</v>
      </c>
      <c r="G1986" s="25" t="str">
        <f>IF(VLOOKUP(A1986,Aux!B:C,2,FALSE)=0,"",VLOOKUP(A1986,Aux!B:C,2,FALSE))</f>
        <v/>
      </c>
      <c r="H1986" s="25" t="str">
        <f t="shared" si="396"/>
        <v/>
      </c>
      <c r="L1986" s="13">
        <f t="shared" si="399"/>
        <v>189695.04099692492</v>
      </c>
      <c r="M1986" s="14">
        <f t="shared" si="400"/>
        <v>284.78499910833506</v>
      </c>
      <c r="N1986" s="14">
        <f t="shared" si="401"/>
        <v>24.656221598909546</v>
      </c>
      <c r="O1986" s="1">
        <f t="shared" si="402"/>
        <v>2.9447316627891391</v>
      </c>
      <c r="P1986" s="1">
        <f t="shared" si="403"/>
        <v>1846.1750465289729</v>
      </c>
      <c r="S1986" s="6">
        <f t="shared" si="397"/>
        <v>0.5084296726773635</v>
      </c>
      <c r="T1986" s="6">
        <f t="shared" si="398"/>
        <v>0.49157032732263656</v>
      </c>
      <c r="V1986" s="1">
        <f t="shared" si="404"/>
        <v>188555.90746729245</v>
      </c>
      <c r="W1986" s="7">
        <f t="shared" si="405"/>
        <v>1.6325881944630417E-3</v>
      </c>
      <c r="X1986" s="7">
        <f t="shared" si="406"/>
        <v>1.3426299186102117E-3</v>
      </c>
      <c r="Y1986">
        <f>LN(B1986/B1985)</f>
        <v>2.9571422754050979E-3</v>
      </c>
      <c r="Z1986">
        <f>LN(C1986/C1985)</f>
        <v>2.6444923217919318E-4</v>
      </c>
    </row>
    <row r="1987" spans="1:26" x14ac:dyDescent="0.3">
      <c r="A1987" s="9">
        <v>43109</v>
      </c>
      <c r="B1987" s="1">
        <v>32555.41</v>
      </c>
      <c r="C1987" s="1">
        <v>50.522354100000001</v>
      </c>
      <c r="D1987" s="6">
        <f t="shared" si="408"/>
        <v>-6.009968780770758E-3</v>
      </c>
      <c r="E1987" s="5">
        <f t="shared" si="407"/>
        <v>2.6441228871787459E-4</v>
      </c>
      <c r="G1987" s="25" t="str">
        <f>IF(VLOOKUP(A1987,Aux!B:C,2,FALSE)=0,"",VLOOKUP(A1987,Aux!B:C,2,FALSE))</f>
        <v/>
      </c>
      <c r="H1987" s="25" t="str">
        <f t="shared" ref="H1987:H2050" si="409">IF(ISNUMBER(G1987),1-G1987,"")</f>
        <v/>
      </c>
      <c r="L1987" s="13">
        <f t="shared" si="399"/>
        <v>189140.05605340292</v>
      </c>
      <c r="M1987" s="14">
        <f t="shared" si="400"/>
        <v>-579.64098050341454</v>
      </c>
      <c r="N1987" s="14">
        <f t="shared" si="401"/>
        <v>24.656036981402735</v>
      </c>
      <c r="O1987" s="1">
        <f t="shared" si="402"/>
        <v>2.9447316627891391</v>
      </c>
      <c r="P1987" s="1">
        <f t="shared" si="403"/>
        <v>1846.1750465289729</v>
      </c>
      <c r="S1987" s="6">
        <f t="shared" ref="S1987:S2050" si="410">O1987*B1987/L1987</f>
        <v>0.50685692191512577</v>
      </c>
      <c r="T1987" s="6">
        <f t="shared" ref="T1987:T2050" si="411">P1987*C1987/L1987</f>
        <v>0.49314307808487412</v>
      </c>
      <c r="V1987" s="1">
        <f t="shared" si="404"/>
        <v>188131.66805324232</v>
      </c>
      <c r="W1987" s="7">
        <f t="shared" si="405"/>
        <v>-2.9299573607220637E-3</v>
      </c>
      <c r="X1987" s="7">
        <f t="shared" si="406"/>
        <v>-2.2524745756945398E-3</v>
      </c>
      <c r="Y1987">
        <f>LN(B1987/B1986)</f>
        <v>-6.0281013303510609E-3</v>
      </c>
      <c r="Z1987">
        <f>LN(C1987/C1986)</f>
        <v>2.643773379494681E-4</v>
      </c>
    </row>
    <row r="1988" spans="1:26" x14ac:dyDescent="0.3">
      <c r="A1988" s="11">
        <v>43110</v>
      </c>
      <c r="B1988" s="12">
        <v>32286.97</v>
      </c>
      <c r="C1988" s="12">
        <v>50.535713200000004</v>
      </c>
      <c r="D1988" s="16">
        <f t="shared" si="408"/>
        <v>-8.2456341357702856E-3</v>
      </c>
      <c r="E1988" s="15">
        <f t="shared" si="407"/>
        <v>2.6441958689327194E-4</v>
      </c>
      <c r="G1988" s="25" t="str">
        <f>IF(VLOOKUP(A1988,Aux!B:C,2,FALSE)=0,"",VLOOKUP(A1988,Aux!B:C,2,FALSE))</f>
        <v/>
      </c>
      <c r="H1988" s="25" t="str">
        <f t="shared" si="409"/>
        <v/>
      </c>
      <c r="L1988" s="13">
        <f t="shared" ref="L1988:L2051" si="412">L1987+M1988+N1988</f>
        <v>188374.2355229079</v>
      </c>
      <c r="M1988" s="14">
        <f t="shared" ref="M1988:M2051" si="413">O1987*(B1988-B1987)</f>
        <v>-790.48376755911261</v>
      </c>
      <c r="N1988" s="14">
        <f t="shared" ref="N1988:N2051" si="414">P1987*(C1988-C1987)</f>
        <v>24.663237064089632</v>
      </c>
      <c r="O1988" s="1">
        <f t="shared" ref="O1988:O2051" si="415">IF(ISNUMBER(G1988),L1988*G1988/B1988,O1987)</f>
        <v>2.9447316627891391</v>
      </c>
      <c r="P1988" s="1">
        <f t="shared" ref="P1988:P2051" si="416">IF(ISNUMBER(H1988),L1988*H1988/C1988,P1987)</f>
        <v>1846.1750465289729</v>
      </c>
      <c r="S1988" s="6">
        <f t="shared" si="410"/>
        <v>0.50472116099423237</v>
      </c>
      <c r="T1988" s="6">
        <f t="shared" si="411"/>
        <v>0.49527883900576752</v>
      </c>
      <c r="V1988" s="1">
        <f t="shared" ref="V1988:V2051" si="417">$O$2*B1988+$P$2*C1988</f>
        <v>187542.2536594274</v>
      </c>
      <c r="W1988" s="7">
        <f t="shared" ref="W1988:W2051" si="418">LN(L1988/L1987)</f>
        <v>-4.0571792807761438E-3</v>
      </c>
      <c r="X1988" s="7">
        <f t="shared" ref="X1988:X2051" si="419">LN(V1988/V1987)</f>
        <v>-3.1379068036705617E-3</v>
      </c>
      <c r="Y1988">
        <f>LN(B1988/B1987)</f>
        <v>-8.2798174151539703E-3</v>
      </c>
      <c r="Z1988">
        <f>LN(C1988/C1987)</f>
        <v>2.6438463419562169E-4</v>
      </c>
    </row>
    <row r="1989" spans="1:26" x14ac:dyDescent="0.3">
      <c r="A1989" s="9">
        <v>43111</v>
      </c>
      <c r="B1989" s="1">
        <v>32741.3</v>
      </c>
      <c r="C1989" s="1">
        <v>50.549076100000001</v>
      </c>
      <c r="D1989" s="6">
        <f t="shared" si="408"/>
        <v>1.4071620842711408E-2</v>
      </c>
      <c r="E1989" s="5">
        <f t="shared" ref="E1989:E2052" si="420">C1989/C1988-1</f>
        <v>2.6442488200606462E-4</v>
      </c>
      <c r="G1989" s="25" t="str">
        <f>IF(VLOOKUP(A1989,Aux!B:C,2,FALSE)=0,"",VLOOKUP(A1989,Aux!B:C,2,FALSE))</f>
        <v/>
      </c>
      <c r="H1989" s="25" t="str">
        <f t="shared" si="409"/>
        <v/>
      </c>
      <c r="L1989" s="13">
        <f t="shared" si="412"/>
        <v>189736.78571179215</v>
      </c>
      <c r="M1989" s="14">
        <f t="shared" si="413"/>
        <v>1337.879936354984</v>
      </c>
      <c r="N1989" s="14">
        <f t="shared" si="414"/>
        <v>24.670252529256601</v>
      </c>
      <c r="O1989" s="1">
        <f t="shared" si="415"/>
        <v>2.9447316627891391</v>
      </c>
      <c r="P1989" s="1">
        <f t="shared" si="416"/>
        <v>1846.1750465289729</v>
      </c>
      <c r="S1989" s="6">
        <f t="shared" si="410"/>
        <v>0.50814786615669905</v>
      </c>
      <c r="T1989" s="6">
        <f t="shared" si="411"/>
        <v>0.4918521338433009</v>
      </c>
      <c r="V1989" s="1">
        <f t="shared" si="417"/>
        <v>188620.30343934573</v>
      </c>
      <c r="W1989" s="7">
        <f t="shared" si="418"/>
        <v>7.2071746672893204E-3</v>
      </c>
      <c r="X1989" s="7">
        <f t="shared" si="419"/>
        <v>5.7318449755140452E-3</v>
      </c>
      <c r="Y1989">
        <f>LN(B1989/B1988)</f>
        <v>1.3973534669453955E-2</v>
      </c>
      <c r="Z1989">
        <f>LN(C1989/C1988)</f>
        <v>2.6438992790863894E-4</v>
      </c>
    </row>
    <row r="1990" spans="1:26" x14ac:dyDescent="0.3">
      <c r="A1990" s="11">
        <v>43112</v>
      </c>
      <c r="B1990" s="12">
        <v>32731.13</v>
      </c>
      <c r="C1990" s="12">
        <v>50.562442799999999</v>
      </c>
      <c r="D1990" s="16">
        <f t="shared" si="408"/>
        <v>-3.1061686615985185E-4</v>
      </c>
      <c r="E1990" s="15">
        <f t="shared" si="420"/>
        <v>2.644301544414418E-4</v>
      </c>
      <c r="G1990" s="25" t="str">
        <f>IF(VLOOKUP(A1990,Aux!B:C,2,FALSE)=0,"",VLOOKUP(A1990,Aux!B:C,2,FALSE))</f>
        <v/>
      </c>
      <c r="H1990" s="25" t="str">
        <f t="shared" si="409"/>
        <v/>
      </c>
      <c r="L1990" s="13">
        <f t="shared" si="412"/>
        <v>189731.51505877604</v>
      </c>
      <c r="M1990" s="14">
        <f t="shared" si="413"/>
        <v>-29.947921010560403</v>
      </c>
      <c r="N1990" s="14">
        <f t="shared" si="414"/>
        <v>24.677267994436686</v>
      </c>
      <c r="O1990" s="1">
        <f t="shared" si="415"/>
        <v>2.9447316627891391</v>
      </c>
      <c r="P1990" s="1">
        <f t="shared" si="416"/>
        <v>1846.1750465289729</v>
      </c>
      <c r="S1990" s="6">
        <f t="shared" si="410"/>
        <v>0.5080041385850369</v>
      </c>
      <c r="T1990" s="6">
        <f t="shared" si="411"/>
        <v>0.49199586141496293</v>
      </c>
      <c r="V1990" s="1">
        <f t="shared" si="417"/>
        <v>188626.74397207046</v>
      </c>
      <c r="W1990" s="7">
        <f t="shared" si="418"/>
        <v>-2.7779147853716317E-5</v>
      </c>
      <c r="X1990" s="7">
        <f t="shared" si="419"/>
        <v>3.4144907267320439E-5</v>
      </c>
      <c r="Y1990">
        <f>LN(B1990/B1989)</f>
        <v>-3.1066511757068334E-4</v>
      </c>
      <c r="Z1990">
        <f>LN(C1990/C1989)</f>
        <v>2.6439519895020771E-4</v>
      </c>
    </row>
    <row r="1991" spans="1:26" x14ac:dyDescent="0.3">
      <c r="A1991" s="9">
        <v>43115</v>
      </c>
      <c r="B1991" s="1">
        <v>32904.97</v>
      </c>
      <c r="C1991" s="1">
        <v>50.575817100000002</v>
      </c>
      <c r="D1991" s="6">
        <f t="shared" si="408"/>
        <v>5.3111517995254598E-3</v>
      </c>
      <c r="E1991" s="5">
        <f t="shared" si="420"/>
        <v>2.6451055881349106E-4</v>
      </c>
      <c r="G1991" s="25" t="str">
        <f>IF(VLOOKUP(A1991,Aux!B:C,2,FALSE)=0,"",VLOOKUP(A1991,Aux!B:C,2,FALSE))</f>
        <v/>
      </c>
      <c r="H1991" s="25" t="str">
        <f t="shared" si="409"/>
        <v/>
      </c>
      <c r="L1991" s="13">
        <f t="shared" si="412"/>
        <v>190268.1185099601</v>
      </c>
      <c r="M1991" s="14">
        <f t="shared" si="413"/>
        <v>511.91215225926436</v>
      </c>
      <c r="N1991" s="14">
        <f t="shared" si="414"/>
        <v>24.691298924796858</v>
      </c>
      <c r="O1991" s="1">
        <f t="shared" si="415"/>
        <v>2.9447316627891391</v>
      </c>
      <c r="P1991" s="1">
        <f t="shared" si="416"/>
        <v>1846.1750465289729</v>
      </c>
      <c r="S1991" s="6">
        <f t="shared" si="410"/>
        <v>0.50926191829165768</v>
      </c>
      <c r="T1991" s="6">
        <f t="shared" si="411"/>
        <v>0.49073808170834216</v>
      </c>
      <c r="V1991" s="1">
        <f t="shared" si="417"/>
        <v>189057.71901370614</v>
      </c>
      <c r="W1991" s="7">
        <f t="shared" si="418"/>
        <v>2.8242332910698351E-3</v>
      </c>
      <c r="X1991" s="7">
        <f t="shared" si="419"/>
        <v>2.2821972886414312E-3</v>
      </c>
      <c r="Y1991">
        <f>LN(B1991/B1990)</f>
        <v>5.2970973743009424E-3</v>
      </c>
      <c r="Z1991">
        <f>LN(C1991/C1990)</f>
        <v>2.6447558206330637E-4</v>
      </c>
    </row>
    <row r="1992" spans="1:26" x14ac:dyDescent="0.3">
      <c r="A1992" s="11">
        <v>43116</v>
      </c>
      <c r="B1992" s="12">
        <v>32951.379999999997</v>
      </c>
      <c r="C1992" s="12">
        <v>50.589191399999997</v>
      </c>
      <c r="D1992" s="16">
        <f t="shared" si="408"/>
        <v>1.4104252336348821E-3</v>
      </c>
      <c r="E1992" s="15">
        <f t="shared" si="420"/>
        <v>2.6444061147934406E-4</v>
      </c>
      <c r="G1992" s="25" t="str">
        <f>IF(VLOOKUP(A1992,Aux!B:C,2,FALSE)=0,"",VLOOKUP(A1992,Aux!B:C,2,FALSE))</f>
        <v/>
      </c>
      <c r="H1992" s="25" t="str">
        <f t="shared" si="409"/>
        <v/>
      </c>
      <c r="L1992" s="13">
        <f t="shared" si="412"/>
        <v>190429.47480535493</v>
      </c>
      <c r="M1992" s="14">
        <f t="shared" si="413"/>
        <v>136.6649964700328</v>
      </c>
      <c r="N1992" s="14">
        <f t="shared" si="414"/>
        <v>24.691298924783741</v>
      </c>
      <c r="O1992" s="1">
        <f t="shared" si="415"/>
        <v>2.9447316627891391</v>
      </c>
      <c r="P1992" s="1">
        <f t="shared" si="416"/>
        <v>1846.1750465289729</v>
      </c>
      <c r="S1992" s="6">
        <f t="shared" si="410"/>
        <v>0.50954807346802689</v>
      </c>
      <c r="T1992" s="6">
        <f t="shared" si="411"/>
        <v>0.49045192653197284</v>
      </c>
      <c r="V1992" s="1">
        <f t="shared" si="417"/>
        <v>189194.70858781657</v>
      </c>
      <c r="W1992" s="7">
        <f t="shared" si="418"/>
        <v>8.4768754985737943E-4</v>
      </c>
      <c r="X1992" s="7">
        <f t="shared" si="419"/>
        <v>7.243288878192298E-4</v>
      </c>
      <c r="Y1992">
        <f>LN(B1992/B1991)</f>
        <v>1.4094315182294941E-3</v>
      </c>
      <c r="Z1992">
        <f>LN(C1992/C1991)</f>
        <v>2.6440565322363014E-4</v>
      </c>
    </row>
    <row r="1993" spans="1:26" x14ac:dyDescent="0.3">
      <c r="A1993" s="9">
        <v>43117</v>
      </c>
      <c r="B1993" s="1">
        <v>33476.11</v>
      </c>
      <c r="C1993" s="1">
        <v>50.602565800000001</v>
      </c>
      <c r="D1993" s="6">
        <f t="shared" si="408"/>
        <v>1.5924370997512094E-2</v>
      </c>
      <c r="E1993" s="5">
        <f t="shared" si="420"/>
        <v>2.6437267783663287E-4</v>
      </c>
      <c r="G1993" s="25" t="str">
        <f>IF(VLOOKUP(A1993,Aux!B:C,2,FALSE)=0,"",VLOOKUP(A1993,Aux!B:C,2,FALSE))</f>
        <v/>
      </c>
      <c r="H1993" s="25" t="str">
        <f t="shared" si="409"/>
        <v/>
      </c>
      <c r="L1993" s="13">
        <f t="shared" si="412"/>
        <v>191999.35533431257</v>
      </c>
      <c r="M1993" s="14">
        <f t="shared" si="413"/>
        <v>1545.1890454153545</v>
      </c>
      <c r="N1993" s="14">
        <f t="shared" si="414"/>
        <v>24.691483542303668</v>
      </c>
      <c r="O1993" s="1">
        <f t="shared" si="415"/>
        <v>2.9447316627891391</v>
      </c>
      <c r="P1993" s="1">
        <f t="shared" si="416"/>
        <v>1846.1750465289729</v>
      </c>
      <c r="S1993" s="6">
        <f t="shared" si="410"/>
        <v>0.51342964611712449</v>
      </c>
      <c r="T1993" s="6">
        <f t="shared" si="411"/>
        <v>0.48657035388287545</v>
      </c>
      <c r="V1993" s="1">
        <f t="shared" si="417"/>
        <v>190435.1993573634</v>
      </c>
      <c r="W1993" s="7">
        <f t="shared" si="418"/>
        <v>8.2100993621210313E-3</v>
      </c>
      <c r="X1993" s="7">
        <f t="shared" si="419"/>
        <v>6.5352869133462237E-3</v>
      </c>
      <c r="Y1993">
        <f>LN(B1993/B1992)</f>
        <v>1.5798908391070426E-2</v>
      </c>
      <c r="Z1993">
        <f>LN(C1993/C1992)</f>
        <v>2.6433773753827748E-4</v>
      </c>
    </row>
    <row r="1994" spans="1:26" x14ac:dyDescent="0.3">
      <c r="A1994" s="11">
        <v>43118</v>
      </c>
      <c r="B1994" s="12">
        <v>33390.74</v>
      </c>
      <c r="C1994" s="12">
        <v>50.6159477</v>
      </c>
      <c r="D1994" s="16">
        <f t="shared" si="408"/>
        <v>-2.550176827594397E-3</v>
      </c>
      <c r="E1994" s="15">
        <f t="shared" si="420"/>
        <v>2.6445101722494258E-4</v>
      </c>
      <c r="G1994" s="25" t="str">
        <f>IF(VLOOKUP(A1994,Aux!B:C,2,FALSE)=0,"",VLOOKUP(A1994,Aux!B:C,2,FALSE))</f>
        <v/>
      </c>
      <c r="H1994" s="25" t="str">
        <f t="shared" si="409"/>
        <v/>
      </c>
      <c r="L1994" s="13">
        <f t="shared" si="412"/>
        <v>191772.66892211541</v>
      </c>
      <c r="M1994" s="14">
        <f t="shared" si="413"/>
        <v>-251.39174205231652</v>
      </c>
      <c r="N1994" s="14">
        <f t="shared" si="414"/>
        <v>24.705329855143916</v>
      </c>
      <c r="O1994" s="1">
        <f t="shared" si="415"/>
        <v>2.9447316627891391</v>
      </c>
      <c r="P1994" s="1">
        <f t="shared" si="416"/>
        <v>1846.1750465289729</v>
      </c>
      <c r="S1994" s="6">
        <f t="shared" si="410"/>
        <v>0.512725665625967</v>
      </c>
      <c r="T1994" s="6">
        <f t="shared" si="411"/>
        <v>0.48727433437403278</v>
      </c>
      <c r="V1994" s="1">
        <f t="shared" si="417"/>
        <v>190268.18486399145</v>
      </c>
      <c r="W1994" s="7">
        <f t="shared" si="418"/>
        <v>-1.1813598919838595E-3</v>
      </c>
      <c r="X1994" s="7">
        <f t="shared" si="419"/>
        <v>-8.7739962925691064E-4</v>
      </c>
      <c r="Y1994">
        <f>LN(B1994/B1993)</f>
        <v>-2.5534340673904741E-3</v>
      </c>
      <c r="Z1994">
        <f>LN(C1994/C1993)</f>
        <v>2.644160562182003E-4</v>
      </c>
    </row>
    <row r="1995" spans="1:26" x14ac:dyDescent="0.3">
      <c r="A1995" s="9">
        <v>43119</v>
      </c>
      <c r="B1995" s="1">
        <v>33503.699999999997</v>
      </c>
      <c r="C1995" s="1">
        <v>50.629333500000001</v>
      </c>
      <c r="D1995" s="6">
        <f t="shared" si="408"/>
        <v>3.3829738424484557E-3</v>
      </c>
      <c r="E1995" s="5">
        <f t="shared" si="420"/>
        <v>2.6445815218822943E-4</v>
      </c>
      <c r="G1995" s="25" t="str">
        <f>IF(VLOOKUP(A1995,Aux!B:C,2,FALSE)=0,"",VLOOKUP(A1995,Aux!B:C,2,FALSE))</f>
        <v/>
      </c>
      <c r="H1995" s="25" t="str">
        <f t="shared" si="409"/>
        <v/>
      </c>
      <c r="L1995" s="13">
        <f t="shared" si="412"/>
        <v>192130.01834068188</v>
      </c>
      <c r="M1995" s="14">
        <f t="shared" si="413"/>
        <v>332.6368886286586</v>
      </c>
      <c r="N1995" s="14">
        <f t="shared" si="414"/>
        <v>24.712529937830812</v>
      </c>
      <c r="O1995" s="1">
        <f t="shared" si="415"/>
        <v>2.9447316627891391</v>
      </c>
      <c r="P1995" s="1">
        <f t="shared" si="416"/>
        <v>1846.1750465289729</v>
      </c>
      <c r="S1995" s="6">
        <f t="shared" si="410"/>
        <v>0.51350334040798962</v>
      </c>
      <c r="T1995" s="6">
        <f t="shared" si="411"/>
        <v>0.48649665959201016</v>
      </c>
      <c r="V1995" s="1">
        <f t="shared" si="417"/>
        <v>190558.73334305664</v>
      </c>
      <c r="W1995" s="7">
        <f t="shared" si="418"/>
        <v>1.861667206983886E-3</v>
      </c>
      <c r="X1995" s="7">
        <f t="shared" si="419"/>
        <v>1.5258823446997161E-3</v>
      </c>
      <c r="Y1995">
        <f>LN(B1995/B1994)</f>
        <v>3.3772644592781989E-3</v>
      </c>
      <c r="Z1995">
        <f>LN(C1995/C1994)</f>
        <v>2.6442318929511226E-4</v>
      </c>
    </row>
    <row r="1996" spans="1:26" x14ac:dyDescent="0.3">
      <c r="A1996" s="11">
        <v>43122</v>
      </c>
      <c r="B1996" s="12">
        <v>33694.74</v>
      </c>
      <c r="C1996" s="12">
        <v>50.642723099999998</v>
      </c>
      <c r="D1996" s="16">
        <f t="shared" si="408"/>
        <v>5.7020567877577033E-3</v>
      </c>
      <c r="E1996" s="15">
        <f t="shared" si="420"/>
        <v>2.6446328786833284E-4</v>
      </c>
      <c r="G1996" s="25" t="str">
        <f>IF(VLOOKUP(A1996,Aux!B:C,2,FALSE)=0,"",VLOOKUP(A1996,Aux!B:C,2,FALSE))</f>
        <v/>
      </c>
      <c r="H1996" s="25" t="str">
        <f t="shared" si="409"/>
        <v/>
      </c>
      <c r="L1996" s="13">
        <f t="shared" si="412"/>
        <v>192717.29942294411</v>
      </c>
      <c r="M1996" s="14">
        <f t="shared" si="413"/>
        <v>562.56153685923971</v>
      </c>
      <c r="N1996" s="14">
        <f t="shared" si="414"/>
        <v>24.719545402997777</v>
      </c>
      <c r="O1996" s="1">
        <f t="shared" si="415"/>
        <v>2.9447316627891391</v>
      </c>
      <c r="P1996" s="1">
        <f t="shared" si="416"/>
        <v>1846.1750465289729</v>
      </c>
      <c r="S1996" s="6">
        <f t="shared" si="410"/>
        <v>0.51485760772151401</v>
      </c>
      <c r="T1996" s="6">
        <f t="shared" si="411"/>
        <v>0.48514239227848599</v>
      </c>
      <c r="V1996" s="1">
        <f t="shared" si="417"/>
        <v>191029.4236144782</v>
      </c>
      <c r="W1996" s="7">
        <f t="shared" si="418"/>
        <v>3.0520235481664589E-3</v>
      </c>
      <c r="X1996" s="7">
        <f t="shared" si="419"/>
        <v>2.4670079590408686E-3</v>
      </c>
      <c r="Y1996">
        <f>LN(B1996/B1995)</f>
        <v>5.6858615967201693E-3</v>
      </c>
      <c r="Z1996">
        <f>LN(C1996/C1995)</f>
        <v>2.6442832361738911E-4</v>
      </c>
    </row>
    <row r="1997" spans="1:26" x14ac:dyDescent="0.3">
      <c r="A1997" s="9">
        <v>43123</v>
      </c>
      <c r="B1997" s="1">
        <v>33298.699999999997</v>
      </c>
      <c r="C1997" s="1">
        <v>50.656112700000001</v>
      </c>
      <c r="D1997" s="6">
        <f t="shared" si="408"/>
        <v>-1.1753763347038815E-2</v>
      </c>
      <c r="E1997" s="5">
        <f t="shared" si="420"/>
        <v>2.6439336552974702E-4</v>
      </c>
      <c r="G1997" s="25" t="str">
        <f>IF(VLOOKUP(A1997,Aux!B:C,2,FALSE)=0,"",VLOOKUP(A1997,Aux!B:C,2,FALSE))</f>
        <v/>
      </c>
      <c r="H1997" s="25" t="str">
        <f t="shared" si="409"/>
        <v/>
      </c>
      <c r="L1997" s="13">
        <f t="shared" si="412"/>
        <v>191575.78744061608</v>
      </c>
      <c r="M1997" s="14">
        <f t="shared" si="413"/>
        <v>-1166.2315277310133</v>
      </c>
      <c r="N1997" s="14">
        <f t="shared" si="414"/>
        <v>24.719545403010898</v>
      </c>
      <c r="O1997" s="1">
        <f t="shared" si="415"/>
        <v>2.9447316627891391</v>
      </c>
      <c r="P1997" s="1">
        <f t="shared" si="416"/>
        <v>1846.1750465289729</v>
      </c>
      <c r="S1997" s="6">
        <f t="shared" si="410"/>
        <v>0.5118378346747583</v>
      </c>
      <c r="T1997" s="6">
        <f t="shared" si="411"/>
        <v>0.4881621653252417</v>
      </c>
      <c r="V1997" s="1">
        <f t="shared" si="417"/>
        <v>190145.69978973153</v>
      </c>
      <c r="W1997" s="7">
        <f t="shared" si="418"/>
        <v>-5.9408580518585836E-3</v>
      </c>
      <c r="X1997" s="7">
        <f t="shared" si="419"/>
        <v>-4.6368472329367146E-3</v>
      </c>
      <c r="Y1997">
        <f>LN(B1997/B1996)</f>
        <v>-1.18233849047142E-2</v>
      </c>
      <c r="Z1997">
        <f>LN(C1997/C1996)</f>
        <v>2.6435841976336243E-4</v>
      </c>
    </row>
    <row r="1998" spans="1:26" x14ac:dyDescent="0.3">
      <c r="A1998" s="11">
        <v>43124</v>
      </c>
      <c r="B1998" s="12">
        <v>34496.300000000003</v>
      </c>
      <c r="C1998" s="12">
        <v>50.669509900000001</v>
      </c>
      <c r="D1998" s="16">
        <f t="shared" si="408"/>
        <v>3.5965368017370158E-2</v>
      </c>
      <c r="E1998" s="15">
        <f t="shared" si="420"/>
        <v>2.6447351140701514E-4</v>
      </c>
      <c r="G1998" s="25" t="str">
        <f>IF(VLOOKUP(A1998,Aux!B:C,2,FALSE)=0,"",VLOOKUP(A1998,Aux!B:C,2,FALSE))</f>
        <v/>
      </c>
      <c r="H1998" s="25" t="str">
        <f t="shared" si="409"/>
        <v/>
      </c>
      <c r="L1998" s="13">
        <f t="shared" si="412"/>
        <v>195127.13165630572</v>
      </c>
      <c r="M1998" s="14">
        <f t="shared" si="413"/>
        <v>3526.61063935629</v>
      </c>
      <c r="N1998" s="14">
        <f t="shared" si="414"/>
        <v>24.733576333357952</v>
      </c>
      <c r="O1998" s="1">
        <f t="shared" si="415"/>
        <v>2.9447316627891391</v>
      </c>
      <c r="P1998" s="1">
        <f t="shared" si="416"/>
        <v>1846.1750465289729</v>
      </c>
      <c r="S1998" s="6">
        <f t="shared" si="410"/>
        <v>0.52059570597285654</v>
      </c>
      <c r="T1998" s="6">
        <f t="shared" si="411"/>
        <v>0.47940429402714368</v>
      </c>
      <c r="V1998" s="1">
        <f t="shared" si="417"/>
        <v>192938.57619301701</v>
      </c>
      <c r="W1998" s="7">
        <f t="shared" si="418"/>
        <v>1.836781614413004E-2</v>
      </c>
      <c r="X1998" s="7">
        <f t="shared" si="419"/>
        <v>1.458126089602904E-2</v>
      </c>
      <c r="Y1998">
        <f>LN(B1998/B1997)</f>
        <v>3.533371472388272E-2</v>
      </c>
      <c r="Z1998">
        <f>LN(C1998/C1997)</f>
        <v>2.6443854445298338E-4</v>
      </c>
    </row>
    <row r="1999" spans="1:26" x14ac:dyDescent="0.3">
      <c r="A1999" s="9">
        <v>43126</v>
      </c>
      <c r="B1999" s="1">
        <v>35253.519999999997</v>
      </c>
      <c r="C1999" s="1">
        <v>50.696311999999999</v>
      </c>
      <c r="D1999" s="6">
        <f t="shared" si="408"/>
        <v>2.1950759936572695E-2</v>
      </c>
      <c r="E1999" s="5">
        <f t="shared" si="420"/>
        <v>5.289591324821874E-4</v>
      </c>
      <c r="G1999" s="25" t="str">
        <f>IF(VLOOKUP(A1999,Aux!B:C,2,FALSE)=0,"",VLOOKUP(A1999,Aux!B:C,2,FALSE))</f>
        <v/>
      </c>
      <c r="H1999" s="25" t="str">
        <f t="shared" si="409"/>
        <v/>
      </c>
      <c r="L1999" s="13">
        <f t="shared" si="412"/>
        <v>197406.42273421746</v>
      </c>
      <c r="M1999" s="14">
        <f t="shared" si="413"/>
        <v>2229.8097096971737</v>
      </c>
      <c r="N1999" s="14">
        <f t="shared" si="414"/>
        <v>49.48136821456977</v>
      </c>
      <c r="O1999" s="1">
        <f t="shared" si="415"/>
        <v>2.9447316627891391</v>
      </c>
      <c r="P1999" s="1">
        <f t="shared" si="416"/>
        <v>1846.1750465289729</v>
      </c>
      <c r="S1999" s="6">
        <f t="shared" si="410"/>
        <v>0.52588033930658873</v>
      </c>
      <c r="T1999" s="6">
        <f t="shared" si="411"/>
        <v>0.47411966069341144</v>
      </c>
      <c r="V1999" s="1">
        <f t="shared" si="417"/>
        <v>194745.4690686609</v>
      </c>
      <c r="W1999" s="7">
        <f t="shared" si="418"/>
        <v>1.1613359773786983E-2</v>
      </c>
      <c r="X1999" s="7">
        <f t="shared" si="419"/>
        <v>9.3215389247153745E-3</v>
      </c>
      <c r="Y1999">
        <f>LN(B1999/B1998)</f>
        <v>2.1713310519613449E-2</v>
      </c>
      <c r="Z1999">
        <f>LN(C1999/C1998)</f>
        <v>5.2881928291456659E-4</v>
      </c>
    </row>
    <row r="2000" spans="1:26" x14ac:dyDescent="0.3">
      <c r="A2000" s="11">
        <v>43129</v>
      </c>
      <c r="B2000" s="12">
        <v>34916.589999999997</v>
      </c>
      <c r="C2000" s="12">
        <v>50.709716800000002</v>
      </c>
      <c r="D2000" s="16">
        <f t="shared" si="408"/>
        <v>-9.5573434936426782E-3</v>
      </c>
      <c r="E2000" s="15">
        <f t="shared" si="420"/>
        <v>2.6441371119867441E-4</v>
      </c>
      <c r="G2000" s="25" t="str">
        <f>IF(VLOOKUP(A2000,Aux!B:C,2,FALSE)=0,"",VLOOKUP(A2000,Aux!B:C,2,FALSE))</f>
        <v/>
      </c>
      <c r="H2000" s="25" t="str">
        <f t="shared" si="409"/>
        <v/>
      </c>
      <c r="L2000" s="13">
        <f t="shared" si="412"/>
        <v>196439.00190233762</v>
      </c>
      <c r="M2000" s="14">
        <f t="shared" si="413"/>
        <v>-992.16843914354547</v>
      </c>
      <c r="N2000" s="14">
        <f t="shared" si="414"/>
        <v>24.747607263718123</v>
      </c>
      <c r="O2000" s="1">
        <f t="shared" si="415"/>
        <v>2.9447316627891391</v>
      </c>
      <c r="P2000" s="1">
        <f t="shared" si="416"/>
        <v>1846.1750465289729</v>
      </c>
      <c r="S2000" s="6">
        <f t="shared" si="410"/>
        <v>0.52341941841439921</v>
      </c>
      <c r="T2000" s="6">
        <f t="shared" si="411"/>
        <v>0.47658058158560096</v>
      </c>
      <c r="V2000" s="1">
        <f t="shared" si="417"/>
        <v>193998.14808600646</v>
      </c>
      <c r="W2000" s="7">
        <f t="shared" si="418"/>
        <v>-4.9127028882902978E-3</v>
      </c>
      <c r="X2000" s="7">
        <f t="shared" si="419"/>
        <v>-3.8448060381399639E-3</v>
      </c>
      <c r="Y2000">
        <f>LN(B2000/B1999)</f>
        <v>-9.6033080011427366E-3</v>
      </c>
      <c r="Z2000">
        <f>LN(C2000/C1999)</f>
        <v>2.6437876005424497E-4</v>
      </c>
    </row>
    <row r="2001" spans="1:26" x14ac:dyDescent="0.3">
      <c r="A2001" s="9">
        <v>43130</v>
      </c>
      <c r="B2001" s="1">
        <v>34823.949999999997</v>
      </c>
      <c r="C2001" s="1">
        <v>50.723125500000002</v>
      </c>
      <c r="D2001" s="6">
        <f t="shared" si="408"/>
        <v>-2.6531800499418612E-3</v>
      </c>
      <c r="E2001" s="5">
        <f t="shared" si="420"/>
        <v>2.6442072340659983E-4</v>
      </c>
      <c r="G2001" s="25" t="str">
        <f>IF(VLOOKUP(A2001,Aux!B:C,2,FALSE)=0,"",VLOOKUP(A2001,Aux!B:C,2,FALSE))</f>
        <v/>
      </c>
      <c r="H2001" s="25" t="str">
        <f t="shared" si="409"/>
        <v/>
      </c>
      <c r="L2001" s="13">
        <f t="shared" si="412"/>
        <v>196190.95676844323</v>
      </c>
      <c r="M2001" s="14">
        <f t="shared" si="413"/>
        <v>-272.79994124078411</v>
      </c>
      <c r="N2001" s="14">
        <f t="shared" si="414"/>
        <v>24.754807346391903</v>
      </c>
      <c r="O2001" s="1">
        <f t="shared" si="415"/>
        <v>2.9447316627891391</v>
      </c>
      <c r="P2001" s="1">
        <f t="shared" si="416"/>
        <v>1846.1750465289729</v>
      </c>
      <c r="S2001" s="6">
        <f t="shared" si="410"/>
        <v>0.52269069827422476</v>
      </c>
      <c r="T2001" s="6">
        <f t="shared" si="411"/>
        <v>0.47730930172577546</v>
      </c>
      <c r="V2001" s="1">
        <f t="shared" si="417"/>
        <v>193814.42140347854</v>
      </c>
      <c r="W2001" s="7">
        <f t="shared" si="418"/>
        <v>-1.2635060642513371E-3</v>
      </c>
      <c r="X2001" s="7">
        <f t="shared" si="419"/>
        <v>-9.4750253461358335E-4</v>
      </c>
      <c r="Y2001">
        <f>LN(B2001/B2000)</f>
        <v>-2.6567059701121248E-3</v>
      </c>
      <c r="Z2001">
        <f>LN(C2001/C2000)</f>
        <v>2.6438577040851201E-4</v>
      </c>
    </row>
    <row r="2002" spans="1:26" x14ac:dyDescent="0.3">
      <c r="A2002" s="11">
        <v>43131</v>
      </c>
      <c r="B2002" s="12">
        <v>35012.93</v>
      </c>
      <c r="C2002" s="12">
        <v>50.736541699999997</v>
      </c>
      <c r="D2002" s="16">
        <f t="shared" si="408"/>
        <v>5.4267249981694299E-3</v>
      </c>
      <c r="E2002" s="15">
        <f t="shared" si="420"/>
        <v>2.6449868512123942E-4</v>
      </c>
      <c r="G2002" s="25" t="str">
        <f>IF(VLOOKUP(A2002,Aux!B:C,2,FALSE)=0,"",VLOOKUP(A2002,Aux!B:C,2,FALSE))</f>
        <v/>
      </c>
      <c r="H2002" s="25" t="str">
        <f t="shared" si="409"/>
        <v/>
      </c>
      <c r="L2002" s="13">
        <f t="shared" si="412"/>
        <v>196772.22081173636</v>
      </c>
      <c r="M2002" s="14">
        <f t="shared" si="413"/>
        <v>556.49538963390091</v>
      </c>
      <c r="N2002" s="14">
        <f t="shared" si="414"/>
        <v>24.768653659232147</v>
      </c>
      <c r="O2002" s="1">
        <f t="shared" si="415"/>
        <v>2.9447316627891391</v>
      </c>
      <c r="P2002" s="1">
        <f t="shared" si="416"/>
        <v>1846.1750465289729</v>
      </c>
      <c r="S2002" s="6">
        <f t="shared" si="410"/>
        <v>0.52397479254282098</v>
      </c>
      <c r="T2002" s="6">
        <f t="shared" si="411"/>
        <v>0.47602520745717913</v>
      </c>
      <c r="V2002" s="1">
        <f t="shared" si="417"/>
        <v>194280.4186905644</v>
      </c>
      <c r="W2002" s="7">
        <f t="shared" si="418"/>
        <v>2.9583660779834951E-3</v>
      </c>
      <c r="X2002" s="7">
        <f t="shared" si="419"/>
        <v>2.4014620288392179E-3</v>
      </c>
      <c r="Y2002">
        <f>LN(B2002/B2001)</f>
        <v>5.4120533813517531E-3</v>
      </c>
      <c r="Z2002">
        <f>LN(C2002/C2001)</f>
        <v>2.6446371151087072E-4</v>
      </c>
    </row>
    <row r="2003" spans="1:26" x14ac:dyDescent="0.3">
      <c r="A2003" s="9">
        <v>43132</v>
      </c>
      <c r="B2003" s="1">
        <v>35257.07</v>
      </c>
      <c r="C2003" s="1">
        <v>50.749957999999999</v>
      </c>
      <c r="D2003" s="6">
        <f t="shared" si="408"/>
        <v>6.9728526004535496E-3</v>
      </c>
      <c r="E2003" s="5">
        <f t="shared" si="420"/>
        <v>2.6443071503234883E-4</v>
      </c>
      <c r="G2003" s="25" t="str">
        <f>IF(VLOOKUP(A2003,Aux!B:C,2,FALSE)=0,"",VLOOKUP(A2003,Aux!B:C,2,FALSE))</f>
        <v/>
      </c>
      <c r="H2003" s="25" t="str">
        <f t="shared" si="409"/>
        <v/>
      </c>
      <c r="L2003" s="13">
        <f t="shared" si="412"/>
        <v>197515.91643816646</v>
      </c>
      <c r="M2003" s="14">
        <f t="shared" si="413"/>
        <v>718.92678815333875</v>
      </c>
      <c r="N2003" s="14">
        <f t="shared" si="414"/>
        <v>24.768838276752074</v>
      </c>
      <c r="O2003" s="1">
        <f t="shared" si="415"/>
        <v>2.9447316627891391</v>
      </c>
      <c r="P2003" s="1">
        <f t="shared" si="416"/>
        <v>1846.1750465289729</v>
      </c>
      <c r="S2003" s="6">
        <f t="shared" si="410"/>
        <v>0.52564174188299084</v>
      </c>
      <c r="T2003" s="6">
        <f t="shared" si="411"/>
        <v>0.47435825811700932</v>
      </c>
      <c r="V2003" s="1">
        <f t="shared" si="417"/>
        <v>194873.67225087062</v>
      </c>
      <c r="W2003" s="7">
        <f t="shared" si="418"/>
        <v>3.7723504113262411E-3</v>
      </c>
      <c r="X2003" s="7">
        <f t="shared" si="419"/>
        <v>3.0489414537408191E-3</v>
      </c>
      <c r="Y2003">
        <f>LN(B2003/B2002)</f>
        <v>6.9486546843078893E-3</v>
      </c>
      <c r="Z2003">
        <f>LN(C2003/C2002)</f>
        <v>2.6439575939291661E-4</v>
      </c>
    </row>
    <row r="2004" spans="1:26" x14ac:dyDescent="0.3">
      <c r="A2004" s="11">
        <v>43133</v>
      </c>
      <c r="B2004" s="12">
        <v>34665.040000000001</v>
      </c>
      <c r="C2004" s="12">
        <v>50.763378099999997</v>
      </c>
      <c r="D2004" s="16">
        <f t="shared" si="408"/>
        <v>-1.6791809415813597E-2</v>
      </c>
      <c r="E2004" s="15">
        <f t="shared" si="420"/>
        <v>2.6443568682354979E-4</v>
      </c>
      <c r="G2004" s="25" t="str">
        <f>IF(VLOOKUP(A2004,Aux!B:C,2,FALSE)=0,"",VLOOKUP(A2004,Aux!B:C,2,FALSE))</f>
        <v/>
      </c>
      <c r="H2004" s="25" t="str">
        <f t="shared" si="409"/>
        <v/>
      </c>
      <c r="L2004" s="13">
        <f t="shared" si="412"/>
        <v>195797.32280558732</v>
      </c>
      <c r="M2004" s="14">
        <f t="shared" si="413"/>
        <v>-1743.3694863210505</v>
      </c>
      <c r="N2004" s="14">
        <f t="shared" si="414"/>
        <v>24.775853741919043</v>
      </c>
      <c r="O2004" s="1">
        <f t="shared" si="415"/>
        <v>2.9447316627891391</v>
      </c>
      <c r="P2004" s="1">
        <f t="shared" si="416"/>
        <v>1846.1750465289729</v>
      </c>
      <c r="S2004" s="6">
        <f t="shared" si="410"/>
        <v>0.52135156608453415</v>
      </c>
      <c r="T2004" s="6">
        <f t="shared" si="411"/>
        <v>0.47864843391546608</v>
      </c>
      <c r="V2004" s="1">
        <f t="shared" si="417"/>
        <v>193537.86087289709</v>
      </c>
      <c r="W2004" s="7">
        <f t="shared" si="418"/>
        <v>-8.7391137587337665E-3</v>
      </c>
      <c r="X2004" s="7">
        <f t="shared" si="419"/>
        <v>-6.8783572612417104E-3</v>
      </c>
      <c r="Y2004">
        <f>LN(B2004/B2003)</f>
        <v>-1.6934390227799162E-2</v>
      </c>
      <c r="Z2004">
        <f>LN(C2004/C2003)</f>
        <v>2.6440072986975847E-4</v>
      </c>
    </row>
    <row r="2005" spans="1:26" x14ac:dyDescent="0.3">
      <c r="A2005" s="9">
        <v>43136</v>
      </c>
      <c r="B2005" s="1">
        <v>33788.43</v>
      </c>
      <c r="C2005" s="1">
        <v>50.776802099999998</v>
      </c>
      <c r="D2005" s="6">
        <f t="shared" si="408"/>
        <v>-2.528801351448029E-2</v>
      </c>
      <c r="E2005" s="5">
        <f t="shared" si="420"/>
        <v>2.6444260611580006E-4</v>
      </c>
      <c r="G2005" s="25" t="str">
        <f>IF(VLOOKUP(A2005,Aux!B:C,2,FALSE)=0,"",VLOOKUP(A2005,Aux!B:C,2,FALSE))</f>
        <v/>
      </c>
      <c r="H2005" s="25" t="str">
        <f t="shared" si="409"/>
        <v/>
      </c>
      <c r="L2005" s="13">
        <f t="shared" si="412"/>
        <v>193240.72463649436</v>
      </c>
      <c r="M2005" s="14">
        <f t="shared" si="413"/>
        <v>-2581.3812229175887</v>
      </c>
      <c r="N2005" s="14">
        <f t="shared" si="414"/>
        <v>24.78305382460594</v>
      </c>
      <c r="O2005" s="1">
        <f t="shared" si="415"/>
        <v>2.9447316627891391</v>
      </c>
      <c r="P2005" s="1">
        <f t="shared" si="416"/>
        <v>1846.1750465289729</v>
      </c>
      <c r="S2005" s="6">
        <f t="shared" si="410"/>
        <v>0.51489073974494837</v>
      </c>
      <c r="T2005" s="6">
        <f t="shared" si="411"/>
        <v>0.48510926025505186</v>
      </c>
      <c r="V2005" s="1">
        <f t="shared" si="417"/>
        <v>191545.52220507848</v>
      </c>
      <c r="W2005" s="7">
        <f t="shared" si="418"/>
        <v>-1.3143367286330723E-2</v>
      </c>
      <c r="X2005" s="7">
        <f t="shared" si="419"/>
        <v>-1.0347662520193396E-2</v>
      </c>
      <c r="Y2005">
        <f>LN(B2005/B2004)</f>
        <v>-2.561325009940393E-2</v>
      </c>
      <c r="Z2005">
        <f>LN(C2005/C2004)</f>
        <v>2.6440764733276072E-4</v>
      </c>
    </row>
    <row r="2006" spans="1:26" x14ac:dyDescent="0.3">
      <c r="A2006" s="11">
        <v>43137</v>
      </c>
      <c r="B2006" s="12">
        <v>34577.589999999997</v>
      </c>
      <c r="C2006" s="12">
        <v>50.790229799999999</v>
      </c>
      <c r="D2006" s="16">
        <f t="shared" si="408"/>
        <v>2.3355923906496878E-2</v>
      </c>
      <c r="E2006" s="15">
        <f t="shared" si="420"/>
        <v>2.6444556263216512E-4</v>
      </c>
      <c r="G2006" s="25" t="str">
        <f>IF(VLOOKUP(A2006,Aux!B:C,2,FALSE)=0,"",VLOOKUP(A2006,Aux!B:C,2,FALSE))</f>
        <v/>
      </c>
      <c r="H2006" s="25" t="str">
        <f t="shared" si="409"/>
        <v/>
      </c>
      <c r="L2006" s="13">
        <f t="shared" si="412"/>
        <v>195589.37896017329</v>
      </c>
      <c r="M2006" s="14">
        <f t="shared" si="413"/>
        <v>2323.8644390066661</v>
      </c>
      <c r="N2006" s="14">
        <f t="shared" si="414"/>
        <v>24.789884672279218</v>
      </c>
      <c r="O2006" s="1">
        <f t="shared" si="415"/>
        <v>2.9447316627891391</v>
      </c>
      <c r="P2006" s="1">
        <f t="shared" si="416"/>
        <v>1846.1750465289729</v>
      </c>
      <c r="S2006" s="6">
        <f t="shared" si="410"/>
        <v>0.52058922952393272</v>
      </c>
      <c r="T2006" s="6">
        <f t="shared" si="411"/>
        <v>0.47941077047606745</v>
      </c>
      <c r="V2006" s="1">
        <f t="shared" si="417"/>
        <v>193396.18147359637</v>
      </c>
      <c r="W2006" s="7">
        <f t="shared" si="418"/>
        <v>1.2080766722530143E-2</v>
      </c>
      <c r="X2006" s="7">
        <f t="shared" si="419"/>
        <v>9.6153443981004984E-3</v>
      </c>
      <c r="Y2006">
        <f>LN(B2006/B2005)</f>
        <v>2.3087348165997744E-2</v>
      </c>
      <c r="Z2006">
        <f>LN(C2006/C2005)</f>
        <v>2.6441060306749923E-4</v>
      </c>
    </row>
    <row r="2007" spans="1:26" x14ac:dyDescent="0.3">
      <c r="A2007" s="9">
        <v>43138</v>
      </c>
      <c r="B2007" s="1">
        <v>34147.910000000003</v>
      </c>
      <c r="C2007" s="1">
        <v>50.803661300000002</v>
      </c>
      <c r="D2007" s="6">
        <f t="shared" si="408"/>
        <v>-1.2426545632590158E-2</v>
      </c>
      <c r="E2007" s="5">
        <f t="shared" si="420"/>
        <v>2.6445046720380283E-4</v>
      </c>
      <c r="G2007" s="25" t="str">
        <f>IF(VLOOKUP(A2007,Aux!B:C,2,FALSE)=0,"",VLOOKUP(A2007,Aux!B:C,2,FALSE))</f>
        <v/>
      </c>
      <c r="H2007" s="25" t="str">
        <f t="shared" si="409"/>
        <v/>
      </c>
      <c r="L2007" s="13">
        <f t="shared" si="412"/>
        <v>194348.88355944355</v>
      </c>
      <c r="M2007" s="14">
        <f t="shared" si="413"/>
        <v>-1265.2923008672167</v>
      </c>
      <c r="N2007" s="14">
        <f t="shared" si="414"/>
        <v>24.796900137459303</v>
      </c>
      <c r="O2007" s="1">
        <f t="shared" si="415"/>
        <v>2.9447316627891391</v>
      </c>
      <c r="P2007" s="1">
        <f t="shared" si="416"/>
        <v>1846.1750465289729</v>
      </c>
      <c r="S2007" s="6">
        <f t="shared" si="410"/>
        <v>0.51740164364935848</v>
      </c>
      <c r="T2007" s="6">
        <f t="shared" si="411"/>
        <v>0.48259835635064152</v>
      </c>
      <c r="V2007" s="1">
        <f t="shared" si="417"/>
        <v>192434.94272796632</v>
      </c>
      <c r="W2007" s="7">
        <f t="shared" si="418"/>
        <v>-6.36254353455058E-3</v>
      </c>
      <c r="X2007" s="7">
        <f t="shared" si="419"/>
        <v>-4.9827018821602094E-3</v>
      </c>
      <c r="Y2007">
        <f>LN(B2007/B2006)</f>
        <v>-1.250440080369632E-2</v>
      </c>
      <c r="Z2007">
        <f>LN(C2007/C2006)</f>
        <v>2.6441550634247559E-4</v>
      </c>
    </row>
    <row r="2008" spans="1:26" x14ac:dyDescent="0.3">
      <c r="A2008" s="11">
        <v>43139</v>
      </c>
      <c r="B2008" s="12">
        <v>33636.18</v>
      </c>
      <c r="C2008" s="12">
        <v>50.817092899999999</v>
      </c>
      <c r="D2008" s="16">
        <f t="shared" si="408"/>
        <v>-1.4985690193045631E-2</v>
      </c>
      <c r="E2008" s="15">
        <f t="shared" si="420"/>
        <v>2.6438252000549056E-4</v>
      </c>
      <c r="G2008" s="25" t="str">
        <f>IF(VLOOKUP(A2008,Aux!B:C,2,FALSE)=0,"",VLOOKUP(A2008,Aux!B:C,2,FALSE))</f>
        <v/>
      </c>
      <c r="H2008" s="25" t="str">
        <f t="shared" si="409"/>
        <v/>
      </c>
      <c r="L2008" s="13">
        <f t="shared" si="412"/>
        <v>192866.7731103994</v>
      </c>
      <c r="M2008" s="14">
        <f t="shared" si="413"/>
        <v>-1506.9075337990955</v>
      </c>
      <c r="N2008" s="14">
        <f t="shared" si="414"/>
        <v>24.797084754952994</v>
      </c>
      <c r="O2008" s="1">
        <f t="shared" si="415"/>
        <v>2.9447316627891391</v>
      </c>
      <c r="P2008" s="1">
        <f t="shared" si="416"/>
        <v>1846.1750465289729</v>
      </c>
      <c r="S2008" s="6">
        <f t="shared" si="410"/>
        <v>0.51356448113837405</v>
      </c>
      <c r="T2008" s="6">
        <f t="shared" si="411"/>
        <v>0.486435518861626</v>
      </c>
      <c r="V2008" s="1">
        <f t="shared" si="417"/>
        <v>191284.41198592511</v>
      </c>
      <c r="W2008" s="7">
        <f t="shared" si="418"/>
        <v>-7.6552570202797765E-3</v>
      </c>
      <c r="X2008" s="7">
        <f t="shared" si="419"/>
        <v>-5.9967482784340801E-3</v>
      </c>
      <c r="Y2008">
        <f>LN(B2008/B2007)</f>
        <v>-1.50991101927782E-2</v>
      </c>
      <c r="Z2008">
        <f>LN(C2008/C2007)</f>
        <v>2.6434757710577393E-4</v>
      </c>
    </row>
    <row r="2009" spans="1:26" x14ac:dyDescent="0.3">
      <c r="A2009" s="9">
        <v>43140</v>
      </c>
      <c r="B2009" s="1">
        <v>33357.19</v>
      </c>
      <c r="C2009" s="1">
        <v>50.8300591</v>
      </c>
      <c r="D2009" s="6">
        <f t="shared" si="408"/>
        <v>-8.2943425799243409E-3</v>
      </c>
      <c r="E2009" s="5">
        <f t="shared" si="420"/>
        <v>2.5515430458633581E-4</v>
      </c>
      <c r="G2009" s="25" t="str">
        <f>IF(VLOOKUP(A2009,Aux!B:C,2,FALSE)=0,"",VLOOKUP(A2009,Aux!B:C,2,FALSE))</f>
        <v/>
      </c>
      <c r="H2009" s="25" t="str">
        <f t="shared" si="409"/>
        <v/>
      </c>
      <c r="L2009" s="13">
        <f t="shared" si="412"/>
        <v>192069.16029868615</v>
      </c>
      <c r="M2009" s="14">
        <f t="shared" si="413"/>
        <v>-821.55068660153597</v>
      </c>
      <c r="N2009" s="14">
        <f t="shared" si="414"/>
        <v>23.937874888305885</v>
      </c>
      <c r="O2009" s="1">
        <f t="shared" si="415"/>
        <v>2.9447316627891391</v>
      </c>
      <c r="P2009" s="1">
        <f t="shared" si="416"/>
        <v>1846.1750465289729</v>
      </c>
      <c r="S2009" s="6">
        <f t="shared" si="410"/>
        <v>0.5114198105615666</v>
      </c>
      <c r="T2009" s="6">
        <f t="shared" si="411"/>
        <v>0.48858018943843351</v>
      </c>
      <c r="V2009" s="1">
        <f t="shared" si="417"/>
        <v>190669.77940372509</v>
      </c>
      <c r="W2009" s="7">
        <f t="shared" si="418"/>
        <v>-4.1441387202194183E-3</v>
      </c>
      <c r="X2009" s="7">
        <f t="shared" si="419"/>
        <v>-3.2183603509419335E-3</v>
      </c>
      <c r="Y2009">
        <f>LN(B2009/B2008)</f>
        <v>-8.328932036665921E-3</v>
      </c>
      <c r="Z2009">
        <f>LN(C2009/C2008)</f>
        <v>2.5512175826286664E-4</v>
      </c>
    </row>
    <row r="2010" spans="1:26" x14ac:dyDescent="0.3">
      <c r="A2010" s="11">
        <v>43145</v>
      </c>
      <c r="B2010" s="12">
        <v>34428.79</v>
      </c>
      <c r="C2010" s="12">
        <v>50.843029000000001</v>
      </c>
      <c r="D2010" s="16">
        <f t="shared" si="408"/>
        <v>3.2125008131680177E-2</v>
      </c>
      <c r="E2010" s="15">
        <f t="shared" si="420"/>
        <v>2.5516200904829311E-4</v>
      </c>
      <c r="G2010" s="25" t="str">
        <f>IF(VLOOKUP(A2010,Aux!B:C,2,FALSE)=0,"",VLOOKUP(A2010,Aux!B:C,2,FALSE))</f>
        <v/>
      </c>
      <c r="H2010" s="25" t="str">
        <f t="shared" si="409"/>
        <v/>
      </c>
      <c r="L2010" s="13">
        <f t="shared" si="412"/>
        <v>195248.67945426697</v>
      </c>
      <c r="M2010" s="14">
        <f t="shared" si="413"/>
        <v>3155.5744498448371</v>
      </c>
      <c r="N2010" s="14">
        <f t="shared" si="414"/>
        <v>23.944705735979159</v>
      </c>
      <c r="O2010" s="1">
        <f t="shared" si="415"/>
        <v>2.9447316627891391</v>
      </c>
      <c r="P2010" s="1">
        <f t="shared" si="416"/>
        <v>1846.1750465289729</v>
      </c>
      <c r="S2010" s="6">
        <f t="shared" si="410"/>
        <v>0.51925343775892274</v>
      </c>
      <c r="T2010" s="6">
        <f t="shared" si="411"/>
        <v>0.48074656224107737</v>
      </c>
      <c r="V2010" s="1">
        <f t="shared" si="417"/>
        <v>193171.0134728062</v>
      </c>
      <c r="W2010" s="7">
        <f t="shared" si="418"/>
        <v>1.6418508281731071E-2</v>
      </c>
      <c r="X2010" s="7">
        <f t="shared" si="419"/>
        <v>1.3032848615135756E-2</v>
      </c>
      <c r="Y2010">
        <f>LN(B2010/B2009)</f>
        <v>3.1619791634036325E-2</v>
      </c>
      <c r="Z2010">
        <f>LN(C2010/C2009)</f>
        <v>2.5512946075946914E-4</v>
      </c>
    </row>
    <row r="2011" spans="1:26" x14ac:dyDescent="0.3">
      <c r="A2011" s="9">
        <v>43146</v>
      </c>
      <c r="B2011" s="1">
        <v>34719.279999999999</v>
      </c>
      <c r="C2011" s="1">
        <v>50.856002799999999</v>
      </c>
      <c r="D2011" s="6">
        <f t="shared" ref="D2011:D2074" si="421">B2011/B2010-1</f>
        <v>8.4374153143342845E-3</v>
      </c>
      <c r="E2011" s="5">
        <f t="shared" si="420"/>
        <v>2.5517362468696625E-4</v>
      </c>
      <c r="G2011" s="25" t="str">
        <f>IF(VLOOKUP(A2011,Aux!B:C,2,FALSE)=0,"",VLOOKUP(A2011,Aux!B:C,2,FALSE))</f>
        <v/>
      </c>
      <c r="H2011" s="25" t="str">
        <f t="shared" si="409"/>
        <v/>
      </c>
      <c r="L2011" s="13">
        <f t="shared" si="412"/>
        <v>196128.04646080924</v>
      </c>
      <c r="M2011" s="14">
        <f t="shared" si="413"/>
        <v>855.41510072361098</v>
      </c>
      <c r="N2011" s="14">
        <f t="shared" si="414"/>
        <v>23.951905818652939</v>
      </c>
      <c r="O2011" s="1">
        <f t="shared" si="415"/>
        <v>2.9447316627891391</v>
      </c>
      <c r="P2011" s="1">
        <f t="shared" si="416"/>
        <v>1846.1750465289729</v>
      </c>
      <c r="S2011" s="6">
        <f t="shared" si="410"/>
        <v>0.52128680711491882</v>
      </c>
      <c r="T2011" s="6">
        <f t="shared" si="411"/>
        <v>0.47871319288508135</v>
      </c>
      <c r="V2011" s="1">
        <f t="shared" si="417"/>
        <v>193870.20817332988</v>
      </c>
      <c r="W2011" s="7">
        <f t="shared" si="418"/>
        <v>4.4937188550386699E-3</v>
      </c>
      <c r="X2011" s="7">
        <f t="shared" si="419"/>
        <v>3.6130283909064555E-3</v>
      </c>
      <c r="Y2011">
        <f>LN(B2011/B2010)</f>
        <v>8.402019287031522E-3</v>
      </c>
      <c r="Z2011">
        <f>LN(C2011/C2010)</f>
        <v>2.551410734349612E-4</v>
      </c>
    </row>
    <row r="2012" spans="1:26" x14ac:dyDescent="0.3">
      <c r="A2012" s="11">
        <v>43147</v>
      </c>
      <c r="B2012" s="12">
        <v>34807.93</v>
      </c>
      <c r="C2012" s="12">
        <v>50.868976600000003</v>
      </c>
      <c r="D2012" s="16">
        <f t="shared" si="421"/>
        <v>2.553336359509828E-3</v>
      </c>
      <c r="E2012" s="15">
        <f t="shared" si="420"/>
        <v>2.5510852771937209E-4</v>
      </c>
      <c r="G2012" s="25" t="str">
        <f>IF(VLOOKUP(A2012,Aux!B:C,2,FALSE)=0,"",VLOOKUP(A2012,Aux!B:C,2,FALSE))</f>
        <v/>
      </c>
      <c r="H2012" s="25" t="str">
        <f t="shared" si="409"/>
        <v/>
      </c>
      <c r="L2012" s="13">
        <f t="shared" si="412"/>
        <v>196413.04882853417</v>
      </c>
      <c r="M2012" s="14">
        <f t="shared" si="413"/>
        <v>261.05046190626149</v>
      </c>
      <c r="N2012" s="14">
        <f t="shared" si="414"/>
        <v>23.951905818666056</v>
      </c>
      <c r="O2012" s="1">
        <f t="shared" si="415"/>
        <v>2.9447316627891391</v>
      </c>
      <c r="P2012" s="1">
        <f t="shared" si="416"/>
        <v>1846.1750465289729</v>
      </c>
      <c r="S2012" s="6">
        <f t="shared" si="410"/>
        <v>0.52185949048949909</v>
      </c>
      <c r="T2012" s="6">
        <f t="shared" si="411"/>
        <v>0.47814050951050102</v>
      </c>
      <c r="V2012" s="1">
        <f t="shared" si="417"/>
        <v>194103.7509334526</v>
      </c>
      <c r="W2012" s="7">
        <f t="shared" si="418"/>
        <v>1.4520895836073276E-3</v>
      </c>
      <c r="X2012" s="7">
        <f t="shared" si="419"/>
        <v>1.2039096070697174E-3</v>
      </c>
      <c r="Y2012">
        <f>LN(B2012/B2011)</f>
        <v>2.5500821344711083E-3</v>
      </c>
      <c r="Z2012">
        <f>LN(C2012/C2011)</f>
        <v>2.5507599307204089E-4</v>
      </c>
    </row>
    <row r="2013" spans="1:26" x14ac:dyDescent="0.3">
      <c r="A2013" s="9">
        <v>43150</v>
      </c>
      <c r="B2013" s="1">
        <v>34932.839999999997</v>
      </c>
      <c r="C2013" s="1">
        <v>50.881957999999997</v>
      </c>
      <c r="D2013" s="6">
        <f t="shared" si="421"/>
        <v>3.5885500803982673E-3</v>
      </c>
      <c r="E2013" s="5">
        <f t="shared" si="420"/>
        <v>2.5519286739483782E-4</v>
      </c>
      <c r="G2013" s="25" t="str">
        <f>IF(VLOOKUP(A2013,Aux!B:C,2,FALSE)=0,"",VLOOKUP(A2013,Aux!B:C,2,FALSE))</f>
        <v/>
      </c>
      <c r="H2013" s="25" t="str">
        <f t="shared" si="409"/>
        <v/>
      </c>
      <c r="L2013" s="13">
        <f t="shared" si="412"/>
        <v>196804.84119728216</v>
      </c>
      <c r="M2013" s="14">
        <f t="shared" si="413"/>
        <v>367.82643199898024</v>
      </c>
      <c r="N2013" s="14">
        <f t="shared" si="414"/>
        <v>23.965936748999994</v>
      </c>
      <c r="O2013" s="1">
        <f t="shared" si="415"/>
        <v>2.9447316627891391</v>
      </c>
      <c r="P2013" s="1">
        <f t="shared" si="416"/>
        <v>1846.1750465289729</v>
      </c>
      <c r="S2013" s="6">
        <f t="shared" si="410"/>
        <v>0.5226895811776785</v>
      </c>
      <c r="T2013" s="6">
        <f t="shared" si="411"/>
        <v>0.47731041882232156</v>
      </c>
      <c r="V2013" s="1">
        <f t="shared" si="417"/>
        <v>194420.96378416358</v>
      </c>
      <c r="W2013" s="7">
        <f t="shared" si="418"/>
        <v>1.99275011813235E-3</v>
      </c>
      <c r="X2013" s="7">
        <f t="shared" si="419"/>
        <v>1.6329098725474784E-3</v>
      </c>
      <c r="Y2013">
        <f>LN(B2013/B2012)</f>
        <v>3.5821265972989388E-3</v>
      </c>
      <c r="Z2013">
        <f>LN(C2013/C2012)</f>
        <v>2.5516031123366887E-4</v>
      </c>
    </row>
    <row r="2014" spans="1:26" x14ac:dyDescent="0.3">
      <c r="A2014" s="11">
        <v>43151</v>
      </c>
      <c r="B2014" s="12">
        <v>35327.08</v>
      </c>
      <c r="C2014" s="12">
        <v>50.894939399999998</v>
      </c>
      <c r="D2014" s="16">
        <f t="shared" si="421"/>
        <v>1.1285655560784758E-2</v>
      </c>
      <c r="E2014" s="15">
        <f t="shared" si="420"/>
        <v>2.5512776061020759E-4</v>
      </c>
      <c r="G2014" s="25" t="str">
        <f>IF(VLOOKUP(A2014,Aux!B:C,2,FALSE)=0,"",VLOOKUP(A2014,Aux!B:C,2,FALSE))</f>
        <v/>
      </c>
      <c r="H2014" s="25" t="str">
        <f t="shared" si="409"/>
        <v/>
      </c>
      <c r="L2014" s="13">
        <f t="shared" si="412"/>
        <v>197989.73814476919</v>
      </c>
      <c r="M2014" s="14">
        <f t="shared" si="413"/>
        <v>1160.9310107380056</v>
      </c>
      <c r="N2014" s="14">
        <f t="shared" si="414"/>
        <v>23.96593674901311</v>
      </c>
      <c r="O2014" s="1">
        <f t="shared" si="415"/>
        <v>2.9447316627891391</v>
      </c>
      <c r="P2014" s="1">
        <f t="shared" si="416"/>
        <v>1846.1750465289729</v>
      </c>
      <c r="S2014" s="6">
        <f t="shared" si="410"/>
        <v>0.52542506497897168</v>
      </c>
      <c r="T2014" s="6">
        <f t="shared" si="411"/>
        <v>0.47457493502102832</v>
      </c>
      <c r="V2014" s="1">
        <f t="shared" si="417"/>
        <v>195359.53036608838</v>
      </c>
      <c r="W2014" s="7">
        <f t="shared" si="418"/>
        <v>6.002617904496424E-3</v>
      </c>
      <c r="X2014" s="7">
        <f t="shared" si="419"/>
        <v>4.8158818104159879E-3</v>
      </c>
      <c r="Y2014">
        <f>LN(B2014/B2013)</f>
        <v>1.1222447667164284E-2</v>
      </c>
      <c r="Z2014">
        <f>LN(C2014/C2013)</f>
        <v>2.5509522105746844E-4</v>
      </c>
    </row>
    <row r="2015" spans="1:26" x14ac:dyDescent="0.3">
      <c r="A2015" s="9">
        <v>43152</v>
      </c>
      <c r="B2015" s="1">
        <v>35432.629999999997</v>
      </c>
      <c r="C2015" s="1">
        <v>50.907924700000002</v>
      </c>
      <c r="D2015" s="6">
        <f t="shared" si="421"/>
        <v>2.9877929339190423E-3</v>
      </c>
      <c r="E2015" s="5">
        <f t="shared" si="420"/>
        <v>2.5513931548171165E-4</v>
      </c>
      <c r="G2015" s="25" t="str">
        <f>IF(VLOOKUP(A2015,Aux!B:C,2,FALSE)=0,"",VLOOKUP(A2015,Aux!B:C,2,FALSE))</f>
        <v/>
      </c>
      <c r="H2015" s="25" t="str">
        <f t="shared" si="409"/>
        <v/>
      </c>
      <c r="L2015" s="13">
        <f t="shared" si="412"/>
        <v>198324.52770860825</v>
      </c>
      <c r="M2015" s="14">
        <f t="shared" si="413"/>
        <v>310.81642700738075</v>
      </c>
      <c r="N2015" s="14">
        <f t="shared" si="414"/>
        <v>23.973136831700007</v>
      </c>
      <c r="O2015" s="1">
        <f t="shared" si="415"/>
        <v>2.9447316627891391</v>
      </c>
      <c r="P2015" s="1">
        <f t="shared" si="416"/>
        <v>1846.1750465289729</v>
      </c>
      <c r="S2015" s="6">
        <f t="shared" si="410"/>
        <v>0.52610531164453389</v>
      </c>
      <c r="T2015" s="6">
        <f t="shared" si="411"/>
        <v>0.47389468835546628</v>
      </c>
      <c r="V2015" s="1">
        <f t="shared" si="417"/>
        <v>195632.08774439956</v>
      </c>
      <c r="W2015" s="7">
        <f t="shared" si="418"/>
        <v>1.6895159842668477E-3</v>
      </c>
      <c r="X2015" s="7">
        <f t="shared" si="419"/>
        <v>1.3941855008403152E-3</v>
      </c>
      <c r="Y2015">
        <f>LN(B2015/B2014)</f>
        <v>2.983338351318976E-3</v>
      </c>
      <c r="Z2015">
        <f>LN(C2015/C2014)</f>
        <v>2.5510677298168919E-4</v>
      </c>
    </row>
    <row r="2016" spans="1:26" x14ac:dyDescent="0.3">
      <c r="A2016" s="11">
        <v>43153</v>
      </c>
      <c r="B2016" s="12">
        <v>35680.300000000003</v>
      </c>
      <c r="C2016" s="12">
        <v>50.9209137</v>
      </c>
      <c r="D2016" s="16">
        <f t="shared" si="421"/>
        <v>6.989884747477193E-3</v>
      </c>
      <c r="E2016" s="15">
        <f t="shared" si="420"/>
        <v>2.5514691625216912E-4</v>
      </c>
      <c r="G2016" s="25" t="str">
        <f>IF(VLOOKUP(A2016,Aux!B:C,2,FALSE)=0,"",VLOOKUP(A2016,Aux!B:C,2,FALSE))</f>
        <v/>
      </c>
      <c r="H2016" s="25" t="str">
        <f t="shared" si="409"/>
        <v/>
      </c>
      <c r="L2016" s="13">
        <f t="shared" si="412"/>
        <v>199077.82936721062</v>
      </c>
      <c r="M2016" s="14">
        <f t="shared" si="413"/>
        <v>729.32169092300239</v>
      </c>
      <c r="N2016" s="14">
        <f t="shared" si="414"/>
        <v>23.979967679360168</v>
      </c>
      <c r="O2016" s="1">
        <f t="shared" si="415"/>
        <v>2.9447316627891391</v>
      </c>
      <c r="P2016" s="1">
        <f t="shared" si="416"/>
        <v>1846.1750465289729</v>
      </c>
      <c r="S2016" s="6">
        <f t="shared" si="410"/>
        <v>0.52777805284389367</v>
      </c>
      <c r="T2016" s="6">
        <f t="shared" si="411"/>
        <v>0.47222194715610644</v>
      </c>
      <c r="V2016" s="1">
        <f t="shared" si="417"/>
        <v>196232.52921148506</v>
      </c>
      <c r="W2016" s="7">
        <f t="shared" si="418"/>
        <v>3.7911328276591608E-3</v>
      </c>
      <c r="X2016" s="7">
        <f t="shared" si="419"/>
        <v>3.0645376541769539E-3</v>
      </c>
      <c r="Y2016">
        <f>LN(B2016/B2015)</f>
        <v>6.9655687480174077E-3</v>
      </c>
      <c r="Z2016">
        <f>LN(C2016/C2015)</f>
        <v>2.5511437181335709E-4</v>
      </c>
    </row>
    <row r="2017" spans="1:26" x14ac:dyDescent="0.3">
      <c r="A2017" s="9">
        <v>43154</v>
      </c>
      <c r="B2017" s="1">
        <v>35930.25</v>
      </c>
      <c r="C2017" s="1">
        <v>50.9339066</v>
      </c>
      <c r="D2017" s="6">
        <f t="shared" si="421"/>
        <v>7.0052662113266884E-3</v>
      </c>
      <c r="E2017" s="5">
        <f t="shared" si="420"/>
        <v>2.551584222654224E-4</v>
      </c>
      <c r="G2017" s="25" t="str">
        <f>IF(VLOOKUP(A2017,Aux!B:C,2,FALSE)=0,"",VLOOKUP(A2017,Aux!B:C,2,FALSE))</f>
        <v/>
      </c>
      <c r="H2017" s="25" t="str">
        <f t="shared" si="409"/>
        <v/>
      </c>
      <c r="L2017" s="13">
        <f t="shared" si="412"/>
        <v>199837.8522140868</v>
      </c>
      <c r="M2017" s="14">
        <f t="shared" si="413"/>
        <v>736.03567911413677</v>
      </c>
      <c r="N2017" s="14">
        <f t="shared" si="414"/>
        <v>23.987167762047065</v>
      </c>
      <c r="O2017" s="1">
        <f t="shared" si="415"/>
        <v>2.9447316627891391</v>
      </c>
      <c r="P2017" s="1">
        <f t="shared" si="416"/>
        <v>1846.1750465289729</v>
      </c>
      <c r="S2017" s="6">
        <f t="shared" si="410"/>
        <v>0.52945397308203834</v>
      </c>
      <c r="T2017" s="6">
        <f t="shared" si="411"/>
        <v>0.47054602691796182</v>
      </c>
      <c r="V2017" s="1">
        <f t="shared" si="417"/>
        <v>196838.23944314197</v>
      </c>
      <c r="W2017" s="7">
        <f t="shared" si="418"/>
        <v>3.8104481802279382E-3</v>
      </c>
      <c r="X2017" s="7">
        <f t="shared" si="419"/>
        <v>3.0819422831580476E-3</v>
      </c>
      <c r="Y2017">
        <f>LN(B2017/B2016)</f>
        <v>6.980843326848913E-3</v>
      </c>
      <c r="Z2017">
        <f>LN(C2017/C2016)</f>
        <v>2.5512587489156922E-4</v>
      </c>
    </row>
    <row r="2018" spans="1:26" x14ac:dyDescent="0.3">
      <c r="A2018" s="11">
        <v>43157</v>
      </c>
      <c r="B2018" s="12">
        <v>36054.58</v>
      </c>
      <c r="C2018" s="12">
        <v>50.946903200000001</v>
      </c>
      <c r="D2018" s="16">
        <f t="shared" si="421"/>
        <v>3.4603154723387153E-3</v>
      </c>
      <c r="E2018" s="15">
        <f t="shared" si="420"/>
        <v>2.5516597621444426E-4</v>
      </c>
      <c r="G2018" s="25" t="str">
        <f>IF(VLOOKUP(A2018,Aux!B:C,2,FALSE)=0,"",VLOOKUP(A2018,Aux!B:C,2,FALSE))</f>
        <v/>
      </c>
      <c r="H2018" s="25" t="str">
        <f t="shared" si="409"/>
        <v/>
      </c>
      <c r="L2018" s="13">
        <f t="shared" si="412"/>
        <v>200227.9647003311</v>
      </c>
      <c r="M2018" s="14">
        <f t="shared" si="413"/>
        <v>366.1184876345788</v>
      </c>
      <c r="N2018" s="14">
        <f t="shared" si="414"/>
        <v>23.993998609720339</v>
      </c>
      <c r="O2018" s="1">
        <f t="shared" si="415"/>
        <v>2.9447316627891391</v>
      </c>
      <c r="P2018" s="1">
        <f t="shared" si="416"/>
        <v>1846.1750465289729</v>
      </c>
      <c r="S2018" s="6">
        <f t="shared" si="410"/>
        <v>0.53025092410774766</v>
      </c>
      <c r="T2018" s="6">
        <f t="shared" si="411"/>
        <v>0.46974907589225245</v>
      </c>
      <c r="V2018" s="1">
        <f t="shared" si="417"/>
        <v>197154.1482179779</v>
      </c>
      <c r="W2018" s="7">
        <f t="shared" si="418"/>
        <v>1.950242152157439E-3</v>
      </c>
      <c r="X2018" s="7">
        <f t="shared" si="419"/>
        <v>1.6036291686305233E-3</v>
      </c>
      <c r="Y2018">
        <f>LN(B2018/B2017)</f>
        <v>3.4543423560331145E-3</v>
      </c>
      <c r="Z2018">
        <f>LN(C2018/C2017)</f>
        <v>2.5513342691360055E-4</v>
      </c>
    </row>
    <row r="2019" spans="1:26" x14ac:dyDescent="0.3">
      <c r="A2019" s="9">
        <v>43158</v>
      </c>
      <c r="B2019" s="1">
        <v>35784.33</v>
      </c>
      <c r="C2019" s="1">
        <v>50.959903699999998</v>
      </c>
      <c r="D2019" s="6">
        <f t="shared" si="421"/>
        <v>-7.4955803118493813E-3</v>
      </c>
      <c r="E2019" s="5">
        <f t="shared" si="420"/>
        <v>2.5517743343428378E-4</v>
      </c>
      <c r="G2019" s="25" t="str">
        <f>IF(VLOOKUP(A2019,Aux!B:C,2,FALSE)=0,"",VLOOKUP(A2019,Aux!B:C,2,FALSE))</f>
        <v/>
      </c>
      <c r="H2019" s="25" t="str">
        <f t="shared" si="409"/>
        <v/>
      </c>
      <c r="L2019" s="13">
        <f t="shared" si="412"/>
        <v>199456.15216715474</v>
      </c>
      <c r="M2019" s="14">
        <f t="shared" si="413"/>
        <v>-795.81373186876488</v>
      </c>
      <c r="N2019" s="14">
        <f t="shared" si="414"/>
        <v>24.001198692394119</v>
      </c>
      <c r="O2019" s="1">
        <f t="shared" si="415"/>
        <v>2.9447316627891391</v>
      </c>
      <c r="P2019" s="1">
        <f t="shared" si="416"/>
        <v>1846.1750465289729</v>
      </c>
      <c r="S2019" s="6">
        <f t="shared" si="410"/>
        <v>0.52831285692499108</v>
      </c>
      <c r="T2019" s="6">
        <f t="shared" si="411"/>
        <v>0.47168714307500892</v>
      </c>
      <c r="V2019" s="1">
        <f t="shared" si="417"/>
        <v>196559.75585514813</v>
      </c>
      <c r="W2019" s="7">
        <f t="shared" si="418"/>
        <v>-3.8621174070414209E-3</v>
      </c>
      <c r="X2019" s="7">
        <f t="shared" si="419"/>
        <v>-3.019414901345603E-3</v>
      </c>
      <c r="Y2019">
        <f>LN(B2019/B2018)</f>
        <v>-7.5238133444086802E-3</v>
      </c>
      <c r="Z2019">
        <f>LN(C2019/C2018)</f>
        <v>2.5514488121062759E-4</v>
      </c>
    </row>
    <row r="2020" spans="1:26" x14ac:dyDescent="0.3">
      <c r="A2020" s="11">
        <v>43159</v>
      </c>
      <c r="B2020" s="12">
        <v>35158.730000000003</v>
      </c>
      <c r="C2020" s="12">
        <v>50.972904200000002</v>
      </c>
      <c r="D2020" s="16">
        <f t="shared" si="421"/>
        <v>-1.7482512596994182E-2</v>
      </c>
      <c r="E2020" s="15">
        <f t="shared" si="420"/>
        <v>2.5511233452357729E-4</v>
      </c>
      <c r="G2020" s="25" t="str">
        <f>IF(VLOOKUP(A2020,Aux!B:C,2,FALSE)=0,"",VLOOKUP(A2020,Aux!B:C,2,FALSE))</f>
        <v/>
      </c>
      <c r="H2020" s="25" t="str">
        <f t="shared" si="409"/>
        <v/>
      </c>
      <c r="L2020" s="13">
        <f t="shared" si="412"/>
        <v>197637.92923760624</v>
      </c>
      <c r="M2020" s="14">
        <f t="shared" si="413"/>
        <v>-1842.2241282408811</v>
      </c>
      <c r="N2020" s="14">
        <f t="shared" si="414"/>
        <v>24.001198692407236</v>
      </c>
      <c r="O2020" s="1">
        <f t="shared" si="415"/>
        <v>2.9447316627891391</v>
      </c>
      <c r="P2020" s="1">
        <f t="shared" si="416"/>
        <v>1846.1750465289729</v>
      </c>
      <c r="S2020" s="6">
        <f t="shared" si="410"/>
        <v>0.52385200479399829</v>
      </c>
      <c r="T2020" s="6">
        <f t="shared" si="411"/>
        <v>0.47614799520600193</v>
      </c>
      <c r="V2020" s="1">
        <f t="shared" si="417"/>
        <v>195145.55861210887</v>
      </c>
      <c r="W2020" s="7">
        <f t="shared" si="418"/>
        <v>-9.1577070602095762E-3</v>
      </c>
      <c r="X2020" s="7">
        <f t="shared" si="419"/>
        <v>-7.220751597697265E-3</v>
      </c>
      <c r="Y2020">
        <f>LN(B2020/B2019)</f>
        <v>-1.7637136513652518E-2</v>
      </c>
      <c r="Z2020">
        <f>LN(C2020/C2019)</f>
        <v>2.5507979890533833E-4</v>
      </c>
    </row>
    <row r="2021" spans="1:26" x14ac:dyDescent="0.3">
      <c r="A2021" s="9">
        <v>43160</v>
      </c>
      <c r="B2021" s="1">
        <v>35172.550000000003</v>
      </c>
      <c r="C2021" s="1">
        <v>50.985908500000001</v>
      </c>
      <c r="D2021" s="6">
        <f t="shared" si="421"/>
        <v>3.9307449387382398E-4</v>
      </c>
      <c r="E2021" s="5">
        <f t="shared" si="420"/>
        <v>2.5512181823050817E-4</v>
      </c>
      <c r="G2021" s="25" t="str">
        <f>IF(VLOOKUP(A2021,Aux!B:C,2,FALSE)=0,"",VLOOKUP(A2021,Aux!B:C,2,FALSE))</f>
        <v/>
      </c>
      <c r="H2021" s="25" t="str">
        <f t="shared" si="409"/>
        <v/>
      </c>
      <c r="L2021" s="13">
        <f t="shared" si="412"/>
        <v>197702.63364334355</v>
      </c>
      <c r="M2021" s="14">
        <f t="shared" si="413"/>
        <v>40.696191579745047</v>
      </c>
      <c r="N2021" s="14">
        <f t="shared" si="414"/>
        <v>24.008214157574205</v>
      </c>
      <c r="O2021" s="1">
        <f t="shared" si="415"/>
        <v>2.9447316627891391</v>
      </c>
      <c r="P2021" s="1">
        <f t="shared" si="416"/>
        <v>1846.1750465289729</v>
      </c>
      <c r="S2021" s="6">
        <f t="shared" si="410"/>
        <v>0.5238864032174787</v>
      </c>
      <c r="T2021" s="6">
        <f t="shared" si="411"/>
        <v>0.47611359678252152</v>
      </c>
      <c r="V2021" s="1">
        <f t="shared" si="417"/>
        <v>195206.53417720424</v>
      </c>
      <c r="W2021" s="7">
        <f t="shared" si="418"/>
        <v>3.2733502397799824E-4</v>
      </c>
      <c r="X2021" s="7">
        <f t="shared" si="419"/>
        <v>3.1241316092654031E-4</v>
      </c>
      <c r="Y2021">
        <f>LN(B2021/B2020)</f>
        <v>3.9299726033331731E-4</v>
      </c>
      <c r="Z2021">
        <f>LN(C2021/C2020)</f>
        <v>2.550892801934307E-4</v>
      </c>
    </row>
    <row r="2022" spans="1:26" x14ac:dyDescent="0.3">
      <c r="A2022" s="11">
        <v>43161</v>
      </c>
      <c r="B2022" s="12">
        <v>35319.51</v>
      </c>
      <c r="C2022" s="12">
        <v>50.998920400000003</v>
      </c>
      <c r="D2022" s="16">
        <f t="shared" si="421"/>
        <v>4.1782583292937492E-3</v>
      </c>
      <c r="E2022" s="15">
        <f t="shared" si="420"/>
        <v>2.5520580848348295E-4</v>
      </c>
      <c r="G2022" s="25" t="str">
        <f>IF(VLOOKUP(A2022,Aux!B:C,2,FALSE)=0,"",VLOOKUP(A2022,Aux!B:C,2,FALSE))</f>
        <v/>
      </c>
      <c r="H2022" s="25" t="str">
        <f t="shared" si="409"/>
        <v/>
      </c>
      <c r="L2022" s="13">
        <f t="shared" si="412"/>
        <v>198159.41365359497</v>
      </c>
      <c r="M2022" s="14">
        <f t="shared" si="413"/>
        <v>432.7577651634893</v>
      </c>
      <c r="N2022" s="14">
        <f t="shared" si="414"/>
        <v>24.022245087934376</v>
      </c>
      <c r="O2022" s="1">
        <f t="shared" si="415"/>
        <v>2.9447316627891391</v>
      </c>
      <c r="P2022" s="1">
        <f t="shared" si="416"/>
        <v>1846.1750465289729</v>
      </c>
      <c r="S2022" s="6">
        <f t="shared" si="410"/>
        <v>0.52486267239876228</v>
      </c>
      <c r="T2022" s="6">
        <f t="shared" si="411"/>
        <v>0.475137327601238</v>
      </c>
      <c r="V2022" s="1">
        <f t="shared" si="417"/>
        <v>195574.68538176845</v>
      </c>
      <c r="W2022" s="7">
        <f t="shared" si="418"/>
        <v>2.3077747215117642E-3</v>
      </c>
      <c r="X2022" s="7">
        <f t="shared" si="419"/>
        <v>1.8841811993694901E-3</v>
      </c>
      <c r="Y2022">
        <f>LN(B2022/B2021)</f>
        <v>4.1695536464791726E-3</v>
      </c>
      <c r="Z2022">
        <f>LN(C2022/C2021)</f>
        <v>2.5517324902059931E-4</v>
      </c>
    </row>
    <row r="2023" spans="1:26" x14ac:dyDescent="0.3">
      <c r="A2023" s="9">
        <v>43164</v>
      </c>
      <c r="B2023" s="1">
        <v>35427.57</v>
      </c>
      <c r="C2023" s="1">
        <v>51.011932399999999</v>
      </c>
      <c r="D2023" s="6">
        <f t="shared" si="421"/>
        <v>3.0594988435568293E-3</v>
      </c>
      <c r="E2023" s="5">
        <f t="shared" si="420"/>
        <v>2.5514265592163632E-4</v>
      </c>
      <c r="G2023" s="25" t="str">
        <f>IF(VLOOKUP(A2023,Aux!B:C,2,FALSE)=0,"",VLOOKUP(A2023,Aux!B:C,2,FALSE))</f>
        <v/>
      </c>
      <c r="H2023" s="25" t="str">
        <f t="shared" si="409"/>
        <v/>
      </c>
      <c r="L2023" s="13">
        <f t="shared" si="412"/>
        <v>198501.64378678138</v>
      </c>
      <c r="M2023" s="14">
        <f t="shared" si="413"/>
        <v>318.2077034809875</v>
      </c>
      <c r="N2023" s="14">
        <f t="shared" si="414"/>
        <v>24.02242970542807</v>
      </c>
      <c r="O2023" s="1">
        <f t="shared" si="415"/>
        <v>2.9447316627891391</v>
      </c>
      <c r="P2023" s="1">
        <f t="shared" si="416"/>
        <v>1846.1750465289729</v>
      </c>
      <c r="S2023" s="6">
        <f t="shared" si="410"/>
        <v>0.52556082219015765</v>
      </c>
      <c r="T2023" s="6">
        <f t="shared" si="411"/>
        <v>0.47443917780984268</v>
      </c>
      <c r="V2023" s="1">
        <f t="shared" si="417"/>
        <v>195853.09314931661</v>
      </c>
      <c r="W2023" s="7">
        <f t="shared" si="418"/>
        <v>1.7255549123565469E-3</v>
      </c>
      <c r="X2023" s="7">
        <f t="shared" si="419"/>
        <v>1.4225245614464311E-3</v>
      </c>
      <c r="Y2023">
        <f>LN(B2023/B2022)</f>
        <v>3.0548281012986894E-3</v>
      </c>
      <c r="Z2023">
        <f>LN(C2023/C2022)</f>
        <v>2.551101125695481E-4</v>
      </c>
    </row>
    <row r="2024" spans="1:26" x14ac:dyDescent="0.3">
      <c r="A2024" s="11">
        <v>43165</v>
      </c>
      <c r="B2024" s="12">
        <v>35275.72</v>
      </c>
      <c r="C2024" s="12">
        <v>51.024948100000003</v>
      </c>
      <c r="D2024" s="16">
        <f t="shared" si="421"/>
        <v>-4.2862098642384439E-3</v>
      </c>
      <c r="E2024" s="15">
        <f t="shared" si="420"/>
        <v>2.5515010680132733E-4</v>
      </c>
      <c r="G2024" s="25" t="str">
        <f>IF(VLOOKUP(A2024,Aux!B:C,2,FALSE)=0,"",VLOOKUP(A2024,Aux!B:C,2,FALSE))</f>
        <v/>
      </c>
      <c r="H2024" s="25" t="str">
        <f t="shared" si="409"/>
        <v/>
      </c>
      <c r="L2024" s="13">
        <f t="shared" si="412"/>
        <v>198078.51554433999</v>
      </c>
      <c r="M2024" s="14">
        <f t="shared" si="413"/>
        <v>-447.15750299452651</v>
      </c>
      <c r="N2024" s="14">
        <f t="shared" si="414"/>
        <v>24.029260553114465</v>
      </c>
      <c r="O2024" s="1">
        <f t="shared" si="415"/>
        <v>2.9447316627891391</v>
      </c>
      <c r="P2024" s="1">
        <f t="shared" si="416"/>
        <v>1846.1750465289729</v>
      </c>
      <c r="S2024" s="6">
        <f t="shared" si="410"/>
        <v>0.52442603038607205</v>
      </c>
      <c r="T2024" s="6">
        <f t="shared" si="411"/>
        <v>0.47557396961392817</v>
      </c>
      <c r="V2024" s="1">
        <f t="shared" si="417"/>
        <v>195531.88773255446</v>
      </c>
      <c r="W2024" s="7">
        <f t="shared" si="418"/>
        <v>-2.1338858893671414E-3</v>
      </c>
      <c r="X2024" s="7">
        <f t="shared" si="419"/>
        <v>-1.6413787169469302E-3</v>
      </c>
      <c r="Y2024">
        <f>LN(B2024/B2023)</f>
        <v>-4.2954219945784073E-3</v>
      </c>
      <c r="Z2024">
        <f>LN(C2024/C2023)</f>
        <v>2.5511756154865904E-4</v>
      </c>
    </row>
    <row r="2025" spans="1:26" x14ac:dyDescent="0.3">
      <c r="A2025" s="9">
        <v>43166</v>
      </c>
      <c r="B2025" s="1">
        <v>35204.89</v>
      </c>
      <c r="C2025" s="1">
        <v>51.037967700000003</v>
      </c>
      <c r="D2025" s="6">
        <f t="shared" si="421"/>
        <v>-2.0078966495935546E-3</v>
      </c>
      <c r="E2025" s="5">
        <f t="shared" si="420"/>
        <v>2.551614550294623E-4</v>
      </c>
      <c r="G2025" s="25" t="str">
        <f>IF(VLOOKUP(A2025,Aux!B:C,2,FALSE)=0,"",VLOOKUP(A2025,Aux!B:C,2,FALSE))</f>
        <v/>
      </c>
      <c r="H2025" s="25" t="str">
        <f t="shared" si="409"/>
        <v/>
      </c>
      <c r="L2025" s="13">
        <f t="shared" si="412"/>
        <v>197893.9766613004</v>
      </c>
      <c r="M2025" s="14">
        <f t="shared" si="413"/>
        <v>-208.57534367535987</v>
      </c>
      <c r="N2025" s="14">
        <f t="shared" si="414"/>
        <v>24.036460635788242</v>
      </c>
      <c r="O2025" s="1">
        <f t="shared" si="415"/>
        <v>2.9447316627891391</v>
      </c>
      <c r="P2025" s="1">
        <f t="shared" si="416"/>
        <v>1846.1750465289729</v>
      </c>
      <c r="S2025" s="6">
        <f t="shared" si="410"/>
        <v>0.52386108974625478</v>
      </c>
      <c r="T2025" s="6">
        <f t="shared" si="411"/>
        <v>0.4761389102537455</v>
      </c>
      <c r="V2025" s="1">
        <f t="shared" si="417"/>
        <v>195397.60701470362</v>
      </c>
      <c r="W2025" s="7">
        <f t="shared" si="418"/>
        <v>-9.3207937436188062E-4</v>
      </c>
      <c r="X2025" s="7">
        <f t="shared" si="419"/>
        <v>-6.8698179562393059E-4</v>
      </c>
      <c r="Y2025">
        <f>LN(B2025/B2024)</f>
        <v>-2.0099151765195092E-3</v>
      </c>
      <c r="Z2025">
        <f>LN(C2025/C2024)</f>
        <v>2.5512890688196669E-4</v>
      </c>
    </row>
    <row r="2026" spans="1:26" x14ac:dyDescent="0.3">
      <c r="A2026" s="11">
        <v>43167</v>
      </c>
      <c r="B2026" s="12">
        <v>35007.78</v>
      </c>
      <c r="C2026" s="12">
        <v>51.050987200000002</v>
      </c>
      <c r="D2026" s="16">
        <f t="shared" si="421"/>
        <v>-5.5989381020647988E-3</v>
      </c>
      <c r="E2026" s="15">
        <f t="shared" si="420"/>
        <v>2.5509440494442259E-4</v>
      </c>
      <c r="G2026" s="25" t="str">
        <f>IF(VLOOKUP(A2026,Aux!B:C,2,FALSE)=0,"",VLOOKUP(A2026,Aux!B:C,2,FALSE))</f>
        <v/>
      </c>
      <c r="H2026" s="25" t="str">
        <f t="shared" si="409"/>
        <v/>
      </c>
      <c r="L2026" s="13">
        <f t="shared" si="412"/>
        <v>197337.5768792663</v>
      </c>
      <c r="M2026" s="14">
        <f t="shared" si="413"/>
        <v>-580.43605805236894</v>
      </c>
      <c r="N2026" s="14">
        <f t="shared" si="414"/>
        <v>24.036276018281431</v>
      </c>
      <c r="O2026" s="1">
        <f t="shared" si="415"/>
        <v>2.9447316627891391</v>
      </c>
      <c r="P2026" s="1">
        <f t="shared" si="416"/>
        <v>1846.1750465289729</v>
      </c>
      <c r="S2026" s="6">
        <f t="shared" si="410"/>
        <v>0.52239679761055979</v>
      </c>
      <c r="T2026" s="6">
        <f t="shared" si="411"/>
        <v>0.47760320238944054</v>
      </c>
      <c r="V2026" s="1">
        <f t="shared" si="417"/>
        <v>194971.99369584152</v>
      </c>
      <c r="W2026" s="7">
        <f t="shared" si="418"/>
        <v>-2.8155654305284388E-3</v>
      </c>
      <c r="X2026" s="7">
        <f t="shared" si="419"/>
        <v>-2.1805667589489762E-3</v>
      </c>
      <c r="Y2026">
        <f>LN(B2026/B2025)</f>
        <v>-5.6146709081535823E-3</v>
      </c>
      <c r="Z2026">
        <f>LN(C2026/C2025)</f>
        <v>2.5506187389891314E-4</v>
      </c>
    </row>
    <row r="2027" spans="1:26" x14ac:dyDescent="0.3">
      <c r="A2027" s="9">
        <v>43168</v>
      </c>
      <c r="B2027" s="1">
        <v>35571.550000000003</v>
      </c>
      <c r="C2027" s="1">
        <v>51.064014399999998</v>
      </c>
      <c r="D2027" s="6">
        <f t="shared" si="421"/>
        <v>1.6104134566659267E-2</v>
      </c>
      <c r="E2027" s="5">
        <f t="shared" si="420"/>
        <v>2.5518017798487058E-4</v>
      </c>
      <c r="G2027" s="25" t="str">
        <f>IF(VLOOKUP(A2027,Aux!B:C,2,FALSE)=0,"",VLOOKUP(A2027,Aux!B:C,2,FALSE))</f>
        <v/>
      </c>
      <c r="H2027" s="25" t="str">
        <f t="shared" si="409"/>
        <v/>
      </c>
      <c r="L2027" s="13">
        <f t="shared" si="412"/>
        <v>199021.77874036308</v>
      </c>
      <c r="M2027" s="14">
        <f t="shared" si="413"/>
        <v>1660.1513695306451</v>
      </c>
      <c r="N2027" s="14">
        <f t="shared" si="414"/>
        <v>24.050491566135296</v>
      </c>
      <c r="O2027" s="1">
        <f t="shared" si="415"/>
        <v>2.9447316627891391</v>
      </c>
      <c r="P2027" s="1">
        <f t="shared" si="416"/>
        <v>1846.1750465289729</v>
      </c>
      <c r="S2027" s="6">
        <f t="shared" si="410"/>
        <v>0.52631762333979781</v>
      </c>
      <c r="T2027" s="6">
        <f t="shared" si="411"/>
        <v>0.47368237666020246</v>
      </c>
      <c r="V2027" s="1">
        <f t="shared" si="417"/>
        <v>196301.77437862422</v>
      </c>
      <c r="W2027" s="7">
        <f t="shared" si="418"/>
        <v>8.4984092022004649E-3</v>
      </c>
      <c r="X2027" s="7">
        <f t="shared" si="419"/>
        <v>6.7972141818426835E-3</v>
      </c>
      <c r="Y2027">
        <f>LN(B2027/B2026)</f>
        <v>1.5975838556295849E-2</v>
      </c>
      <c r="Z2027">
        <f>LN(C2027/C2026)</f>
        <v>2.5514762506104188E-4</v>
      </c>
    </row>
    <row r="2028" spans="1:26" x14ac:dyDescent="0.3">
      <c r="A2028" s="11">
        <v>43171</v>
      </c>
      <c r="B2028" s="12">
        <v>35803.22</v>
      </c>
      <c r="C2028" s="12">
        <v>51.077041600000001</v>
      </c>
      <c r="D2028" s="16">
        <f t="shared" si="421"/>
        <v>6.5127890125675769E-3</v>
      </c>
      <c r="E2028" s="15">
        <f t="shared" si="420"/>
        <v>2.5511507767395081E-4</v>
      </c>
      <c r="G2028" s="25" t="str">
        <f>IF(VLOOKUP(A2028,Aux!B:C,2,FALSE)=0,"",VLOOKUP(A2028,Aux!B:C,2,FALSE))</f>
        <v/>
      </c>
      <c r="H2028" s="25" t="str">
        <f t="shared" si="409"/>
        <v/>
      </c>
      <c r="L2028" s="13">
        <f t="shared" si="412"/>
        <v>199728.0352162476</v>
      </c>
      <c r="M2028" s="14">
        <f t="shared" si="413"/>
        <v>682.20598431835469</v>
      </c>
      <c r="N2028" s="14">
        <f t="shared" si="414"/>
        <v>24.050491566148416</v>
      </c>
      <c r="O2028" s="1">
        <f t="shared" si="415"/>
        <v>2.9447316627891391</v>
      </c>
      <c r="P2028" s="1">
        <f t="shared" si="416"/>
        <v>1846.1750465289729</v>
      </c>
      <c r="S2028" s="6">
        <f t="shared" si="410"/>
        <v>0.52787219105046657</v>
      </c>
      <c r="T2028" s="6">
        <f t="shared" si="411"/>
        <v>0.47212780894953366</v>
      </c>
      <c r="V2028" s="1">
        <f t="shared" si="417"/>
        <v>196865.38874448673</v>
      </c>
      <c r="W2028" s="7">
        <f t="shared" si="418"/>
        <v>3.5423575870937724E-3</v>
      </c>
      <c r="X2028" s="7">
        <f t="shared" si="419"/>
        <v>2.8670489542403223E-3</v>
      </c>
      <c r="Y2028">
        <f>LN(B2028/B2027)</f>
        <v>6.4916724378154093E-3</v>
      </c>
      <c r="Z2028">
        <f>LN(C2028/C2027)</f>
        <v>2.5508254135607505E-4</v>
      </c>
    </row>
    <row r="2029" spans="1:26" x14ac:dyDescent="0.3">
      <c r="A2029" s="9">
        <v>43172</v>
      </c>
      <c r="B2029" s="1">
        <v>35603.879999999997</v>
      </c>
      <c r="C2029" s="1">
        <v>51.090076400000001</v>
      </c>
      <c r="D2029" s="6">
        <f t="shared" si="421"/>
        <v>-5.5676556466150995E-3</v>
      </c>
      <c r="E2029" s="5">
        <f t="shared" si="420"/>
        <v>2.5519880540603168E-4</v>
      </c>
      <c r="G2029" s="25" t="str">
        <f>IF(VLOOKUP(A2029,Aux!B:C,2,FALSE)=0,"",VLOOKUP(A2029,Aux!B:C,2,FALSE))</f>
        <v/>
      </c>
      <c r="H2029" s="25" t="str">
        <f t="shared" si="409"/>
        <v/>
      </c>
      <c r="L2029" s="13">
        <f t="shared" si="412"/>
        <v>199165.09692908369</v>
      </c>
      <c r="M2029" s="14">
        <f t="shared" si="413"/>
        <v>-587.00280966039816</v>
      </c>
      <c r="N2029" s="14">
        <f t="shared" si="414"/>
        <v>24.064522496495471</v>
      </c>
      <c r="O2029" s="1">
        <f t="shared" si="415"/>
        <v>2.9447316627891391</v>
      </c>
      <c r="P2029" s="1">
        <f t="shared" si="416"/>
        <v>1846.1750465289729</v>
      </c>
      <c r="S2029" s="6">
        <f t="shared" si="410"/>
        <v>0.52641689919934365</v>
      </c>
      <c r="T2029" s="6">
        <f t="shared" si="411"/>
        <v>0.47358310080065658</v>
      </c>
      <c r="V2029" s="1">
        <f t="shared" si="417"/>
        <v>196434.66496574547</v>
      </c>
      <c r="W2029" s="7">
        <f t="shared" si="418"/>
        <v>-2.8225036508308116E-3</v>
      </c>
      <c r="X2029" s="7">
        <f t="shared" si="419"/>
        <v>-2.1903071045924817E-3</v>
      </c>
      <c r="Y2029">
        <f>LN(B2029/B2028)</f>
        <v>-5.5832128128159323E-3</v>
      </c>
      <c r="Z2029">
        <f>LN(C2029/C2028)</f>
        <v>2.5516624772989359E-4</v>
      </c>
    </row>
    <row r="2030" spans="1:26" x14ac:dyDescent="0.3">
      <c r="A2030" s="11">
        <v>43173</v>
      </c>
      <c r="B2030" s="12">
        <v>35454.82</v>
      </c>
      <c r="C2030" s="12">
        <v>51.103111300000002</v>
      </c>
      <c r="D2030" s="16">
        <f t="shared" si="421"/>
        <v>-4.1866223568891581E-3</v>
      </c>
      <c r="E2030" s="15">
        <f t="shared" si="420"/>
        <v>2.5513565291901408E-4</v>
      </c>
      <c r="G2030" s="25" t="str">
        <f>IF(VLOOKUP(A2030,Aux!B:C,2,FALSE)=0,"",VLOOKUP(A2030,Aux!B:C,2,FALSE))</f>
        <v/>
      </c>
      <c r="H2030" s="25" t="str">
        <f t="shared" si="409"/>
        <v/>
      </c>
      <c r="L2030" s="13">
        <f t="shared" si="412"/>
        <v>198750.21993454237</v>
      </c>
      <c r="M2030" s="14">
        <f t="shared" si="413"/>
        <v>-438.94170165534223</v>
      </c>
      <c r="N2030" s="14">
        <f t="shared" si="414"/>
        <v>24.064707114002282</v>
      </c>
      <c r="O2030" s="1">
        <f t="shared" si="415"/>
        <v>2.9447316627891391</v>
      </c>
      <c r="P2030" s="1">
        <f t="shared" si="416"/>
        <v>1846.1750465289729</v>
      </c>
      <c r="S2030" s="6">
        <f t="shared" si="410"/>
        <v>0.52530724789575078</v>
      </c>
      <c r="T2030" s="6">
        <f t="shared" si="411"/>
        <v>0.47469275210424949</v>
      </c>
      <c r="V2030" s="1">
        <f t="shared" si="417"/>
        <v>196119.93912952128</v>
      </c>
      <c r="W2030" s="7">
        <f t="shared" si="418"/>
        <v>-2.0852534561619724E-3</v>
      </c>
      <c r="X2030" s="7">
        <f t="shared" si="419"/>
        <v>-1.603475798650127E-3</v>
      </c>
      <c r="Y2030">
        <f>LN(B2030/B2029)</f>
        <v>-4.1954107981021244E-3</v>
      </c>
      <c r="Z2030">
        <f>LN(C2030/C2029)</f>
        <v>2.551031113532103E-4</v>
      </c>
    </row>
    <row r="2031" spans="1:26" x14ac:dyDescent="0.3">
      <c r="A2031" s="9">
        <v>43174</v>
      </c>
      <c r="B2031" s="1">
        <v>35023.980000000003</v>
      </c>
      <c r="C2031" s="1">
        <v>51.116149900000003</v>
      </c>
      <c r="D2031" s="6">
        <f t="shared" si="421"/>
        <v>-1.215180333731769E-2</v>
      </c>
      <c r="E2031" s="5">
        <f t="shared" si="420"/>
        <v>2.5514297795803387E-4</v>
      </c>
      <c r="G2031" s="25" t="str">
        <f>IF(VLOOKUP(A2031,Aux!B:C,2,FALSE)=0,"",VLOOKUP(A2031,Aux!B:C,2,FALSE))</f>
        <v/>
      </c>
      <c r="H2031" s="25" t="str">
        <f t="shared" si="409"/>
        <v/>
      </c>
      <c r="L2031" s="13">
        <f t="shared" si="412"/>
        <v>197505.58328290799</v>
      </c>
      <c r="M2031" s="14">
        <f t="shared" si="413"/>
        <v>-1268.7081895960623</v>
      </c>
      <c r="N2031" s="14">
        <f t="shared" si="414"/>
        <v>24.071537961675556</v>
      </c>
      <c r="O2031" s="1">
        <f t="shared" si="415"/>
        <v>2.9447316627891391</v>
      </c>
      <c r="P2031" s="1">
        <f t="shared" si="416"/>
        <v>1846.1750465289729</v>
      </c>
      <c r="S2031" s="6">
        <f t="shared" si="410"/>
        <v>0.52219396104443649</v>
      </c>
      <c r="T2031" s="6">
        <f t="shared" si="411"/>
        <v>0.47780603895556367</v>
      </c>
      <c r="V2031" s="1">
        <f t="shared" si="417"/>
        <v>195155.14525397005</v>
      </c>
      <c r="W2031" s="7">
        <f t="shared" si="418"/>
        <v>-6.2820063942519372E-3</v>
      </c>
      <c r="X2031" s="7">
        <f t="shared" si="419"/>
        <v>-4.9315474937491862E-3</v>
      </c>
      <c r="Y2031">
        <f>LN(B2031/B2030)</f>
        <v>-1.2226240141742778E-2</v>
      </c>
      <c r="Z2031">
        <f>LN(C2031/C2030)</f>
        <v>2.5511043452380134E-4</v>
      </c>
    </row>
    <row r="2032" spans="1:26" x14ac:dyDescent="0.3">
      <c r="A2032" s="11">
        <v>43175</v>
      </c>
      <c r="B2032" s="12">
        <v>35009.57</v>
      </c>
      <c r="C2032" s="12">
        <v>51.129192400000001</v>
      </c>
      <c r="D2032" s="16">
        <f t="shared" si="421"/>
        <v>-4.1143239574725765E-4</v>
      </c>
      <c r="E2032" s="15">
        <f t="shared" si="420"/>
        <v>2.5515419344990242E-4</v>
      </c>
      <c r="G2032" s="25" t="str">
        <f>IF(VLOOKUP(A2032,Aux!B:C,2,FALSE)=0,"",VLOOKUP(A2032,Aux!B:C,2,FALSE))</f>
        <v/>
      </c>
      <c r="H2032" s="25" t="str">
        <f t="shared" si="409"/>
        <v/>
      </c>
      <c r="L2032" s="13">
        <f t="shared" si="412"/>
        <v>197487.22843769152</v>
      </c>
      <c r="M2032" s="14">
        <f t="shared" si="413"/>
        <v>-42.433583260801782</v>
      </c>
      <c r="N2032" s="14">
        <f t="shared" si="414"/>
        <v>24.078738044349336</v>
      </c>
      <c r="O2032" s="1">
        <f t="shared" si="415"/>
        <v>2.9447316627891391</v>
      </c>
      <c r="P2032" s="1">
        <f t="shared" si="416"/>
        <v>1846.1750465289729</v>
      </c>
      <c r="S2032" s="6">
        <f t="shared" si="410"/>
        <v>0.52202762728101937</v>
      </c>
      <c r="T2032" s="6">
        <f t="shared" si="411"/>
        <v>0.47797237271898091</v>
      </c>
      <c r="V2032" s="1">
        <f t="shared" si="417"/>
        <v>195151.07868003479</v>
      </c>
      <c r="W2032" s="7">
        <f t="shared" si="418"/>
        <v>-9.2937616508627035E-5</v>
      </c>
      <c r="X2032" s="7">
        <f t="shared" si="419"/>
        <v>-2.0837863636597903E-5</v>
      </c>
      <c r="Y2032">
        <f>LN(B2032/B2031)</f>
        <v>-4.1151705727785338E-4</v>
      </c>
      <c r="Z2032">
        <f>LN(C2032/C2031)</f>
        <v>2.5512164715478297E-4</v>
      </c>
    </row>
    <row r="2033" spans="1:26" x14ac:dyDescent="0.3">
      <c r="A2033" s="9">
        <v>43178</v>
      </c>
      <c r="B2033" s="1">
        <v>34633.64</v>
      </c>
      <c r="C2033" s="1">
        <v>51.142238599999999</v>
      </c>
      <c r="D2033" s="6">
        <f t="shared" si="421"/>
        <v>-1.0737921088433855E-2</v>
      </c>
      <c r="E2033" s="5">
        <f t="shared" si="420"/>
        <v>2.5516147209869722E-4</v>
      </c>
      <c r="G2033" s="25" t="str">
        <f>IF(VLOOKUP(A2033,Aux!B:C,2,FALSE)=0,"",VLOOKUP(A2033,Aux!B:C,2,FALSE))</f>
        <v/>
      </c>
      <c r="H2033" s="25" t="str">
        <f t="shared" si="409"/>
        <v/>
      </c>
      <c r="L2033" s="13">
        <f t="shared" si="412"/>
        <v>196404.3010325912</v>
      </c>
      <c r="M2033" s="14">
        <f t="shared" si="413"/>
        <v>-1107.012973992322</v>
      </c>
      <c r="N2033" s="14">
        <f t="shared" si="414"/>
        <v>24.085568892022611</v>
      </c>
      <c r="O2033" s="1">
        <f t="shared" si="415"/>
        <v>2.9447316627891391</v>
      </c>
      <c r="P2033" s="1">
        <f t="shared" si="416"/>
        <v>1846.1750465289729</v>
      </c>
      <c r="S2033" s="6">
        <f t="shared" si="410"/>
        <v>0.51926956675310698</v>
      </c>
      <c r="T2033" s="6">
        <f t="shared" si="411"/>
        <v>0.4807304332468933</v>
      </c>
      <c r="V2033" s="1">
        <f t="shared" si="417"/>
        <v>194312.98109745234</v>
      </c>
      <c r="W2033" s="7">
        <f t="shared" si="418"/>
        <v>-5.4986210801036437E-3</v>
      </c>
      <c r="X2033" s="7">
        <f t="shared" si="419"/>
        <v>-4.3038573405076858E-3</v>
      </c>
      <c r="Y2033">
        <f>LN(B2033/B2032)</f>
        <v>-1.0795988620243556E-2</v>
      </c>
      <c r="Z2033">
        <f>LN(C2033/C2032)</f>
        <v>2.5512892394684728E-4</v>
      </c>
    </row>
    <row r="2034" spans="1:26" x14ac:dyDescent="0.3">
      <c r="A2034" s="11">
        <v>43179</v>
      </c>
      <c r="B2034" s="12">
        <v>34731.96</v>
      </c>
      <c r="C2034" s="12">
        <v>51.1552887</v>
      </c>
      <c r="D2034" s="16">
        <f t="shared" si="421"/>
        <v>2.8388584047185361E-3</v>
      </c>
      <c r="E2034" s="15">
        <f t="shared" si="420"/>
        <v>2.551726392361342E-4</v>
      </c>
      <c r="G2034" s="25" t="str">
        <f>IF(VLOOKUP(A2034,Aux!B:C,2,FALSE)=0,"",VLOOKUP(A2034,Aux!B:C,2,FALSE))</f>
        <v/>
      </c>
      <c r="H2034" s="25" t="str">
        <f t="shared" si="409"/>
        <v/>
      </c>
      <c r="L2034" s="13">
        <f t="shared" si="412"/>
        <v>196717.91981865134</v>
      </c>
      <c r="M2034" s="14">
        <f t="shared" si="413"/>
        <v>289.52601708542733</v>
      </c>
      <c r="N2034" s="14">
        <f t="shared" si="414"/>
        <v>24.092768974709507</v>
      </c>
      <c r="O2034" s="1">
        <f t="shared" si="415"/>
        <v>2.9447316627891391</v>
      </c>
      <c r="P2034" s="1">
        <f t="shared" si="416"/>
        <v>1846.1750465289729</v>
      </c>
      <c r="S2034" s="6">
        <f t="shared" si="410"/>
        <v>0.51991350059522534</v>
      </c>
      <c r="T2034" s="6">
        <f t="shared" si="411"/>
        <v>0.48008649940477505</v>
      </c>
      <c r="V2034" s="1">
        <f t="shared" si="417"/>
        <v>194569.00357904026</v>
      </c>
      <c r="W2034" s="7">
        <f t="shared" si="418"/>
        <v>1.5955284944866855E-3</v>
      </c>
      <c r="X2034" s="7">
        <f t="shared" si="419"/>
        <v>1.3167106148686254E-3</v>
      </c>
      <c r="Y2034">
        <f>LN(B2034/B2033)</f>
        <v>2.8348364562276796E-3</v>
      </c>
      <c r="Z2034">
        <f>LN(C2034/C2033)</f>
        <v>2.551400882355256E-4</v>
      </c>
    </row>
    <row r="2035" spans="1:26" x14ac:dyDescent="0.3">
      <c r="A2035" s="9">
        <v>43180</v>
      </c>
      <c r="B2035" s="1">
        <v>35039.629999999997</v>
      </c>
      <c r="C2035" s="1">
        <v>51.168338800000001</v>
      </c>
      <c r="D2035" s="6">
        <f t="shared" si="421"/>
        <v>8.8584116761623033E-3</v>
      </c>
      <c r="E2035" s="5">
        <f t="shared" si="420"/>
        <v>2.5510754277102698E-4</v>
      </c>
      <c r="G2035" s="25" t="str">
        <f>IF(VLOOKUP(A2035,Aux!B:C,2,FALSE)=0,"",VLOOKUP(A2035,Aux!B:C,2,FALSE))</f>
        <v/>
      </c>
      <c r="H2035" s="25" t="str">
        <f t="shared" si="409"/>
        <v/>
      </c>
      <c r="L2035" s="13">
        <f t="shared" si="412"/>
        <v>197648.01817831639</v>
      </c>
      <c r="M2035" s="14">
        <f t="shared" si="413"/>
        <v>906.00559069032931</v>
      </c>
      <c r="N2035" s="14">
        <f t="shared" si="414"/>
        <v>24.092768974709507</v>
      </c>
      <c r="O2035" s="1">
        <f t="shared" si="415"/>
        <v>2.9447316627891391</v>
      </c>
      <c r="P2035" s="1">
        <f t="shared" si="416"/>
        <v>1846.1750465289729</v>
      </c>
      <c r="S2035" s="6">
        <f t="shared" si="410"/>
        <v>0.52205080963840467</v>
      </c>
      <c r="T2035" s="6">
        <f t="shared" si="411"/>
        <v>0.47794919036159561</v>
      </c>
      <c r="V2035" s="1">
        <f t="shared" si="417"/>
        <v>195308.00383373036</v>
      </c>
      <c r="W2035" s="7">
        <f t="shared" si="418"/>
        <v>4.7169392412962901E-3</v>
      </c>
      <c r="X2035" s="7">
        <f t="shared" si="419"/>
        <v>3.7909449681299986E-3</v>
      </c>
      <c r="Y2035">
        <f>LN(B2035/B2034)</f>
        <v>8.8194061296622932E-3</v>
      </c>
      <c r="Z2035">
        <f>LN(C2035/C2034)</f>
        <v>2.5507500837489996E-4</v>
      </c>
    </row>
    <row r="2036" spans="1:26" x14ac:dyDescent="0.3">
      <c r="A2036" s="11">
        <v>43181</v>
      </c>
      <c r="B2036" s="12">
        <v>34970.46</v>
      </c>
      <c r="C2036" s="12">
        <v>51.181396499999998</v>
      </c>
      <c r="D2036" s="16">
        <f t="shared" si="421"/>
        <v>-1.9740505250768203E-3</v>
      </c>
      <c r="E2036" s="15">
        <f t="shared" si="420"/>
        <v>2.55191008858624E-4</v>
      </c>
      <c r="G2036" s="25" t="str">
        <f>IF(VLOOKUP(A2036,Aux!B:C,2,FALSE)=0,"",VLOOKUP(A2036,Aux!B:C,2,FALSE))</f>
        <v/>
      </c>
      <c r="H2036" s="25" t="str">
        <f t="shared" si="409"/>
        <v/>
      </c>
      <c r="L2036" s="13">
        <f t="shared" si="412"/>
        <v>197468.43788910631</v>
      </c>
      <c r="M2036" s="14">
        <f t="shared" si="413"/>
        <v>-203.68708911511962</v>
      </c>
      <c r="N2036" s="14">
        <f t="shared" si="414"/>
        <v>24.106799905056562</v>
      </c>
      <c r="O2036" s="1">
        <f t="shared" si="415"/>
        <v>2.9447316627891391</v>
      </c>
      <c r="P2036" s="1">
        <f t="shared" si="416"/>
        <v>1846.1750465289729</v>
      </c>
      <c r="S2036" s="6">
        <f t="shared" si="410"/>
        <v>0.52149407735798003</v>
      </c>
      <c r="T2036" s="6">
        <f t="shared" si="411"/>
        <v>0.47850592264202035</v>
      </c>
      <c r="V2036" s="1">
        <f t="shared" si="417"/>
        <v>195177.63802869344</v>
      </c>
      <c r="W2036" s="7">
        <f t="shared" si="418"/>
        <v>-9.0899935357150201E-4</v>
      </c>
      <c r="X2036" s="7">
        <f t="shared" si="419"/>
        <v>-6.6771115710495511E-4</v>
      </c>
      <c r="Y2036">
        <f>LN(B2036/B2035)</f>
        <v>-1.9760015308267062E-3</v>
      </c>
      <c r="Z2036">
        <f>LN(C2036/C2035)</f>
        <v>2.5515845317161749E-4</v>
      </c>
    </row>
    <row r="2037" spans="1:26" x14ac:dyDescent="0.3">
      <c r="A2037" s="9">
        <v>43182</v>
      </c>
      <c r="B2037" s="1">
        <v>34810.46</v>
      </c>
      <c r="C2037" s="1">
        <v>51.193977400000001</v>
      </c>
      <c r="D2037" s="6">
        <f t="shared" si="421"/>
        <v>-4.5752901162867676E-3</v>
      </c>
      <c r="E2037" s="5">
        <f t="shared" si="420"/>
        <v>2.4581001809909075E-4</v>
      </c>
      <c r="G2037" s="25" t="str">
        <f>IF(VLOOKUP(A2037,Aux!B:C,2,FALSE)=0,"",VLOOKUP(A2037,Aux!B:C,2,FALSE))</f>
        <v/>
      </c>
      <c r="H2037" s="25" t="str">
        <f t="shared" si="409"/>
        <v/>
      </c>
      <c r="L2037" s="13">
        <f t="shared" si="412"/>
        <v>197020.50736670292</v>
      </c>
      <c r="M2037" s="14">
        <f t="shared" si="413"/>
        <v>-471.15706604626223</v>
      </c>
      <c r="N2037" s="14">
        <f t="shared" si="414"/>
        <v>23.226543642882309</v>
      </c>
      <c r="O2037" s="1">
        <f t="shared" si="415"/>
        <v>2.9447316627891391</v>
      </c>
      <c r="P2037" s="1">
        <f t="shared" si="416"/>
        <v>1846.1750465289729</v>
      </c>
      <c r="S2037" s="6">
        <f t="shared" si="410"/>
        <v>0.52028829449445879</v>
      </c>
      <c r="T2037" s="6">
        <f t="shared" si="411"/>
        <v>0.47971170550554165</v>
      </c>
      <c r="V2037" s="1">
        <f t="shared" si="417"/>
        <v>194836.65757164848</v>
      </c>
      <c r="W2037" s="7">
        <f t="shared" si="418"/>
        <v>-2.2709417857965687E-3</v>
      </c>
      <c r="X2037" s="7">
        <f t="shared" si="419"/>
        <v>-1.7485540800365265E-3</v>
      </c>
      <c r="Y2037">
        <f>LN(B2037/B2036)</f>
        <v>-4.5857887913397528E-3</v>
      </c>
      <c r="Z2037">
        <f>LN(C2037/C2036)</f>
        <v>2.457798117665032E-4</v>
      </c>
    </row>
    <row r="2038" spans="1:26" x14ac:dyDescent="0.3">
      <c r="A2038" s="11">
        <v>43185</v>
      </c>
      <c r="B2038" s="12">
        <v>35087.879999999997</v>
      </c>
      <c r="C2038" s="12">
        <v>51.206561999999998</v>
      </c>
      <c r="D2038" s="16">
        <f t="shared" si="421"/>
        <v>7.9694436672195224E-3</v>
      </c>
      <c r="E2038" s="15">
        <f t="shared" si="420"/>
        <v>2.4582188450938958E-4</v>
      </c>
      <c r="G2038" s="25" t="str">
        <f>IF(VLOOKUP(A2038,Aux!B:C,2,FALSE)=0,"",VLOOKUP(A2038,Aux!B:C,2,FALSE))</f>
        <v/>
      </c>
      <c r="H2038" s="25" t="str">
        <f t="shared" si="409"/>
        <v/>
      </c>
      <c r="L2038" s="13">
        <f t="shared" si="412"/>
        <v>197860.66819908444</v>
      </c>
      <c r="M2038" s="14">
        <f t="shared" si="413"/>
        <v>816.92745789095784</v>
      </c>
      <c r="N2038" s="14">
        <f t="shared" si="414"/>
        <v>23.233374490542467</v>
      </c>
      <c r="O2038" s="1">
        <f t="shared" si="415"/>
        <v>2.9447316627891391</v>
      </c>
      <c r="P2038" s="1">
        <f t="shared" si="416"/>
        <v>1846.1750465289729</v>
      </c>
      <c r="S2038" s="6">
        <f t="shared" si="410"/>
        <v>0.52220783522363479</v>
      </c>
      <c r="T2038" s="6">
        <f t="shared" si="411"/>
        <v>0.47779216477636544</v>
      </c>
      <c r="V2038" s="1">
        <f t="shared" si="417"/>
        <v>195504.82863302709</v>
      </c>
      <c r="W2038" s="7">
        <f t="shared" si="418"/>
        <v>4.2552653918226779E-3</v>
      </c>
      <c r="X2038" s="7">
        <f t="shared" si="419"/>
        <v>3.4235239532663889E-3</v>
      </c>
      <c r="Y2038">
        <f>LN(B2038/B2037)</f>
        <v>7.9378553675008255E-3</v>
      </c>
      <c r="Z2038">
        <f>LN(C2038/C2037)</f>
        <v>2.4579167526056597E-4</v>
      </c>
    </row>
    <row r="2039" spans="1:26" x14ac:dyDescent="0.3">
      <c r="A2039" s="9">
        <v>43186</v>
      </c>
      <c r="B2039" s="1">
        <v>34570.910000000003</v>
      </c>
      <c r="C2039" s="1">
        <v>51.219150499999998</v>
      </c>
      <c r="D2039" s="6">
        <f t="shared" si="421"/>
        <v>-1.4733577520214758E-2</v>
      </c>
      <c r="E2039" s="5">
        <f t="shared" si="420"/>
        <v>2.4583763307517437E-4</v>
      </c>
      <c r="G2039" s="25" t="str">
        <f>IF(VLOOKUP(A2039,Aux!B:C,2,FALSE)=0,"",VLOOKUP(A2039,Aux!B:C,2,FALSE))</f>
        <v/>
      </c>
      <c r="H2039" s="25" t="str">
        <f t="shared" si="409"/>
        <v/>
      </c>
      <c r="L2039" s="13">
        <f t="shared" si="412"/>
        <v>196361.57084594559</v>
      </c>
      <c r="M2039" s="14">
        <f t="shared" si="413"/>
        <v>-1522.3379277120832</v>
      </c>
      <c r="N2039" s="14">
        <f t="shared" si="414"/>
        <v>23.240574573229363</v>
      </c>
      <c r="O2039" s="1">
        <f t="shared" si="415"/>
        <v>2.9447316627891391</v>
      </c>
      <c r="P2039" s="1">
        <f t="shared" si="416"/>
        <v>1846.1750465289729</v>
      </c>
      <c r="S2039" s="6">
        <f t="shared" si="410"/>
        <v>0.51844183589416248</v>
      </c>
      <c r="T2039" s="6">
        <f t="shared" si="411"/>
        <v>0.48155816410583779</v>
      </c>
      <c r="V2039" s="1">
        <f t="shared" si="417"/>
        <v>194340.32290131145</v>
      </c>
      <c r="W2039" s="7">
        <f t="shared" si="418"/>
        <v>-7.6053780356700575E-3</v>
      </c>
      <c r="X2039" s="7">
        <f t="shared" si="419"/>
        <v>-5.9742140728656582E-3</v>
      </c>
      <c r="Y2039">
        <f>LN(B2039/B2038)</f>
        <v>-1.4843194708171872E-2</v>
      </c>
      <c r="Z2039">
        <f>LN(C2039/C2038)</f>
        <v>2.4580741995583612E-4</v>
      </c>
    </row>
    <row r="2040" spans="1:26" x14ac:dyDescent="0.3">
      <c r="A2040" s="11">
        <v>43187</v>
      </c>
      <c r="B2040" s="12">
        <v>34583.54</v>
      </c>
      <c r="C2040" s="12">
        <v>51.2317429</v>
      </c>
      <c r="D2040" s="16">
        <f t="shared" si="421"/>
        <v>3.6533605855315621E-4</v>
      </c>
      <c r="E2040" s="15">
        <f t="shared" si="420"/>
        <v>2.4585335518212403E-4</v>
      </c>
      <c r="G2040" s="25" t="str">
        <f>IF(VLOOKUP(A2040,Aux!B:C,2,FALSE)=0,"",VLOOKUP(A2040,Aux!B:C,2,FALSE))</f>
        <v/>
      </c>
      <c r="H2040" s="25" t="str">
        <f t="shared" si="409"/>
        <v/>
      </c>
      <c r="L2040" s="13">
        <f t="shared" si="412"/>
        <v>196422.01058150255</v>
      </c>
      <c r="M2040" s="14">
        <f t="shared" si="413"/>
        <v>37.191960901019115</v>
      </c>
      <c r="N2040" s="14">
        <f t="shared" si="414"/>
        <v>23.24777465591626</v>
      </c>
      <c r="O2040" s="1">
        <f t="shared" si="415"/>
        <v>2.9447316627891391</v>
      </c>
      <c r="P2040" s="1">
        <f t="shared" si="416"/>
        <v>1846.1750465289729</v>
      </c>
      <c r="S2040" s="6">
        <f t="shared" si="410"/>
        <v>0.5184716567549742</v>
      </c>
      <c r="T2040" s="6">
        <f t="shared" si="411"/>
        <v>0.48152834324502597</v>
      </c>
      <c r="V2040" s="1">
        <f t="shared" si="417"/>
        <v>194397.6316199195</v>
      </c>
      <c r="W2040" s="7">
        <f t="shared" si="418"/>
        <v>3.0775082713139324E-4</v>
      </c>
      <c r="X2040" s="7">
        <f t="shared" si="419"/>
        <v>2.9484498931312713E-4</v>
      </c>
      <c r="Y2040">
        <f>LN(B2040/B2039)</f>
        <v>3.6526933958471862E-4</v>
      </c>
      <c r="Z2040">
        <f>LN(C2040/C2039)</f>
        <v>2.4582313819852662E-4</v>
      </c>
    </row>
    <row r="2041" spans="1:26" x14ac:dyDescent="0.3">
      <c r="A2041" s="9">
        <v>43188</v>
      </c>
      <c r="B2041" s="1">
        <v>35186.46</v>
      </c>
      <c r="C2041" s="1">
        <v>51.244335200000002</v>
      </c>
      <c r="D2041" s="6">
        <f t="shared" si="421"/>
        <v>1.7433727143028044E-2</v>
      </c>
      <c r="E2041" s="5">
        <f t="shared" si="420"/>
        <v>2.4579097425170282E-4</v>
      </c>
      <c r="G2041" s="25" t="str">
        <f>IF(VLOOKUP(A2041,Aux!B:C,2,FALSE)=0,"",VLOOKUP(A2041,Aux!B:C,2,FALSE))</f>
        <v/>
      </c>
      <c r="H2041" s="25" t="str">
        <f t="shared" si="409"/>
        <v/>
      </c>
      <c r="L2041" s="13">
        <f t="shared" si="412"/>
        <v>198220.69578566976</v>
      </c>
      <c r="M2041" s="14">
        <f t="shared" si="413"/>
        <v>1775.4376141288226</v>
      </c>
      <c r="N2041" s="14">
        <f t="shared" si="414"/>
        <v>23.247590038409452</v>
      </c>
      <c r="O2041" s="1">
        <f t="shared" si="415"/>
        <v>2.9447316627891391</v>
      </c>
      <c r="P2041" s="1">
        <f t="shared" si="416"/>
        <v>1846.1750465289729</v>
      </c>
      <c r="S2041" s="6">
        <f t="shared" si="410"/>
        <v>0.52272383795635069</v>
      </c>
      <c r="T2041" s="6">
        <f t="shared" si="411"/>
        <v>0.47727616204364959</v>
      </c>
      <c r="V2041" s="1">
        <f t="shared" si="417"/>
        <v>195816.75979326898</v>
      </c>
      <c r="W2041" s="7">
        <f t="shared" si="418"/>
        <v>9.1155753296969441E-3</v>
      </c>
      <c r="X2041" s="7">
        <f t="shared" si="419"/>
        <v>7.273613998911084E-3</v>
      </c>
      <c r="Y2041">
        <f>LN(B2041/B2040)</f>
        <v>1.7283503184400095E-2</v>
      </c>
      <c r="Z2041">
        <f>LN(C2041/C2040)</f>
        <v>2.4576077259895208E-4</v>
      </c>
    </row>
    <row r="2042" spans="1:26" x14ac:dyDescent="0.3">
      <c r="A2042" s="11">
        <v>43192</v>
      </c>
      <c r="B2042" s="12">
        <v>34871.47</v>
      </c>
      <c r="C2042" s="12">
        <v>51.256931299999998</v>
      </c>
      <c r="D2042" s="16">
        <f t="shared" si="421"/>
        <v>-8.9520230224920949E-3</v>
      </c>
      <c r="E2042" s="15">
        <f t="shared" si="420"/>
        <v>2.4580473043189777E-4</v>
      </c>
      <c r="G2042" s="25" t="str">
        <f>IF(VLOOKUP(A2042,Aux!B:C,2,FALSE)=0,"",VLOOKUP(A2042,Aux!B:C,2,FALSE))</f>
        <v/>
      </c>
      <c r="H2042" s="25" t="str">
        <f t="shared" si="409"/>
        <v/>
      </c>
      <c r="L2042" s="13">
        <f t="shared" si="412"/>
        <v>197316.38936471139</v>
      </c>
      <c r="M2042" s="14">
        <f t="shared" si="413"/>
        <v>-927.56102646194495</v>
      </c>
      <c r="N2042" s="14">
        <f t="shared" si="414"/>
        <v>23.254605503576421</v>
      </c>
      <c r="O2042" s="1">
        <f t="shared" si="415"/>
        <v>2.9447316627891391</v>
      </c>
      <c r="P2042" s="1">
        <f t="shared" si="416"/>
        <v>1846.1750465289729</v>
      </c>
      <c r="S2042" s="6">
        <f t="shared" si="410"/>
        <v>0.52041861381924537</v>
      </c>
      <c r="T2042" s="6">
        <f t="shared" si="411"/>
        <v>0.47958138618075496</v>
      </c>
      <c r="V2042" s="1">
        <f t="shared" si="417"/>
        <v>195118.24598905822</v>
      </c>
      <c r="W2042" s="7">
        <f t="shared" si="418"/>
        <v>-4.5725573177966428E-3</v>
      </c>
      <c r="X2042" s="7">
        <f t="shared" si="419"/>
        <v>-3.5735584546412297E-3</v>
      </c>
      <c r="Y2042">
        <f>LN(B2042/B2041)</f>
        <v>-8.9923331322720942E-3</v>
      </c>
      <c r="Z2042">
        <f>LN(C2042/C2041)</f>
        <v>2.4577452539873839E-4</v>
      </c>
    </row>
    <row r="2043" spans="1:26" x14ac:dyDescent="0.3">
      <c r="A2043" s="9">
        <v>43193</v>
      </c>
      <c r="B2043" s="1">
        <v>34857.339999999997</v>
      </c>
      <c r="C2043" s="1">
        <v>51.269535099999999</v>
      </c>
      <c r="D2043" s="6">
        <f t="shared" si="421"/>
        <v>-4.0520230434804017E-4</v>
      </c>
      <c r="E2043" s="5">
        <f t="shared" si="420"/>
        <v>2.4589454889989426E-4</v>
      </c>
      <c r="G2043" s="25" t="str">
        <f>IF(VLOOKUP(A2043,Aux!B:C,2,FALSE)=0,"",VLOOKUP(A2043,Aux!B:C,2,FALSE))</f>
        <v/>
      </c>
      <c r="H2043" s="25" t="str">
        <f t="shared" si="409"/>
        <v/>
      </c>
      <c r="L2043" s="13">
        <f t="shared" si="412"/>
        <v>197298.04912736759</v>
      </c>
      <c r="M2043" s="14">
        <f t="shared" si="413"/>
        <v>-41.609058395224245</v>
      </c>
      <c r="N2043" s="14">
        <f t="shared" si="414"/>
        <v>23.268821051443403</v>
      </c>
      <c r="O2043" s="1">
        <f t="shared" si="415"/>
        <v>2.9447316627891391</v>
      </c>
      <c r="P2043" s="1">
        <f t="shared" si="416"/>
        <v>1846.1750465289729</v>
      </c>
      <c r="S2043" s="6">
        <f t="shared" si="410"/>
        <v>0.52025609595532585</v>
      </c>
      <c r="T2043" s="6">
        <f t="shared" si="411"/>
        <v>0.47974390404467449</v>
      </c>
      <c r="V2043" s="1">
        <f t="shared" si="417"/>
        <v>195113.84395490651</v>
      </c>
      <c r="W2043" s="7">
        <f t="shared" si="418"/>
        <v>-9.2952692897319735E-5</v>
      </c>
      <c r="X2043" s="7">
        <f t="shared" si="419"/>
        <v>-2.2561107942425519E-5</v>
      </c>
      <c r="Y2043">
        <f>LN(B2043/B2042)</f>
        <v>-4.0528442098508089E-4</v>
      </c>
      <c r="Z2043">
        <f>LN(C2043/C2042)</f>
        <v>2.4586432179032436E-4</v>
      </c>
    </row>
    <row r="2044" spans="1:26" x14ac:dyDescent="0.3">
      <c r="A2044" s="11">
        <v>43194</v>
      </c>
      <c r="B2044" s="12">
        <v>34751.5</v>
      </c>
      <c r="C2044" s="12">
        <v>51.282134999999997</v>
      </c>
      <c r="D2044" s="16">
        <f t="shared" si="421"/>
        <v>-3.0363762696751229E-3</v>
      </c>
      <c r="E2044" s="15">
        <f t="shared" si="420"/>
        <v>2.4575803106907657E-4</v>
      </c>
      <c r="G2044" s="25" t="str">
        <f>IF(VLOOKUP(A2044,Aux!B:C,2,FALSE)=0,"",VLOOKUP(A2044,Aux!B:C,2,FALSE))</f>
        <v/>
      </c>
      <c r="H2044" s="25" t="str">
        <f t="shared" si="409"/>
        <v/>
      </c>
      <c r="L2044" s="13">
        <f t="shared" si="412"/>
        <v>197009.64034914674</v>
      </c>
      <c r="M2044" s="14">
        <f t="shared" si="413"/>
        <v>-311.67039918959222</v>
      </c>
      <c r="N2044" s="14">
        <f t="shared" si="414"/>
        <v>23.261620968756507</v>
      </c>
      <c r="O2044" s="1">
        <f t="shared" si="415"/>
        <v>2.9447316627891391</v>
      </c>
      <c r="P2044" s="1">
        <f t="shared" si="416"/>
        <v>1846.1750465289729</v>
      </c>
      <c r="S2044" s="6">
        <f t="shared" si="410"/>
        <v>0.51943570983662257</v>
      </c>
      <c r="T2044" s="6">
        <f t="shared" si="411"/>
        <v>0.48056429016337782</v>
      </c>
      <c r="V2044" s="1">
        <f t="shared" si="417"/>
        <v>194897.8550179053</v>
      </c>
      <c r="W2044" s="7">
        <f t="shared" si="418"/>
        <v>-1.4628618074163592E-3</v>
      </c>
      <c r="X2044" s="7">
        <f t="shared" si="419"/>
        <v>-1.1076024624442631E-3</v>
      </c>
      <c r="Y2044">
        <f>LN(B2044/B2043)</f>
        <v>-3.0409954127747344E-3</v>
      </c>
      <c r="Z2044">
        <f>LN(C2044/C2043)</f>
        <v>2.4572783751093072E-4</v>
      </c>
    </row>
    <row r="2045" spans="1:26" x14ac:dyDescent="0.3">
      <c r="A2045" s="9">
        <v>43195</v>
      </c>
      <c r="B2045" s="1">
        <v>35088.559999999998</v>
      </c>
      <c r="C2045" s="1">
        <v>51.294742599999999</v>
      </c>
      <c r="D2045" s="6">
        <f t="shared" si="421"/>
        <v>9.6991496769922581E-3</v>
      </c>
      <c r="E2045" s="5">
        <f t="shared" si="420"/>
        <v>2.4584779865355344E-4</v>
      </c>
      <c r="G2045" s="25" t="str">
        <f>IF(VLOOKUP(A2045,Aux!B:C,2,FALSE)=0,"",VLOOKUP(A2045,Aux!B:C,2,FALSE))</f>
        <v/>
      </c>
      <c r="H2045" s="25" t="str">
        <f t="shared" si="409"/>
        <v/>
      </c>
      <c r="L2045" s="13">
        <f t="shared" si="412"/>
        <v>198025.46743992309</v>
      </c>
      <c r="M2045" s="14">
        <f t="shared" si="413"/>
        <v>992.55125425970039</v>
      </c>
      <c r="N2045" s="14">
        <f t="shared" si="414"/>
        <v>23.275836516623489</v>
      </c>
      <c r="O2045" s="1">
        <f t="shared" si="415"/>
        <v>2.9447316627891391</v>
      </c>
      <c r="P2045" s="1">
        <f t="shared" si="416"/>
        <v>1846.1750465289729</v>
      </c>
      <c r="S2045" s="6">
        <f t="shared" si="410"/>
        <v>0.52178335932989839</v>
      </c>
      <c r="T2045" s="6">
        <f t="shared" si="411"/>
        <v>0.478216640670102</v>
      </c>
      <c r="V2045" s="1">
        <f t="shared" si="417"/>
        <v>195703.66909954889</v>
      </c>
      <c r="W2045" s="7">
        <f t="shared" si="418"/>
        <v>5.1429825340627115E-3</v>
      </c>
      <c r="X2045" s="7">
        <f t="shared" si="419"/>
        <v>4.1260219178579881E-3</v>
      </c>
      <c r="Y2045">
        <f>LN(B2045/B2044)</f>
        <v>9.6524148736708455E-3</v>
      </c>
      <c r="Z2045">
        <f>LN(C2045/C2044)</f>
        <v>2.4581758303569601E-4</v>
      </c>
    </row>
    <row r="2046" spans="1:26" x14ac:dyDescent="0.3">
      <c r="A2046" s="11">
        <v>43196</v>
      </c>
      <c r="B2046" s="12">
        <v>34945.370000000003</v>
      </c>
      <c r="C2046" s="12">
        <v>51.307353999999997</v>
      </c>
      <c r="D2046" s="16">
        <f t="shared" si="421"/>
        <v>-4.0808172236191931E-3</v>
      </c>
      <c r="E2046" s="15">
        <f t="shared" si="420"/>
        <v>2.4586145403526771E-4</v>
      </c>
      <c r="G2046" s="25" t="str">
        <f>IF(VLOOKUP(A2046,Aux!B:C,2,FALSE)=0,"",VLOOKUP(A2046,Aux!B:C,2,FALSE))</f>
        <v/>
      </c>
      <c r="H2046" s="25" t="str">
        <f t="shared" si="409"/>
        <v/>
      </c>
      <c r="L2046" s="13">
        <f t="shared" si="412"/>
        <v>197627.09416511012</v>
      </c>
      <c r="M2046" s="14">
        <f t="shared" si="413"/>
        <v>-421.65612679476226</v>
      </c>
      <c r="N2046" s="14">
        <f t="shared" si="414"/>
        <v>23.282851981790458</v>
      </c>
      <c r="O2046" s="1">
        <f t="shared" si="415"/>
        <v>2.9447316627891391</v>
      </c>
      <c r="P2046" s="1">
        <f t="shared" si="416"/>
        <v>1846.1750465289729</v>
      </c>
      <c r="S2046" s="6">
        <f t="shared" si="410"/>
        <v>0.52070156646086496</v>
      </c>
      <c r="T2046" s="6">
        <f t="shared" si="411"/>
        <v>0.47929843353913532</v>
      </c>
      <c r="V2046" s="1">
        <f t="shared" si="417"/>
        <v>195401.53813306094</v>
      </c>
      <c r="W2046" s="7">
        <f t="shared" si="418"/>
        <v>-2.0137537228149364E-3</v>
      </c>
      <c r="X2046" s="7">
        <f t="shared" si="419"/>
        <v>-1.5450115263163802E-3</v>
      </c>
      <c r="Y2046">
        <f>LN(B2046/B2045)</f>
        <v>-4.0891664804943361E-3</v>
      </c>
      <c r="Z2046">
        <f>LN(C2046/C2045)</f>
        <v>2.4583123506099672E-4</v>
      </c>
    </row>
    <row r="2047" spans="1:26" x14ac:dyDescent="0.3">
      <c r="A2047" s="9">
        <v>43199</v>
      </c>
      <c r="B2047" s="1">
        <v>34336.699999999997</v>
      </c>
      <c r="C2047" s="1">
        <v>51.319965400000001</v>
      </c>
      <c r="D2047" s="6">
        <f t="shared" si="421"/>
        <v>-1.7417758060653155E-2</v>
      </c>
      <c r="E2047" s="5">
        <f t="shared" si="420"/>
        <v>2.4580102103888279E-4</v>
      </c>
      <c r="G2047" s="25" t="str">
        <f>IF(VLOOKUP(A2047,Aux!B:C,2,FALSE)=0,"",VLOOKUP(A2047,Aux!B:C,2,FALSE))</f>
        <v/>
      </c>
      <c r="H2047" s="25" t="str">
        <f t="shared" si="409"/>
        <v/>
      </c>
      <c r="L2047" s="13">
        <f t="shared" si="412"/>
        <v>195858.00719590206</v>
      </c>
      <c r="M2047" s="14">
        <f t="shared" si="413"/>
        <v>-1792.3698211898816</v>
      </c>
      <c r="N2047" s="14">
        <f t="shared" si="414"/>
        <v>23.282851981803574</v>
      </c>
      <c r="O2047" s="1">
        <f t="shared" si="415"/>
        <v>2.9447316627891391</v>
      </c>
      <c r="P2047" s="1">
        <f t="shared" si="416"/>
        <v>1846.1750465289729</v>
      </c>
      <c r="S2047" s="6">
        <f t="shared" si="410"/>
        <v>0.51625342835514865</v>
      </c>
      <c r="T2047" s="6">
        <f t="shared" si="411"/>
        <v>0.48374657164485152</v>
      </c>
      <c r="V2047" s="1">
        <f t="shared" si="417"/>
        <v>194025.52852399545</v>
      </c>
      <c r="W2047" s="7">
        <f t="shared" si="418"/>
        <v>-8.9919485289475728E-3</v>
      </c>
      <c r="X2047" s="7">
        <f t="shared" si="419"/>
        <v>-7.0668705564907253E-3</v>
      </c>
      <c r="Y2047">
        <f>LN(B2047/B2046)</f>
        <v>-1.7571231933444634E-2</v>
      </c>
      <c r="Z2047">
        <f>LN(C2047/C2046)</f>
        <v>2.4577081691727886E-4</v>
      </c>
    </row>
    <row r="2048" spans="1:26" x14ac:dyDescent="0.3">
      <c r="A2048" s="11">
        <v>43200</v>
      </c>
      <c r="B2048" s="12">
        <v>34794.58</v>
      </c>
      <c r="C2048" s="12">
        <v>51.3325806</v>
      </c>
      <c r="D2048" s="16">
        <f t="shared" si="421"/>
        <v>1.333500307251434E-2</v>
      </c>
      <c r="E2048" s="15">
        <f t="shared" si="420"/>
        <v>2.4581466300044319E-4</v>
      </c>
      <c r="G2048" s="25" t="str">
        <f>IF(VLOOKUP(A2048,Aux!B:C,2,FALSE)=0,"",VLOOKUP(A2048,Aux!B:C,2,FALSE))</f>
        <v/>
      </c>
      <c r="H2048" s="25" t="str">
        <f t="shared" si="409"/>
        <v/>
      </c>
      <c r="L2048" s="13">
        <f t="shared" si="412"/>
        <v>197229.63079710692</v>
      </c>
      <c r="M2048" s="14">
        <f t="shared" si="413"/>
        <v>1348.3337337579048</v>
      </c>
      <c r="N2048" s="14">
        <f t="shared" si="414"/>
        <v>23.289867446970543</v>
      </c>
      <c r="O2048" s="1">
        <f t="shared" si="415"/>
        <v>2.9447316627891391</v>
      </c>
      <c r="P2048" s="1">
        <f t="shared" si="416"/>
        <v>1846.1750465289729</v>
      </c>
      <c r="S2048" s="6">
        <f t="shared" si="410"/>
        <v>0.5194995346558885</v>
      </c>
      <c r="T2048" s="6">
        <f t="shared" si="411"/>
        <v>0.48050046534411184</v>
      </c>
      <c r="V2048" s="1">
        <f t="shared" si="417"/>
        <v>195110.09557415202</v>
      </c>
      <c r="W2048" s="7">
        <f t="shared" si="418"/>
        <v>6.9787448673707085E-3</v>
      </c>
      <c r="X2048" s="7">
        <f t="shared" si="419"/>
        <v>5.5742511932659732E-3</v>
      </c>
      <c r="Y2048">
        <f>LN(B2048/B2047)</f>
        <v>1.3246874517591694E-2</v>
      </c>
      <c r="Z2048">
        <f>LN(C2048/C2047)</f>
        <v>2.4578445552636216E-4</v>
      </c>
    </row>
    <row r="2049" spans="1:26" x14ac:dyDescent="0.3">
      <c r="A2049" s="9">
        <v>43201</v>
      </c>
      <c r="B2049" s="1">
        <v>35069.51</v>
      </c>
      <c r="C2049" s="1">
        <v>51.345199600000001</v>
      </c>
      <c r="D2049" s="6">
        <f t="shared" si="421"/>
        <v>7.9015179950441272E-3</v>
      </c>
      <c r="E2049" s="5">
        <f t="shared" si="420"/>
        <v>2.4582828006125546E-4</v>
      </c>
      <c r="G2049" s="25" t="str">
        <f>IF(VLOOKUP(A2049,Aux!B:C,2,FALSE)=0,"",VLOOKUP(A2049,Aux!B:C,2,FALSE))</f>
        <v/>
      </c>
      <c r="H2049" s="25" t="str">
        <f t="shared" si="409"/>
        <v/>
      </c>
      <c r="L2049" s="13">
        <f t="shared" si="412"/>
        <v>198062.52275606967</v>
      </c>
      <c r="M2049" s="14">
        <f t="shared" si="413"/>
        <v>809.5950760506189</v>
      </c>
      <c r="N2049" s="14">
        <f t="shared" si="414"/>
        <v>23.296882912150629</v>
      </c>
      <c r="O2049" s="1">
        <f t="shared" si="415"/>
        <v>2.9447316627891391</v>
      </c>
      <c r="P2049" s="1">
        <f t="shared" si="416"/>
        <v>1846.1750465289729</v>
      </c>
      <c r="S2049" s="6">
        <f t="shared" si="410"/>
        <v>0.52140250996745219</v>
      </c>
      <c r="T2049" s="6">
        <f t="shared" si="411"/>
        <v>0.4785974900325482</v>
      </c>
      <c r="V2049" s="1">
        <f t="shared" si="417"/>
        <v>195772.59907578662</v>
      </c>
      <c r="W2049" s="7">
        <f t="shared" si="418"/>
        <v>4.2140638716970467E-3</v>
      </c>
      <c r="X2049" s="7">
        <f t="shared" si="419"/>
        <v>3.3897849410311257E-3</v>
      </c>
      <c r="Y2049">
        <f>LN(B2049/B2048)</f>
        <v>7.8704644744398006E-3</v>
      </c>
      <c r="Z2049">
        <f>LN(C2049/C2048)</f>
        <v>2.4579806924063117E-4</v>
      </c>
    </row>
    <row r="2050" spans="1:26" x14ac:dyDescent="0.3">
      <c r="A2050" s="11">
        <v>43202</v>
      </c>
      <c r="B2050" s="12">
        <v>35158.29</v>
      </c>
      <c r="C2050" s="12">
        <v>51.357822400000003</v>
      </c>
      <c r="D2050" s="16">
        <f t="shared" si="421"/>
        <v>2.5315437826192166E-3</v>
      </c>
      <c r="E2050" s="15">
        <f t="shared" si="420"/>
        <v>2.4584187223619658E-4</v>
      </c>
      <c r="G2050" s="25" t="str">
        <f>IF(VLOOKUP(A2050,Aux!B:C,2,FALSE)=0,"",VLOOKUP(A2050,Aux!B:C,2,FALSE))</f>
        <v/>
      </c>
      <c r="H2050" s="25" t="str">
        <f t="shared" si="409"/>
        <v/>
      </c>
      <c r="L2050" s="13">
        <f t="shared" si="412"/>
        <v>198347.25993146942</v>
      </c>
      <c r="M2050" s="14">
        <f t="shared" si="413"/>
        <v>261.43327702241635</v>
      </c>
      <c r="N2050" s="14">
        <f t="shared" si="414"/>
        <v>23.303898377330718</v>
      </c>
      <c r="O2050" s="1">
        <f t="shared" si="415"/>
        <v>2.9447316627891391</v>
      </c>
      <c r="P2050" s="1">
        <f t="shared" si="416"/>
        <v>1846.1750465289729</v>
      </c>
      <c r="S2050" s="6">
        <f t="shared" si="410"/>
        <v>0.52197206963329779</v>
      </c>
      <c r="T2050" s="6">
        <f t="shared" si="411"/>
        <v>0.4780279303667026</v>
      </c>
      <c r="V2050" s="1">
        <f t="shared" si="417"/>
        <v>196005.65651696277</v>
      </c>
      <c r="W2050" s="7">
        <f t="shared" si="418"/>
        <v>1.4365802096935169E-3</v>
      </c>
      <c r="X2050" s="7">
        <f t="shared" si="419"/>
        <v>1.1897417242533884E-3</v>
      </c>
      <c r="Y2050">
        <f>LN(B2050/B2049)</f>
        <v>2.5283448233903677E-3</v>
      </c>
      <c r="Z2050">
        <f>LN(C2050/C2049)</f>
        <v>2.4581165807496016E-4</v>
      </c>
    </row>
    <row r="2051" spans="1:26" x14ac:dyDescent="0.3">
      <c r="A2051" s="9">
        <v>43203</v>
      </c>
      <c r="B2051" s="1">
        <v>34721.660000000003</v>
      </c>
      <c r="C2051" s="1">
        <v>51.370449100000002</v>
      </c>
      <c r="D2051" s="6">
        <f t="shared" si="421"/>
        <v>-1.2418977145930543E-2</v>
      </c>
      <c r="E2051" s="5">
        <f t="shared" si="420"/>
        <v>2.4585738666371704E-4</v>
      </c>
      <c r="G2051" s="25" t="str">
        <f>IF(VLOOKUP(A2051,Aux!B:C,2,FALSE)=0,"",VLOOKUP(A2051,Aux!B:C,2,FALSE))</f>
        <v/>
      </c>
      <c r="H2051" s="25" t="str">
        <f t="shared" ref="H2051:H2114" si="422">IF(ISNUMBER(G2051),1-G2051,"")</f>
        <v/>
      </c>
      <c r="L2051" s="13">
        <f t="shared" si="412"/>
        <v>197084.81284400579</v>
      </c>
      <c r="M2051" s="14">
        <f t="shared" si="413"/>
        <v>-1285.7581859236141</v>
      </c>
      <c r="N2051" s="14">
        <f t="shared" si="414"/>
        <v>23.311098460004494</v>
      </c>
      <c r="O2051" s="1">
        <f t="shared" si="415"/>
        <v>2.9447316627891391</v>
      </c>
      <c r="P2051" s="1">
        <f t="shared" si="416"/>
        <v>1846.1750465289729</v>
      </c>
      <c r="S2051" s="6">
        <f t="shared" ref="S2051:S2114" si="423">O2051*B2051/L2051</f>
        <v>0.5187917329151468</v>
      </c>
      <c r="T2051" s="6">
        <f t="shared" ref="T2051:T2114" si="424">P2051*C2051/L2051</f>
        <v>0.48120826708485365</v>
      </c>
      <c r="V2051" s="1">
        <f t="shared" si="417"/>
        <v>195026.58343401537</v>
      </c>
      <c r="W2051" s="7">
        <f t="shared" si="418"/>
        <v>-6.3851744134528002E-3</v>
      </c>
      <c r="X2051" s="7">
        <f t="shared" si="419"/>
        <v>-5.007644019563981E-3</v>
      </c>
      <c r="Y2051">
        <f>LN(B2051/B2050)</f>
        <v>-1.2496737112833722E-2</v>
      </c>
      <c r="Z2051">
        <f>LN(C2051/C2050)</f>
        <v>2.4582716868920182E-4</v>
      </c>
    </row>
    <row r="2052" spans="1:26" x14ac:dyDescent="0.3">
      <c r="A2052" s="11">
        <v>43206</v>
      </c>
      <c r="B2052" s="12">
        <v>34119.230000000003</v>
      </c>
      <c r="C2052" s="12">
        <v>51.383075699999999</v>
      </c>
      <c r="D2052" s="16">
        <f t="shared" si="421"/>
        <v>-1.7350264935489856E-2</v>
      </c>
      <c r="E2052" s="15">
        <f t="shared" si="420"/>
        <v>2.4579500902199847E-4</v>
      </c>
      <c r="G2052" s="25" t="str">
        <f>IF(VLOOKUP(A2052,Aux!B:C,2,FALSE)=0,"",VLOOKUP(A2052,Aux!B:C,2,FALSE))</f>
        <v/>
      </c>
      <c r="H2052" s="25" t="str">
        <f t="shared" si="422"/>
        <v/>
      </c>
      <c r="L2052" s="13">
        <f t="shared" ref="L2052:L2115" si="425">L2051+M2052+N2052</f>
        <v>195334.12906223422</v>
      </c>
      <c r="M2052" s="14">
        <f t="shared" ref="M2052:M2115" si="426">O2051*(B2052-B2051)</f>
        <v>-1773.994695614062</v>
      </c>
      <c r="N2052" s="14">
        <f t="shared" ref="N2052:N2115" si="427">P2051*(C2052-C2051)</f>
        <v>23.310913842497683</v>
      </c>
      <c r="O2052" s="1">
        <f t="shared" ref="O2052:O2115" si="428">IF(ISNUMBER(G2052),L2052*G2052/B2052,O2051)</f>
        <v>2.9447316627891391</v>
      </c>
      <c r="P2052" s="1">
        <f t="shared" ref="P2052:P2115" si="429">IF(ISNUMBER(H2052),L2052*H2052/C2052,P2051)</f>
        <v>1846.1750465289729</v>
      </c>
      <c r="S2052" s="6">
        <f t="shared" si="423"/>
        <v>0.51435956109326042</v>
      </c>
      <c r="T2052" s="6">
        <f t="shared" si="424"/>
        <v>0.48564043890674008</v>
      </c>
      <c r="V2052" s="1">
        <f t="shared" ref="V2052:V2115" si="430">$O$2*B2052+$P$2*C2052</f>
        <v>193665.00372763968</v>
      </c>
      <c r="W2052" s="7">
        <f t="shared" ref="W2052:W2115" si="431">LN(L2052/L2051)</f>
        <v>-8.9225835427013088E-3</v>
      </c>
      <c r="X2052" s="7">
        <f t="shared" ref="X2052:X2115" si="432">LN(V2052/V2051)</f>
        <v>-7.0059930322737994E-3</v>
      </c>
      <c r="Y2052">
        <f>LN(B2052/B2051)</f>
        <v>-1.7502544749458619E-2</v>
      </c>
      <c r="Z2052">
        <f>LN(C2052/C2051)</f>
        <v>2.4576480637777319E-4</v>
      </c>
    </row>
    <row r="2053" spans="1:26" x14ac:dyDescent="0.3">
      <c r="A2053" s="9">
        <v>43207</v>
      </c>
      <c r="B2053" s="1">
        <v>34635.410000000003</v>
      </c>
      <c r="C2053" s="1">
        <v>51.395710000000001</v>
      </c>
      <c r="D2053" s="6">
        <f t="shared" si="421"/>
        <v>1.5128711873040546E-2</v>
      </c>
      <c r="E2053" s="5">
        <f t="shared" ref="E2053:E2116" si="433">C2053/C2052-1</f>
        <v>2.4588446347140192E-4</v>
      </c>
      <c r="G2053" s="25" t="str">
        <f>IF(VLOOKUP(A2053,Aux!B:C,2,FALSE)=0,"",VLOOKUP(A2053,Aux!B:C,2,FALSE))</f>
        <v/>
      </c>
      <c r="H2053" s="25" t="str">
        <f t="shared" si="422"/>
        <v/>
      </c>
      <c r="L2053" s="13">
        <f t="shared" si="425"/>
        <v>196877.46578132309</v>
      </c>
      <c r="M2053" s="14">
        <f t="shared" si="426"/>
        <v>1520.0115896984987</v>
      </c>
      <c r="N2053" s="14">
        <f t="shared" si="427"/>
        <v>23.325129390364669</v>
      </c>
      <c r="O2053" s="1">
        <f t="shared" si="428"/>
        <v>2.9447316627891391</v>
      </c>
      <c r="P2053" s="1">
        <f t="shared" si="429"/>
        <v>1846.1750465289729</v>
      </c>
      <c r="S2053" s="6">
        <f t="shared" si="423"/>
        <v>0.51804805631726658</v>
      </c>
      <c r="T2053" s="6">
        <f t="shared" si="424"/>
        <v>0.48195194368273392</v>
      </c>
      <c r="V2053" s="1">
        <f t="shared" si="430"/>
        <v>194884.11364637112</v>
      </c>
      <c r="W2053" s="7">
        <f t="shared" si="431"/>
        <v>7.869959506960884E-3</v>
      </c>
      <c r="X2053" s="7">
        <f t="shared" si="432"/>
        <v>6.2752113684134926E-3</v>
      </c>
      <c r="Y2053">
        <f>LN(B2053/B2052)</f>
        <v>1.5015414181210414E-2</v>
      </c>
      <c r="Z2053">
        <f>LN(C2053/C2052)</f>
        <v>2.4585423884112341E-4</v>
      </c>
    </row>
    <row r="2054" spans="1:26" x14ac:dyDescent="0.3">
      <c r="A2054" s="11">
        <v>43208</v>
      </c>
      <c r="B2054" s="12">
        <v>35319.19</v>
      </c>
      <c r="C2054" s="12">
        <v>51.408344300000003</v>
      </c>
      <c r="D2054" s="16">
        <f t="shared" si="421"/>
        <v>1.9742223348879095E-2</v>
      </c>
      <c r="E2054" s="15">
        <f t="shared" si="433"/>
        <v>2.4582401916428687E-4</v>
      </c>
      <c r="G2054" s="25" t="str">
        <f>IF(VLOOKUP(A2054,Aux!B:C,2,FALSE)=0,"",VLOOKUP(A2054,Aux!B:C,2,FALSE))</f>
        <v/>
      </c>
      <c r="H2054" s="25" t="str">
        <f t="shared" si="422"/>
        <v/>
      </c>
      <c r="L2054" s="13">
        <f t="shared" si="425"/>
        <v>198914.33952709541</v>
      </c>
      <c r="M2054" s="14">
        <f t="shared" si="426"/>
        <v>2013.5486163819542</v>
      </c>
      <c r="N2054" s="14">
        <f t="shared" si="427"/>
        <v>23.325129390364669</v>
      </c>
      <c r="O2054" s="1">
        <f t="shared" si="428"/>
        <v>2.9447316627891391</v>
      </c>
      <c r="P2054" s="1">
        <f t="shared" si="429"/>
        <v>1846.1750465289729</v>
      </c>
      <c r="S2054" s="6">
        <f t="shared" si="423"/>
        <v>0.5228659600123915</v>
      </c>
      <c r="T2054" s="6">
        <f t="shared" si="424"/>
        <v>0.47713403998760895</v>
      </c>
      <c r="V2054" s="1">
        <f t="shared" si="430"/>
        <v>196489.88262778195</v>
      </c>
      <c r="W2054" s="7">
        <f t="shared" si="431"/>
        <v>1.0292743309577119E-2</v>
      </c>
      <c r="X2054" s="7">
        <f t="shared" si="432"/>
        <v>8.2058491733600723E-3</v>
      </c>
      <c r="Y2054">
        <f>LN(B2054/B2053)</f>
        <v>1.9549873149560134E-2</v>
      </c>
      <c r="Z2054">
        <f>LN(C2054/C2053)</f>
        <v>2.4579380939084505E-4</v>
      </c>
    </row>
    <row r="2055" spans="1:26" x14ac:dyDescent="0.3">
      <c r="A2055" s="9">
        <v>43209</v>
      </c>
      <c r="B2055" s="1">
        <v>35354.160000000003</v>
      </c>
      <c r="C2055" s="1">
        <v>51.4209824</v>
      </c>
      <c r="D2055" s="6">
        <f t="shared" si="421"/>
        <v>9.9011330667542197E-4</v>
      </c>
      <c r="E2055" s="5">
        <f t="shared" si="433"/>
        <v>2.458375225282694E-4</v>
      </c>
      <c r="G2055" s="25" t="str">
        <f>IF(VLOOKUP(A2055,Aux!B:C,2,FALSE)=0,"",VLOOKUP(A2055,Aux!B:C,2,FALSE))</f>
        <v/>
      </c>
      <c r="H2055" s="25" t="str">
        <f t="shared" si="422"/>
        <v/>
      </c>
      <c r="L2055" s="13">
        <f t="shared" si="425"/>
        <v>199040.64893819866</v>
      </c>
      <c r="M2055" s="14">
        <f t="shared" si="426"/>
        <v>102.97726624773962</v>
      </c>
      <c r="N2055" s="14">
        <f t="shared" si="427"/>
        <v>23.332144855531634</v>
      </c>
      <c r="O2055" s="1">
        <f t="shared" si="428"/>
        <v>2.9447316627891391</v>
      </c>
      <c r="P2055" s="1">
        <f t="shared" si="429"/>
        <v>1846.1750465289729</v>
      </c>
      <c r="S2055" s="6">
        <f t="shared" si="423"/>
        <v>0.52305152198151528</v>
      </c>
      <c r="T2055" s="6">
        <f t="shared" si="424"/>
        <v>0.47694847801848528</v>
      </c>
      <c r="V2055" s="1">
        <f t="shared" si="430"/>
        <v>196598.83274480089</v>
      </c>
      <c r="W2055" s="7">
        <f t="shared" si="431"/>
        <v>6.3479247153984885E-4</v>
      </c>
      <c r="X2055" s="7">
        <f t="shared" si="432"/>
        <v>5.5432840246003045E-4</v>
      </c>
      <c r="Y2055">
        <f>LN(B2055/B2054)</f>
        <v>9.8962346779938996E-4</v>
      </c>
      <c r="Z2055">
        <f>LN(C2055/C2054)</f>
        <v>2.4580730943610105E-4</v>
      </c>
    </row>
    <row r="2056" spans="1:26" x14ac:dyDescent="0.3">
      <c r="A2056" s="11">
        <v>43210</v>
      </c>
      <c r="B2056" s="12">
        <v>35269.51</v>
      </c>
      <c r="C2056" s="12">
        <v>51.433620500000004</v>
      </c>
      <c r="D2056" s="16">
        <f t="shared" si="421"/>
        <v>-2.3943434096581617E-3</v>
      </c>
      <c r="E2056" s="15">
        <f t="shared" si="433"/>
        <v>2.4577710129491948E-4</v>
      </c>
      <c r="G2056" s="25" t="str">
        <f>IF(VLOOKUP(A2056,Aux!B:C,2,FALSE)=0,"",VLOOKUP(A2056,Aux!B:C,2,FALSE))</f>
        <v/>
      </c>
      <c r="H2056" s="25" t="str">
        <f t="shared" si="422"/>
        <v/>
      </c>
      <c r="L2056" s="13">
        <f t="shared" si="425"/>
        <v>198814.70954779911</v>
      </c>
      <c r="M2056" s="14">
        <f t="shared" si="426"/>
        <v>-249.27153525510491</v>
      </c>
      <c r="N2056" s="14">
        <f t="shared" si="427"/>
        <v>23.332144855544755</v>
      </c>
      <c r="O2056" s="1">
        <f t="shared" si="428"/>
        <v>2.9447316627891391</v>
      </c>
      <c r="P2056" s="1">
        <f t="shared" si="429"/>
        <v>1846.1750465289729</v>
      </c>
      <c r="S2056" s="6">
        <f t="shared" si="423"/>
        <v>0.52239214625660435</v>
      </c>
      <c r="T2056" s="6">
        <f t="shared" si="424"/>
        <v>0.47760785374339626</v>
      </c>
      <c r="V2056" s="1">
        <f t="shared" si="430"/>
        <v>196431.81533748982</v>
      </c>
      <c r="W2056" s="7">
        <f t="shared" si="431"/>
        <v>-1.1357867117740565E-3</v>
      </c>
      <c r="X2056" s="7">
        <f t="shared" si="432"/>
        <v>-8.4989513250097713E-4</v>
      </c>
      <c r="Y2056">
        <f>LN(B2056/B2055)</f>
        <v>-2.3972144335668698E-3</v>
      </c>
      <c r="Z2056">
        <f>LN(C2056/C2055)</f>
        <v>2.4574690305108224E-4</v>
      </c>
    </row>
    <row r="2057" spans="1:26" x14ac:dyDescent="0.3">
      <c r="A2057" s="9">
        <v>43213</v>
      </c>
      <c r="B2057" s="1">
        <v>35299.949999999997</v>
      </c>
      <c r="C2057" s="1">
        <v>51.446266199999997</v>
      </c>
      <c r="D2057" s="6">
        <f t="shared" si="421"/>
        <v>8.6306841234806697E-4</v>
      </c>
      <c r="E2057" s="5">
        <f t="shared" si="433"/>
        <v>2.4586447302477055E-4</v>
      </c>
      <c r="G2057" s="25" t="str">
        <f>IF(VLOOKUP(A2057,Aux!B:C,2,FALSE)=0,"",VLOOKUP(A2057,Aux!B:C,2,FALSE))</f>
        <v/>
      </c>
      <c r="H2057" s="25" t="str">
        <f t="shared" si="422"/>
        <v/>
      </c>
      <c r="L2057" s="13">
        <f t="shared" si="425"/>
        <v>198927.69335540026</v>
      </c>
      <c r="M2057" s="14">
        <f t="shared" si="426"/>
        <v>89.637631815286824</v>
      </c>
      <c r="N2057" s="14">
        <f t="shared" si="427"/>
        <v>23.346175785878692</v>
      </c>
      <c r="O2057" s="1">
        <f t="shared" si="428"/>
        <v>2.9447316627891391</v>
      </c>
      <c r="P2057" s="1">
        <f t="shared" si="429"/>
        <v>1846.1750465289729</v>
      </c>
      <c r="S2057" s="6">
        <f t="shared" si="423"/>
        <v>0.52254605030864387</v>
      </c>
      <c r="T2057" s="6">
        <f t="shared" si="424"/>
        <v>0.47745394969135674</v>
      </c>
      <c r="V2057" s="1">
        <f t="shared" si="430"/>
        <v>196530.33158825518</v>
      </c>
      <c r="W2057" s="7">
        <f t="shared" si="431"/>
        <v>5.6812554967948633E-4</v>
      </c>
      <c r="X2057" s="7">
        <f t="shared" si="432"/>
        <v>5.0140327051863439E-4</v>
      </c>
      <c r="Y2057">
        <f>LN(B2057/B2056)</f>
        <v>8.6269618296342309E-4</v>
      </c>
      <c r="Z2057">
        <f>LN(C2057/C2056)</f>
        <v>2.4583425330842426E-4</v>
      </c>
    </row>
    <row r="2058" spans="1:26" x14ac:dyDescent="0.3">
      <c r="A2058" s="11">
        <v>43214</v>
      </c>
      <c r="B2058" s="12">
        <v>35217.14</v>
      </c>
      <c r="C2058" s="12">
        <v>51.458911899999997</v>
      </c>
      <c r="D2058" s="16">
        <f t="shared" si="421"/>
        <v>-2.3458956740731729E-3</v>
      </c>
      <c r="E2058" s="15">
        <f t="shared" si="433"/>
        <v>2.4580403854468358E-4</v>
      </c>
      <c r="G2058" s="25" t="str">
        <f>IF(VLOOKUP(A2058,Aux!B:C,2,FALSE)=0,"",VLOOKUP(A2058,Aux!B:C,2,FALSE))</f>
        <v/>
      </c>
      <c r="H2058" s="25" t="str">
        <f t="shared" si="422"/>
        <v/>
      </c>
      <c r="L2058" s="13">
        <f t="shared" si="425"/>
        <v>198707.18630219062</v>
      </c>
      <c r="M2058" s="14">
        <f t="shared" si="426"/>
        <v>-243.85322899556175</v>
      </c>
      <c r="N2058" s="14">
        <f t="shared" si="427"/>
        <v>23.346175785891809</v>
      </c>
      <c r="O2058" s="1">
        <f t="shared" si="428"/>
        <v>2.9447316627891391</v>
      </c>
      <c r="P2058" s="1">
        <f t="shared" si="429"/>
        <v>1846.1750465289729</v>
      </c>
      <c r="S2058" s="6">
        <f t="shared" si="423"/>
        <v>0.52189872525880865</v>
      </c>
      <c r="T2058" s="6">
        <f t="shared" si="424"/>
        <v>0.47810127474119174</v>
      </c>
      <c r="V2058" s="1">
        <f t="shared" si="430"/>
        <v>196367.57612751436</v>
      </c>
      <c r="W2058" s="7">
        <f t="shared" si="431"/>
        <v>-1.1090932264448848E-3</v>
      </c>
      <c r="X2058" s="7">
        <f t="shared" si="432"/>
        <v>-8.2848733400767518E-4</v>
      </c>
      <c r="Y2058">
        <f>LN(B2058/B2057)</f>
        <v>-2.3486515982473603E-3</v>
      </c>
      <c r="Z2058">
        <f>LN(C2058/C2057)</f>
        <v>2.4577383368155133E-4</v>
      </c>
    </row>
    <row r="2059" spans="1:26" x14ac:dyDescent="0.3">
      <c r="A2059" s="9">
        <v>43215</v>
      </c>
      <c r="B2059" s="1">
        <v>35061.14</v>
      </c>
      <c r="C2059" s="1">
        <v>51.471561399999999</v>
      </c>
      <c r="D2059" s="6">
        <f t="shared" si="421"/>
        <v>-4.4296612388172729E-3</v>
      </c>
      <c r="E2059" s="5">
        <f t="shared" si="433"/>
        <v>2.4581747909047102E-4</v>
      </c>
      <c r="G2059" s="25" t="str">
        <f>IF(VLOOKUP(A2059,Aux!B:C,2,FALSE)=0,"",VLOOKUP(A2059,Aux!B:C,2,FALSE))</f>
        <v/>
      </c>
      <c r="H2059" s="25" t="str">
        <f t="shared" si="422"/>
        <v/>
      </c>
      <c r="L2059" s="13">
        <f t="shared" si="425"/>
        <v>198271.16135404661</v>
      </c>
      <c r="M2059" s="14">
        <f t="shared" si="426"/>
        <v>-459.37813939510568</v>
      </c>
      <c r="N2059" s="14">
        <f t="shared" si="427"/>
        <v>23.353191251071895</v>
      </c>
      <c r="O2059" s="1">
        <f t="shared" si="428"/>
        <v>2.9447316627891391</v>
      </c>
      <c r="P2059" s="1">
        <f t="shared" si="429"/>
        <v>1846.1750465289729</v>
      </c>
      <c r="S2059" s="6">
        <f t="shared" si="423"/>
        <v>0.52072953215379747</v>
      </c>
      <c r="T2059" s="6">
        <f t="shared" si="424"/>
        <v>0.47927046784620275</v>
      </c>
      <c r="V2059" s="1">
        <f t="shared" si="430"/>
        <v>196035.97727767701</v>
      </c>
      <c r="W2059" s="7">
        <f t="shared" si="431"/>
        <v>-2.1967199272084556E-3</v>
      </c>
      <c r="X2059" s="7">
        <f t="shared" si="432"/>
        <v>-1.6900913658483253E-3</v>
      </c>
      <c r="Y2059">
        <f>LN(B2059/B2058)</f>
        <v>-4.4395012575477255E-3</v>
      </c>
      <c r="Z2059">
        <f>LN(C2059/C2058)</f>
        <v>2.4578727092431995E-4</v>
      </c>
    </row>
    <row r="2060" spans="1:26" x14ac:dyDescent="0.3">
      <c r="A2060" s="11">
        <v>43216</v>
      </c>
      <c r="B2060" s="12">
        <v>35587.660000000003</v>
      </c>
      <c r="C2060" s="12">
        <v>51.484214799999997</v>
      </c>
      <c r="D2060" s="16">
        <f t="shared" si="421"/>
        <v>1.5017195675896655E-2</v>
      </c>
      <c r="E2060" s="15">
        <f t="shared" si="433"/>
        <v>2.4583283770351905E-4</v>
      </c>
      <c r="G2060" s="25" t="str">
        <f>IF(VLOOKUP(A2060,Aux!B:C,2,FALSE)=0,"",VLOOKUP(A2060,Aux!B:C,2,FALSE))</f>
        <v/>
      </c>
      <c r="H2060" s="25" t="str">
        <f t="shared" si="422"/>
        <v/>
      </c>
      <c r="L2060" s="13">
        <f t="shared" si="425"/>
        <v>199844.98186047212</v>
      </c>
      <c r="M2060" s="14">
        <f t="shared" si="426"/>
        <v>1550.4601150917495</v>
      </c>
      <c r="N2060" s="14">
        <f t="shared" si="427"/>
        <v>23.360391333745675</v>
      </c>
      <c r="O2060" s="1">
        <f t="shared" si="428"/>
        <v>2.9447316627891391</v>
      </c>
      <c r="P2060" s="1">
        <f t="shared" si="429"/>
        <v>1846.1750465289729</v>
      </c>
      <c r="S2060" s="6">
        <f t="shared" si="423"/>
        <v>0.52438699351350815</v>
      </c>
      <c r="T2060" s="6">
        <f t="shared" si="424"/>
        <v>0.47561300648649213</v>
      </c>
      <c r="V2060" s="1">
        <f t="shared" si="430"/>
        <v>197278.98466733363</v>
      </c>
      <c r="W2060" s="7">
        <f t="shared" si="431"/>
        <v>7.9063797419163129E-3</v>
      </c>
      <c r="X2060" s="7">
        <f t="shared" si="432"/>
        <v>6.3206928198492208E-3</v>
      </c>
      <c r="Y2060">
        <f>LN(B2060/B2059)</f>
        <v>1.4905553902851715E-2</v>
      </c>
      <c r="Z2060">
        <f>LN(C2060/C2059)</f>
        <v>2.4580262576276234E-4</v>
      </c>
    </row>
    <row r="2061" spans="1:26" x14ac:dyDescent="0.3">
      <c r="A2061" s="9">
        <v>43217</v>
      </c>
      <c r="B2061" s="1">
        <v>35608.25</v>
      </c>
      <c r="C2061" s="1">
        <v>51.496871900000002</v>
      </c>
      <c r="D2061" s="6">
        <f t="shared" si="421"/>
        <v>5.7857133624406032E-4</v>
      </c>
      <c r="E2061" s="5">
        <f t="shared" si="433"/>
        <v>2.4584428546048365E-4</v>
      </c>
      <c r="G2061" s="25" t="str">
        <f>IF(VLOOKUP(A2061,Aux!B:C,2,FALSE)=0,"",VLOOKUP(A2061,Aux!B:C,2,FALSE))</f>
        <v/>
      </c>
      <c r="H2061" s="25" t="str">
        <f t="shared" si="422"/>
        <v/>
      </c>
      <c r="L2061" s="13">
        <f t="shared" si="425"/>
        <v>199928.98110759037</v>
      </c>
      <c r="M2061" s="14">
        <f t="shared" si="426"/>
        <v>60.632024936818091</v>
      </c>
      <c r="N2061" s="14">
        <f t="shared" si="427"/>
        <v>23.367222181432069</v>
      </c>
      <c r="O2061" s="1">
        <f t="shared" si="428"/>
        <v>2.9447316627891391</v>
      </c>
      <c r="P2061" s="1">
        <f t="shared" si="429"/>
        <v>1846.1750465289729</v>
      </c>
      <c r="S2061" s="6">
        <f t="shared" si="423"/>
        <v>0.52446994252965984</v>
      </c>
      <c r="T2061" s="6">
        <f t="shared" si="424"/>
        <v>0.47553005747034044</v>
      </c>
      <c r="V2061" s="1">
        <f t="shared" si="430"/>
        <v>197354.80212685425</v>
      </c>
      <c r="W2061" s="7">
        <f t="shared" si="431"/>
        <v>4.2023371272488112E-4</v>
      </c>
      <c r="X2061" s="7">
        <f t="shared" si="432"/>
        <v>3.8424211504714528E-4</v>
      </c>
      <c r="Y2061">
        <f>LN(B2061/B2060)</f>
        <v>5.7840402837841184E-4</v>
      </c>
      <c r="Z2061">
        <f>LN(C2061/C2060)</f>
        <v>2.4581407070611855E-4</v>
      </c>
    </row>
    <row r="2062" spans="1:26" x14ac:dyDescent="0.3">
      <c r="A2062" s="11">
        <v>43220</v>
      </c>
      <c r="B2062" s="12">
        <v>35474.07</v>
      </c>
      <c r="C2062" s="12">
        <v>51.509532899999996</v>
      </c>
      <c r="D2062" s="16">
        <f t="shared" si="421"/>
        <v>-3.7682278685416959E-3</v>
      </c>
      <c r="E2062" s="15">
        <f t="shared" si="433"/>
        <v>2.4585959365808208E-4</v>
      </c>
      <c r="G2062" s="25" t="str">
        <f>IF(VLOOKUP(A2062,Aux!B:C,2,FALSE)=0,"",VLOOKUP(A2062,Aux!B:C,2,FALSE))</f>
        <v/>
      </c>
      <c r="H2062" s="25" t="str">
        <f t="shared" si="422"/>
        <v/>
      </c>
      <c r="L2062" s="13">
        <f t="shared" si="425"/>
        <v>199557.23143534141</v>
      </c>
      <c r="M2062" s="14">
        <f t="shared" si="426"/>
        <v>-395.12409451304757</v>
      </c>
      <c r="N2062" s="14">
        <f t="shared" si="427"/>
        <v>23.374422264092729</v>
      </c>
      <c r="O2062" s="1">
        <f t="shared" si="428"/>
        <v>2.9447316627891391</v>
      </c>
      <c r="P2062" s="1">
        <f t="shared" si="429"/>
        <v>1846.1750465289729</v>
      </c>
      <c r="S2062" s="6">
        <f t="shared" si="423"/>
        <v>0.52346695925597142</v>
      </c>
      <c r="T2062" s="6">
        <f t="shared" si="424"/>
        <v>0.47653304074402886</v>
      </c>
      <c r="V2062" s="1">
        <f t="shared" si="430"/>
        <v>197073.56850730785</v>
      </c>
      <c r="W2062" s="7">
        <f t="shared" si="431"/>
        <v>-1.8611394730714695E-3</v>
      </c>
      <c r="X2062" s="7">
        <f t="shared" si="432"/>
        <v>-1.426031635367232E-3</v>
      </c>
      <c r="Y2062">
        <f>LN(B2062/B2061)</f>
        <v>-3.7753455254378771E-3</v>
      </c>
      <c r="Z2062">
        <f>LN(C2062/C2061)</f>
        <v>2.4582937514109194E-4</v>
      </c>
    </row>
    <row r="2063" spans="1:26" x14ac:dyDescent="0.3">
      <c r="A2063" s="9">
        <v>43222</v>
      </c>
      <c r="B2063" s="1">
        <v>34840.69</v>
      </c>
      <c r="C2063" s="1">
        <v>51.522193899999998</v>
      </c>
      <c r="D2063" s="6">
        <f t="shared" si="421"/>
        <v>-1.7854731639194377E-2</v>
      </c>
      <c r="E2063" s="5">
        <f t="shared" si="433"/>
        <v>2.4579916157629889E-4</v>
      </c>
      <c r="G2063" s="25" t="str">
        <f>IF(VLOOKUP(A2063,Aux!B:C,2,FALSE)=0,"",VLOOKUP(A2063,Aux!B:C,2,FALSE))</f>
        <v/>
      </c>
      <c r="H2063" s="25" t="str">
        <f t="shared" si="422"/>
        <v/>
      </c>
      <c r="L2063" s="13">
        <f t="shared" si="425"/>
        <v>197715.47171702815</v>
      </c>
      <c r="M2063" s="14">
        <f t="shared" si="426"/>
        <v>-1865.1341405773771</v>
      </c>
      <c r="N2063" s="14">
        <f t="shared" si="427"/>
        <v>23.374422264105846</v>
      </c>
      <c r="O2063" s="1">
        <f t="shared" si="428"/>
        <v>2.9447316627891391</v>
      </c>
      <c r="P2063" s="1">
        <f t="shared" si="429"/>
        <v>1846.1750465289729</v>
      </c>
      <c r="S2063" s="6">
        <f t="shared" si="423"/>
        <v>0.51890973480951341</v>
      </c>
      <c r="T2063" s="6">
        <f t="shared" si="424"/>
        <v>0.48109026519048675</v>
      </c>
      <c r="V2063" s="1">
        <f t="shared" si="430"/>
        <v>195640.66302565206</v>
      </c>
      <c r="W2063" s="7">
        <f t="shared" si="431"/>
        <v>-9.2720838788554385E-3</v>
      </c>
      <c r="X2063" s="7">
        <f t="shared" si="432"/>
        <v>-7.2974785505283864E-3</v>
      </c>
      <c r="Y2063">
        <f>LN(B2063/B2062)</f>
        <v>-1.8016050447417147E-2</v>
      </c>
      <c r="Z2063">
        <f>LN(C2063/C2062)</f>
        <v>2.4576895791163868E-4</v>
      </c>
    </row>
    <row r="2064" spans="1:26" x14ac:dyDescent="0.3">
      <c r="A2064" s="11">
        <v>43223</v>
      </c>
      <c r="B2064" s="12">
        <v>34312.080000000002</v>
      </c>
      <c r="C2064" s="12">
        <v>51.534858700000001</v>
      </c>
      <c r="D2064" s="16">
        <f t="shared" si="421"/>
        <v>-1.5172202387495837E-2</v>
      </c>
      <c r="E2064" s="15">
        <f t="shared" si="433"/>
        <v>2.4581251381849967E-4</v>
      </c>
      <c r="G2064" s="25" t="str">
        <f>IF(VLOOKUP(A2064,Aux!B:C,2,FALSE)=0,"",VLOOKUP(A2064,Aux!B:C,2,FALSE))</f>
        <v/>
      </c>
      <c r="H2064" s="25" t="str">
        <f t="shared" si="422"/>
        <v/>
      </c>
      <c r="L2064" s="13">
        <f t="shared" si="425"/>
        <v>196182.23855049047</v>
      </c>
      <c r="M2064" s="14">
        <f t="shared" si="426"/>
        <v>-1556.6146042669686</v>
      </c>
      <c r="N2064" s="14">
        <f t="shared" si="427"/>
        <v>23.381437729285931</v>
      </c>
      <c r="O2064" s="1">
        <f t="shared" si="428"/>
        <v>2.9447316627891391</v>
      </c>
      <c r="P2064" s="1">
        <f t="shared" si="429"/>
        <v>1846.1750465289729</v>
      </c>
      <c r="S2064" s="6">
        <f t="shared" si="423"/>
        <v>0.51503066301361333</v>
      </c>
      <c r="T2064" s="6">
        <f t="shared" si="424"/>
        <v>0.48496933698638689</v>
      </c>
      <c r="V2064" s="1">
        <f t="shared" si="430"/>
        <v>194449.4740999738</v>
      </c>
      <c r="W2064" s="7">
        <f t="shared" si="431"/>
        <v>-7.7849699052656811E-3</v>
      </c>
      <c r="X2064" s="7">
        <f t="shared" si="432"/>
        <v>-6.1072686273969225E-3</v>
      </c>
      <c r="Y2064">
        <f>LN(B2064/B2063)</f>
        <v>-1.5288477852556681E-2</v>
      </c>
      <c r="Z2064">
        <f>LN(C2064/C2063)</f>
        <v>2.4578230687258691E-4</v>
      </c>
    </row>
    <row r="2065" spans="1:26" x14ac:dyDescent="0.3">
      <c r="A2065" s="9">
        <v>43224</v>
      </c>
      <c r="B2065" s="1">
        <v>34221.449999999997</v>
      </c>
      <c r="C2065" s="1">
        <v>51.547527299999999</v>
      </c>
      <c r="D2065" s="6">
        <f t="shared" si="421"/>
        <v>-2.6413438066128503E-3</v>
      </c>
      <c r="E2065" s="5">
        <f t="shared" si="433"/>
        <v>2.4582584137355923E-4</v>
      </c>
      <c r="G2065" s="25" t="str">
        <f>IF(VLOOKUP(A2065,Aux!B:C,2,FALSE)=0,"",VLOOKUP(A2065,Aux!B:C,2,FALSE))</f>
        <v/>
      </c>
      <c r="H2065" s="25" t="str">
        <f t="shared" si="422"/>
        <v/>
      </c>
      <c r="L2065" s="13">
        <f t="shared" si="425"/>
        <v>195938.74597308633</v>
      </c>
      <c r="M2065" s="14">
        <f t="shared" si="426"/>
        <v>-266.88103059859338</v>
      </c>
      <c r="N2065" s="14">
        <f t="shared" si="427"/>
        <v>23.3884531944529</v>
      </c>
      <c r="O2065" s="1">
        <f t="shared" si="428"/>
        <v>2.9447316627891391</v>
      </c>
      <c r="P2065" s="1">
        <f t="shared" si="429"/>
        <v>1846.1750465289729</v>
      </c>
      <c r="S2065" s="6">
        <f t="shared" si="423"/>
        <v>0.51430862671437794</v>
      </c>
      <c r="T2065" s="6">
        <f t="shared" si="424"/>
        <v>0.48569137328562229</v>
      </c>
      <c r="V2065" s="1">
        <f t="shared" si="430"/>
        <v>194268.72885602131</v>
      </c>
      <c r="W2065" s="7">
        <f t="shared" si="431"/>
        <v>-1.2419259275117482E-3</v>
      </c>
      <c r="X2065" s="7">
        <f t="shared" si="432"/>
        <v>-9.2995519944257129E-4</v>
      </c>
      <c r="Y2065">
        <f>LN(B2065/B2064)</f>
        <v>-2.6448383099781244E-3</v>
      </c>
      <c r="Z2065">
        <f>LN(C2065/C2064)</f>
        <v>2.4579563115228304E-4</v>
      </c>
    </row>
    <row r="2066" spans="1:26" x14ac:dyDescent="0.3">
      <c r="A2066" s="11">
        <v>43227</v>
      </c>
      <c r="B2066" s="12">
        <v>34062.519999999997</v>
      </c>
      <c r="C2066" s="12">
        <v>51.560199699999998</v>
      </c>
      <c r="D2066" s="16">
        <f t="shared" si="421"/>
        <v>-4.6441632368002805E-3</v>
      </c>
      <c r="E2066" s="15">
        <f t="shared" si="433"/>
        <v>2.4583914425702069E-4</v>
      </c>
      <c r="G2066" s="25" t="str">
        <f>IF(VLOOKUP(A2066,Aux!B:C,2,FALSE)=0,"",VLOOKUP(A2066,Aux!B:C,2,FALSE))</f>
        <v/>
      </c>
      <c r="H2066" s="25" t="str">
        <f t="shared" si="422"/>
        <v/>
      </c>
      <c r="L2066" s="13">
        <f t="shared" si="425"/>
        <v>195494.13523857889</v>
      </c>
      <c r="M2066" s="14">
        <f t="shared" si="426"/>
        <v>-468.00620316707875</v>
      </c>
      <c r="N2066" s="14">
        <f t="shared" si="427"/>
        <v>23.395468659632989</v>
      </c>
      <c r="O2066" s="1">
        <f t="shared" si="428"/>
        <v>2.9447316627891391</v>
      </c>
      <c r="P2066" s="1">
        <f t="shared" si="429"/>
        <v>1846.1750465289729</v>
      </c>
      <c r="S2066" s="6">
        <f t="shared" si="423"/>
        <v>0.5130843492362428</v>
      </c>
      <c r="T2066" s="6">
        <f t="shared" si="424"/>
        <v>0.48691565076375731</v>
      </c>
      <c r="V2066" s="1">
        <f t="shared" si="430"/>
        <v>193930.42162402539</v>
      </c>
      <c r="W2066" s="7">
        <f t="shared" si="431"/>
        <v>-2.2717096445162327E-3</v>
      </c>
      <c r="X2066" s="7">
        <f t="shared" si="432"/>
        <v>-1.7429575372480619E-3</v>
      </c>
      <c r="Y2066">
        <f>LN(B2066/B2065)</f>
        <v>-4.6549808684443784E-3</v>
      </c>
      <c r="Z2066">
        <f>LN(C2066/C2065)</f>
        <v>2.458089307662672E-4</v>
      </c>
    </row>
    <row r="2067" spans="1:26" x14ac:dyDescent="0.3">
      <c r="A2067" s="9">
        <v>43228</v>
      </c>
      <c r="B2067" s="1">
        <v>34154.089999999997</v>
      </c>
      <c r="C2067" s="1">
        <v>51.572876000000001</v>
      </c>
      <c r="D2067" s="6">
        <f t="shared" si="421"/>
        <v>2.6882919995350196E-3</v>
      </c>
      <c r="E2067" s="5">
        <f t="shared" si="433"/>
        <v>2.4585436196433719E-4</v>
      </c>
      <c r="G2067" s="25" t="str">
        <f>IF(VLOOKUP(A2067,Aux!B:C,2,FALSE)=0,"",VLOOKUP(A2067,Aux!B:C,2,FALSE))</f>
        <v/>
      </c>
      <c r="H2067" s="25" t="str">
        <f t="shared" si="422"/>
        <v/>
      </c>
      <c r="L2067" s="13">
        <f t="shared" si="425"/>
        <v>195787.18698568281</v>
      </c>
      <c r="M2067" s="14">
        <f t="shared" si="426"/>
        <v>269.64907836160063</v>
      </c>
      <c r="N2067" s="14">
        <f t="shared" si="427"/>
        <v>23.402668742319886</v>
      </c>
      <c r="O2067" s="1">
        <f t="shared" si="428"/>
        <v>2.9447316627891391</v>
      </c>
      <c r="P2067" s="1">
        <f t="shared" si="429"/>
        <v>1846.1750465289729</v>
      </c>
      <c r="S2067" s="6">
        <f t="shared" si="423"/>
        <v>0.51369362717338873</v>
      </c>
      <c r="T2067" s="6">
        <f t="shared" si="424"/>
        <v>0.48630637282661143</v>
      </c>
      <c r="V2067" s="1">
        <f t="shared" si="430"/>
        <v>194170.0353793829</v>
      </c>
      <c r="W2067" s="7">
        <f t="shared" si="431"/>
        <v>1.4979084625461462E-3</v>
      </c>
      <c r="X2067" s="7">
        <f t="shared" si="432"/>
        <v>1.2348029046567147E-3</v>
      </c>
      <c r="Y2067">
        <f>LN(B2067/B2066)</f>
        <v>2.6846850055868353E-3</v>
      </c>
      <c r="Z2067">
        <f>LN(C2067/C2066)</f>
        <v>2.458241447332793E-4</v>
      </c>
    </row>
    <row r="2068" spans="1:26" x14ac:dyDescent="0.3">
      <c r="A2068" s="11">
        <v>43229</v>
      </c>
      <c r="B2068" s="12">
        <v>34674.239999999998</v>
      </c>
      <c r="C2068" s="12">
        <v>51.585555999999997</v>
      </c>
      <c r="D2068" s="16">
        <f t="shared" si="421"/>
        <v>1.5229508383915347E-2</v>
      </c>
      <c r="E2068" s="15">
        <f t="shared" si="433"/>
        <v>2.4586567559259365E-4</v>
      </c>
      <c r="G2068" s="25" t="str">
        <f>IF(VLOOKUP(A2068,Aux!B:C,2,FALSE)=0,"",VLOOKUP(A2068,Aux!B:C,2,FALSE))</f>
        <v/>
      </c>
      <c r="H2068" s="25" t="str">
        <f t="shared" si="422"/>
        <v/>
      </c>
      <c r="L2068" s="13">
        <f t="shared" si="425"/>
        <v>197342.29865967258</v>
      </c>
      <c r="M2068" s="14">
        <f t="shared" si="426"/>
        <v>1531.702174399775</v>
      </c>
      <c r="N2068" s="14">
        <f t="shared" si="427"/>
        <v>23.409499589980044</v>
      </c>
      <c r="O2068" s="1">
        <f t="shared" si="428"/>
        <v>2.9447316627891391</v>
      </c>
      <c r="P2068" s="1">
        <f t="shared" si="429"/>
        <v>1846.1750465289729</v>
      </c>
      <c r="S2068" s="6">
        <f t="shared" si="423"/>
        <v>0.51740723151926771</v>
      </c>
      <c r="T2068" s="6">
        <f t="shared" si="424"/>
        <v>0.48259276848073246</v>
      </c>
      <c r="V2068" s="1">
        <f t="shared" si="430"/>
        <v>195398.4064639392</v>
      </c>
      <c r="W2068" s="7">
        <f t="shared" si="431"/>
        <v>7.9114889225187762E-3</v>
      </c>
      <c r="X2068" s="7">
        <f t="shared" si="432"/>
        <v>6.3063381097175839E-3</v>
      </c>
      <c r="Y2068">
        <f>LN(B2068/B2067)</f>
        <v>1.5114703567636866E-2</v>
      </c>
      <c r="Z2068">
        <f>LN(C2068/C2067)</f>
        <v>2.4583545558065064E-4</v>
      </c>
    </row>
    <row r="2069" spans="1:26" x14ac:dyDescent="0.3">
      <c r="A2069" s="9">
        <v>43230</v>
      </c>
      <c r="B2069" s="1">
        <v>35323.449999999997</v>
      </c>
      <c r="C2069" s="1">
        <v>51.598236100000001</v>
      </c>
      <c r="D2069" s="6">
        <f t="shared" si="421"/>
        <v>1.8723121256587039E-2</v>
      </c>
      <c r="E2069" s="5">
        <f t="shared" si="433"/>
        <v>2.458071790483185E-4</v>
      </c>
      <c r="G2069" s="25" t="str">
        <f>IF(VLOOKUP(A2069,Aux!B:C,2,FALSE)=0,"",VLOOKUP(A2069,Aux!B:C,2,FALSE))</f>
        <v/>
      </c>
      <c r="H2069" s="25" t="str">
        <f t="shared" si="422"/>
        <v/>
      </c>
      <c r="L2069" s="13">
        <f t="shared" si="425"/>
        <v>199277.4575866794</v>
      </c>
      <c r="M2069" s="14">
        <f t="shared" si="426"/>
        <v>1911.7492427993345</v>
      </c>
      <c r="N2069" s="14">
        <f t="shared" si="427"/>
        <v>23.409684207499971</v>
      </c>
      <c r="O2069" s="1">
        <f t="shared" si="428"/>
        <v>2.9447316627891391</v>
      </c>
      <c r="P2069" s="1">
        <f t="shared" si="429"/>
        <v>1846.1750465289729</v>
      </c>
      <c r="S2069" s="6">
        <f t="shared" si="423"/>
        <v>0.52197615783362961</v>
      </c>
      <c r="T2069" s="6">
        <f t="shared" si="424"/>
        <v>0.47802384216637051</v>
      </c>
      <c r="V2069" s="1">
        <f t="shared" si="430"/>
        <v>196924.5237067517</v>
      </c>
      <c r="W2069" s="7">
        <f t="shared" si="431"/>
        <v>9.758335296289283E-3</v>
      </c>
      <c r="X2069" s="7">
        <f t="shared" si="432"/>
        <v>7.7799426090819747E-3</v>
      </c>
      <c r="Y2069">
        <f>LN(B2069/B2068)</f>
        <v>1.8550001182256488E-2</v>
      </c>
      <c r="Z2069">
        <f>LN(C2069/C2068)</f>
        <v>2.4577697341342253E-4</v>
      </c>
    </row>
    <row r="2070" spans="1:26" x14ac:dyDescent="0.3">
      <c r="A2070" s="11">
        <v>43231</v>
      </c>
      <c r="B2070" s="12">
        <v>35054.129999999997</v>
      </c>
      <c r="C2070" s="12">
        <v>51.61092</v>
      </c>
      <c r="D2070" s="16">
        <f t="shared" si="421"/>
        <v>-7.6243968242060145E-3</v>
      </c>
      <c r="E2070" s="15">
        <f t="shared" si="433"/>
        <v>2.458204186557289E-4</v>
      </c>
      <c r="G2070" s="25" t="str">
        <f>IF(VLOOKUP(A2070,Aux!B:C,2,FALSE)=0,"",VLOOKUP(A2070,Aux!B:C,2,FALSE))</f>
        <v/>
      </c>
      <c r="H2070" s="25" t="str">
        <f t="shared" si="422"/>
        <v/>
      </c>
      <c r="L2070" s="13">
        <f t="shared" si="425"/>
        <v>198507.7991549297</v>
      </c>
      <c r="M2070" s="14">
        <f t="shared" si="426"/>
        <v>-793.07513142237008</v>
      </c>
      <c r="N2070" s="14">
        <f t="shared" si="427"/>
        <v>23.41669967266694</v>
      </c>
      <c r="O2070" s="1">
        <f t="shared" si="428"/>
        <v>2.9447316627891391</v>
      </c>
      <c r="P2070" s="1">
        <f t="shared" si="429"/>
        <v>1846.1750465289729</v>
      </c>
      <c r="S2070" s="6">
        <f t="shared" si="423"/>
        <v>0.52000479055214577</v>
      </c>
      <c r="T2070" s="6">
        <f t="shared" si="424"/>
        <v>0.4799952094478544</v>
      </c>
      <c r="V2070" s="1">
        <f t="shared" si="430"/>
        <v>196331.5686103162</v>
      </c>
      <c r="W2070" s="7">
        <f t="shared" si="431"/>
        <v>-3.8697230687128352E-3</v>
      </c>
      <c r="X2070" s="7">
        <f t="shared" si="432"/>
        <v>-3.0156203928143298E-3</v>
      </c>
      <c r="Y2070">
        <f>LN(B2070/B2069)</f>
        <v>-7.6536111266964166E-3</v>
      </c>
      <c r="Z2070">
        <f>LN(C2070/C2069)</f>
        <v>2.4579020976715456E-4</v>
      </c>
    </row>
    <row r="2071" spans="1:26" x14ac:dyDescent="0.3">
      <c r="A2071" s="9">
        <v>43234</v>
      </c>
      <c r="B2071" s="1">
        <v>35015.79</v>
      </c>
      <c r="C2071" s="1">
        <v>51.6236076</v>
      </c>
      <c r="D2071" s="6">
        <f t="shared" si="421"/>
        <v>-1.0937370289890724E-3</v>
      </c>
      <c r="E2071" s="5">
        <f t="shared" si="433"/>
        <v>2.458316960829432E-4</v>
      </c>
      <c r="G2071" s="25" t="str">
        <f>IF(VLOOKUP(A2071,Aux!B:C,2,FALSE)=0,"",VLOOKUP(A2071,Aux!B:C,2,FALSE))</f>
        <v/>
      </c>
      <c r="H2071" s="25" t="str">
        <f t="shared" si="422"/>
        <v/>
      </c>
      <c r="L2071" s="13">
        <f t="shared" si="425"/>
        <v>198418.32167349872</v>
      </c>
      <c r="M2071" s="14">
        <f t="shared" si="426"/>
        <v>-112.90101195132532</v>
      </c>
      <c r="N2071" s="14">
        <f t="shared" si="427"/>
        <v>23.423530520340215</v>
      </c>
      <c r="O2071" s="1">
        <f t="shared" si="428"/>
        <v>2.9447316627891391</v>
      </c>
      <c r="P2071" s="1">
        <f t="shared" si="429"/>
        <v>1846.1750465289729</v>
      </c>
      <c r="S2071" s="6">
        <f t="shared" si="423"/>
        <v>0.5196702836759618</v>
      </c>
      <c r="T2071" s="6">
        <f t="shared" si="424"/>
        <v>0.48032971632403837</v>
      </c>
      <c r="V2071" s="1">
        <f t="shared" si="430"/>
        <v>196271.50073099445</v>
      </c>
      <c r="W2071" s="7">
        <f t="shared" si="431"/>
        <v>-4.508520767536301E-4</v>
      </c>
      <c r="X2071" s="7">
        <f t="shared" si="432"/>
        <v>-3.0599801418376569E-4</v>
      </c>
      <c r="Y2071">
        <f>LN(B2071/B2070)</f>
        <v>-1.0943355958229737E-3</v>
      </c>
      <c r="Z2071">
        <f>LN(C2071/C2070)</f>
        <v>2.4580148442276473E-4</v>
      </c>
    </row>
    <row r="2072" spans="1:26" x14ac:dyDescent="0.3">
      <c r="A2072" s="11">
        <v>43235</v>
      </c>
      <c r="B2072" s="12">
        <v>34946.379999999997</v>
      </c>
      <c r="C2072" s="12">
        <v>51.636299100000002</v>
      </c>
      <c r="D2072" s="16">
        <f t="shared" si="421"/>
        <v>-1.9822485798550726E-3</v>
      </c>
      <c r="E2072" s="15">
        <f t="shared" si="433"/>
        <v>2.4584682454475981E-4</v>
      </c>
      <c r="G2072" s="25" t="str">
        <f>IF(VLOOKUP(A2072,Aux!B:C,2,FALSE)=0,"",VLOOKUP(A2072,Aux!B:C,2,FALSE))</f>
        <v/>
      </c>
      <c r="H2072" s="25" t="str">
        <f t="shared" si="422"/>
        <v/>
      </c>
      <c r="L2072" s="13">
        <f t="shared" si="425"/>
        <v>198237.35857938754</v>
      </c>
      <c r="M2072" s="14">
        <f t="shared" si="426"/>
        <v>-204.39382471420444</v>
      </c>
      <c r="N2072" s="14">
        <f t="shared" si="427"/>
        <v>23.430730603027111</v>
      </c>
      <c r="O2072" s="1">
        <f t="shared" si="428"/>
        <v>2.9447316627891391</v>
      </c>
      <c r="P2072" s="1">
        <f t="shared" si="429"/>
        <v>1846.1750465289729</v>
      </c>
      <c r="S2072" s="6">
        <f t="shared" si="423"/>
        <v>0.51911361422145841</v>
      </c>
      <c r="T2072" s="6">
        <f t="shared" si="424"/>
        <v>0.48088638577854176</v>
      </c>
      <c r="V2072" s="1">
        <f t="shared" si="430"/>
        <v>196139.76199965487</v>
      </c>
      <c r="W2072" s="7">
        <f t="shared" si="431"/>
        <v>-9.1244429703337825E-4</v>
      </c>
      <c r="X2072" s="7">
        <f t="shared" si="432"/>
        <v>-6.7143198374103785E-4</v>
      </c>
      <c r="Y2072">
        <f>LN(B2072/B2071)</f>
        <v>-1.9842158347265879E-3</v>
      </c>
      <c r="Z2072">
        <f>LN(C2072/C2071)</f>
        <v>2.4581660916632556E-4</v>
      </c>
    </row>
    <row r="2073" spans="1:26" x14ac:dyDescent="0.3">
      <c r="A2073" s="9">
        <v>43236</v>
      </c>
      <c r="B2073" s="1">
        <v>35509.410000000003</v>
      </c>
      <c r="C2073" s="1">
        <v>51.648990599999998</v>
      </c>
      <c r="D2073" s="6">
        <f t="shared" si="421"/>
        <v>1.6111253869499631E-2</v>
      </c>
      <c r="E2073" s="5">
        <f t="shared" si="433"/>
        <v>2.4578639873884534E-4</v>
      </c>
      <c r="G2073" s="25" t="str">
        <f>IF(VLOOKUP(A2073,Aux!B:C,2,FALSE)=0,"",VLOOKUP(A2073,Aux!B:C,2,FALSE))</f>
        <v/>
      </c>
      <c r="H2073" s="25" t="str">
        <f t="shared" si="422"/>
        <v/>
      </c>
      <c r="L2073" s="13">
        <f t="shared" si="425"/>
        <v>199918.76157809075</v>
      </c>
      <c r="M2073" s="14">
        <f t="shared" si="426"/>
        <v>1657.972268100187</v>
      </c>
      <c r="N2073" s="14">
        <f t="shared" si="427"/>
        <v>23.430730603013995</v>
      </c>
      <c r="O2073" s="1">
        <f t="shared" si="428"/>
        <v>2.9447316627891391</v>
      </c>
      <c r="P2073" s="1">
        <f t="shared" si="429"/>
        <v>1846.1750465289729</v>
      </c>
      <c r="S2073" s="6">
        <f t="shared" si="423"/>
        <v>0.52304087484613915</v>
      </c>
      <c r="T2073" s="6">
        <f t="shared" si="424"/>
        <v>0.47695912515386096</v>
      </c>
      <c r="V2073" s="1">
        <f t="shared" si="430"/>
        <v>197467.08447118491</v>
      </c>
      <c r="W2073" s="7">
        <f t="shared" si="431"/>
        <v>8.4459984854744624E-3</v>
      </c>
      <c r="X2073" s="7">
        <f t="shared" si="432"/>
        <v>6.7444330036196534E-3</v>
      </c>
      <c r="Y2073">
        <f>LN(B2073/B2072)</f>
        <v>1.5982845001459984E-2</v>
      </c>
      <c r="Z2073">
        <f>LN(C2073/C2072)</f>
        <v>2.4575619821042759E-4</v>
      </c>
    </row>
    <row r="2074" spans="1:26" x14ac:dyDescent="0.3">
      <c r="A2074" s="11">
        <v>43237</v>
      </c>
      <c r="B2074" s="12">
        <v>34314.76</v>
      </c>
      <c r="C2074" s="12">
        <v>51.661689799999998</v>
      </c>
      <c r="D2074" s="16">
        <f t="shared" si="421"/>
        <v>-3.3643194860179304E-2</v>
      </c>
      <c r="E2074" s="15">
        <f t="shared" si="433"/>
        <v>2.4587508589180018E-4</v>
      </c>
      <c r="G2074" s="25" t="str">
        <f>IF(VLOOKUP(A2074,Aux!B:C,2,FALSE)=0,"",VLOOKUP(A2074,Aux!B:C,2,FALSE))</f>
        <v/>
      </c>
      <c r="H2074" s="25" t="str">
        <f t="shared" si="422"/>
        <v/>
      </c>
      <c r="L2074" s="13">
        <f t="shared" si="425"/>
        <v>196424.28284329057</v>
      </c>
      <c r="M2074" s="14">
        <f t="shared" si="426"/>
        <v>-3517.9236809510494</v>
      </c>
      <c r="N2074" s="14">
        <f t="shared" si="427"/>
        <v>23.444946150880977</v>
      </c>
      <c r="O2074" s="1">
        <f t="shared" si="428"/>
        <v>2.9447316627891391</v>
      </c>
      <c r="P2074" s="1">
        <f t="shared" si="429"/>
        <v>1846.1750465289729</v>
      </c>
      <c r="S2074" s="6">
        <f t="shared" si="423"/>
        <v>0.51443619297124921</v>
      </c>
      <c r="T2074" s="6">
        <f t="shared" si="424"/>
        <v>0.48556380702875107</v>
      </c>
      <c r="V2074" s="1">
        <f t="shared" si="430"/>
        <v>194739.39492465946</v>
      </c>
      <c r="W2074" s="7">
        <f t="shared" si="431"/>
        <v>-1.763406391090331E-2</v>
      </c>
      <c r="X2074" s="7">
        <f t="shared" si="432"/>
        <v>-1.3909681093783955E-2</v>
      </c>
      <c r="Y2074">
        <f>LN(B2074/B2073)</f>
        <v>-3.4222149468744287E-2</v>
      </c>
      <c r="Z2074">
        <f>LN(C2074/C2073)</f>
        <v>2.4584486356671206E-4</v>
      </c>
    </row>
    <row r="2075" spans="1:26" x14ac:dyDescent="0.3">
      <c r="A2075" s="9">
        <v>43238</v>
      </c>
      <c r="B2075" s="1">
        <v>34090.910000000003</v>
      </c>
      <c r="C2075" s="1">
        <v>51.674388899999997</v>
      </c>
      <c r="D2075" s="6">
        <f t="shared" ref="D2075:D2138" si="434">B2075/B2074-1</f>
        <v>-6.5234318992759555E-3</v>
      </c>
      <c r="E2075" s="5">
        <f t="shared" si="433"/>
        <v>2.4581271052426246E-4</v>
      </c>
      <c r="G2075" s="25" t="str">
        <f>IF(VLOOKUP(A2075,Aux!B:C,2,FALSE)=0,"",VLOOKUP(A2075,Aux!B:C,2,FALSE))</f>
        <v/>
      </c>
      <c r="H2075" s="25" t="str">
        <f t="shared" si="422"/>
        <v/>
      </c>
      <c r="L2075" s="13">
        <f t="shared" si="425"/>
        <v>195788.5494221086</v>
      </c>
      <c r="M2075" s="14">
        <f t="shared" si="426"/>
        <v>-659.17818271534452</v>
      </c>
      <c r="N2075" s="14">
        <f t="shared" si="427"/>
        <v>23.444761533374166</v>
      </c>
      <c r="O2075" s="1">
        <f t="shared" si="428"/>
        <v>2.9447316627891391</v>
      </c>
      <c r="P2075" s="1">
        <f t="shared" si="429"/>
        <v>1846.1750465289729</v>
      </c>
      <c r="S2075" s="6">
        <f t="shared" si="423"/>
        <v>0.51273980213144654</v>
      </c>
      <c r="T2075" s="6">
        <f t="shared" si="424"/>
        <v>0.48726019786855368</v>
      </c>
      <c r="V2075" s="1">
        <f t="shared" si="430"/>
        <v>194251.37471318649</v>
      </c>
      <c r="W2075" s="7">
        <f t="shared" si="431"/>
        <v>-3.2417806131479331E-3</v>
      </c>
      <c r="X2075" s="7">
        <f t="shared" si="432"/>
        <v>-2.5091621992518903E-3</v>
      </c>
      <c r="Y2075">
        <f>LN(B2075/B2074)</f>
        <v>-6.5448024714968691E-3</v>
      </c>
      <c r="Z2075">
        <f>LN(C2075/C2074)</f>
        <v>2.4578250353000887E-4</v>
      </c>
    </row>
    <row r="2076" spans="1:26" x14ac:dyDescent="0.3">
      <c r="A2076" s="11">
        <v>43241</v>
      </c>
      <c r="B2076" s="12">
        <v>33612.14</v>
      </c>
      <c r="C2076" s="12">
        <v>51.687091799999997</v>
      </c>
      <c r="D2076" s="16">
        <f t="shared" si="434"/>
        <v>-1.404391962549556E-2</v>
      </c>
      <c r="E2076" s="15">
        <f t="shared" si="433"/>
        <v>2.4582583888088649E-4</v>
      </c>
      <c r="G2076" s="25" t="str">
        <f>IF(VLOOKUP(A2076,Aux!B:C,2,FALSE)=0,"",VLOOKUP(A2076,Aux!B:C,2,FALSE))</f>
        <v/>
      </c>
      <c r="H2076" s="25" t="str">
        <f t="shared" si="422"/>
        <v/>
      </c>
      <c r="L2076" s="13">
        <f t="shared" si="425"/>
        <v>194402.15202091358</v>
      </c>
      <c r="M2076" s="14">
        <f t="shared" si="426"/>
        <v>-1409.8491781935682</v>
      </c>
      <c r="N2076" s="14">
        <f t="shared" si="427"/>
        <v>23.451776998554251</v>
      </c>
      <c r="O2076" s="1">
        <f t="shared" si="428"/>
        <v>2.9447316627891391</v>
      </c>
      <c r="P2076" s="1">
        <f t="shared" si="429"/>
        <v>1846.1750465289729</v>
      </c>
      <c r="S2076" s="6">
        <f t="shared" si="423"/>
        <v>0.50914422439857199</v>
      </c>
      <c r="T2076" s="6">
        <f t="shared" si="424"/>
        <v>0.49085577560142823</v>
      </c>
      <c r="V2076" s="1">
        <f t="shared" si="430"/>
        <v>193175.25364566757</v>
      </c>
      <c r="W2076" s="7">
        <f t="shared" si="431"/>
        <v>-7.106285364584069E-3</v>
      </c>
      <c r="X2076" s="7">
        <f t="shared" si="432"/>
        <v>-5.5552393988098974E-3</v>
      </c>
      <c r="Y2076">
        <f>LN(B2076/B2075)</f>
        <v>-1.4143468602306518E-2</v>
      </c>
      <c r="Z2076">
        <f>LN(C2076/C2075)</f>
        <v>2.4579562866022288E-4</v>
      </c>
    </row>
    <row r="2077" spans="1:26" x14ac:dyDescent="0.3">
      <c r="A2077" s="9">
        <v>43242</v>
      </c>
      <c r="B2077" s="1">
        <v>34018.9</v>
      </c>
      <c r="C2077" s="1">
        <v>51.699798600000001</v>
      </c>
      <c r="D2077" s="6">
        <f t="shared" si="434"/>
        <v>1.2101579964858056E-2</v>
      </c>
      <c r="E2077" s="5">
        <f t="shared" si="433"/>
        <v>2.4584087743173555E-4</v>
      </c>
      <c r="G2077" s="25" t="str">
        <f>IF(VLOOKUP(A2077,Aux!B:C,2,FALSE)=0,"",VLOOKUP(A2077,Aux!B:C,2,FALSE))</f>
        <v/>
      </c>
      <c r="H2077" s="25" t="str">
        <f t="shared" si="422"/>
        <v/>
      </c>
      <c r="L2077" s="13">
        <f t="shared" si="425"/>
        <v>195623.41004915093</v>
      </c>
      <c r="M2077" s="14">
        <f t="shared" si="426"/>
        <v>1197.7990511561163</v>
      </c>
      <c r="N2077" s="14">
        <f t="shared" si="427"/>
        <v>23.458977081241148</v>
      </c>
      <c r="O2077" s="1">
        <f t="shared" si="428"/>
        <v>2.9447316627891391</v>
      </c>
      <c r="P2077" s="1">
        <f t="shared" si="429"/>
        <v>1846.1750465289729</v>
      </c>
      <c r="S2077" s="6">
        <f t="shared" si="423"/>
        <v>0.51208867046171935</v>
      </c>
      <c r="T2077" s="6">
        <f t="shared" si="424"/>
        <v>0.48791132953828092</v>
      </c>
      <c r="V2077" s="1">
        <f t="shared" si="430"/>
        <v>194142.08998897043</v>
      </c>
      <c r="W2077" s="7">
        <f t="shared" si="431"/>
        <v>6.262471685618675E-3</v>
      </c>
      <c r="X2077" s="7">
        <f t="shared" si="432"/>
        <v>4.9924867418670331E-3</v>
      </c>
      <c r="Y2077">
        <f>LN(B2077/B2076)</f>
        <v>1.2028941287340363E-2</v>
      </c>
      <c r="Z2077">
        <f>LN(C2077/C2076)</f>
        <v>2.4581066351500309E-4</v>
      </c>
    </row>
    <row r="2078" spans="1:26" x14ac:dyDescent="0.3">
      <c r="A2078" s="11">
        <v>43243</v>
      </c>
      <c r="B2078" s="12">
        <v>33259.949999999997</v>
      </c>
      <c r="C2078" s="12">
        <v>51.7125092</v>
      </c>
      <c r="D2078" s="16">
        <f t="shared" si="434"/>
        <v>-2.2309657278748118E-2</v>
      </c>
      <c r="E2078" s="15">
        <f t="shared" si="433"/>
        <v>2.4585395580234426E-4</v>
      </c>
      <c r="G2078" s="25" t="str">
        <f>IF(VLOOKUP(A2078,Aux!B:C,2,FALSE)=0,"",VLOOKUP(A2078,Aux!B:C,2,FALSE))</f>
        <v/>
      </c>
      <c r="H2078" s="25" t="str">
        <f t="shared" si="422"/>
        <v/>
      </c>
      <c r="L2078" s="13">
        <f t="shared" si="425"/>
        <v>193411.97194622352</v>
      </c>
      <c r="M2078" s="14">
        <f t="shared" si="426"/>
        <v>-2234.9040954738298</v>
      </c>
      <c r="N2078" s="14">
        <f t="shared" si="427"/>
        <v>23.465992546408117</v>
      </c>
      <c r="O2078" s="1">
        <f t="shared" si="428"/>
        <v>2.9447316627891391</v>
      </c>
      <c r="P2078" s="1">
        <f t="shared" si="429"/>
        <v>1846.1750465289729</v>
      </c>
      <c r="S2078" s="6">
        <f t="shared" si="423"/>
        <v>0.50638865258566013</v>
      </c>
      <c r="T2078" s="6">
        <f t="shared" si="424"/>
        <v>0.4936113474143401</v>
      </c>
      <c r="V2078" s="1">
        <f t="shared" si="430"/>
        <v>192419.60108662257</v>
      </c>
      <c r="W2078" s="7">
        <f t="shared" si="431"/>
        <v>-1.1368950099717907E-2</v>
      </c>
      <c r="X2078" s="7">
        <f t="shared" si="432"/>
        <v>-8.9119038042130075E-3</v>
      </c>
      <c r="Y2078">
        <f>LN(B2078/B2077)</f>
        <v>-2.2562282067364884E-2</v>
      </c>
      <c r="Z2078">
        <f>LN(C2078/C2077)</f>
        <v>2.4582373867111846E-4</v>
      </c>
    </row>
    <row r="2079" spans="1:26" x14ac:dyDescent="0.3">
      <c r="A2079" s="9">
        <v>43244</v>
      </c>
      <c r="B2079" s="1">
        <v>32946.589999999997</v>
      </c>
      <c r="C2079" s="1">
        <v>51.725219699999997</v>
      </c>
      <c r="D2079" s="6">
        <f t="shared" si="434"/>
        <v>-9.4215415236643674E-3</v>
      </c>
      <c r="E2079" s="5">
        <f t="shared" si="433"/>
        <v>2.457915927234211E-4</v>
      </c>
      <c r="G2079" s="25" t="str">
        <f>IF(VLOOKUP(A2079,Aux!B:C,2,FALSE)=0,"",VLOOKUP(A2079,Aux!B:C,2,FALSE))</f>
        <v/>
      </c>
      <c r="H2079" s="25" t="str">
        <f t="shared" si="422"/>
        <v/>
      </c>
      <c r="L2079" s="13">
        <f t="shared" si="425"/>
        <v>192512.67664030084</v>
      </c>
      <c r="M2079" s="14">
        <f t="shared" si="426"/>
        <v>-922.7611138516063</v>
      </c>
      <c r="N2079" s="14">
        <f t="shared" si="427"/>
        <v>23.46580792890131</v>
      </c>
      <c r="O2079" s="1">
        <f t="shared" si="428"/>
        <v>2.9447316627891391</v>
      </c>
      <c r="P2079" s="1">
        <f t="shared" si="429"/>
        <v>1846.1750465289729</v>
      </c>
      <c r="S2079" s="6">
        <f t="shared" si="423"/>
        <v>0.50396092583142638</v>
      </c>
      <c r="T2079" s="6">
        <f t="shared" si="424"/>
        <v>0.49603907416857373</v>
      </c>
      <c r="V2079" s="1">
        <f t="shared" si="430"/>
        <v>191725.1036773831</v>
      </c>
      <c r="W2079" s="7">
        <f t="shared" si="431"/>
        <v>-4.6604793808607235E-3</v>
      </c>
      <c r="X2079" s="7">
        <f t="shared" si="432"/>
        <v>-3.6158153804456573E-3</v>
      </c>
      <c r="Y2079">
        <f>LN(B2079/B2078)</f>
        <v>-9.4662049999036778E-3</v>
      </c>
      <c r="Z2079">
        <f>LN(C2079/C2078)</f>
        <v>2.4576139091869281E-4</v>
      </c>
    </row>
    <row r="2080" spans="1:26" x14ac:dyDescent="0.3">
      <c r="A2080" s="11">
        <v>43245</v>
      </c>
      <c r="B2080" s="12">
        <v>32470.34</v>
      </c>
      <c r="C2080" s="12">
        <v>51.737934099999997</v>
      </c>
      <c r="D2080" s="16">
        <f t="shared" si="434"/>
        <v>-1.445521372621561E-2</v>
      </c>
      <c r="E2080" s="15">
        <f t="shared" si="433"/>
        <v>2.4580659248507608E-4</v>
      </c>
      <c r="G2080" s="25" t="str">
        <f>IF(VLOOKUP(A2080,Aux!B:C,2,FALSE)=0,"",VLOOKUP(A2080,Aux!B:C,2,FALSE))</f>
        <v/>
      </c>
      <c r="H2080" s="25" t="str">
        <f t="shared" si="422"/>
        <v/>
      </c>
      <c r="L2080" s="13">
        <f t="shared" si="425"/>
        <v>191133.72119390909</v>
      </c>
      <c r="M2080" s="14">
        <f t="shared" si="426"/>
        <v>-1402.4284544033169</v>
      </c>
      <c r="N2080" s="14">
        <f t="shared" si="427"/>
        <v>23.473008011588206</v>
      </c>
      <c r="O2080" s="1">
        <f t="shared" si="428"/>
        <v>2.9447316627891391</v>
      </c>
      <c r="P2080" s="1">
        <f t="shared" si="429"/>
        <v>1846.1750465289729</v>
      </c>
      <c r="S2080" s="6">
        <f t="shared" si="423"/>
        <v>0.50025938752337618</v>
      </c>
      <c r="T2080" s="6">
        <f t="shared" si="424"/>
        <v>0.49974061247662399</v>
      </c>
      <c r="V2080" s="1">
        <f t="shared" si="430"/>
        <v>190654.82206503756</v>
      </c>
      <c r="W2080" s="7">
        <f t="shared" si="431"/>
        <v>-7.1887101903818362E-3</v>
      </c>
      <c r="X2080" s="7">
        <f t="shared" si="432"/>
        <v>-5.5980156661561229E-3</v>
      </c>
      <c r="Y2080">
        <f>LN(B2080/B2079)</f>
        <v>-1.4560708192351531E-2</v>
      </c>
      <c r="Z2080">
        <f>LN(C2080/C2079)</f>
        <v>2.4577638699432598E-4</v>
      </c>
    </row>
    <row r="2081" spans="1:26" x14ac:dyDescent="0.3">
      <c r="A2081" s="9">
        <v>43248</v>
      </c>
      <c r="B2081" s="1">
        <v>31003.17</v>
      </c>
      <c r="C2081" s="1">
        <v>51.7506561</v>
      </c>
      <c r="D2081" s="6">
        <f t="shared" si="434"/>
        <v>-4.5184928768839505E-2</v>
      </c>
      <c r="E2081" s="5">
        <f t="shared" si="433"/>
        <v>2.4589308060529724E-4</v>
      </c>
      <c r="G2081" s="25" t="str">
        <f>IF(VLOOKUP(A2081,Aux!B:C,2,FALSE)=0,"",VLOOKUP(A2081,Aux!B:C,2,FALSE))</f>
        <v/>
      </c>
      <c r="H2081" s="25" t="str">
        <f t="shared" si="422"/>
        <v/>
      </c>
      <c r="L2081" s="13">
        <f t="shared" si="425"/>
        <v>186836.78627915669</v>
      </c>
      <c r="M2081" s="14">
        <f t="shared" si="426"/>
        <v>-4320.4219536943465</v>
      </c>
      <c r="N2081" s="14">
        <f t="shared" si="427"/>
        <v>23.487038941948377</v>
      </c>
      <c r="O2081" s="1">
        <f t="shared" si="428"/>
        <v>2.9447316627891391</v>
      </c>
      <c r="P2081" s="1">
        <f t="shared" si="429"/>
        <v>1846.1750465289729</v>
      </c>
      <c r="S2081" s="6">
        <f t="shared" si="423"/>
        <v>0.48864047687818335</v>
      </c>
      <c r="T2081" s="6">
        <f t="shared" si="424"/>
        <v>0.51135952312181687</v>
      </c>
      <c r="V2081" s="1">
        <f t="shared" si="430"/>
        <v>187298.47035233164</v>
      </c>
      <c r="W2081" s="7">
        <f t="shared" si="431"/>
        <v>-2.2737858950043398E-2</v>
      </c>
      <c r="X2081" s="7">
        <f t="shared" si="432"/>
        <v>-1.7761136161009834E-2</v>
      </c>
      <c r="Y2081">
        <f>LN(B2081/B2080)</f>
        <v>-4.6237599942457498E-2</v>
      </c>
      <c r="Z2081">
        <f>LN(C2081/C2080)</f>
        <v>2.4586285385668318E-4</v>
      </c>
    </row>
    <row r="2082" spans="1:26" x14ac:dyDescent="0.3">
      <c r="A2082" s="11">
        <v>43249</v>
      </c>
      <c r="B2082" s="12">
        <v>31315.439999999999</v>
      </c>
      <c r="C2082" s="12">
        <v>51.763374300000002</v>
      </c>
      <c r="D2082" s="16">
        <f t="shared" si="434"/>
        <v>1.0072195843199294E-2</v>
      </c>
      <c r="E2082" s="15">
        <f t="shared" si="433"/>
        <v>2.4575920304137355E-4</v>
      </c>
      <c r="G2082" s="25" t="str">
        <f>IF(VLOOKUP(A2082,Aux!B:C,2,FALSE)=0,"",VLOOKUP(A2082,Aux!B:C,2,FALSE))</f>
        <v/>
      </c>
      <c r="H2082" s="25" t="str">
        <f t="shared" si="422"/>
        <v/>
      </c>
      <c r="L2082" s="13">
        <f t="shared" si="425"/>
        <v>187779.81765897261</v>
      </c>
      <c r="M2082" s="14">
        <f t="shared" si="426"/>
        <v>919.55135633916575</v>
      </c>
      <c r="N2082" s="14">
        <f t="shared" si="427"/>
        <v>23.480023476768292</v>
      </c>
      <c r="O2082" s="1">
        <f t="shared" si="428"/>
        <v>2.9447316627891391</v>
      </c>
      <c r="P2082" s="1">
        <f t="shared" si="429"/>
        <v>1846.1750465289729</v>
      </c>
      <c r="S2082" s="6">
        <f t="shared" si="423"/>
        <v>0.4910834873087716</v>
      </c>
      <c r="T2082" s="6">
        <f t="shared" si="424"/>
        <v>0.50891651269122873</v>
      </c>
      <c r="V2082" s="1">
        <f t="shared" si="430"/>
        <v>188047.34046366665</v>
      </c>
      <c r="W2082" s="7">
        <f t="shared" si="431"/>
        <v>5.0346586984212132E-3</v>
      </c>
      <c r="X2082" s="7">
        <f t="shared" si="432"/>
        <v>3.9902995233281613E-3</v>
      </c>
      <c r="Y2082">
        <f>LN(B2082/B2081)</f>
        <v>1.0021809331391379E-2</v>
      </c>
      <c r="Z2082">
        <f>LN(C2082/C2081)</f>
        <v>2.4572900919527619E-4</v>
      </c>
    </row>
    <row r="2083" spans="1:26" x14ac:dyDescent="0.3">
      <c r="A2083" s="9">
        <v>43250</v>
      </c>
      <c r="B2083" s="1">
        <v>31604.53</v>
      </c>
      <c r="C2083" s="1">
        <v>51.776100200000002</v>
      </c>
      <c r="D2083" s="6">
        <f t="shared" si="434"/>
        <v>9.2315483991283198E-3</v>
      </c>
      <c r="E2083" s="5">
        <f t="shared" si="433"/>
        <v>2.4584757412160485E-4</v>
      </c>
      <c r="G2083" s="25" t="str">
        <f>IF(VLOOKUP(A2083,Aux!B:C,2,FALSE)=0,"",VLOOKUP(A2083,Aux!B:C,2,FALSE))</f>
        <v/>
      </c>
      <c r="H2083" s="25" t="str">
        <f t="shared" si="422"/>
        <v/>
      </c>
      <c r="L2083" s="13">
        <f t="shared" si="425"/>
        <v>188654.60437439295</v>
      </c>
      <c r="M2083" s="14">
        <f t="shared" si="426"/>
        <v>851.2924763957127</v>
      </c>
      <c r="N2083" s="14">
        <f t="shared" si="427"/>
        <v>23.494239024622157</v>
      </c>
      <c r="O2083" s="1">
        <f t="shared" si="428"/>
        <v>2.9447316627891391</v>
      </c>
      <c r="P2083" s="1">
        <f t="shared" si="429"/>
        <v>1846.1750465289729</v>
      </c>
      <c r="S2083" s="6">
        <f t="shared" si="423"/>
        <v>0.4933187848088465</v>
      </c>
      <c r="T2083" s="6">
        <f t="shared" si="424"/>
        <v>0.50668121519115372</v>
      </c>
      <c r="V2083" s="1">
        <f t="shared" si="430"/>
        <v>188742.75073008088</v>
      </c>
      <c r="W2083" s="7">
        <f t="shared" si="431"/>
        <v>4.6477592853069105E-3</v>
      </c>
      <c r="X2083" s="7">
        <f t="shared" si="432"/>
        <v>3.691238555691792E-3</v>
      </c>
      <c r="Y2083">
        <f>LN(B2083/B2082)</f>
        <v>9.1891980959274422E-3</v>
      </c>
      <c r="Z2083">
        <f>LN(C2083/C2082)</f>
        <v>2.458173585589345E-4</v>
      </c>
    </row>
    <row r="2084" spans="1:26" x14ac:dyDescent="0.3">
      <c r="A2084" s="11">
        <v>43252</v>
      </c>
      <c r="B2084" s="12">
        <v>31825.11</v>
      </c>
      <c r="C2084" s="12">
        <v>51.788829800000002</v>
      </c>
      <c r="D2084" s="16">
        <f t="shared" si="434"/>
        <v>6.9793792219028372E-3</v>
      </c>
      <c r="E2084" s="15">
        <f t="shared" si="433"/>
        <v>2.4585860949022376E-4</v>
      </c>
      <c r="G2084" s="25" t="str">
        <f>IF(VLOOKUP(A2084,Aux!B:C,2,FALSE)=0,"",VLOOKUP(A2084,Aux!B:C,2,FALSE))</f>
        <v/>
      </c>
      <c r="H2084" s="25" t="str">
        <f t="shared" si="422"/>
        <v/>
      </c>
      <c r="L2084" s="13">
        <f t="shared" si="425"/>
        <v>189327.65435444328</v>
      </c>
      <c r="M2084" s="14">
        <f t="shared" si="426"/>
        <v>649.54891017803345</v>
      </c>
      <c r="N2084" s="14">
        <f t="shared" si="427"/>
        <v>23.501069872295432</v>
      </c>
      <c r="O2084" s="1">
        <f t="shared" si="428"/>
        <v>2.9447316627891391</v>
      </c>
      <c r="P2084" s="1">
        <f t="shared" si="429"/>
        <v>1846.1750465289729</v>
      </c>
      <c r="S2084" s="6">
        <f t="shared" si="423"/>
        <v>0.49499588112626852</v>
      </c>
      <c r="T2084" s="6">
        <f t="shared" si="424"/>
        <v>0.50500411887373176</v>
      </c>
      <c r="V2084" s="1">
        <f t="shared" si="430"/>
        <v>189280.11430739256</v>
      </c>
      <c r="W2084" s="7">
        <f t="shared" si="431"/>
        <v>3.5612819165438442E-3</v>
      </c>
      <c r="X2084" s="7">
        <f t="shared" si="432"/>
        <v>2.8430234727086509E-3</v>
      </c>
      <c r="Y2084">
        <f>LN(B2084/B2083)</f>
        <v>6.9551360907148373E-3</v>
      </c>
      <c r="Z2084">
        <f>LN(C2084/C2083)</f>
        <v>2.4582839121514081E-4</v>
      </c>
    </row>
    <row r="2085" spans="1:26" x14ac:dyDescent="0.3">
      <c r="A2085" s="9">
        <v>43255</v>
      </c>
      <c r="B2085" s="1">
        <v>32396</v>
      </c>
      <c r="C2085" s="1">
        <v>51.801559400000002</v>
      </c>
      <c r="D2085" s="6">
        <f t="shared" si="434"/>
        <v>1.7938351195015523E-2</v>
      </c>
      <c r="E2085" s="5">
        <f t="shared" si="433"/>
        <v>2.4579817789205372E-4</v>
      </c>
      <c r="G2085" s="25" t="str">
        <f>IF(VLOOKUP(A2085,Aux!B:C,2,FALSE)=0,"",VLOOKUP(A2085,Aux!B:C,2,FALSE))</f>
        <v/>
      </c>
      <c r="H2085" s="25" t="str">
        <f t="shared" si="422"/>
        <v/>
      </c>
      <c r="L2085" s="13">
        <f t="shared" si="425"/>
        <v>191032.27328328526</v>
      </c>
      <c r="M2085" s="14">
        <f t="shared" si="426"/>
        <v>1681.1178589696899</v>
      </c>
      <c r="N2085" s="14">
        <f t="shared" si="427"/>
        <v>23.501069872295432</v>
      </c>
      <c r="O2085" s="1">
        <f t="shared" si="428"/>
        <v>2.9447316627891391</v>
      </c>
      <c r="P2085" s="1">
        <f t="shared" si="429"/>
        <v>1846.1750465289729</v>
      </c>
      <c r="S2085" s="6">
        <f t="shared" si="423"/>
        <v>0.4993791117496163</v>
      </c>
      <c r="T2085" s="6">
        <f t="shared" si="424"/>
        <v>0.50062088825038398</v>
      </c>
      <c r="V2085" s="1">
        <f t="shared" si="430"/>
        <v>190625.65530861364</v>
      </c>
      <c r="W2085" s="7">
        <f t="shared" si="431"/>
        <v>8.9632488459712046E-3</v>
      </c>
      <c r="X2085" s="7">
        <f t="shared" si="432"/>
        <v>7.0835809040607116E-3</v>
      </c>
      <c r="Y2085">
        <f>LN(B2085/B2084)</f>
        <v>1.777935754704706E-2</v>
      </c>
      <c r="Z2085">
        <f>LN(C2085/C2084)</f>
        <v>2.457679744691224E-4</v>
      </c>
    </row>
    <row r="2086" spans="1:26" x14ac:dyDescent="0.3">
      <c r="A2086" s="11">
        <v>43256</v>
      </c>
      <c r="B2086" s="12">
        <v>31595</v>
      </c>
      <c r="C2086" s="12">
        <v>51.8142967</v>
      </c>
      <c r="D2086" s="16">
        <f t="shared" si="434"/>
        <v>-2.4725274725274748E-2</v>
      </c>
      <c r="E2086" s="15">
        <f t="shared" si="433"/>
        <v>2.458864201682065E-4</v>
      </c>
      <c r="G2086" s="25" t="str">
        <f>IF(VLOOKUP(A2086,Aux!B:C,2,FALSE)=0,"",VLOOKUP(A2086,Aux!B:C,2,FALSE))</f>
        <v/>
      </c>
      <c r="H2086" s="25" t="str">
        <f t="shared" si="422"/>
        <v/>
      </c>
      <c r="L2086" s="13">
        <f t="shared" si="425"/>
        <v>188697.0585068113</v>
      </c>
      <c r="M2086" s="14">
        <f t="shared" si="426"/>
        <v>-2358.7300618941003</v>
      </c>
      <c r="N2086" s="14">
        <f t="shared" si="427"/>
        <v>23.515285420149297</v>
      </c>
      <c r="O2086" s="1">
        <f t="shared" si="428"/>
        <v>2.9447316627891391</v>
      </c>
      <c r="P2086" s="1">
        <f t="shared" si="429"/>
        <v>1846.1750465289729</v>
      </c>
      <c r="S2086" s="6">
        <f t="shared" si="423"/>
        <v>0.49305907374525654</v>
      </c>
      <c r="T2086" s="6">
        <f t="shared" si="424"/>
        <v>0.50694092625474374</v>
      </c>
      <c r="V2086" s="1">
        <f t="shared" si="430"/>
        <v>188806.21531678567</v>
      </c>
      <c r="W2086" s="7">
        <f t="shared" si="431"/>
        <v>-1.2299519788542827E-2</v>
      </c>
      <c r="X2086" s="7">
        <f t="shared" si="432"/>
        <v>-9.5904117606588606E-3</v>
      </c>
      <c r="Y2086">
        <f>LN(B2086/B2085)</f>
        <v>-2.5036078161324887E-2</v>
      </c>
      <c r="Z2086">
        <f>LN(C2086/C2085)</f>
        <v>2.45856195056923E-4</v>
      </c>
    </row>
    <row r="2087" spans="1:26" x14ac:dyDescent="0.3">
      <c r="A2087" s="9">
        <v>43257</v>
      </c>
      <c r="B2087" s="1">
        <v>31350.63</v>
      </c>
      <c r="C2087" s="1">
        <v>51.827033999999998</v>
      </c>
      <c r="D2087" s="6">
        <f t="shared" si="434"/>
        <v>-7.7344516537426466E-3</v>
      </c>
      <c r="E2087" s="5">
        <f t="shared" si="433"/>
        <v>2.4582597489919422E-4</v>
      </c>
      <c r="G2087" s="25" t="str">
        <f>IF(VLOOKUP(A2087,Aux!B:C,2,FALSE)=0,"",VLOOKUP(A2087,Aux!B:C,2,FALSE))</f>
        <v/>
      </c>
      <c r="H2087" s="25" t="str">
        <f t="shared" si="422"/>
        <v/>
      </c>
      <c r="L2087" s="13">
        <f t="shared" si="425"/>
        <v>188000.96971579565</v>
      </c>
      <c r="M2087" s="14">
        <f t="shared" si="426"/>
        <v>-719.60407643577889</v>
      </c>
      <c r="N2087" s="14">
        <f t="shared" si="427"/>
        <v>23.515285420149297</v>
      </c>
      <c r="O2087" s="1">
        <f t="shared" si="428"/>
        <v>2.9447316627891391</v>
      </c>
      <c r="P2087" s="1">
        <f t="shared" si="429"/>
        <v>1846.1750465289729</v>
      </c>
      <c r="S2087" s="6">
        <f t="shared" si="423"/>
        <v>0.49105700331731056</v>
      </c>
      <c r="T2087" s="6">
        <f t="shared" si="424"/>
        <v>0.50894299668268983</v>
      </c>
      <c r="V2087" s="1">
        <f t="shared" si="430"/>
        <v>188270.94020597928</v>
      </c>
      <c r="W2087" s="7">
        <f t="shared" si="431"/>
        <v>-3.6957431744198219E-3</v>
      </c>
      <c r="X2087" s="7">
        <f t="shared" si="432"/>
        <v>-2.8390766319778852E-3</v>
      </c>
      <c r="Y2087">
        <f>LN(B2087/B2086)</f>
        <v>-7.7645176546246907E-3</v>
      </c>
      <c r="Z2087">
        <f>LN(C2087/C2086)</f>
        <v>2.45795764645102E-4</v>
      </c>
    </row>
    <row r="2088" spans="1:26" x14ac:dyDescent="0.3">
      <c r="A2088" s="11">
        <v>43258</v>
      </c>
      <c r="B2088" s="12">
        <v>30425.54</v>
      </c>
      <c r="C2088" s="12">
        <v>51.839771300000002</v>
      </c>
      <c r="D2088" s="16">
        <f t="shared" si="434"/>
        <v>-2.9507859969640116E-2</v>
      </c>
      <c r="E2088" s="15">
        <f t="shared" si="433"/>
        <v>2.4576555934108235E-4</v>
      </c>
      <c r="G2088" s="25" t="str">
        <f>IF(VLOOKUP(A2088,Aux!B:C,2,FALSE)=0,"",VLOOKUP(A2088,Aux!B:C,2,FALSE))</f>
        <v/>
      </c>
      <c r="H2088" s="25" t="str">
        <f t="shared" si="422"/>
        <v/>
      </c>
      <c r="L2088" s="13">
        <f t="shared" si="425"/>
        <v>185300.34318728623</v>
      </c>
      <c r="M2088" s="14">
        <f t="shared" si="426"/>
        <v>-2724.1418139296052</v>
      </c>
      <c r="N2088" s="14">
        <f t="shared" si="427"/>
        <v>23.515285420162414</v>
      </c>
      <c r="O2088" s="1">
        <f t="shared" si="428"/>
        <v>2.9447316627891391</v>
      </c>
      <c r="P2088" s="1">
        <f t="shared" si="429"/>
        <v>1846.1750465289729</v>
      </c>
      <c r="S2088" s="6">
        <f t="shared" si="423"/>
        <v>0.48351260151149433</v>
      </c>
      <c r="T2088" s="6">
        <f t="shared" si="424"/>
        <v>0.516487398488506</v>
      </c>
      <c r="V2088" s="1">
        <f t="shared" si="430"/>
        <v>186165.22024345992</v>
      </c>
      <c r="W2088" s="7">
        <f t="shared" si="431"/>
        <v>-1.4469135526723761E-2</v>
      </c>
      <c r="X2088" s="7">
        <f t="shared" si="432"/>
        <v>-1.1247536343627894E-2</v>
      </c>
      <c r="Y2088">
        <f>LN(B2088/B2087)</f>
        <v>-2.9951975292669002E-2</v>
      </c>
      <c r="Z2088">
        <f>LN(C2088/C2087)</f>
        <v>2.4573536393322944E-4</v>
      </c>
    </row>
    <row r="2089" spans="1:26" x14ac:dyDescent="0.3">
      <c r="A2089" s="9">
        <v>43259</v>
      </c>
      <c r="B2089" s="1">
        <v>30080.29</v>
      </c>
      <c r="C2089" s="1">
        <v>51.852516199999997</v>
      </c>
      <c r="D2089" s="6">
        <f t="shared" si="434"/>
        <v>-1.1347374606991312E-2</v>
      </c>
      <c r="E2089" s="5">
        <f t="shared" si="433"/>
        <v>2.4585177905667166E-4</v>
      </c>
      <c r="G2089" s="25" t="str">
        <f>IF(VLOOKUP(A2089,Aux!B:C,2,FALSE)=0,"",VLOOKUP(A2089,Aux!B:C,2,FALSE))</f>
        <v/>
      </c>
      <c r="H2089" s="25" t="str">
        <f t="shared" si="422"/>
        <v/>
      </c>
      <c r="L2089" s="13">
        <f t="shared" si="425"/>
        <v>184307.20389705879</v>
      </c>
      <c r="M2089" s="14">
        <f t="shared" si="426"/>
        <v>-1016.6686065779503</v>
      </c>
      <c r="N2089" s="14">
        <f t="shared" si="427"/>
        <v>23.529316350496352</v>
      </c>
      <c r="O2089" s="1">
        <f t="shared" si="428"/>
        <v>2.9447316627891391</v>
      </c>
      <c r="P2089" s="1">
        <f t="shared" si="429"/>
        <v>1846.1750465289729</v>
      </c>
      <c r="S2089" s="6">
        <f t="shared" si="423"/>
        <v>0.48060184580931115</v>
      </c>
      <c r="T2089" s="6">
        <f t="shared" si="424"/>
        <v>0.51939815419068913</v>
      </c>
      <c r="V2089" s="1">
        <f t="shared" si="430"/>
        <v>185397.22844605893</v>
      </c>
      <c r="W2089" s="7">
        <f t="shared" si="431"/>
        <v>-5.3740335565953925E-3</v>
      </c>
      <c r="X2089" s="7">
        <f t="shared" si="432"/>
        <v>-4.1338563343999851E-3</v>
      </c>
      <c r="Y2089">
        <f>LN(B2089/B2088)</f>
        <v>-1.14122472855126E-2</v>
      </c>
      <c r="Z2089">
        <f>LN(C2089/C2088)</f>
        <v>2.458215624604735E-4</v>
      </c>
    </row>
    <row r="2090" spans="1:26" x14ac:dyDescent="0.3">
      <c r="A2090" s="11">
        <v>43262</v>
      </c>
      <c r="B2090" s="12">
        <v>29820.37</v>
      </c>
      <c r="C2090" s="12">
        <v>51.8652649</v>
      </c>
      <c r="D2090" s="16">
        <f t="shared" si="434"/>
        <v>-8.6408741405087364E-3</v>
      </c>
      <c r="E2090" s="15">
        <f t="shared" si="433"/>
        <v>2.4586463559117533E-4</v>
      </c>
      <c r="G2090" s="25" t="str">
        <f>IF(VLOOKUP(A2090,Aux!B:C,2,FALSE)=0,"",VLOOKUP(A2090,Aux!B:C,2,FALSE))</f>
        <v/>
      </c>
      <c r="H2090" s="25" t="str">
        <f t="shared" si="422"/>
        <v/>
      </c>
      <c r="L2090" s="13">
        <f t="shared" si="425"/>
        <v>183565.34557508232</v>
      </c>
      <c r="M2090" s="14">
        <f t="shared" si="426"/>
        <v>-765.39465379215858</v>
      </c>
      <c r="N2090" s="14">
        <f t="shared" si="427"/>
        <v>23.536331815689557</v>
      </c>
      <c r="O2090" s="1">
        <f t="shared" si="428"/>
        <v>2.9447316627891391</v>
      </c>
      <c r="P2090" s="1">
        <f t="shared" si="429"/>
        <v>1846.1750465289729</v>
      </c>
      <c r="S2090" s="6">
        <f t="shared" si="423"/>
        <v>0.47837453992191509</v>
      </c>
      <c r="T2090" s="6">
        <f t="shared" si="424"/>
        <v>0.52162546007808519</v>
      </c>
      <c r="V2090" s="1">
        <f t="shared" si="430"/>
        <v>184826.10444462072</v>
      </c>
      <c r="W2090" s="7">
        <f t="shared" si="431"/>
        <v>-4.0332410161808127E-3</v>
      </c>
      <c r="X2090" s="7">
        <f t="shared" si="432"/>
        <v>-3.0852969207838558E-3</v>
      </c>
      <c r="Y2090">
        <f>LN(B2090/B2089)</f>
        <v>-8.678422952982363E-3</v>
      </c>
      <c r="Z2090">
        <f>LN(C2090/C2089)</f>
        <v>2.4583441583486958E-4</v>
      </c>
    </row>
    <row r="2091" spans="1:26" x14ac:dyDescent="0.3">
      <c r="A2091" s="9">
        <v>43263</v>
      </c>
      <c r="B2091" s="1">
        <v>29985.81</v>
      </c>
      <c r="C2091" s="1">
        <v>51.878013600000003</v>
      </c>
      <c r="D2091" s="6">
        <f t="shared" si="434"/>
        <v>5.5478855560813223E-3</v>
      </c>
      <c r="E2091" s="5">
        <f t="shared" si="433"/>
        <v>2.4580420103093026E-4</v>
      </c>
      <c r="G2091" s="25" t="str">
        <f>IF(VLOOKUP(A2091,Aux!B:C,2,FALSE)=0,"",VLOOKUP(A2091,Aux!B:C,2,FALSE))</f>
        <v/>
      </c>
      <c r="H2091" s="25" t="str">
        <f t="shared" si="422"/>
        <v/>
      </c>
      <c r="L2091" s="13">
        <f t="shared" si="425"/>
        <v>184076.05831318986</v>
      </c>
      <c r="M2091" s="14">
        <f t="shared" si="426"/>
        <v>487.17640629184206</v>
      </c>
      <c r="N2091" s="14">
        <f t="shared" si="427"/>
        <v>23.536331815689557</v>
      </c>
      <c r="O2091" s="1">
        <f t="shared" si="428"/>
        <v>2.9447316627891391</v>
      </c>
      <c r="P2091" s="1">
        <f t="shared" si="429"/>
        <v>1846.1750465289729</v>
      </c>
      <c r="S2091" s="6">
        <f t="shared" si="423"/>
        <v>0.47969390995511174</v>
      </c>
      <c r="T2091" s="6">
        <f t="shared" si="424"/>
        <v>0.52030609004488837</v>
      </c>
      <c r="V2091" s="1">
        <f t="shared" si="430"/>
        <v>185236.30084235492</v>
      </c>
      <c r="W2091" s="7">
        <f t="shared" si="431"/>
        <v>2.7783218169940595E-3</v>
      </c>
      <c r="X2091" s="7">
        <f t="shared" si="432"/>
        <v>2.2169048240082063E-3</v>
      </c>
      <c r="Y2091">
        <f>LN(B2091/B2090)</f>
        <v>5.5325527227383696E-3</v>
      </c>
      <c r="Z2091">
        <f>LN(C2091/C2090)</f>
        <v>2.4577399612786804E-4</v>
      </c>
    </row>
    <row r="2092" spans="1:26" x14ac:dyDescent="0.3">
      <c r="A2092" s="11">
        <v>43264</v>
      </c>
      <c r="B2092" s="12">
        <v>29737.49</v>
      </c>
      <c r="C2092" s="12">
        <v>51.8907661</v>
      </c>
      <c r="D2092" s="16">
        <f t="shared" si="434"/>
        <v>-8.2812503647557989E-3</v>
      </c>
      <c r="E2092" s="15">
        <f t="shared" si="433"/>
        <v>2.4581704493020773E-4</v>
      </c>
      <c r="G2092" s="25" t="str">
        <f>IF(VLOOKUP(A2092,Aux!B:C,2,FALSE)=0,"",VLOOKUP(A2092,Aux!B:C,2,FALSE))</f>
        <v/>
      </c>
      <c r="H2092" s="25" t="str">
        <f t="shared" si="422"/>
        <v/>
      </c>
      <c r="L2092" s="13">
        <f t="shared" si="425"/>
        <v>183368.36589396693</v>
      </c>
      <c r="M2092" s="14">
        <f t="shared" si="426"/>
        <v>-731.23576650379812</v>
      </c>
      <c r="N2092" s="14">
        <f t="shared" si="427"/>
        <v>23.543347280856526</v>
      </c>
      <c r="O2092" s="1">
        <f t="shared" si="428"/>
        <v>2.9447316627891391</v>
      </c>
      <c r="P2092" s="1">
        <f t="shared" si="429"/>
        <v>1846.1750465289729</v>
      </c>
      <c r="S2092" s="6">
        <f t="shared" si="423"/>
        <v>0.47755744535299116</v>
      </c>
      <c r="T2092" s="6">
        <f t="shared" si="424"/>
        <v>0.52244255464700895</v>
      </c>
      <c r="V2092" s="1">
        <f t="shared" si="430"/>
        <v>184691.94694779022</v>
      </c>
      <c r="W2092" s="7">
        <f t="shared" si="431"/>
        <v>-3.8519745988481956E-3</v>
      </c>
      <c r="X2092" s="7">
        <f t="shared" si="432"/>
        <v>-2.9430263340106187E-3</v>
      </c>
      <c r="Y2092">
        <f>LN(B2092/B2091)</f>
        <v>-8.3157304090947758E-3</v>
      </c>
      <c r="Z2092">
        <f>LN(C2092/C2091)</f>
        <v>2.4578683687075451E-4</v>
      </c>
    </row>
    <row r="2093" spans="1:26" x14ac:dyDescent="0.3">
      <c r="A2093" s="9">
        <v>43265</v>
      </c>
      <c r="B2093" s="1">
        <v>29457.39</v>
      </c>
      <c r="C2093" s="1">
        <v>51.903522500000001</v>
      </c>
      <c r="D2093" s="6">
        <f t="shared" si="434"/>
        <v>-9.4190868160023422E-3</v>
      </c>
      <c r="E2093" s="5">
        <f t="shared" si="433"/>
        <v>2.4583179164117119E-4</v>
      </c>
      <c r="G2093" s="25" t="str">
        <f>IF(VLOOKUP(A2093,Aux!B:C,2,FALSE)=0,"",VLOOKUP(A2093,Aux!B:C,2,FALSE))</f>
        <v/>
      </c>
      <c r="H2093" s="25" t="str">
        <f t="shared" si="422"/>
        <v/>
      </c>
      <c r="L2093" s="13">
        <f t="shared" si="425"/>
        <v>182567.09710258324</v>
      </c>
      <c r="M2093" s="14">
        <f t="shared" si="426"/>
        <v>-824.81933874724427</v>
      </c>
      <c r="N2093" s="14">
        <f t="shared" si="427"/>
        <v>23.550547363543423</v>
      </c>
      <c r="O2093" s="1">
        <f t="shared" si="428"/>
        <v>2.9447316627891391</v>
      </c>
      <c r="P2093" s="1">
        <f t="shared" si="429"/>
        <v>1846.1750465289729</v>
      </c>
      <c r="S2093" s="6">
        <f t="shared" si="423"/>
        <v>0.4751355003874943</v>
      </c>
      <c r="T2093" s="6">
        <f t="shared" si="424"/>
        <v>0.5248644996125057</v>
      </c>
      <c r="V2093" s="1">
        <f t="shared" si="430"/>
        <v>184074.28420637175</v>
      </c>
      <c r="W2093" s="7">
        <f t="shared" si="431"/>
        <v>-4.3792971875381672E-3</v>
      </c>
      <c r="X2093" s="7">
        <f t="shared" si="432"/>
        <v>-3.3498908893632097E-3</v>
      </c>
      <c r="Y2093">
        <f>LN(B2093/B2092)</f>
        <v>-9.4637269482162265E-3</v>
      </c>
      <c r="Z2093">
        <f>LN(C2093/C2092)</f>
        <v>2.4580157995750723E-4</v>
      </c>
    </row>
    <row r="2094" spans="1:26" x14ac:dyDescent="0.3">
      <c r="A2094" s="11">
        <v>43266</v>
      </c>
      <c r="B2094" s="12">
        <v>29176.799999999999</v>
      </c>
      <c r="C2094" s="12">
        <v>51.916282699999996</v>
      </c>
      <c r="D2094" s="16">
        <f t="shared" si="434"/>
        <v>-9.5252838082395819E-3</v>
      </c>
      <c r="E2094" s="15">
        <f t="shared" si="433"/>
        <v>2.4584458598142511E-4</v>
      </c>
      <c r="G2094" s="25" t="str">
        <f>IF(VLOOKUP(A2094,Aux!B:C,2,FALSE)=0,"",VLOOKUP(A2094,Aux!B:C,2,FALSE))</f>
        <v/>
      </c>
      <c r="H2094" s="25" t="str">
        <f t="shared" si="422"/>
        <v/>
      </c>
      <c r="L2094" s="13">
        <f t="shared" si="425"/>
        <v>181764.39240814993</v>
      </c>
      <c r="M2094" s="14">
        <f t="shared" si="426"/>
        <v>-826.26225726200494</v>
      </c>
      <c r="N2094" s="14">
        <f t="shared" si="427"/>
        <v>23.557562828710388</v>
      </c>
      <c r="O2094" s="1">
        <f t="shared" si="428"/>
        <v>2.9447316627891391</v>
      </c>
      <c r="P2094" s="1">
        <f t="shared" si="429"/>
        <v>1846.1750465289729</v>
      </c>
      <c r="S2094" s="6">
        <f t="shared" si="423"/>
        <v>0.47268799813078116</v>
      </c>
      <c r="T2094" s="6">
        <f t="shared" si="424"/>
        <v>0.527312001869219</v>
      </c>
      <c r="V2094" s="1">
        <f t="shared" si="430"/>
        <v>183455.49951891636</v>
      </c>
      <c r="W2094" s="7">
        <f t="shared" si="431"/>
        <v>-4.4064595917653526E-3</v>
      </c>
      <c r="X2094" s="7">
        <f t="shared" si="432"/>
        <v>-3.3672659987249035E-3</v>
      </c>
      <c r="Y2094">
        <f>LN(B2094/B2093)</f>
        <v>-9.5709394775003506E-3</v>
      </c>
      <c r="Z2094">
        <f>LN(C2094/C2093)</f>
        <v>2.4581437115319679E-4</v>
      </c>
    </row>
    <row r="2095" spans="1:26" x14ac:dyDescent="0.3">
      <c r="A2095" s="9">
        <v>43269</v>
      </c>
      <c r="B2095" s="1">
        <v>28788.78</v>
      </c>
      <c r="C2095" s="1">
        <v>51.9290466</v>
      </c>
      <c r="D2095" s="6">
        <f t="shared" si="434"/>
        <v>-1.3298922431520976E-2</v>
      </c>
      <c r="E2095" s="5">
        <f t="shared" si="433"/>
        <v>2.4585542986121922E-4</v>
      </c>
      <c r="G2095" s="25" t="str">
        <f>IF(VLOOKUP(A2095,Aux!B:C,2,FALSE)=0,"",VLOOKUP(A2095,Aux!B:C,2,FALSE))</f>
        <v/>
      </c>
      <c r="H2095" s="25" t="str">
        <f t="shared" si="422"/>
        <v/>
      </c>
      <c r="L2095" s="13">
        <f t="shared" si="425"/>
        <v>180645.34202203091</v>
      </c>
      <c r="M2095" s="14">
        <f t="shared" si="426"/>
        <v>-1142.6147797954432</v>
      </c>
      <c r="N2095" s="14">
        <f t="shared" si="427"/>
        <v>23.564393676396783</v>
      </c>
      <c r="O2095" s="1">
        <f t="shared" si="428"/>
        <v>2.9447316627891391</v>
      </c>
      <c r="P2095" s="1">
        <f t="shared" si="429"/>
        <v>1846.1750465289729</v>
      </c>
      <c r="S2095" s="6">
        <f t="shared" si="423"/>
        <v>0.46929099333616803</v>
      </c>
      <c r="T2095" s="6">
        <f t="shared" si="424"/>
        <v>0.53070900666383192</v>
      </c>
      <c r="V2095" s="1">
        <f t="shared" si="430"/>
        <v>182588.87834092957</v>
      </c>
      <c r="W2095" s="7">
        <f t="shared" si="431"/>
        <v>-6.1756285020380291E-3</v>
      </c>
      <c r="X2095" s="7">
        <f t="shared" si="432"/>
        <v>-4.7350695686360512E-3</v>
      </c>
      <c r="Y2095">
        <f>LN(B2095/B2094)</f>
        <v>-1.3388145026292226E-2</v>
      </c>
      <c r="Z2095">
        <f>LN(C2095/C2094)</f>
        <v>2.4582521236767821E-4</v>
      </c>
    </row>
    <row r="2096" spans="1:26" x14ac:dyDescent="0.3">
      <c r="A2096" s="11">
        <v>43270</v>
      </c>
      <c r="B2096" s="12">
        <v>29434.81</v>
      </c>
      <c r="C2096" s="12">
        <v>51.941810599999997</v>
      </c>
      <c r="D2096" s="16">
        <f t="shared" si="434"/>
        <v>2.2440339604526516E-2</v>
      </c>
      <c r="E2096" s="15">
        <f t="shared" si="433"/>
        <v>2.4579692553028387E-4</v>
      </c>
      <c r="G2096" s="25" t="str">
        <f>IF(VLOOKUP(A2096,Aux!B:C,2,FALSE)=0,"",VLOOKUP(A2096,Aux!B:C,2,FALSE))</f>
        <v/>
      </c>
      <c r="H2096" s="25" t="str">
        <f t="shared" si="422"/>
        <v/>
      </c>
      <c r="L2096" s="13">
        <f t="shared" si="425"/>
        <v>182571.29159643647</v>
      </c>
      <c r="M2096" s="14">
        <f t="shared" si="426"/>
        <v>1902.3849961116748</v>
      </c>
      <c r="N2096" s="14">
        <f t="shared" si="427"/>
        <v>23.564578293890477</v>
      </c>
      <c r="O2096" s="1">
        <f t="shared" si="428"/>
        <v>2.9447316627891391</v>
      </c>
      <c r="P2096" s="1">
        <f t="shared" si="429"/>
        <v>1846.1750465289729</v>
      </c>
      <c r="S2096" s="6">
        <f t="shared" si="423"/>
        <v>0.47476038668104709</v>
      </c>
      <c r="T2096" s="6">
        <f t="shared" si="424"/>
        <v>0.52523961331895297</v>
      </c>
      <c r="V2096" s="1">
        <f t="shared" si="430"/>
        <v>184107.84690791857</v>
      </c>
      <c r="W2096" s="7">
        <f t="shared" si="431"/>
        <v>1.0605062910931391E-2</v>
      </c>
      <c r="X2096" s="7">
        <f t="shared" si="432"/>
        <v>8.2846513225457285E-3</v>
      </c>
      <c r="Y2096">
        <f>LN(B2096/B2095)</f>
        <v>2.2192259657498593E-2</v>
      </c>
      <c r="Z2096">
        <f>LN(C2096/C2095)</f>
        <v>2.4576672241510432E-4</v>
      </c>
    </row>
    <row r="2097" spans="1:26" x14ac:dyDescent="0.3">
      <c r="A2097" s="9">
        <v>43271</v>
      </c>
      <c r="B2097" s="1">
        <v>29730.97</v>
      </c>
      <c r="C2097" s="1">
        <v>51.954578400000003</v>
      </c>
      <c r="D2097" s="6">
        <f t="shared" si="434"/>
        <v>1.0061556368123226E-2</v>
      </c>
      <c r="E2097" s="5">
        <f t="shared" si="433"/>
        <v>2.4580968303800077E-4</v>
      </c>
      <c r="G2097" s="25" t="str">
        <f>IF(VLOOKUP(A2097,Aux!B:C,2,FALSE)=0,"",VLOOKUP(A2097,Aux!B:C,2,FALSE))</f>
        <v/>
      </c>
      <c r="H2097" s="25" t="str">
        <f t="shared" si="422"/>
        <v/>
      </c>
      <c r="L2097" s="13">
        <f t="shared" si="425"/>
        <v>183466.97491944718</v>
      </c>
      <c r="M2097" s="14">
        <f t="shared" si="426"/>
        <v>872.111729251631</v>
      </c>
      <c r="N2097" s="14">
        <f t="shared" si="427"/>
        <v>23.571593759083679</v>
      </c>
      <c r="O2097" s="1">
        <f t="shared" si="428"/>
        <v>2.9447316627891391</v>
      </c>
      <c r="P2097" s="1">
        <f t="shared" si="429"/>
        <v>1846.1750465289729</v>
      </c>
      <c r="S2097" s="6">
        <f t="shared" si="423"/>
        <v>0.47719612078889678</v>
      </c>
      <c r="T2097" s="6">
        <f t="shared" si="424"/>
        <v>0.52280387921110327</v>
      </c>
      <c r="V2097" s="1">
        <f t="shared" si="430"/>
        <v>184819.66164749285</v>
      </c>
      <c r="W2097" s="7">
        <f t="shared" si="431"/>
        <v>4.8939424788583393E-3</v>
      </c>
      <c r="X2097" s="7">
        <f t="shared" si="432"/>
        <v>3.8588373398439142E-3</v>
      </c>
      <c r="Y2097">
        <f>LN(B2097/B2096)</f>
        <v>1.0011275895113192E-2</v>
      </c>
      <c r="Z2097">
        <f>LN(C2097/C2096)</f>
        <v>2.457794767877543E-4</v>
      </c>
    </row>
    <row r="2098" spans="1:26" x14ac:dyDescent="0.3">
      <c r="A2098" s="11">
        <v>43272</v>
      </c>
      <c r="B2098" s="12">
        <v>28900.39</v>
      </c>
      <c r="C2098" s="12">
        <v>51.967350000000003</v>
      </c>
      <c r="D2098" s="16">
        <f t="shared" si="434"/>
        <v>-2.7936525448042926E-2</v>
      </c>
      <c r="E2098" s="15">
        <f t="shared" si="433"/>
        <v>2.4582241629733659E-4</v>
      </c>
      <c r="G2098" s="25" t="str">
        <f>IF(VLOOKUP(A2098,Aux!B:C,2,FALSE)=0,"",VLOOKUP(A2098,Aux!B:C,2,FALSE))</f>
        <v/>
      </c>
      <c r="H2098" s="25" t="str">
        <f t="shared" si="422"/>
        <v/>
      </c>
      <c r="L2098" s="13">
        <f t="shared" si="425"/>
        <v>181044.71830419204</v>
      </c>
      <c r="M2098" s="14">
        <f t="shared" si="426"/>
        <v>-2445.8352244794082</v>
      </c>
      <c r="N2098" s="14">
        <f t="shared" si="427"/>
        <v>23.578609224250648</v>
      </c>
      <c r="O2098" s="1">
        <f t="shared" si="428"/>
        <v>2.9447316627891391</v>
      </c>
      <c r="P2098" s="1">
        <f t="shared" si="429"/>
        <v>1846.1750465289729</v>
      </c>
      <c r="S2098" s="6">
        <f t="shared" si="423"/>
        <v>0.47007111998132256</v>
      </c>
      <c r="T2098" s="6">
        <f t="shared" si="424"/>
        <v>0.52992888001867733</v>
      </c>
      <c r="V2098" s="1">
        <f t="shared" si="430"/>
        <v>182932.0562945944</v>
      </c>
      <c r="W2098" s="7">
        <f t="shared" si="431"/>
        <v>-1.3290614901460029E-2</v>
      </c>
      <c r="X2098" s="7">
        <f t="shared" si="432"/>
        <v>-1.0265740922209906E-2</v>
      </c>
      <c r="Y2098">
        <f>LN(B2098/B2097)</f>
        <v>-2.8334173616855599E-2</v>
      </c>
      <c r="Z2098">
        <f>LN(C2098/C2097)</f>
        <v>2.4579220691781984E-4</v>
      </c>
    </row>
    <row r="2099" spans="1:26" x14ac:dyDescent="0.3">
      <c r="A2099" s="9">
        <v>43273</v>
      </c>
      <c r="B2099" s="1">
        <v>29141.34</v>
      </c>
      <c r="C2099" s="1">
        <v>51.980125399999999</v>
      </c>
      <c r="D2099" s="6">
        <f t="shared" si="434"/>
        <v>8.337257732508041E-3</v>
      </c>
      <c r="E2099" s="5">
        <f t="shared" si="433"/>
        <v>2.4583512532383445E-4</v>
      </c>
      <c r="G2099" s="25" t="str">
        <f>IF(VLOOKUP(A2099,Aux!B:C,2,FALSE)=0,"",VLOOKUP(A2099,Aux!B:C,2,FALSE))</f>
        <v/>
      </c>
      <c r="H2099" s="25" t="str">
        <f t="shared" si="422"/>
        <v/>
      </c>
      <c r="L2099" s="13">
        <f t="shared" si="425"/>
        <v>181777.8370230305</v>
      </c>
      <c r="M2099" s="14">
        <f t="shared" si="426"/>
        <v>709.53309414904527</v>
      </c>
      <c r="N2099" s="14">
        <f t="shared" si="427"/>
        <v>23.585624689417617</v>
      </c>
      <c r="O2099" s="1">
        <f t="shared" si="428"/>
        <v>2.9447316627891391</v>
      </c>
      <c r="P2099" s="1">
        <f t="shared" si="429"/>
        <v>1846.1750465289729</v>
      </c>
      <c r="S2099" s="6">
        <f t="shared" si="423"/>
        <v>0.47207859879657083</v>
      </c>
      <c r="T2099" s="6">
        <f t="shared" si="424"/>
        <v>0.52792140120342912</v>
      </c>
      <c r="V2099" s="1">
        <f t="shared" si="430"/>
        <v>183516.51663511922</v>
      </c>
      <c r="W2099" s="7">
        <f t="shared" si="431"/>
        <v>4.0412025427135597E-3</v>
      </c>
      <c r="X2099" s="7">
        <f t="shared" si="432"/>
        <v>3.1898655324947489E-3</v>
      </c>
      <c r="Y2099">
        <f>LN(B2099/B2098)</f>
        <v>8.3026947732450906E-3</v>
      </c>
      <c r="Z2099">
        <f>LN(C2099/C2098)</f>
        <v>2.4580491282084118E-4</v>
      </c>
    </row>
    <row r="2100" spans="1:26" x14ac:dyDescent="0.3">
      <c r="A2100" s="11">
        <v>43276</v>
      </c>
      <c r="B2100" s="12">
        <v>29268.36</v>
      </c>
      <c r="C2100" s="12">
        <v>51.992904699999997</v>
      </c>
      <c r="D2100" s="16">
        <f t="shared" si="434"/>
        <v>4.3587563234910309E-3</v>
      </c>
      <c r="E2100" s="15">
        <f t="shared" si="433"/>
        <v>2.4584973394459197E-4</v>
      </c>
      <c r="G2100" s="25" t="str">
        <f>IF(VLOOKUP(A2100,Aux!B:C,2,FALSE)=0,"",VLOOKUP(A2100,Aux!B:C,2,FALSE))</f>
        <v/>
      </c>
      <c r="H2100" s="25" t="str">
        <f t="shared" si="422"/>
        <v/>
      </c>
      <c r="L2100" s="13">
        <f t="shared" si="425"/>
        <v>182175.4696636101</v>
      </c>
      <c r="M2100" s="14">
        <f t="shared" si="426"/>
        <v>374.03981580747774</v>
      </c>
      <c r="N2100" s="14">
        <f t="shared" si="427"/>
        <v>23.592824772104514</v>
      </c>
      <c r="O2100" s="1">
        <f t="shared" si="428"/>
        <v>2.9447316627891391</v>
      </c>
      <c r="P2100" s="1">
        <f t="shared" si="429"/>
        <v>1846.1750465289729</v>
      </c>
      <c r="S2100" s="6">
        <f t="shared" si="423"/>
        <v>0.47310138170115684</v>
      </c>
      <c r="T2100" s="6">
        <f t="shared" si="424"/>
        <v>0.52689861829884299</v>
      </c>
      <c r="V2100" s="1">
        <f t="shared" si="430"/>
        <v>183838.14520516794</v>
      </c>
      <c r="W2100" s="7">
        <f t="shared" si="431"/>
        <v>2.1850758956391187E-3</v>
      </c>
      <c r="X2100" s="7">
        <f t="shared" si="432"/>
        <v>1.7510525148561708E-3</v>
      </c>
      <c r="Y2100">
        <f>LN(B2100/B2099)</f>
        <v>4.3492844588728617E-3</v>
      </c>
      <c r="Z2100">
        <f>LN(C2100/C2099)</f>
        <v>2.4581951785106258E-4</v>
      </c>
    </row>
    <row r="2101" spans="1:26" x14ac:dyDescent="0.3">
      <c r="A2101" s="9">
        <v>43277</v>
      </c>
      <c r="B2101" s="1">
        <v>29452.14</v>
      </c>
      <c r="C2101" s="1">
        <v>52.005687700000003</v>
      </c>
      <c r="D2101" s="6">
        <f t="shared" si="434"/>
        <v>6.2791355579880914E-3</v>
      </c>
      <c r="E2101" s="5">
        <f t="shared" si="433"/>
        <v>2.4586047026531332E-4</v>
      </c>
      <c r="G2101" s="25" t="str">
        <f>IF(VLOOKUP(A2101,Aux!B:C,2,FALSE)=0,"",VLOOKUP(A2101,Aux!B:C,2,FALSE))</f>
        <v/>
      </c>
      <c r="H2101" s="25" t="str">
        <f t="shared" si="422"/>
        <v/>
      </c>
      <c r="L2101" s="13">
        <f t="shared" si="425"/>
        <v>182740.25210421727</v>
      </c>
      <c r="M2101" s="14">
        <f t="shared" si="426"/>
        <v>541.18278498738459</v>
      </c>
      <c r="N2101" s="14">
        <f t="shared" si="427"/>
        <v>23.599655619790909</v>
      </c>
      <c r="O2101" s="1">
        <f t="shared" si="428"/>
        <v>2.9447316627891391</v>
      </c>
      <c r="P2101" s="1">
        <f t="shared" si="429"/>
        <v>1846.1750465289729</v>
      </c>
      <c r="S2101" s="6">
        <f t="shared" si="423"/>
        <v>0.47460068702015873</v>
      </c>
      <c r="T2101" s="6">
        <f t="shared" si="424"/>
        <v>0.52539931297984122</v>
      </c>
      <c r="V2101" s="1">
        <f t="shared" si="430"/>
        <v>184290.72935808223</v>
      </c>
      <c r="W2101" s="7">
        <f t="shared" si="431"/>
        <v>3.0954155048778156E-3</v>
      </c>
      <c r="X2101" s="7">
        <f t="shared" si="432"/>
        <v>2.4588366314573736E-3</v>
      </c>
      <c r="Y2101">
        <f>LN(B2101/B2100)</f>
        <v>6.2595039232493802E-3</v>
      </c>
      <c r="Z2101">
        <f>LN(C2101/C2100)</f>
        <v>2.4583025153285352E-4</v>
      </c>
    </row>
    <row r="2102" spans="1:26" x14ac:dyDescent="0.3">
      <c r="A2102" s="11">
        <v>43278</v>
      </c>
      <c r="B2102" s="12">
        <v>29126.82</v>
      </c>
      <c r="C2102" s="12">
        <v>52.018470800000003</v>
      </c>
      <c r="D2102" s="16">
        <f t="shared" si="434"/>
        <v>-1.1045716881693424E-2</v>
      </c>
      <c r="E2102" s="15">
        <f t="shared" si="433"/>
        <v>2.4580196061907422E-4</v>
      </c>
      <c r="G2102" s="25" t="str">
        <f>IF(VLOOKUP(A2102,Aux!B:C,2,FALSE)=0,"",VLOOKUP(A2102,Aux!B:C,2,FALSE))</f>
        <v/>
      </c>
      <c r="H2102" s="25" t="str">
        <f t="shared" si="422"/>
        <v/>
      </c>
      <c r="L2102" s="13">
        <f t="shared" si="425"/>
        <v>181805.87183991601</v>
      </c>
      <c r="M2102" s="14">
        <f t="shared" si="426"/>
        <v>-957.98010453856193</v>
      </c>
      <c r="N2102" s="14">
        <f t="shared" si="427"/>
        <v>23.599840237284599</v>
      </c>
      <c r="O2102" s="1">
        <f t="shared" si="428"/>
        <v>2.9447316627891391</v>
      </c>
      <c r="P2102" s="1">
        <f t="shared" si="429"/>
        <v>1846.1750465289729</v>
      </c>
      <c r="S2102" s="6">
        <f t="shared" si="423"/>
        <v>0.47177062117049151</v>
      </c>
      <c r="T2102" s="6">
        <f t="shared" si="424"/>
        <v>0.52822937882950827</v>
      </c>
      <c r="V2102" s="1">
        <f t="shared" si="430"/>
        <v>183568.80222629642</v>
      </c>
      <c r="W2102" s="7">
        <f t="shared" si="431"/>
        <v>-5.1262775770827065E-3</v>
      </c>
      <c r="X2102" s="7">
        <f t="shared" si="432"/>
        <v>-3.9250202679122744E-3</v>
      </c>
      <c r="Y2102">
        <f>LN(B2102/B2101)</f>
        <v>-1.110717378851054E-2</v>
      </c>
      <c r="Z2102">
        <f>LN(C2102/C2101)</f>
        <v>2.457717562665768E-4</v>
      </c>
    </row>
    <row r="2103" spans="1:26" x14ac:dyDescent="0.3">
      <c r="A2103" s="9">
        <v>43279</v>
      </c>
      <c r="B2103" s="1">
        <v>29569.37</v>
      </c>
      <c r="C2103" s="1">
        <v>52.031257600000004</v>
      </c>
      <c r="D2103" s="6">
        <f t="shared" si="434"/>
        <v>1.5193900329661725E-2</v>
      </c>
      <c r="E2103" s="5">
        <f t="shared" si="433"/>
        <v>2.4581268544321411E-4</v>
      </c>
      <c r="G2103" s="25" t="str">
        <f>IF(VLOOKUP(A2103,Aux!B:C,2,FALSE)=0,"",VLOOKUP(A2103,Aux!B:C,2,FALSE))</f>
        <v/>
      </c>
      <c r="H2103" s="25" t="str">
        <f t="shared" si="422"/>
        <v/>
      </c>
      <c r="L2103" s="13">
        <f t="shared" si="425"/>
        <v>183132.6695083683</v>
      </c>
      <c r="M2103" s="14">
        <f t="shared" si="426"/>
        <v>1303.1909973673314</v>
      </c>
      <c r="N2103" s="14">
        <f t="shared" si="427"/>
        <v>23.606671084957878</v>
      </c>
      <c r="O2103" s="1">
        <f t="shared" si="428"/>
        <v>2.9447316627891391</v>
      </c>
      <c r="P2103" s="1">
        <f t="shared" si="429"/>
        <v>1846.1750465289729</v>
      </c>
      <c r="S2103" s="6">
        <f t="shared" si="423"/>
        <v>0.4754687425323007</v>
      </c>
      <c r="T2103" s="6">
        <f t="shared" si="424"/>
        <v>0.52453125746769902</v>
      </c>
      <c r="V2103" s="1">
        <f t="shared" si="430"/>
        <v>184618.38632213708</v>
      </c>
      <c r="W2103" s="7">
        <f t="shared" si="431"/>
        <v>7.2713805975308833E-3</v>
      </c>
      <c r="X2103" s="7">
        <f t="shared" si="432"/>
        <v>5.7013767540307824E-3</v>
      </c>
      <c r="Y2103">
        <f>LN(B2103/B2102)</f>
        <v>1.5079629056473866E-2</v>
      </c>
      <c r="Z2103">
        <f>LN(C2103/C2102)</f>
        <v>2.4578247845512421E-4</v>
      </c>
    </row>
    <row r="2104" spans="1:26" x14ac:dyDescent="0.3">
      <c r="A2104" s="11">
        <v>43280</v>
      </c>
      <c r="B2104" s="12">
        <v>29962.76</v>
      </c>
      <c r="C2104" s="12">
        <v>52.0440483</v>
      </c>
      <c r="D2104" s="16">
        <f t="shared" si="434"/>
        <v>1.3303969614503197E-2</v>
      </c>
      <c r="E2104" s="15">
        <f t="shared" si="433"/>
        <v>2.4582723136012952E-4</v>
      </c>
      <c r="G2104" s="25" t="str">
        <f>IF(VLOOKUP(A2104,Aux!B:C,2,FALSE)=0,"",VLOOKUP(A2104,Aux!B:C,2,FALSE))</f>
        <v/>
      </c>
      <c r="H2104" s="25" t="str">
        <f t="shared" si="422"/>
        <v/>
      </c>
      <c r="L2104" s="13">
        <f t="shared" si="425"/>
        <v>184314.71136836053</v>
      </c>
      <c r="M2104" s="14">
        <f t="shared" si="426"/>
        <v>1158.4279888246176</v>
      </c>
      <c r="N2104" s="14">
        <f t="shared" si="427"/>
        <v>23.613871167631654</v>
      </c>
      <c r="O2104" s="1">
        <f t="shared" si="428"/>
        <v>2.9447316627891391</v>
      </c>
      <c r="P2104" s="1">
        <f t="shared" si="429"/>
        <v>1846.1750465289729</v>
      </c>
      <c r="S2104" s="6">
        <f t="shared" si="423"/>
        <v>0.47870453433429982</v>
      </c>
      <c r="T2104" s="6">
        <f t="shared" si="424"/>
        <v>0.52129546566570006</v>
      </c>
      <c r="V2104" s="1">
        <f t="shared" si="430"/>
        <v>185554.56530316832</v>
      </c>
      <c r="W2104" s="7">
        <f t="shared" si="431"/>
        <v>6.4338242642076899E-3</v>
      </c>
      <c r="X2104" s="7">
        <f t="shared" si="432"/>
        <v>5.0580733835998148E-3</v>
      </c>
      <c r="Y2104">
        <f>LN(B2104/B2103)</f>
        <v>1.3216248976060314E-2</v>
      </c>
      <c r="Z2104">
        <f>LN(C2104/C2103)</f>
        <v>2.4579702079724171E-4</v>
      </c>
    </row>
    <row r="2105" spans="1:26" x14ac:dyDescent="0.3">
      <c r="A2105" s="9">
        <v>43283</v>
      </c>
      <c r="B2105" s="1">
        <v>29976.06</v>
      </c>
      <c r="C2105" s="1">
        <v>52.056842799999998</v>
      </c>
      <c r="D2105" s="6">
        <f t="shared" si="434"/>
        <v>4.4388434176290126E-4</v>
      </c>
      <c r="E2105" s="5">
        <f t="shared" si="433"/>
        <v>2.458398302578324E-4</v>
      </c>
      <c r="G2105" s="25" t="str">
        <f>IF(VLOOKUP(A2105,Aux!B:C,2,FALSE)=0,"",VLOOKUP(A2105,Aux!B:C,2,FALSE))</f>
        <v/>
      </c>
      <c r="H2105" s="25" t="str">
        <f t="shared" si="422"/>
        <v/>
      </c>
      <c r="L2105" s="13">
        <f t="shared" si="425"/>
        <v>184377.49718610846</v>
      </c>
      <c r="M2105" s="14">
        <f t="shared" si="426"/>
        <v>39.164931115104118</v>
      </c>
      <c r="N2105" s="14">
        <f t="shared" si="427"/>
        <v>23.620886632811743</v>
      </c>
      <c r="O2105" s="1">
        <f t="shared" si="428"/>
        <v>2.9447316627891391</v>
      </c>
      <c r="P2105" s="1">
        <f t="shared" si="429"/>
        <v>1846.1750465289729</v>
      </c>
      <c r="S2105" s="6">
        <f t="shared" si="423"/>
        <v>0.47875393882023926</v>
      </c>
      <c r="T2105" s="6">
        <f t="shared" si="424"/>
        <v>0.52124606117976058</v>
      </c>
      <c r="V2105" s="1">
        <f t="shared" si="430"/>
        <v>185613.87185968357</v>
      </c>
      <c r="W2105" s="7">
        <f t="shared" si="431"/>
        <v>3.405866297041838E-4</v>
      </c>
      <c r="X2105" s="7">
        <f t="shared" si="432"/>
        <v>3.1956681162490517E-4</v>
      </c>
      <c r="Y2105">
        <f>LN(B2105/B2104)</f>
        <v>4.4378585425210155E-4</v>
      </c>
      <c r="Z2105">
        <f>LN(C2105/C2104)</f>
        <v>2.4580961659847431E-4</v>
      </c>
    </row>
    <row r="2106" spans="1:26" x14ac:dyDescent="0.3">
      <c r="A2106" s="11">
        <v>43284</v>
      </c>
      <c r="B2106" s="12">
        <v>30310.45</v>
      </c>
      <c r="C2106" s="12">
        <v>52.069641099999998</v>
      </c>
      <c r="D2106" s="16">
        <f t="shared" si="434"/>
        <v>1.1155235211031789E-2</v>
      </c>
      <c r="E2106" s="15">
        <f t="shared" si="433"/>
        <v>2.4585240501751038E-4</v>
      </c>
      <c r="G2106" s="25" t="str">
        <f>IF(VLOOKUP(A2106,Aux!B:C,2,FALSE)=0,"",VLOOKUP(A2106,Aux!B:C,2,FALSE))</f>
        <v/>
      </c>
      <c r="H2106" s="25" t="str">
        <f t="shared" si="422"/>
        <v/>
      </c>
      <c r="L2106" s="13">
        <f t="shared" si="425"/>
        <v>185385.81390892653</v>
      </c>
      <c r="M2106" s="14">
        <f t="shared" si="426"/>
        <v>984.68882072005852</v>
      </c>
      <c r="N2106" s="14">
        <f t="shared" si="427"/>
        <v>23.627902097991829</v>
      </c>
      <c r="O2106" s="1">
        <f t="shared" si="428"/>
        <v>2.9447316627891391</v>
      </c>
      <c r="P2106" s="1">
        <f t="shared" si="429"/>
        <v>1846.1750465289729</v>
      </c>
      <c r="S2106" s="6">
        <f t="shared" si="423"/>
        <v>0.48146155278221792</v>
      </c>
      <c r="T2106" s="6">
        <f t="shared" si="424"/>
        <v>0.51853844721778175</v>
      </c>
      <c r="V2106" s="1">
        <f t="shared" si="430"/>
        <v>186413.9527790905</v>
      </c>
      <c r="W2106" s="7">
        <f t="shared" si="431"/>
        <v>5.4538630085502592E-3</v>
      </c>
      <c r="X2106" s="7">
        <f t="shared" si="432"/>
        <v>4.3011952326963724E-3</v>
      </c>
      <c r="Y2106">
        <f>LN(B2106/B2105)</f>
        <v>1.1093474454123696E-2</v>
      </c>
      <c r="Z2106">
        <f>LN(C2106/C2105)</f>
        <v>2.4582218826745624E-4</v>
      </c>
    </row>
    <row r="2107" spans="1:26" x14ac:dyDescent="0.3">
      <c r="A2107" s="9">
        <v>43285</v>
      </c>
      <c r="B2107" s="1">
        <v>30742.26</v>
      </c>
      <c r="C2107" s="1">
        <v>52.082439399999998</v>
      </c>
      <c r="D2107" s="6">
        <f t="shared" si="434"/>
        <v>1.4246241807693405E-2</v>
      </c>
      <c r="E2107" s="5">
        <f t="shared" si="433"/>
        <v>2.4579197646890094E-4</v>
      </c>
      <c r="G2107" s="25" t="str">
        <f>IF(VLOOKUP(A2107,Aux!B:C,2,FALSE)=0,"",VLOOKUP(A2107,Aux!B:C,2,FALSE))</f>
        <v/>
      </c>
      <c r="H2107" s="25" t="str">
        <f t="shared" si="422"/>
        <v/>
      </c>
      <c r="L2107" s="13">
        <f t="shared" si="425"/>
        <v>186681.0063903335</v>
      </c>
      <c r="M2107" s="14">
        <f t="shared" si="426"/>
        <v>1271.5645793089714</v>
      </c>
      <c r="N2107" s="14">
        <f t="shared" si="427"/>
        <v>23.627902097991829</v>
      </c>
      <c r="O2107" s="1">
        <f t="shared" si="428"/>
        <v>2.9447316627891391</v>
      </c>
      <c r="P2107" s="1">
        <f t="shared" si="429"/>
        <v>1846.1750465289729</v>
      </c>
      <c r="S2107" s="6">
        <f t="shared" si="423"/>
        <v>0.48493260325804438</v>
      </c>
      <c r="T2107" s="6">
        <f t="shared" si="424"/>
        <v>0.51506739674195534</v>
      </c>
      <c r="V2107" s="1">
        <f t="shared" si="430"/>
        <v>187438.78504626721</v>
      </c>
      <c r="W2107" s="7">
        <f t="shared" si="431"/>
        <v>6.9621779876355228E-3</v>
      </c>
      <c r="X2107" s="7">
        <f t="shared" si="432"/>
        <v>5.4825589359563812E-3</v>
      </c>
      <c r="Y2107">
        <f>LN(B2107/B2106)</f>
        <v>1.4145717707062504E-2</v>
      </c>
      <c r="Z2107">
        <f>LN(C2107/C2106)</f>
        <v>2.4576177456987433E-4</v>
      </c>
    </row>
    <row r="2108" spans="1:26" x14ac:dyDescent="0.3">
      <c r="A2108" s="11">
        <v>43286</v>
      </c>
      <c r="B2108" s="12">
        <v>30664.799999999999</v>
      </c>
      <c r="C2108" s="12">
        <v>52.095245400000003</v>
      </c>
      <c r="D2108" s="16">
        <f t="shared" si="434"/>
        <v>-2.5196586067517401E-3</v>
      </c>
      <c r="E2108" s="15">
        <f t="shared" si="433"/>
        <v>2.4587942015652509E-4</v>
      </c>
      <c r="G2108" s="25" t="str">
        <f>IF(VLOOKUP(A2108,Aux!B:C,2,FALSE)=0,"",VLOOKUP(A2108,Aux!B:C,2,FALSE))</f>
        <v/>
      </c>
      <c r="H2108" s="25" t="str">
        <f t="shared" si="422"/>
        <v/>
      </c>
      <c r="L2108" s="13">
        <f t="shared" si="425"/>
        <v>186476.54959337969</v>
      </c>
      <c r="M2108" s="14">
        <f t="shared" si="426"/>
        <v>-228.09891459964413</v>
      </c>
      <c r="N2108" s="14">
        <f t="shared" si="427"/>
        <v>23.642117645858811</v>
      </c>
      <c r="O2108" s="1">
        <f t="shared" si="428"/>
        <v>2.9447316627891391</v>
      </c>
      <c r="P2108" s="1">
        <f t="shared" si="429"/>
        <v>1846.1750465289729</v>
      </c>
      <c r="S2108" s="6">
        <f t="shared" si="423"/>
        <v>0.48424108924150866</v>
      </c>
      <c r="T2108" s="6">
        <f t="shared" si="424"/>
        <v>0.51575891075849112</v>
      </c>
      <c r="V2108" s="1">
        <f t="shared" si="430"/>
        <v>187288.73083500401</v>
      </c>
      <c r="W2108" s="7">
        <f t="shared" si="431"/>
        <v>-1.0958203264811682E-3</v>
      </c>
      <c r="X2108" s="7">
        <f t="shared" si="432"/>
        <v>-8.0087110192920887E-4</v>
      </c>
      <c r="Y2108">
        <f>LN(B2108/B2107)</f>
        <v>-2.5228382887641262E-3</v>
      </c>
      <c r="Z2108">
        <f>LN(C2108/C2107)</f>
        <v>2.4584919676600185E-4</v>
      </c>
    </row>
    <row r="2109" spans="1:26" x14ac:dyDescent="0.3">
      <c r="A2109" s="9">
        <v>43287</v>
      </c>
      <c r="B2109" s="1">
        <v>30852.86</v>
      </c>
      <c r="C2109" s="1">
        <v>52.1080513</v>
      </c>
      <c r="D2109" s="6">
        <f t="shared" si="434"/>
        <v>6.1327646030628902E-3</v>
      </c>
      <c r="E2109" s="5">
        <f t="shared" si="433"/>
        <v>2.4581705876736137E-4</v>
      </c>
      <c r="G2109" s="25" t="str">
        <f>IF(VLOOKUP(A2109,Aux!B:C,2,FALSE)=0,"",VLOOKUP(A2109,Aux!B:C,2,FALSE))</f>
        <v/>
      </c>
      <c r="H2109" s="25" t="str">
        <f t="shared" si="422"/>
        <v/>
      </c>
      <c r="L2109" s="13">
        <f t="shared" si="425"/>
        <v>187053.97776291217</v>
      </c>
      <c r="M2109" s="14">
        <f t="shared" si="426"/>
        <v>553.78623650412931</v>
      </c>
      <c r="N2109" s="14">
        <f t="shared" si="427"/>
        <v>23.641933028338883</v>
      </c>
      <c r="O2109" s="1">
        <f t="shared" si="428"/>
        <v>2.9447316627891391</v>
      </c>
      <c r="P2109" s="1">
        <f t="shared" si="429"/>
        <v>1846.1750465289729</v>
      </c>
      <c r="S2109" s="6">
        <f t="shared" si="423"/>
        <v>0.48570682546380112</v>
      </c>
      <c r="T2109" s="6">
        <f t="shared" si="424"/>
        <v>0.51429317453619861</v>
      </c>
      <c r="V2109" s="1">
        <f t="shared" si="430"/>
        <v>187751.24032796681</v>
      </c>
      <c r="W2109" s="7">
        <f t="shared" si="431"/>
        <v>3.0917346091114649E-3</v>
      </c>
      <c r="X2109" s="7">
        <f t="shared" si="432"/>
        <v>2.4664556473694517E-3</v>
      </c>
      <c r="Y2109">
        <f>LN(B2109/B2108)</f>
        <v>6.1140357363721311E-3</v>
      </c>
      <c r="Z2109">
        <f>LN(C2109/C2108)</f>
        <v>2.4578685070450755E-4</v>
      </c>
    </row>
    <row r="2110" spans="1:26" x14ac:dyDescent="0.3">
      <c r="A2110" s="11">
        <v>43291</v>
      </c>
      <c r="B2110" s="12">
        <v>30804.45</v>
      </c>
      <c r="C2110" s="12">
        <v>52.133674599999999</v>
      </c>
      <c r="D2110" s="16">
        <f t="shared" si="434"/>
        <v>-1.5690603723609309E-3</v>
      </c>
      <c r="E2110" s="15">
        <f t="shared" si="433"/>
        <v>4.9173399044377675E-4</v>
      </c>
      <c r="G2110" s="25" t="str">
        <f>IF(VLOOKUP(A2110,Aux!B:C,2,FALSE)=0,"",VLOOKUP(A2110,Aux!B:C,2,FALSE))</f>
        <v/>
      </c>
      <c r="H2110" s="25" t="str">
        <f t="shared" si="422"/>
        <v/>
      </c>
      <c r="L2110" s="13">
        <f t="shared" si="425"/>
        <v>186958.72840018629</v>
      </c>
      <c r="M2110" s="14">
        <f t="shared" si="426"/>
        <v>-142.5544597956218</v>
      </c>
      <c r="N2110" s="14">
        <f t="shared" si="427"/>
        <v>47.305097069724837</v>
      </c>
      <c r="O2110" s="1">
        <f t="shared" si="428"/>
        <v>2.9447316627891391</v>
      </c>
      <c r="P2110" s="1">
        <f t="shared" si="429"/>
        <v>1846.1750465289729</v>
      </c>
      <c r="S2110" s="6">
        <f t="shared" si="423"/>
        <v>0.48519178562039533</v>
      </c>
      <c r="T2110" s="6">
        <f t="shared" si="424"/>
        <v>0.51480821437960433</v>
      </c>
      <c r="V2110" s="1">
        <f t="shared" si="430"/>
        <v>187696.8794807769</v>
      </c>
      <c r="W2110" s="7">
        <f t="shared" si="431"/>
        <v>-5.0933758781720377E-4</v>
      </c>
      <c r="X2110" s="7">
        <f t="shared" si="432"/>
        <v>-2.8957847809951183E-4</v>
      </c>
      <c r="Y2110">
        <f>LN(B2110/B2109)</f>
        <v>-1.5702926367538231E-3</v>
      </c>
      <c r="Z2110">
        <f>LN(C2110/C2109)</f>
        <v>4.9161312890462603E-4</v>
      </c>
    </row>
    <row r="2111" spans="1:26" x14ac:dyDescent="0.3">
      <c r="A2111" s="9">
        <v>43292</v>
      </c>
      <c r="B2111" s="1">
        <v>30630.35</v>
      </c>
      <c r="C2111" s="1">
        <v>52.1464882</v>
      </c>
      <c r="D2111" s="6">
        <f t="shared" si="434"/>
        <v>-5.6517808303671035E-3</v>
      </c>
      <c r="E2111" s="5">
        <f t="shared" si="433"/>
        <v>2.4578355733240187E-4</v>
      </c>
      <c r="G2111" s="25" t="str">
        <f>IF(VLOOKUP(A2111,Aux!B:C,2,FALSE)=0,"",VLOOKUP(A2111,Aux!B:C,2,FALSE))</f>
        <v/>
      </c>
      <c r="H2111" s="25" t="str">
        <f t="shared" si="422"/>
        <v/>
      </c>
      <c r="L2111" s="13">
        <f t="shared" si="425"/>
        <v>186469.70676627089</v>
      </c>
      <c r="M2111" s="14">
        <f t="shared" si="426"/>
        <v>-512.67778249159551</v>
      </c>
      <c r="N2111" s="14">
        <f t="shared" si="427"/>
        <v>23.656148576205865</v>
      </c>
      <c r="O2111" s="1">
        <f t="shared" si="428"/>
        <v>2.9447316627891391</v>
      </c>
      <c r="P2111" s="1">
        <f t="shared" si="429"/>
        <v>1846.1750465289729</v>
      </c>
      <c r="S2111" s="6">
        <f t="shared" si="423"/>
        <v>0.48371482452306069</v>
      </c>
      <c r="T2111" s="6">
        <f t="shared" si="424"/>
        <v>0.51628517547693908</v>
      </c>
      <c r="V2111" s="1">
        <f t="shared" si="430"/>
        <v>187323.8904112351</v>
      </c>
      <c r="W2111" s="7">
        <f t="shared" si="431"/>
        <v>-2.6190930706196532E-3</v>
      </c>
      <c r="X2111" s="7">
        <f t="shared" si="432"/>
        <v>-1.9891655208082513E-3</v>
      </c>
      <c r="Y2111">
        <f>LN(B2111/B2110)</f>
        <v>-5.6678125774608113E-3</v>
      </c>
      <c r="Z2111">
        <f>LN(C2111/C2110)</f>
        <v>2.457533575021875E-4</v>
      </c>
    </row>
    <row r="2112" spans="1:26" x14ac:dyDescent="0.3">
      <c r="A2112" s="11">
        <v>43293</v>
      </c>
      <c r="B2112" s="12">
        <v>31210.89</v>
      </c>
      <c r="C2112" s="12">
        <v>52.159309399999998</v>
      </c>
      <c r="D2112" s="16">
        <f t="shared" si="434"/>
        <v>1.8953097173228572E-2</v>
      </c>
      <c r="E2112" s="15">
        <f t="shared" si="433"/>
        <v>2.4586890589484156E-4</v>
      </c>
      <c r="G2112" s="25" t="str">
        <f>IF(VLOOKUP(A2112,Aux!B:C,2,FALSE)=0,"",VLOOKUP(A2112,Aux!B:C,2,FALSE))</f>
        <v/>
      </c>
      <c r="H2112" s="25" t="str">
        <f t="shared" si="422"/>
        <v/>
      </c>
      <c r="L2112" s="13">
        <f t="shared" si="425"/>
        <v>188202.91146529306</v>
      </c>
      <c r="M2112" s="14">
        <f t="shared" si="426"/>
        <v>1709.5345195156094</v>
      </c>
      <c r="N2112" s="14">
        <f t="shared" si="427"/>
        <v>23.67017950655292</v>
      </c>
      <c r="O2112" s="1">
        <f t="shared" si="428"/>
        <v>2.9447316627891391</v>
      </c>
      <c r="P2112" s="1">
        <f t="shared" si="429"/>
        <v>1846.1750465289729</v>
      </c>
      <c r="S2112" s="6">
        <f t="shared" si="423"/>
        <v>0.48834364618093506</v>
      </c>
      <c r="T2112" s="6">
        <f t="shared" si="424"/>
        <v>0.5116563538190646</v>
      </c>
      <c r="V2112" s="1">
        <f t="shared" si="430"/>
        <v>188691.89922134846</v>
      </c>
      <c r="W2112" s="7">
        <f t="shared" si="431"/>
        <v>9.2519014086320569E-3</v>
      </c>
      <c r="X2112" s="7">
        <f t="shared" si="432"/>
        <v>7.2763691507535203E-3</v>
      </c>
      <c r="Y2112">
        <f>LN(B2112/B2111)</f>
        <v>1.8775724891978349E-2</v>
      </c>
      <c r="Z2112">
        <f>LN(C2112/C2111)</f>
        <v>2.4583868508886814E-4</v>
      </c>
    </row>
    <row r="2113" spans="1:26" x14ac:dyDescent="0.3">
      <c r="A2113" s="9">
        <v>43294</v>
      </c>
      <c r="B2113" s="1">
        <v>31521.47</v>
      </c>
      <c r="C2113" s="1">
        <v>52.172130600000003</v>
      </c>
      <c r="D2113" s="6">
        <f t="shared" si="434"/>
        <v>9.9510138929073122E-3</v>
      </c>
      <c r="E2113" s="5">
        <f t="shared" si="433"/>
        <v>2.4580846923560884E-4</v>
      </c>
      <c r="G2113" s="25" t="str">
        <f>IF(VLOOKUP(A2113,Aux!B:C,2,FALSE)=0,"",VLOOKUP(A2113,Aux!B:C,2,FALSE))</f>
        <v/>
      </c>
      <c r="H2113" s="25" t="str">
        <f t="shared" si="422"/>
        <v/>
      </c>
      <c r="L2113" s="13">
        <f t="shared" si="425"/>
        <v>189141.15640462868</v>
      </c>
      <c r="M2113" s="14">
        <f t="shared" si="426"/>
        <v>914.57475982905601</v>
      </c>
      <c r="N2113" s="14">
        <f t="shared" si="427"/>
        <v>23.67017950656604</v>
      </c>
      <c r="O2113" s="1">
        <f t="shared" si="428"/>
        <v>2.9447316627891391</v>
      </c>
      <c r="P2113" s="1">
        <f t="shared" si="429"/>
        <v>1846.1750465289729</v>
      </c>
      <c r="S2113" s="6">
        <f t="shared" si="423"/>
        <v>0.49075659962702023</v>
      </c>
      <c r="T2113" s="6">
        <f t="shared" si="424"/>
        <v>0.50924340037297944</v>
      </c>
      <c r="V2113" s="1">
        <f t="shared" si="430"/>
        <v>189437.10086821049</v>
      </c>
      <c r="W2113" s="7">
        <f t="shared" si="431"/>
        <v>4.9728984911603545E-3</v>
      </c>
      <c r="X2113" s="7">
        <f t="shared" si="432"/>
        <v>3.9415258361553641E-3</v>
      </c>
      <c r="Y2113">
        <f>LN(B2113/B2112)</f>
        <v>9.9018285808205146E-3</v>
      </c>
      <c r="Z2113">
        <f>LN(C2113/C2112)</f>
        <v>2.4577826328365268E-4</v>
      </c>
    </row>
    <row r="2114" spans="1:26" x14ac:dyDescent="0.3">
      <c r="A2114" s="11">
        <v>43297</v>
      </c>
      <c r="B2114" s="12">
        <v>31564.27</v>
      </c>
      <c r="C2114" s="12">
        <v>52.184955600000002</v>
      </c>
      <c r="D2114" s="16">
        <f t="shared" si="434"/>
        <v>1.3578046962912094E-3</v>
      </c>
      <c r="E2114" s="15">
        <f t="shared" si="433"/>
        <v>2.4582089810221142E-4</v>
      </c>
      <c r="G2114" s="25" t="str">
        <f>IF(VLOOKUP(A2114,Aux!B:C,2,FALSE)=0,"",VLOOKUP(A2114,Aux!B:C,2,FALSE))</f>
        <v/>
      </c>
      <c r="H2114" s="25" t="str">
        <f t="shared" si="422"/>
        <v/>
      </c>
      <c r="L2114" s="13">
        <f t="shared" si="425"/>
        <v>189290.8681147678</v>
      </c>
      <c r="M2114" s="14">
        <f t="shared" si="426"/>
        <v>126.03451516737302</v>
      </c>
      <c r="N2114" s="14">
        <f t="shared" si="427"/>
        <v>23.677194971733005</v>
      </c>
      <c r="O2114" s="1">
        <f t="shared" si="428"/>
        <v>2.9447316627891391</v>
      </c>
      <c r="P2114" s="1">
        <f t="shared" si="429"/>
        <v>1846.1750465289729</v>
      </c>
      <c r="S2114" s="6">
        <f t="shared" si="423"/>
        <v>0.49103428077402239</v>
      </c>
      <c r="T2114" s="6">
        <f t="shared" si="424"/>
        <v>0.50896571922597722</v>
      </c>
      <c r="V2114" s="1">
        <f t="shared" si="430"/>
        <v>189564.53318918133</v>
      </c>
      <c r="W2114" s="7">
        <f t="shared" si="431"/>
        <v>7.9122118768677502E-4</v>
      </c>
      <c r="X2114" s="7">
        <f t="shared" si="432"/>
        <v>6.7246319974283641E-4</v>
      </c>
      <c r="Y2114">
        <f>LN(B2114/B2113)</f>
        <v>1.3568837130772003E-3</v>
      </c>
      <c r="Z2114">
        <f>LN(C2114/C2113)</f>
        <v>2.4579068909580816E-4</v>
      </c>
    </row>
    <row r="2115" spans="1:26" x14ac:dyDescent="0.3">
      <c r="A2115" s="9">
        <v>43298</v>
      </c>
      <c r="B2115" s="1">
        <v>32162.09</v>
      </c>
      <c r="C2115" s="1">
        <v>52.197784400000003</v>
      </c>
      <c r="D2115" s="6">
        <f t="shared" si="434"/>
        <v>1.8939769555893493E-2</v>
      </c>
      <c r="E2115" s="5">
        <f t="shared" si="433"/>
        <v>2.4583330296068517E-4</v>
      </c>
      <c r="G2115" s="25" t="str">
        <f>IF(VLOOKUP(A2115,Aux!B:C,2,FALSE)=0,"",VLOOKUP(A2115,Aux!B:C,2,FALSE))</f>
        <v/>
      </c>
      <c r="H2115" s="25" t="str">
        <f t="shared" ref="H2115:H2178" si="435">IF(ISNUMBER(G2115),1-G2115,"")</f>
        <v/>
      </c>
      <c r="L2115" s="13">
        <f t="shared" si="425"/>
        <v>191074.97180785332</v>
      </c>
      <c r="M2115" s="14">
        <f t="shared" si="426"/>
        <v>1760.4194826486023</v>
      </c>
      <c r="N2115" s="14">
        <f t="shared" si="427"/>
        <v>23.684210436913094</v>
      </c>
      <c r="O2115" s="1">
        <f t="shared" si="428"/>
        <v>2.9447316627891391</v>
      </c>
      <c r="P2115" s="1">
        <f t="shared" si="429"/>
        <v>1846.1750465289729</v>
      </c>
      <c r="S2115" s="6">
        <f t="shared" ref="S2115:S2178" si="436">O2115*B2115/L2115</f>
        <v>0.49566263895469193</v>
      </c>
      <c r="T2115" s="6">
        <f t="shared" ref="T2115:T2178" si="437">P2115*C2115/L2115</f>
        <v>0.50433736104530769</v>
      </c>
      <c r="V2115" s="1">
        <f t="shared" si="430"/>
        <v>190972.42456595902</v>
      </c>
      <c r="W2115" s="7">
        <f t="shared" si="431"/>
        <v>9.3810568135392122E-3</v>
      </c>
      <c r="X2115" s="7">
        <f t="shared" si="432"/>
        <v>7.3995325391955176E-3</v>
      </c>
      <c r="Y2115">
        <f>LN(B2115/B2114)</f>
        <v>1.8762645090235227E-2</v>
      </c>
      <c r="Z2115">
        <f>LN(C2115/C2114)</f>
        <v>2.4580309090558103E-4</v>
      </c>
    </row>
    <row r="2116" spans="1:26" x14ac:dyDescent="0.3">
      <c r="A2116" s="11">
        <v>43299</v>
      </c>
      <c r="B2116" s="12">
        <v>31862.27</v>
      </c>
      <c r="C2116" s="12">
        <v>52.2106171</v>
      </c>
      <c r="D2116" s="16">
        <f t="shared" si="434"/>
        <v>-9.3221553698780157E-3</v>
      </c>
      <c r="E2116" s="15">
        <f t="shared" si="433"/>
        <v>2.4584759961565616E-4</v>
      </c>
      <c r="G2116" s="25" t="str">
        <f>IF(VLOOKUP(A2116,Aux!B:C,2,FALSE)=0,"",VLOOKUP(A2116,Aux!B:C,2,FALSE))</f>
        <v/>
      </c>
      <c r="H2116" s="25" t="str">
        <f t="shared" si="435"/>
        <v/>
      </c>
      <c r="L2116" s="13">
        <f t="shared" ref="L2116:L2179" si="438">L2115+M2116+N2116</f>
        <v>190215.77377123546</v>
      </c>
      <c r="M2116" s="14">
        <f t="shared" ref="M2116:M2179" si="439">O2115*(B2116-B2115)</f>
        <v>-882.88944713743888</v>
      </c>
      <c r="N2116" s="14">
        <f t="shared" ref="N2116:N2179" si="440">P2115*(C2116-C2115)</f>
        <v>23.691410519586871</v>
      </c>
      <c r="O2116" s="1">
        <f t="shared" ref="O2116:O2179" si="441">IF(ISNUMBER(G2116),L2116*G2116/B2116,O2115)</f>
        <v>2.9447316627891391</v>
      </c>
      <c r="P2116" s="1">
        <f t="shared" ref="P2116:P2179" si="442">IF(ISNUMBER(H2116),L2116*H2116/C2116,P2115)</f>
        <v>1846.1750465289729</v>
      </c>
      <c r="S2116" s="6">
        <f t="shared" si="436"/>
        <v>0.49326001444116252</v>
      </c>
      <c r="T2116" s="6">
        <f t="shared" si="437"/>
        <v>0.50673998555883715</v>
      </c>
      <c r="V2116" s="1">
        <f t="shared" ref="V2116:V2179" si="443">$O$2*B2116+$P$2*C2116</f>
        <v>190309.43778793811</v>
      </c>
      <c r="W2116" s="7">
        <f t="shared" ref="W2116:W2179" si="444">LN(L2116/L2115)</f>
        <v>-4.5067943602497568E-3</v>
      </c>
      <c r="X2116" s="7">
        <f t="shared" ref="X2116:X2179" si="445">LN(V2116/V2115)</f>
        <v>-3.4776762897702068E-3</v>
      </c>
      <c r="Y2116">
        <f>LN(B2116/B2115)</f>
        <v>-9.3658786022398476E-3</v>
      </c>
      <c r="Z2116">
        <f>LN(C2116/C2115)</f>
        <v>2.4581738404671973E-4</v>
      </c>
    </row>
    <row r="2117" spans="1:26" x14ac:dyDescent="0.3">
      <c r="A2117" s="9">
        <v>43300</v>
      </c>
      <c r="B2117" s="1">
        <v>31910.61</v>
      </c>
      <c r="C2117" s="1">
        <v>52.223453499999998</v>
      </c>
      <c r="D2117" s="6">
        <f t="shared" si="434"/>
        <v>1.5171549296393305E-3</v>
      </c>
      <c r="E2117" s="5">
        <f t="shared" ref="E2117:E2180" si="446">C2117/C2116-1</f>
        <v>2.4585804024135349E-4</v>
      </c>
      <c r="G2117" s="25" t="str">
        <f>IF(VLOOKUP(A2117,Aux!B:C,2,FALSE)=0,"",VLOOKUP(A2117,Aux!B:C,2,FALSE))</f>
        <v/>
      </c>
      <c r="H2117" s="25" t="str">
        <f t="shared" si="435"/>
        <v/>
      </c>
      <c r="L2117" s="13">
        <f t="shared" si="438"/>
        <v>190381.82034118194</v>
      </c>
      <c r="M2117" s="14">
        <f t="shared" si="439"/>
        <v>142.34832857922743</v>
      </c>
      <c r="N2117" s="14">
        <f t="shared" si="440"/>
        <v>23.698241367260149</v>
      </c>
      <c r="O2117" s="1">
        <f t="shared" si="441"/>
        <v>2.9447316627891391</v>
      </c>
      <c r="P2117" s="1">
        <f t="shared" si="442"/>
        <v>1846.1750465289729</v>
      </c>
      <c r="S2117" s="6">
        <f t="shared" si="436"/>
        <v>0.49357750376331105</v>
      </c>
      <c r="T2117" s="6">
        <f t="shared" si="437"/>
        <v>0.50642249623668867</v>
      </c>
      <c r="V2117" s="1">
        <f t="shared" si="443"/>
        <v>190449.67658600924</v>
      </c>
      <c r="W2117" s="7">
        <f t="shared" si="444"/>
        <v>8.7255717350894304E-4</v>
      </c>
      <c r="X2117" s="7">
        <f t="shared" si="445"/>
        <v>7.3662743250719554E-4</v>
      </c>
      <c r="Y2117">
        <f>LN(B2117/B2116)</f>
        <v>1.5160052128178599E-3</v>
      </c>
      <c r="Z2117">
        <f>LN(C2117/C2116)</f>
        <v>2.4582782210619069E-4</v>
      </c>
    </row>
    <row r="2118" spans="1:26" x14ac:dyDescent="0.3">
      <c r="A2118" s="11">
        <v>43301</v>
      </c>
      <c r="B2118" s="12">
        <v>32379.46</v>
      </c>
      <c r="C2118" s="12">
        <v>52.236289999999997</v>
      </c>
      <c r="D2118" s="16">
        <f t="shared" si="434"/>
        <v>1.4692605374826639E-2</v>
      </c>
      <c r="E2118" s="15">
        <f t="shared" si="446"/>
        <v>2.4579952377146164E-4</v>
      </c>
      <c r="G2118" s="25" t="str">
        <f>IF(VLOOKUP(A2118,Aux!B:C,2,FALSE)=0,"",VLOOKUP(A2118,Aux!B:C,2,FALSE))</f>
        <v/>
      </c>
      <c r="H2118" s="25" t="str">
        <f t="shared" si="435"/>
        <v/>
      </c>
      <c r="L2118" s="13">
        <f t="shared" si="438"/>
        <v>191786.15620726539</v>
      </c>
      <c r="M2118" s="14">
        <f t="shared" si="439"/>
        <v>1380.6374400986836</v>
      </c>
      <c r="N2118" s="14">
        <f t="shared" si="440"/>
        <v>23.69842598476696</v>
      </c>
      <c r="O2118" s="1">
        <f t="shared" si="441"/>
        <v>2.9447316627891391</v>
      </c>
      <c r="P2118" s="1">
        <f t="shared" si="442"/>
        <v>1846.1750465289729</v>
      </c>
      <c r="S2118" s="6">
        <f t="shared" si="436"/>
        <v>0.49716216734105617</v>
      </c>
      <c r="T2118" s="6">
        <f t="shared" si="437"/>
        <v>0.50283783265894355</v>
      </c>
      <c r="V2118" s="1">
        <f t="shared" si="443"/>
        <v>191560.04688731214</v>
      </c>
      <c r="W2118" s="7">
        <f t="shared" si="444"/>
        <v>7.3493451742301661E-3</v>
      </c>
      <c r="X2118" s="7">
        <f t="shared" si="445"/>
        <v>5.8133254738277065E-3</v>
      </c>
      <c r="Y2118">
        <f>LN(B2118/B2117)</f>
        <v>1.4585714777407242E-2</v>
      </c>
      <c r="Z2118">
        <f>LN(C2118/C2117)</f>
        <v>2.4576932001779597E-4</v>
      </c>
    </row>
    <row r="2119" spans="1:26" x14ac:dyDescent="0.3">
      <c r="A2119" s="9">
        <v>43304</v>
      </c>
      <c r="B2119" s="1">
        <v>32161.99</v>
      </c>
      <c r="C2119" s="1">
        <v>52.249130200000003</v>
      </c>
      <c r="D2119" s="6">
        <f t="shared" si="434"/>
        <v>-6.7162948362943231E-3</v>
      </c>
      <c r="E2119" s="5">
        <f t="shared" si="446"/>
        <v>2.4580995319545274E-4</v>
      </c>
      <c r="G2119" s="25" t="str">
        <f>IF(VLOOKUP(A2119,Aux!B:C,2,FALSE)=0,"",VLOOKUP(A2119,Aux!B:C,2,FALSE))</f>
        <v/>
      </c>
      <c r="H2119" s="25" t="str">
        <f t="shared" si="435"/>
        <v/>
      </c>
      <c r="L2119" s="13">
        <f t="shared" si="438"/>
        <v>191169.4706693911</v>
      </c>
      <c r="M2119" s="14">
        <f t="shared" si="439"/>
        <v>-640.39079470674676</v>
      </c>
      <c r="N2119" s="14">
        <f t="shared" si="440"/>
        <v>23.705256832453351</v>
      </c>
      <c r="O2119" s="1">
        <f t="shared" si="441"/>
        <v>2.9447316627891391</v>
      </c>
      <c r="P2119" s="1">
        <f t="shared" si="442"/>
        <v>1846.1750465289729</v>
      </c>
      <c r="S2119" s="6">
        <f t="shared" si="436"/>
        <v>0.49541608270232979</v>
      </c>
      <c r="T2119" s="6">
        <f t="shared" si="437"/>
        <v>0.50458391729766994</v>
      </c>
      <c r="V2119" s="1">
        <f t="shared" si="443"/>
        <v>191087.06121840311</v>
      </c>
      <c r="W2119" s="7">
        <f t="shared" si="444"/>
        <v>-3.2206659343856823E-3</v>
      </c>
      <c r="X2119" s="7">
        <f t="shared" si="445"/>
        <v>-2.4721781494425185E-3</v>
      </c>
      <c r="Y2119">
        <f>LN(B2119/B2118)</f>
        <v>-6.7389506434927613E-3</v>
      </c>
      <c r="Z2119">
        <f>LN(C2119/C2118)</f>
        <v>2.457797468788152E-4</v>
      </c>
    </row>
    <row r="2120" spans="1:26" x14ac:dyDescent="0.3">
      <c r="A2120" s="11">
        <v>43305</v>
      </c>
      <c r="B2120" s="12">
        <v>32614.05</v>
      </c>
      <c r="C2120" s="12">
        <v>52.261974299999999</v>
      </c>
      <c r="D2120" s="16">
        <f t="shared" si="434"/>
        <v>1.4055722298278006E-2</v>
      </c>
      <c r="E2120" s="15">
        <f t="shared" si="446"/>
        <v>2.4582418790197735E-4</v>
      </c>
      <c r="G2120" s="25" t="str">
        <f>IF(VLOOKUP(A2120,Aux!B:C,2,FALSE)=0,"",VLOOKUP(A2120,Aux!B:C,2,FALSE))</f>
        <v/>
      </c>
      <c r="H2120" s="25" t="str">
        <f t="shared" si="435"/>
        <v/>
      </c>
      <c r="L2120" s="13">
        <f t="shared" si="438"/>
        <v>192524.37852178668</v>
      </c>
      <c r="M2120" s="14">
        <f t="shared" si="439"/>
        <v>1331.1953954804515</v>
      </c>
      <c r="N2120" s="14">
        <f t="shared" si="440"/>
        <v>23.712456915114014</v>
      </c>
      <c r="O2120" s="1">
        <f t="shared" si="441"/>
        <v>2.9447316627891391</v>
      </c>
      <c r="P2120" s="1">
        <f t="shared" si="442"/>
        <v>1846.1750465289729</v>
      </c>
      <c r="S2120" s="6">
        <f t="shared" si="436"/>
        <v>0.49884397199038333</v>
      </c>
      <c r="T2120" s="6">
        <f t="shared" si="437"/>
        <v>0.50115602800961623</v>
      </c>
      <c r="V2120" s="1">
        <f t="shared" si="443"/>
        <v>192158.71340459536</v>
      </c>
      <c r="W2120" s="7">
        <f t="shared" si="444"/>
        <v>7.0624717439635954E-3</v>
      </c>
      <c r="X2120" s="7">
        <f t="shared" si="445"/>
        <v>5.5925207804499956E-3</v>
      </c>
      <c r="Y2120">
        <f>LN(B2120/B2119)</f>
        <v>1.3957856616014662E-2</v>
      </c>
      <c r="Z2120">
        <f>LN(C2120/C2119)</f>
        <v>2.4579397808706594E-4</v>
      </c>
    </row>
    <row r="2121" spans="1:26" x14ac:dyDescent="0.3">
      <c r="A2121" s="9">
        <v>43306</v>
      </c>
      <c r="B2121" s="1">
        <v>33054.86</v>
      </c>
      <c r="C2121" s="1">
        <v>52.274822200000003</v>
      </c>
      <c r="D2121" s="6">
        <f t="shared" si="434"/>
        <v>1.3515954013684217E-2</v>
      </c>
      <c r="E2121" s="5">
        <f t="shared" si="446"/>
        <v>2.4583648383158518E-4</v>
      </c>
      <c r="G2121" s="25" t="str">
        <f>IF(VLOOKUP(A2121,Aux!B:C,2,FALSE)=0,"",VLOOKUP(A2121,Aux!B:C,2,FALSE))</f>
        <v/>
      </c>
      <c r="H2121" s="25" t="str">
        <f t="shared" si="435"/>
        <v/>
      </c>
      <c r="L2121" s="13">
        <f t="shared" si="438"/>
        <v>193846.16515844106</v>
      </c>
      <c r="M2121" s="14">
        <f t="shared" si="439"/>
        <v>1298.0671642740842</v>
      </c>
      <c r="N2121" s="14">
        <f t="shared" si="440"/>
        <v>23.719472380307216</v>
      </c>
      <c r="O2121" s="1">
        <f t="shared" si="441"/>
        <v>2.9447316627891391</v>
      </c>
      <c r="P2121" s="1">
        <f t="shared" si="442"/>
        <v>1846.1750465289729</v>
      </c>
      <c r="S2121" s="6">
        <f t="shared" si="436"/>
        <v>0.50213886238865135</v>
      </c>
      <c r="T2121" s="6">
        <f t="shared" si="437"/>
        <v>0.49786113761134837</v>
      </c>
      <c r="V2121" s="1">
        <f t="shared" si="443"/>
        <v>193204.41994836391</v>
      </c>
      <c r="W2121" s="7">
        <f t="shared" si="444"/>
        <v>6.8420940198892439E-3</v>
      </c>
      <c r="X2121" s="7">
        <f t="shared" si="445"/>
        <v>5.4271362251949165E-3</v>
      </c>
      <c r="Y2121">
        <f>LN(B2121/B2120)</f>
        <v>1.3425428289409983E-2</v>
      </c>
      <c r="Z2121">
        <f>LN(C2121/C2120)</f>
        <v>2.4580627099470416E-4</v>
      </c>
    </row>
    <row r="2122" spans="1:26" x14ac:dyDescent="0.3">
      <c r="A2122" s="11">
        <v>43307</v>
      </c>
      <c r="B2122" s="12">
        <v>32712.12</v>
      </c>
      <c r="C2122" s="12">
        <v>52.287674000000003</v>
      </c>
      <c r="D2122" s="16">
        <f t="shared" si="434"/>
        <v>-1.0368823222969392E-2</v>
      </c>
      <c r="E2122" s="15">
        <f t="shared" si="446"/>
        <v>2.4585066881388506E-4</v>
      </c>
      <c r="G2122" s="25" t="str">
        <f>IF(VLOOKUP(A2122,Aux!B:C,2,FALSE)=0,"",VLOOKUP(A2122,Aux!B:C,2,FALSE))</f>
        <v/>
      </c>
      <c r="H2122" s="25" t="str">
        <f t="shared" si="435"/>
        <v/>
      </c>
      <c r="L2122" s="13">
        <f t="shared" si="438"/>
        <v>192860.61450079968</v>
      </c>
      <c r="M2122" s="14">
        <f t="shared" si="439"/>
        <v>-1009.2773301043543</v>
      </c>
      <c r="N2122" s="14">
        <f t="shared" si="440"/>
        <v>23.726672462980996</v>
      </c>
      <c r="O2122" s="1">
        <f t="shared" si="441"/>
        <v>2.9447316627891391</v>
      </c>
      <c r="P2122" s="1">
        <f t="shared" si="442"/>
        <v>1846.1750465289729</v>
      </c>
      <c r="S2122" s="6">
        <f t="shared" si="436"/>
        <v>0.49947168202431724</v>
      </c>
      <c r="T2122" s="6">
        <f t="shared" si="437"/>
        <v>0.50052831797568242</v>
      </c>
      <c r="V2122" s="1">
        <f t="shared" si="443"/>
        <v>192442.45795822336</v>
      </c>
      <c r="W2122" s="7">
        <f t="shared" si="444"/>
        <v>-5.0971580705663939E-3</v>
      </c>
      <c r="X2122" s="7">
        <f t="shared" si="445"/>
        <v>-3.9516097513531776E-3</v>
      </c>
      <c r="Y2122">
        <f>LN(B2122/B2121)</f>
        <v>-1.04229539770827E-2</v>
      </c>
      <c r="Z2122">
        <f>LN(C2122/C2121)</f>
        <v>2.4582045249057436E-4</v>
      </c>
    </row>
    <row r="2123" spans="1:26" x14ac:dyDescent="0.3">
      <c r="A2123" s="9">
        <v>43308</v>
      </c>
      <c r="B2123" s="1">
        <v>32873.75</v>
      </c>
      <c r="C2123" s="1">
        <v>52.300529500000003</v>
      </c>
      <c r="D2123" s="6">
        <f t="shared" si="434"/>
        <v>4.9409821191657155E-3</v>
      </c>
      <c r="E2123" s="5">
        <f t="shared" si="446"/>
        <v>2.4586100349388573E-4</v>
      </c>
      <c r="G2123" s="25" t="str">
        <f>IF(VLOOKUP(A2123,Aux!B:C,2,FALSE)=0,"",VLOOKUP(A2123,Aux!B:C,2,FALSE))</f>
        <v/>
      </c>
      <c r="H2123" s="25" t="str">
        <f t="shared" si="435"/>
        <v/>
      </c>
      <c r="L2123" s="13">
        <f t="shared" si="438"/>
        <v>193360.30498276695</v>
      </c>
      <c r="M2123" s="14">
        <f t="shared" si="439"/>
        <v>475.95697865661157</v>
      </c>
      <c r="N2123" s="14">
        <f t="shared" si="440"/>
        <v>23.733503310654271</v>
      </c>
      <c r="O2123" s="1">
        <f t="shared" si="441"/>
        <v>2.9447316627891391</v>
      </c>
      <c r="P2123" s="1">
        <f t="shared" si="442"/>
        <v>1846.1750465289729</v>
      </c>
      <c r="S2123" s="6">
        <f t="shared" si="436"/>
        <v>0.50064242765981393</v>
      </c>
      <c r="T2123" s="6">
        <f t="shared" si="437"/>
        <v>0.4993575723401858</v>
      </c>
      <c r="V2123" s="1">
        <f t="shared" si="443"/>
        <v>192844.1034784299</v>
      </c>
      <c r="W2123" s="7">
        <f t="shared" si="444"/>
        <v>2.5875903430968785E-3</v>
      </c>
      <c r="X2123" s="7">
        <f t="shared" si="445"/>
        <v>2.08491915316859E-3</v>
      </c>
      <c r="Y2123">
        <f>LN(B2123/B2122)</f>
        <v>4.9288155271656354E-3</v>
      </c>
      <c r="Z2123">
        <f>LN(C2123/C2122)</f>
        <v>2.4583078463035819E-4</v>
      </c>
    </row>
    <row r="2124" spans="1:26" x14ac:dyDescent="0.3">
      <c r="A2124" s="11">
        <v>43311</v>
      </c>
      <c r="B2124" s="12">
        <v>33024.76</v>
      </c>
      <c r="C2124" s="12">
        <v>52.313384999999997</v>
      </c>
      <c r="D2124" s="16">
        <f t="shared" si="434"/>
        <v>4.5936347389634591E-3</v>
      </c>
      <c r="E2124" s="15">
        <f t="shared" si="446"/>
        <v>2.4580057071865724E-4</v>
      </c>
      <c r="G2124" s="25" t="str">
        <f>IF(VLOOKUP(A2124,Aux!B:C,2,FALSE)=0,"",VLOOKUP(A2124,Aux!B:C,2,FALSE))</f>
        <v/>
      </c>
      <c r="H2124" s="25" t="str">
        <f t="shared" si="435"/>
        <v/>
      </c>
      <c r="L2124" s="13">
        <f t="shared" si="438"/>
        <v>193828.7224144754</v>
      </c>
      <c r="M2124" s="14">
        <f t="shared" si="439"/>
        <v>444.68392839779392</v>
      </c>
      <c r="N2124" s="14">
        <f t="shared" si="440"/>
        <v>23.733503310641154</v>
      </c>
      <c r="O2124" s="1">
        <f t="shared" si="441"/>
        <v>2.9447316627891391</v>
      </c>
      <c r="P2124" s="1">
        <f t="shared" si="442"/>
        <v>1846.1750465289729</v>
      </c>
      <c r="S2124" s="6">
        <f t="shared" si="436"/>
        <v>0.50172675760643382</v>
      </c>
      <c r="T2124" s="6">
        <f t="shared" si="437"/>
        <v>0.49827324239356569</v>
      </c>
      <c r="V2124" s="1">
        <f t="shared" si="443"/>
        <v>193221.24828714688</v>
      </c>
      <c r="W2124" s="7">
        <f t="shared" si="444"/>
        <v>2.4195812747145364E-3</v>
      </c>
      <c r="X2124" s="7">
        <f t="shared" si="445"/>
        <v>1.9537880152399184E-3</v>
      </c>
      <c r="Y2124">
        <f>LN(B2124/B2123)</f>
        <v>4.5831161988260614E-3</v>
      </c>
      <c r="Z2124">
        <f>LN(C2124/C2123)</f>
        <v>2.4577036670771516E-4</v>
      </c>
    </row>
    <row r="2125" spans="1:26" x14ac:dyDescent="0.3">
      <c r="A2125" s="9">
        <v>43312</v>
      </c>
      <c r="B2125" s="1">
        <v>32610.22</v>
      </c>
      <c r="C2125" s="1">
        <v>52.3262444</v>
      </c>
      <c r="D2125" s="6">
        <f t="shared" si="434"/>
        <v>-1.2552400078002068E-2</v>
      </c>
      <c r="E2125" s="5">
        <f t="shared" si="446"/>
        <v>2.4581471835571911E-4</v>
      </c>
      <c r="G2125" s="25" t="str">
        <f>IF(VLOOKUP(A2125,Aux!B:C,2,FALSE)=0,"",VLOOKUP(A2125,Aux!B:C,2,FALSE))</f>
        <v/>
      </c>
      <c r="H2125" s="25" t="str">
        <f t="shared" si="435"/>
        <v/>
      </c>
      <c r="L2125" s="13">
        <f t="shared" si="438"/>
        <v>192631.75405437613</v>
      </c>
      <c r="M2125" s="14">
        <f t="shared" si="439"/>
        <v>-1220.7090634926124</v>
      </c>
      <c r="N2125" s="14">
        <f t="shared" si="440"/>
        <v>23.740703393341168</v>
      </c>
      <c r="O2125" s="1">
        <f t="shared" si="441"/>
        <v>2.9447316627891391</v>
      </c>
      <c r="P2125" s="1">
        <f t="shared" si="442"/>
        <v>1846.1750465289729</v>
      </c>
      <c r="S2125" s="6">
        <f t="shared" si="436"/>
        <v>0.49850736103151899</v>
      </c>
      <c r="T2125" s="6">
        <f t="shared" si="437"/>
        <v>0.50149263896848062</v>
      </c>
      <c r="V2125" s="1">
        <f t="shared" si="443"/>
        <v>192293.65818763562</v>
      </c>
      <c r="W2125" s="7">
        <f t="shared" si="444"/>
        <v>-6.1945386942046533E-3</v>
      </c>
      <c r="X2125" s="7">
        <f t="shared" si="445"/>
        <v>-4.8122232058296832E-3</v>
      </c>
      <c r="Y2125">
        <f>LN(B2125/B2124)</f>
        <v>-1.2631846984899225E-2</v>
      </c>
      <c r="Z2125">
        <f>LN(C2125/C2124)</f>
        <v>2.4578451086803427E-4</v>
      </c>
    </row>
    <row r="2126" spans="1:26" x14ac:dyDescent="0.3">
      <c r="A2126" s="11">
        <v>43313</v>
      </c>
      <c r="B2126" s="12">
        <v>32656.27</v>
      </c>
      <c r="C2126" s="12">
        <v>52.339107499999997</v>
      </c>
      <c r="D2126" s="16">
        <f t="shared" si="434"/>
        <v>1.4121339874431094E-3</v>
      </c>
      <c r="E2126" s="15">
        <f t="shared" si="446"/>
        <v>2.4582501854464311E-4</v>
      </c>
      <c r="G2126" s="25" t="str">
        <f>IF(VLOOKUP(A2126,Aux!B:C,2,FALSE)=0,"",VLOOKUP(A2126,Aux!B:C,2,FALSE))</f>
        <v/>
      </c>
      <c r="H2126" s="25" t="str">
        <f t="shared" si="435"/>
        <v/>
      </c>
      <c r="L2126" s="13">
        <f t="shared" si="438"/>
        <v>192791.10648168856</v>
      </c>
      <c r="M2126" s="14">
        <f t="shared" si="439"/>
        <v>135.60489307143771</v>
      </c>
      <c r="N2126" s="14">
        <f t="shared" si="440"/>
        <v>23.747534241001325</v>
      </c>
      <c r="O2126" s="1">
        <f t="shared" si="441"/>
        <v>2.9447316627891391</v>
      </c>
      <c r="P2126" s="1">
        <f t="shared" si="442"/>
        <v>1846.1750465289729</v>
      </c>
      <c r="S2126" s="6">
        <f t="shared" si="436"/>
        <v>0.49879869467280019</v>
      </c>
      <c r="T2126" s="6">
        <f t="shared" si="437"/>
        <v>0.50120130532719942</v>
      </c>
      <c r="V2126" s="1">
        <f t="shared" si="443"/>
        <v>192428.67360703886</v>
      </c>
      <c r="W2126" s="7">
        <f t="shared" si="444"/>
        <v>8.2689665148914435E-4</v>
      </c>
      <c r="X2126" s="7">
        <f t="shared" si="445"/>
        <v>7.0188504169372526E-4</v>
      </c>
      <c r="Y2126">
        <f>LN(B2126/B2125)</f>
        <v>1.4111378639068588E-3</v>
      </c>
      <c r="Z2126">
        <f>LN(C2126/C2125)</f>
        <v>2.4579480852558944E-4</v>
      </c>
    </row>
    <row r="2127" spans="1:26" x14ac:dyDescent="0.3">
      <c r="A2127" s="9">
        <v>43314</v>
      </c>
      <c r="B2127" s="1">
        <v>32786.29</v>
      </c>
      <c r="C2127" s="1">
        <v>52.351974499999997</v>
      </c>
      <c r="D2127" s="6">
        <f t="shared" si="434"/>
        <v>3.9814712457975077E-3</v>
      </c>
      <c r="E2127" s="5">
        <f t="shared" si="446"/>
        <v>2.4583911752795728E-4</v>
      </c>
      <c r="G2127" s="25" t="str">
        <f>IF(VLOOKUP(A2127,Aux!B:C,2,FALSE)=0,"",VLOOKUP(A2127,Aux!B:C,2,FALSE))</f>
        <v/>
      </c>
      <c r="H2127" s="25" t="str">
        <f t="shared" si="435"/>
        <v/>
      </c>
      <c r="L2127" s="13">
        <f t="shared" si="438"/>
        <v>193197.73522680809</v>
      </c>
      <c r="M2127" s="14">
        <f t="shared" si="439"/>
        <v>382.87401079584515</v>
      </c>
      <c r="N2127" s="14">
        <f t="shared" si="440"/>
        <v>23.754734323688222</v>
      </c>
      <c r="O2127" s="1">
        <f t="shared" si="441"/>
        <v>2.9447316627891391</v>
      </c>
      <c r="P2127" s="1">
        <f t="shared" si="442"/>
        <v>1846.1750465289729</v>
      </c>
      <c r="S2127" s="6">
        <f t="shared" si="436"/>
        <v>0.49973063170250925</v>
      </c>
      <c r="T2127" s="6">
        <f t="shared" si="437"/>
        <v>0.50026936829749047</v>
      </c>
      <c r="V2127" s="1">
        <f t="shared" si="443"/>
        <v>192757.41947854502</v>
      </c>
      <c r="W2127" s="7">
        <f t="shared" si="444"/>
        <v>2.1069463756825647E-3</v>
      </c>
      <c r="X2127" s="7">
        <f t="shared" si="445"/>
        <v>1.7069461085366855E-3</v>
      </c>
      <c r="Y2127">
        <f>LN(B2127/B2126)</f>
        <v>3.9735661647784214E-3</v>
      </c>
      <c r="Z2127">
        <f>LN(C2127/C2126)</f>
        <v>2.4580890404377325E-4</v>
      </c>
    </row>
    <row r="2128" spans="1:26" x14ac:dyDescent="0.3">
      <c r="A2128" s="11">
        <v>43315</v>
      </c>
      <c r="B2128" s="12">
        <v>33500.769999999997</v>
      </c>
      <c r="C2128" s="12">
        <v>52.364845299999999</v>
      </c>
      <c r="D2128" s="16">
        <f t="shared" si="434"/>
        <v>2.1792035634406792E-2</v>
      </c>
      <c r="E2128" s="15">
        <f t="shared" si="446"/>
        <v>2.4585128112031285E-4</v>
      </c>
      <c r="G2128" s="25" t="str">
        <f>IF(VLOOKUP(A2128,Aux!B:C,2,FALSE)=0,"",VLOOKUP(A2128,Aux!B:C,2,FALSE))</f>
        <v/>
      </c>
      <c r="H2128" s="25" t="str">
        <f t="shared" si="435"/>
        <v/>
      </c>
      <c r="L2128" s="13">
        <f t="shared" si="438"/>
        <v>195325.44885502651</v>
      </c>
      <c r="M2128" s="14">
        <f t="shared" si="439"/>
        <v>2103.9518784295719</v>
      </c>
      <c r="N2128" s="14">
        <f t="shared" si="440"/>
        <v>23.761749788868311</v>
      </c>
      <c r="O2128" s="1">
        <f t="shared" si="441"/>
        <v>2.9447316627891391</v>
      </c>
      <c r="P2128" s="1">
        <f t="shared" si="442"/>
        <v>1846.1750465289729</v>
      </c>
      <c r="S2128" s="6">
        <f t="shared" si="436"/>
        <v>0.50505849967372451</v>
      </c>
      <c r="T2128" s="6">
        <f t="shared" si="437"/>
        <v>0.49494150032627526</v>
      </c>
      <c r="V2128" s="1">
        <f t="shared" si="443"/>
        <v>194434.54351567471</v>
      </c>
      <c r="W2128" s="7">
        <f t="shared" si="444"/>
        <v>1.0952936589652029E-2</v>
      </c>
      <c r="X2128" s="7">
        <f t="shared" si="445"/>
        <v>8.6630647649674122E-3</v>
      </c>
      <c r="Y2128">
        <f>LN(B2128/B2127)</f>
        <v>2.1557983437527583E-2</v>
      </c>
      <c r="Z2128">
        <f>LN(C2128/C2127)</f>
        <v>2.4582106464650301E-4</v>
      </c>
    </row>
    <row r="2129" spans="1:26" x14ac:dyDescent="0.3">
      <c r="A2129" s="9">
        <v>43318</v>
      </c>
      <c r="B2129" s="1">
        <v>33346.730000000003</v>
      </c>
      <c r="C2129" s="1">
        <v>52.377716100000001</v>
      </c>
      <c r="D2129" s="6">
        <f t="shared" si="434"/>
        <v>-4.598103267476894E-3</v>
      </c>
      <c r="E2129" s="5">
        <f t="shared" si="446"/>
        <v>2.4579085312415039E-4</v>
      </c>
      <c r="G2129" s="25" t="str">
        <f>IF(VLOOKUP(A2129,Aux!B:C,2,FALSE)=0,"",VLOOKUP(A2129,Aux!B:C,2,FALSE))</f>
        <v/>
      </c>
      <c r="H2129" s="25" t="str">
        <f t="shared" si="435"/>
        <v/>
      </c>
      <c r="L2129" s="13">
        <f t="shared" si="438"/>
        <v>194895.60413947934</v>
      </c>
      <c r="M2129" s="14">
        <f t="shared" si="439"/>
        <v>-453.60646533602011</v>
      </c>
      <c r="N2129" s="14">
        <f t="shared" si="440"/>
        <v>23.761749788868311</v>
      </c>
      <c r="O2129" s="1">
        <f t="shared" si="441"/>
        <v>2.9447316627891391</v>
      </c>
      <c r="P2129" s="1">
        <f t="shared" si="442"/>
        <v>1846.1750465289729</v>
      </c>
      <c r="S2129" s="6">
        <f t="shared" si="436"/>
        <v>0.50384497954712471</v>
      </c>
      <c r="T2129" s="6">
        <f t="shared" si="437"/>
        <v>0.49615502045287513</v>
      </c>
      <c r="V2129" s="1">
        <f t="shared" si="443"/>
        <v>194107.96153181227</v>
      </c>
      <c r="W2129" s="7">
        <f t="shared" si="444"/>
        <v>-2.2030840525169315E-3</v>
      </c>
      <c r="X2129" s="7">
        <f t="shared" si="445"/>
        <v>-1.6810622082738499E-3</v>
      </c>
      <c r="Y2129">
        <f>LN(B2129/B2128)</f>
        <v>-4.6087070616856575E-3</v>
      </c>
      <c r="Z2129">
        <f>LN(C2129/C2128)</f>
        <v>2.4576065150116441E-4</v>
      </c>
    </row>
    <row r="2130" spans="1:26" x14ac:dyDescent="0.3">
      <c r="A2130" s="11">
        <v>43319</v>
      </c>
      <c r="B2130" s="12">
        <v>33075.5</v>
      </c>
      <c r="C2130" s="12">
        <v>52.390594499999999</v>
      </c>
      <c r="D2130" s="16">
        <f t="shared" si="434"/>
        <v>-8.1336310936636069E-3</v>
      </c>
      <c r="E2130" s="15">
        <f t="shared" si="446"/>
        <v>2.4587555469990363E-4</v>
      </c>
      <c r="G2130" s="25" t="str">
        <f>IF(VLOOKUP(A2130,Aux!B:C,2,FALSE)=0,"",VLOOKUP(A2130,Aux!B:C,2,FALSE))</f>
        <v/>
      </c>
      <c r="H2130" s="25" t="str">
        <f t="shared" si="435"/>
        <v/>
      </c>
      <c r="L2130" s="13">
        <f t="shared" si="438"/>
        <v>194120.68035130025</v>
      </c>
      <c r="M2130" s="14">
        <f t="shared" si="439"/>
        <v>-798.69956889830758</v>
      </c>
      <c r="N2130" s="14">
        <f t="shared" si="440"/>
        <v>23.775780719215366</v>
      </c>
      <c r="O2130" s="1">
        <f t="shared" si="441"/>
        <v>2.9447316627891391</v>
      </c>
      <c r="P2130" s="1">
        <f t="shared" si="442"/>
        <v>1846.1750465289729</v>
      </c>
      <c r="S2130" s="6">
        <f t="shared" si="436"/>
        <v>0.50174186457784986</v>
      </c>
      <c r="T2130" s="6">
        <f t="shared" si="437"/>
        <v>0.49825813542214992</v>
      </c>
      <c r="V2130" s="1">
        <f t="shared" si="443"/>
        <v>193511.03512082837</v>
      </c>
      <c r="W2130" s="7">
        <f t="shared" si="444"/>
        <v>-3.9840224898922607E-3</v>
      </c>
      <c r="X2130" s="7">
        <f t="shared" si="445"/>
        <v>-3.0799671224520089E-3</v>
      </c>
      <c r="Y2130">
        <f>LN(B2130/B2129)</f>
        <v>-8.1668895350784868E-3</v>
      </c>
      <c r="Z2130">
        <f>LN(C2130/C2129)</f>
        <v>2.458453322595755E-4</v>
      </c>
    </row>
    <row r="2131" spans="1:26" x14ac:dyDescent="0.3">
      <c r="A2131" s="9">
        <v>43320</v>
      </c>
      <c r="B2131" s="1">
        <v>32597.94</v>
      </c>
      <c r="C2131" s="1">
        <v>52.403472899999997</v>
      </c>
      <c r="D2131" s="6">
        <f t="shared" si="434"/>
        <v>-1.4438481655606128E-2</v>
      </c>
      <c r="E2131" s="5">
        <f t="shared" si="446"/>
        <v>2.4581511477217433E-4</v>
      </c>
      <c r="G2131" s="25" t="str">
        <f>IF(VLOOKUP(A2131,Aux!B:C,2,FALSE)=0,"",VLOOKUP(A2131,Aux!B:C,2,FALSE))</f>
        <v/>
      </c>
      <c r="H2131" s="25" t="str">
        <f t="shared" si="435"/>
        <v/>
      </c>
      <c r="L2131" s="13">
        <f t="shared" si="438"/>
        <v>192738.17007913787</v>
      </c>
      <c r="M2131" s="14">
        <f t="shared" si="439"/>
        <v>-1406.2860528815852</v>
      </c>
      <c r="N2131" s="14">
        <f t="shared" si="440"/>
        <v>23.775780719215366</v>
      </c>
      <c r="O2131" s="1">
        <f t="shared" si="441"/>
        <v>2.9447316627891391</v>
      </c>
      <c r="P2131" s="1">
        <f t="shared" si="442"/>
        <v>1846.1750465289729</v>
      </c>
      <c r="S2131" s="6">
        <f t="shared" si="436"/>
        <v>0.4980445026550081</v>
      </c>
      <c r="T2131" s="6">
        <f t="shared" si="437"/>
        <v>0.50195549734499179</v>
      </c>
      <c r="V2131" s="1">
        <f t="shared" si="443"/>
        <v>192438.09818238247</v>
      </c>
      <c r="W2131" s="7">
        <f t="shared" si="444"/>
        <v>-7.1473931957715311E-3</v>
      </c>
      <c r="X2131" s="7">
        <f t="shared" si="445"/>
        <v>-5.5600057618778904E-3</v>
      </c>
      <c r="Y2131">
        <f>LN(B2131/B2130)</f>
        <v>-1.4543730852701527E-2</v>
      </c>
      <c r="Z2131">
        <f>LN(C2131/C2130)</f>
        <v>2.4578490718706839E-4</v>
      </c>
    </row>
    <row r="2132" spans="1:26" x14ac:dyDescent="0.3">
      <c r="A2132" s="11">
        <v>43321</v>
      </c>
      <c r="B2132" s="12">
        <v>32443.11</v>
      </c>
      <c r="C2132" s="12">
        <v>52.416355099999997</v>
      </c>
      <c r="D2132" s="16">
        <f t="shared" si="434"/>
        <v>-4.7496866366402157E-3</v>
      </c>
      <c r="E2132" s="15">
        <f t="shared" si="446"/>
        <v>2.4582721882926428E-4</v>
      </c>
      <c r="G2132" s="25" t="str">
        <f>IF(VLOOKUP(A2132,Aux!B:C,2,FALSE)=0,"",VLOOKUP(A2132,Aux!B:C,2,FALSE))</f>
        <v/>
      </c>
      <c r="H2132" s="25" t="str">
        <f t="shared" si="435"/>
        <v/>
      </c>
      <c r="L2132" s="13">
        <f t="shared" si="438"/>
        <v>192306.02007197263</v>
      </c>
      <c r="M2132" s="14">
        <f t="shared" si="439"/>
        <v>-455.93280334963686</v>
      </c>
      <c r="N2132" s="14">
        <f t="shared" si="440"/>
        <v>23.782796184395451</v>
      </c>
      <c r="O2132" s="1">
        <f t="shared" si="441"/>
        <v>2.9447316627891391</v>
      </c>
      <c r="P2132" s="1">
        <f t="shared" si="442"/>
        <v>1846.1750465289729</v>
      </c>
      <c r="S2132" s="6">
        <f t="shared" si="436"/>
        <v>0.49679283685760572</v>
      </c>
      <c r="T2132" s="6">
        <f t="shared" si="437"/>
        <v>0.50320716314239411</v>
      </c>
      <c r="V2132" s="1">
        <f t="shared" si="443"/>
        <v>192109.71914419573</v>
      </c>
      <c r="W2132" s="7">
        <f t="shared" si="444"/>
        <v>-2.2446784014454654E-3</v>
      </c>
      <c r="X2132" s="7">
        <f t="shared" si="445"/>
        <v>-1.7078714438601792E-3</v>
      </c>
      <c r="Y2132">
        <f>LN(B2132/B2131)</f>
        <v>-4.7610022428202902E-3</v>
      </c>
      <c r="Z2132">
        <f>LN(C2132/C2131)</f>
        <v>2.4579700826945616E-4</v>
      </c>
    </row>
    <row r="2133" spans="1:26" x14ac:dyDescent="0.3">
      <c r="A2133" s="9">
        <v>43322</v>
      </c>
      <c r="B2133" s="1">
        <v>31523.03</v>
      </c>
      <c r="C2133" s="1">
        <v>52.4292412</v>
      </c>
      <c r="D2133" s="6">
        <f t="shared" si="434"/>
        <v>-2.8359796579304541E-2</v>
      </c>
      <c r="E2133" s="5">
        <f t="shared" si="446"/>
        <v>2.4584120691750755E-4</v>
      </c>
      <c r="G2133" s="25" t="str">
        <f>IF(VLOOKUP(A2133,Aux!B:C,2,FALSE)=0,"",VLOOKUP(A2133,Aux!B:C,2,FALSE))</f>
        <v/>
      </c>
      <c r="H2133" s="25" t="str">
        <f t="shared" si="435"/>
        <v/>
      </c>
      <c r="L2133" s="13">
        <f t="shared" si="438"/>
        <v>189620.42135994069</v>
      </c>
      <c r="M2133" s="14">
        <f t="shared" si="439"/>
        <v>-2709.3887082990364</v>
      </c>
      <c r="N2133" s="14">
        <f t="shared" si="440"/>
        <v>23.789996267082348</v>
      </c>
      <c r="O2133" s="1">
        <f t="shared" si="441"/>
        <v>2.9447316627891391</v>
      </c>
      <c r="P2133" s="1">
        <f t="shared" si="442"/>
        <v>1846.1750465289729</v>
      </c>
      <c r="S2133" s="6">
        <f t="shared" si="436"/>
        <v>0.48954044022424353</v>
      </c>
      <c r="T2133" s="6">
        <f t="shared" si="437"/>
        <v>0.5104595597757563</v>
      </c>
      <c r="V2133" s="1">
        <f t="shared" si="443"/>
        <v>190015.89031223734</v>
      </c>
      <c r="W2133" s="7">
        <f t="shared" si="444"/>
        <v>-1.4063666115707063E-2</v>
      </c>
      <c r="X2133" s="7">
        <f t="shared" si="445"/>
        <v>-1.0958960800487635E-2</v>
      </c>
      <c r="Y2133">
        <f>LN(B2133/B2132)</f>
        <v>-2.8769704138044763E-2</v>
      </c>
      <c r="Z2133">
        <f>LN(C2133/C2132)</f>
        <v>2.4581099291979392E-4</v>
      </c>
    </row>
    <row r="2134" spans="1:26" x14ac:dyDescent="0.3">
      <c r="A2134" s="11">
        <v>43325</v>
      </c>
      <c r="B2134" s="12">
        <v>31906.92</v>
      </c>
      <c r="C2134" s="12">
        <v>52.442131000000003</v>
      </c>
      <c r="D2134" s="16">
        <f t="shared" si="434"/>
        <v>1.2178080596947582E-2</v>
      </c>
      <c r="E2134" s="15">
        <f t="shared" si="446"/>
        <v>2.4585135517862788E-4</v>
      </c>
      <c r="G2134" s="25" t="str">
        <f>IF(VLOOKUP(A2134,Aux!B:C,2,FALSE)=0,"",VLOOKUP(A2134,Aux!B:C,2,FALSE))</f>
        <v/>
      </c>
      <c r="H2134" s="25" t="str">
        <f t="shared" si="435"/>
        <v/>
      </c>
      <c r="L2134" s="13">
        <f t="shared" si="438"/>
        <v>190774.67122508358</v>
      </c>
      <c r="M2134" s="14">
        <f t="shared" si="439"/>
        <v>1130.453038028121</v>
      </c>
      <c r="N2134" s="14">
        <f t="shared" si="440"/>
        <v>23.796827114755622</v>
      </c>
      <c r="O2134" s="1">
        <f t="shared" si="441"/>
        <v>2.9447316627891391</v>
      </c>
      <c r="P2134" s="1">
        <f t="shared" si="442"/>
        <v>1846.1750465289729</v>
      </c>
      <c r="S2134" s="6">
        <f t="shared" si="436"/>
        <v>0.49250415153500876</v>
      </c>
      <c r="T2134" s="6">
        <f t="shared" si="437"/>
        <v>0.50749584846499096</v>
      </c>
      <c r="V2134" s="1">
        <f t="shared" si="443"/>
        <v>190930.37416078374</v>
      </c>
      <c r="W2134" s="7">
        <f t="shared" si="444"/>
        <v>6.0687081939303058E-3</v>
      </c>
      <c r="X2134" s="7">
        <f t="shared" si="445"/>
        <v>4.8011265129164187E-3</v>
      </c>
      <c r="Y2134">
        <f>LN(B2134/B2133)</f>
        <v>1.2104524353866572E-2</v>
      </c>
      <c r="Z2134">
        <f>LN(C2134/C2133)</f>
        <v>2.4582113868661521E-4</v>
      </c>
    </row>
    <row r="2135" spans="1:26" x14ac:dyDescent="0.3">
      <c r="A2135" s="9">
        <v>43326</v>
      </c>
      <c r="B2135" s="1">
        <v>32386.240000000002</v>
      </c>
      <c r="C2135" s="1">
        <v>52.455020900000001</v>
      </c>
      <c r="D2135" s="6">
        <f t="shared" si="434"/>
        <v>1.5022446541377299E-2</v>
      </c>
      <c r="E2135" s="5">
        <f t="shared" si="446"/>
        <v>2.4579283400960605E-4</v>
      </c>
      <c r="G2135" s="25" t="str">
        <f>IF(VLOOKUP(A2135,Aux!B:C,2,FALSE)=0,"",VLOOKUP(A2135,Aux!B:C,2,FALSE))</f>
        <v/>
      </c>
      <c r="H2135" s="25" t="str">
        <f t="shared" si="435"/>
        <v/>
      </c>
      <c r="L2135" s="13">
        <f t="shared" si="438"/>
        <v>192209.93701742392</v>
      </c>
      <c r="M2135" s="14">
        <f t="shared" si="439"/>
        <v>1411.4687806080999</v>
      </c>
      <c r="N2135" s="14">
        <f t="shared" si="440"/>
        <v>23.797011732249317</v>
      </c>
      <c r="O2135" s="1">
        <f t="shared" si="441"/>
        <v>2.9447316627891391</v>
      </c>
      <c r="P2135" s="1">
        <f t="shared" si="442"/>
        <v>1846.1750465289729</v>
      </c>
      <c r="S2135" s="6">
        <f t="shared" si="436"/>
        <v>0.49616990591929128</v>
      </c>
      <c r="T2135" s="6">
        <f t="shared" si="437"/>
        <v>0.50383009408070845</v>
      </c>
      <c r="V2135" s="1">
        <f t="shared" si="443"/>
        <v>192065.01858120266</v>
      </c>
      <c r="W2135" s="7">
        <f t="shared" si="444"/>
        <v>7.4951968337020154E-3</v>
      </c>
      <c r="X2135" s="7">
        <f t="shared" si="445"/>
        <v>5.9251247478474961E-3</v>
      </c>
      <c r="Y2135">
        <f>LN(B2135/B2134)</f>
        <v>1.4910727068312583E-2</v>
      </c>
      <c r="Z2135">
        <f>LN(C2135/C2134)</f>
        <v>2.4576263189985423E-4</v>
      </c>
    </row>
    <row r="2136" spans="1:26" x14ac:dyDescent="0.3">
      <c r="A2136" s="11">
        <v>43327</v>
      </c>
      <c r="B2136" s="12">
        <v>31783.42</v>
      </c>
      <c r="C2136" s="12">
        <v>52.4679146</v>
      </c>
      <c r="D2136" s="16">
        <f t="shared" si="434"/>
        <v>-1.8613460531386239E-2</v>
      </c>
      <c r="E2136" s="15">
        <f t="shared" si="446"/>
        <v>2.458048777558286E-4</v>
      </c>
      <c r="G2136" s="25" t="str">
        <f>IF(VLOOKUP(A2136,Aux!B:C,2,FALSE)=0,"",VLOOKUP(A2136,Aux!B:C,2,FALSE))</f>
        <v/>
      </c>
      <c r="H2136" s="25" t="str">
        <f t="shared" si="435"/>
        <v/>
      </c>
      <c r="L2136" s="13">
        <f t="shared" si="438"/>
        <v>190458.59790365878</v>
      </c>
      <c r="M2136" s="14">
        <f t="shared" si="439"/>
        <v>-1775.1431409625586</v>
      </c>
      <c r="N2136" s="14">
        <f t="shared" si="440"/>
        <v>23.804027197429402</v>
      </c>
      <c r="O2136" s="1">
        <f t="shared" si="441"/>
        <v>2.9447316627891391</v>
      </c>
      <c r="P2136" s="1">
        <f t="shared" si="442"/>
        <v>1846.1750465289729</v>
      </c>
      <c r="S2136" s="6">
        <f t="shared" si="436"/>
        <v>0.49141201424295278</v>
      </c>
      <c r="T2136" s="6">
        <f t="shared" si="437"/>
        <v>0.50858798575704711</v>
      </c>
      <c r="V2136" s="1">
        <f t="shared" si="443"/>
        <v>190703.13666926516</v>
      </c>
      <c r="W2136" s="7">
        <f t="shared" si="444"/>
        <v>-9.1533595358583037E-3</v>
      </c>
      <c r="X2136" s="7">
        <f t="shared" si="445"/>
        <v>-7.1159924883631397E-3</v>
      </c>
      <c r="Y2136">
        <f>LN(B2136/B2135)</f>
        <v>-1.8788871062727957E-2</v>
      </c>
      <c r="Z2136">
        <f>LN(C2136/C2135)</f>
        <v>2.4577467268646521E-4</v>
      </c>
    </row>
    <row r="2137" spans="1:26" x14ac:dyDescent="0.3">
      <c r="A2137" s="9">
        <v>43328</v>
      </c>
      <c r="B2137" s="1">
        <v>31690.31</v>
      </c>
      <c r="C2137" s="1">
        <v>52.480815900000003</v>
      </c>
      <c r="D2137" s="6">
        <f t="shared" si="434"/>
        <v>-2.9295148225080281E-3</v>
      </c>
      <c r="E2137" s="5">
        <f t="shared" si="446"/>
        <v>2.4588932299596244E-4</v>
      </c>
      <c r="G2137" s="25" t="str">
        <f>IF(VLOOKUP(A2137,Aux!B:C,2,FALSE)=0,"",VLOOKUP(A2137,Aux!B:C,2,FALSE))</f>
        <v/>
      </c>
      <c r="H2137" s="25" t="str">
        <f t="shared" si="435"/>
        <v/>
      </c>
      <c r="L2137" s="13">
        <f t="shared" si="438"/>
        <v>190208.23199666428</v>
      </c>
      <c r="M2137" s="14">
        <f t="shared" si="439"/>
        <v>-274.18396512228776</v>
      </c>
      <c r="N2137" s="14">
        <f t="shared" si="440"/>
        <v>23.818058127789573</v>
      </c>
      <c r="O2137" s="1">
        <f t="shared" si="441"/>
        <v>2.9447316627891391</v>
      </c>
      <c r="P2137" s="1">
        <f t="shared" si="442"/>
        <v>1846.1750465289729</v>
      </c>
      <c r="S2137" s="6">
        <f t="shared" si="436"/>
        <v>0.49061735278754837</v>
      </c>
      <c r="T2137" s="6">
        <f t="shared" si="437"/>
        <v>0.50938264721245152</v>
      </c>
      <c r="V2137" s="1">
        <f t="shared" si="443"/>
        <v>190517.19055928558</v>
      </c>
      <c r="W2137" s="7">
        <f t="shared" si="444"/>
        <v>-1.3154071930073779E-3</v>
      </c>
      <c r="X2137" s="7">
        <f t="shared" si="445"/>
        <v>-9.7553100632313263E-4</v>
      </c>
      <c r="Y2137">
        <f>LN(B2137/B2136)</f>
        <v>-2.9338142499330156E-3</v>
      </c>
      <c r="Z2137">
        <f>LN(C2137/C2136)</f>
        <v>2.4585909717108429E-4</v>
      </c>
    </row>
    <row r="2138" spans="1:26" x14ac:dyDescent="0.3">
      <c r="A2138" s="11">
        <v>43329</v>
      </c>
      <c r="B2138" s="12">
        <v>31368.720000000001</v>
      </c>
      <c r="C2138" s="12">
        <v>52.493717199999999</v>
      </c>
      <c r="D2138" s="16">
        <f t="shared" si="434"/>
        <v>-1.0147896943892287E-2</v>
      </c>
      <c r="E2138" s="15">
        <f t="shared" si="446"/>
        <v>2.4582887629986949E-4</v>
      </c>
      <c r="G2138" s="25" t="str">
        <f>IF(VLOOKUP(A2138,Aux!B:C,2,FALSE)=0,"",VLOOKUP(A2138,Aux!B:C,2,FALSE))</f>
        <v/>
      </c>
      <c r="H2138" s="25" t="str">
        <f t="shared" si="435"/>
        <v/>
      </c>
      <c r="L2138" s="13">
        <f t="shared" si="438"/>
        <v>189285.05379935569</v>
      </c>
      <c r="M2138" s="14">
        <f t="shared" si="439"/>
        <v>-946.99625543635966</v>
      </c>
      <c r="N2138" s="14">
        <f t="shared" si="440"/>
        <v>23.818058127776457</v>
      </c>
      <c r="O2138" s="1">
        <f t="shared" si="441"/>
        <v>2.9447316627891391</v>
      </c>
      <c r="P2138" s="1">
        <f t="shared" si="442"/>
        <v>1846.1750465289729</v>
      </c>
      <c r="S2138" s="6">
        <f t="shared" si="436"/>
        <v>0.48800716776657277</v>
      </c>
      <c r="T2138" s="6">
        <f t="shared" si="437"/>
        <v>0.51199283223342706</v>
      </c>
      <c r="V2138" s="1">
        <f t="shared" si="443"/>
        <v>189804.13309703284</v>
      </c>
      <c r="W2138" s="7">
        <f t="shared" si="444"/>
        <v>-4.8653299172385775E-3</v>
      </c>
      <c r="X2138" s="7">
        <f t="shared" si="445"/>
        <v>-3.7497676486190354E-3</v>
      </c>
      <c r="Y2138">
        <f>LN(B2138/B2137)</f>
        <v>-1.0199737865842761E-2</v>
      </c>
      <c r="Z2138">
        <f>LN(C2138/C2137)</f>
        <v>2.4579866533270872E-4</v>
      </c>
    </row>
    <row r="2139" spans="1:26" x14ac:dyDescent="0.3">
      <c r="A2139" s="9">
        <v>43332</v>
      </c>
      <c r="B2139" s="1">
        <v>31488.16</v>
      </c>
      <c r="C2139" s="1">
        <v>52.506618500000002</v>
      </c>
      <c r="D2139" s="6">
        <f t="shared" ref="D2139:D2202" si="447">B2139/B2138-1</f>
        <v>3.8076147193764065E-3</v>
      </c>
      <c r="E2139" s="5">
        <f t="shared" si="446"/>
        <v>2.4576845931578717E-4</v>
      </c>
      <c r="G2139" s="25" t="str">
        <f>IF(VLOOKUP(A2139,Aux!B:C,2,FALSE)=0,"",VLOOKUP(A2139,Aux!B:C,2,FALSE))</f>
        <v/>
      </c>
      <c r="H2139" s="25" t="str">
        <f t="shared" si="435"/>
        <v/>
      </c>
      <c r="L2139" s="13">
        <f t="shared" si="438"/>
        <v>189660.59060728701</v>
      </c>
      <c r="M2139" s="14">
        <f t="shared" si="439"/>
        <v>351.7187498035309</v>
      </c>
      <c r="N2139" s="14">
        <f t="shared" si="440"/>
        <v>23.818058127789573</v>
      </c>
      <c r="O2139" s="1">
        <f t="shared" si="441"/>
        <v>2.9447316627891391</v>
      </c>
      <c r="P2139" s="1">
        <f t="shared" si="442"/>
        <v>1846.1750465289729</v>
      </c>
      <c r="S2139" s="6">
        <f t="shared" si="436"/>
        <v>0.48889535489724384</v>
      </c>
      <c r="T2139" s="6">
        <f t="shared" si="437"/>
        <v>0.51110464510275599</v>
      </c>
      <c r="V2139" s="1">
        <f t="shared" si="443"/>
        <v>190108.54727209205</v>
      </c>
      <c r="W2139" s="7">
        <f t="shared" si="444"/>
        <v>1.9820094855891928E-3</v>
      </c>
      <c r="X2139" s="7">
        <f t="shared" si="445"/>
        <v>1.6025484588310076E-3</v>
      </c>
      <c r="Y2139">
        <f>LN(B2139/B2138)</f>
        <v>3.8003841029065669E-3</v>
      </c>
      <c r="Z2139">
        <f>LN(C2139/C2138)</f>
        <v>2.4573826319539127E-4</v>
      </c>
    </row>
    <row r="2140" spans="1:26" x14ac:dyDescent="0.3">
      <c r="A2140" s="11">
        <v>43333</v>
      </c>
      <c r="B2140" s="12">
        <v>31006.11</v>
      </c>
      <c r="C2140" s="12">
        <v>52.519527400000001</v>
      </c>
      <c r="D2140" s="16">
        <f t="shared" si="447"/>
        <v>-1.5308928816418543E-2</v>
      </c>
      <c r="E2140" s="15">
        <f t="shared" si="446"/>
        <v>2.4585281567879314E-4</v>
      </c>
      <c r="G2140" s="25" t="str">
        <f>IF(VLOOKUP(A2140,Aux!B:C,2,FALSE)=0,"",VLOOKUP(A2140,Aux!B:C,2,FALSE))</f>
        <v/>
      </c>
      <c r="H2140" s="25" t="str">
        <f t="shared" si="435"/>
        <v/>
      </c>
      <c r="L2140" s="13">
        <f t="shared" si="438"/>
        <v>188264.91479829763</v>
      </c>
      <c r="M2140" s="14">
        <f t="shared" si="439"/>
        <v>-1419.5078980475023</v>
      </c>
      <c r="N2140" s="14">
        <f t="shared" si="440"/>
        <v>23.832089058136631</v>
      </c>
      <c r="O2140" s="1">
        <f t="shared" si="441"/>
        <v>2.9447316627891391</v>
      </c>
      <c r="P2140" s="1">
        <f t="shared" si="442"/>
        <v>1846.1750465289729</v>
      </c>
      <c r="S2140" s="6">
        <f t="shared" si="436"/>
        <v>0.48497976351432509</v>
      </c>
      <c r="T2140" s="6">
        <f t="shared" si="437"/>
        <v>0.51502023648567485</v>
      </c>
      <c r="V2140" s="1">
        <f t="shared" si="443"/>
        <v>189025.31997912517</v>
      </c>
      <c r="W2140" s="7">
        <f t="shared" si="444"/>
        <v>-7.386017264823198E-3</v>
      </c>
      <c r="X2140" s="7">
        <f t="shared" si="445"/>
        <v>-5.7142362317832212E-3</v>
      </c>
      <c r="Y2140">
        <f>LN(B2140/B2139)</f>
        <v>-1.5427320319423654E-2</v>
      </c>
      <c r="Z2140">
        <f>LN(C2140/C2139)</f>
        <v>2.4582259882780167E-4</v>
      </c>
    </row>
    <row r="2141" spans="1:26" x14ac:dyDescent="0.3">
      <c r="A2141" s="9">
        <v>43334</v>
      </c>
      <c r="B2141" s="1">
        <v>31674.73</v>
      </c>
      <c r="C2141" s="1">
        <v>52.532440200000003</v>
      </c>
      <c r="D2141" s="6">
        <f t="shared" si="447"/>
        <v>2.1564136874957729E-2</v>
      </c>
      <c r="E2141" s="5">
        <f t="shared" si="446"/>
        <v>2.4586664502246336E-4</v>
      </c>
      <c r="G2141" s="25" t="str">
        <f>IF(VLOOKUP(A2141,Aux!B:C,2,FALSE)=0,"",VLOOKUP(A2141,Aux!B:C,2,FALSE))</f>
        <v/>
      </c>
      <c r="H2141" s="25" t="str">
        <f t="shared" si="435"/>
        <v/>
      </c>
      <c r="L2141" s="13">
        <f t="shared" si="438"/>
        <v>190257.66057181254</v>
      </c>
      <c r="M2141" s="14">
        <f t="shared" si="439"/>
        <v>1968.9064843740712</v>
      </c>
      <c r="N2141" s="14">
        <f t="shared" si="440"/>
        <v>23.839289140823528</v>
      </c>
      <c r="O2141" s="1">
        <f t="shared" si="441"/>
        <v>2.9447316627891391</v>
      </c>
      <c r="P2141" s="1">
        <f t="shared" si="442"/>
        <v>1846.1750465289729</v>
      </c>
      <c r="S2141" s="6">
        <f t="shared" si="436"/>
        <v>0.49024875035762894</v>
      </c>
      <c r="T2141" s="6">
        <f t="shared" si="437"/>
        <v>0.50975124964237095</v>
      </c>
      <c r="V2141" s="1">
        <f t="shared" si="443"/>
        <v>190596.73735162691</v>
      </c>
      <c r="W2141" s="7">
        <f t="shared" si="444"/>
        <v>1.0529169531030225E-2</v>
      </c>
      <c r="X2141" s="7">
        <f t="shared" si="445"/>
        <v>8.278899065956153E-3</v>
      </c>
      <c r="Y2141">
        <f>LN(B2141/B2140)</f>
        <v>2.1334920259937593E-2</v>
      </c>
      <c r="Z2141">
        <f>LN(C2141/C2140)</f>
        <v>2.4583642477222893E-4</v>
      </c>
    </row>
    <row r="2142" spans="1:26" x14ac:dyDescent="0.3">
      <c r="A2142" s="11">
        <v>43335</v>
      </c>
      <c r="B2142" s="12">
        <v>31140.7</v>
      </c>
      <c r="C2142" s="12">
        <v>52.545352899999997</v>
      </c>
      <c r="D2142" s="16">
        <f t="shared" si="447"/>
        <v>-1.6859812222550841E-2</v>
      </c>
      <c r="E2142" s="15">
        <f t="shared" si="446"/>
        <v>2.4580430588860835E-4</v>
      </c>
      <c r="G2142" s="25" t="str">
        <f>IF(VLOOKUP(A2142,Aux!B:C,2,FALSE)=0,"",VLOOKUP(A2142,Aux!B:C,2,FALSE))</f>
        <v/>
      </c>
      <c r="H2142" s="25" t="str">
        <f t="shared" si="435"/>
        <v/>
      </c>
      <c r="L2142" s="13">
        <f t="shared" si="438"/>
        <v>188708.92462645654</v>
      </c>
      <c r="M2142" s="14">
        <f t="shared" si="439"/>
        <v>-1572.5750498792806</v>
      </c>
      <c r="N2142" s="14">
        <f t="shared" si="440"/>
        <v>23.839104523303597</v>
      </c>
      <c r="O2142" s="1">
        <f t="shared" si="441"/>
        <v>2.9447316627891391</v>
      </c>
      <c r="P2142" s="1">
        <f t="shared" si="442"/>
        <v>1846.1750465289729</v>
      </c>
      <c r="S2142" s="6">
        <f t="shared" si="436"/>
        <v>0.48593888960438431</v>
      </c>
      <c r="T2142" s="6">
        <f t="shared" si="437"/>
        <v>0.51406111039561564</v>
      </c>
      <c r="V2142" s="1">
        <f t="shared" si="443"/>
        <v>189393.59888149324</v>
      </c>
      <c r="W2142" s="7">
        <f t="shared" si="444"/>
        <v>-8.1735151749722079E-3</v>
      </c>
      <c r="X2142" s="7">
        <f t="shared" si="445"/>
        <v>-6.332489939552567E-3</v>
      </c>
      <c r="Y2142">
        <f>LN(B2142/B2141)</f>
        <v>-1.7003556818534233E-2</v>
      </c>
      <c r="Z2142">
        <f>LN(C2142/C2141)</f>
        <v>2.4577410095977801E-4</v>
      </c>
    </row>
    <row r="2143" spans="1:26" x14ac:dyDescent="0.3">
      <c r="A2143" s="9">
        <v>43336</v>
      </c>
      <c r="B2143" s="1">
        <v>31381.73</v>
      </c>
      <c r="C2143" s="1">
        <v>52.558269500000002</v>
      </c>
      <c r="D2143" s="6">
        <f t="shared" si="447"/>
        <v>7.7400315342943671E-3</v>
      </c>
      <c r="E2143" s="5">
        <f t="shared" si="446"/>
        <v>2.4581812257662428E-4</v>
      </c>
      <c r="G2143" s="25" t="str">
        <f>IF(VLOOKUP(A2143,Aux!B:C,2,FALSE)=0,"",VLOOKUP(A2143,Aux!B:C,2,FALSE))</f>
        <v/>
      </c>
      <c r="H2143" s="25" t="str">
        <f t="shared" si="435"/>
        <v/>
      </c>
      <c r="L2143" s="13">
        <f t="shared" si="438"/>
        <v>189442.5396037446</v>
      </c>
      <c r="M2143" s="14">
        <f t="shared" si="439"/>
        <v>709.76867268206274</v>
      </c>
      <c r="N2143" s="14">
        <f t="shared" si="440"/>
        <v>23.846304606003613</v>
      </c>
      <c r="O2143" s="1">
        <f t="shared" si="441"/>
        <v>2.9447316627891391</v>
      </c>
      <c r="P2143" s="1">
        <f t="shared" si="442"/>
        <v>1846.1750465289729</v>
      </c>
      <c r="S2143" s="6">
        <f t="shared" si="436"/>
        <v>0.48780371165523151</v>
      </c>
      <c r="T2143" s="6">
        <f t="shared" si="437"/>
        <v>0.51219628834476849</v>
      </c>
      <c r="V2143" s="1">
        <f t="shared" si="443"/>
        <v>189978.55966792005</v>
      </c>
      <c r="W2143" s="7">
        <f t="shared" si="444"/>
        <v>3.8800108794016896E-3</v>
      </c>
      <c r="X2143" s="7">
        <f t="shared" si="445"/>
        <v>3.0838385834522906E-3</v>
      </c>
      <c r="Y2143">
        <f>LN(B2143/B2142)</f>
        <v>7.7102311619909897E-3</v>
      </c>
      <c r="Z2143">
        <f>LN(C2143/C2142)</f>
        <v>2.4578791425233169E-4</v>
      </c>
    </row>
    <row r="2144" spans="1:26" x14ac:dyDescent="0.3">
      <c r="A2144" s="11">
        <v>43339</v>
      </c>
      <c r="B2144" s="12">
        <v>32065.14</v>
      </c>
      <c r="C2144" s="12">
        <v>52.5711899</v>
      </c>
      <c r="D2144" s="16">
        <f t="shared" si="447"/>
        <v>2.1777320753189722E-2</v>
      </c>
      <c r="E2144" s="15">
        <f t="shared" si="446"/>
        <v>2.4583001158351436E-4</v>
      </c>
      <c r="G2144" s="25" t="str">
        <f>IF(VLOOKUP(A2144,Aux!B:C,2,FALSE)=0,"",VLOOKUP(A2144,Aux!B:C,2,FALSE))</f>
        <v/>
      </c>
      <c r="H2144" s="25" t="str">
        <f t="shared" si="435"/>
        <v/>
      </c>
      <c r="L2144" s="13">
        <f t="shared" si="438"/>
        <v>191478.8519894825</v>
      </c>
      <c r="M2144" s="14">
        <f t="shared" si="439"/>
        <v>2012.4590656667251</v>
      </c>
      <c r="N2144" s="14">
        <f t="shared" si="440"/>
        <v>23.853320071170582</v>
      </c>
      <c r="O2144" s="1">
        <f t="shared" si="441"/>
        <v>2.9447316627891391</v>
      </c>
      <c r="P2144" s="1">
        <f t="shared" si="442"/>
        <v>1846.1750465289729</v>
      </c>
      <c r="S2144" s="6">
        <f t="shared" si="436"/>
        <v>0.49312617058594538</v>
      </c>
      <c r="T2144" s="6">
        <f t="shared" si="437"/>
        <v>0.50687382941405468</v>
      </c>
      <c r="V2144" s="1">
        <f t="shared" si="443"/>
        <v>191584.11508998548</v>
      </c>
      <c r="W2144" s="7">
        <f t="shared" si="444"/>
        <v>1.0691611593935686E-2</v>
      </c>
      <c r="X2144" s="7">
        <f t="shared" si="445"/>
        <v>8.4157335312601885E-3</v>
      </c>
      <c r="Y2144">
        <f>LN(B2144/B2143)</f>
        <v>2.1543582280873583E-2</v>
      </c>
      <c r="Z2144">
        <f>LN(C2144/C2143)</f>
        <v>2.4579980033733606E-4</v>
      </c>
    </row>
    <row r="2145" spans="1:26" x14ac:dyDescent="0.3">
      <c r="A2145" s="9">
        <v>43340</v>
      </c>
      <c r="B2145" s="1">
        <v>31892.04</v>
      </c>
      <c r="C2145" s="1">
        <v>52.584114100000001</v>
      </c>
      <c r="D2145" s="6">
        <f t="shared" si="447"/>
        <v>-5.3983859106805365E-3</v>
      </c>
      <c r="E2145" s="5">
        <f t="shared" si="446"/>
        <v>2.4584187697840321E-4</v>
      </c>
      <c r="G2145" s="25" t="str">
        <f>IF(VLOOKUP(A2145,Aux!B:C,2,FALSE)=0,"",VLOOKUP(A2145,Aux!B:C,2,FALSE))</f>
        <v/>
      </c>
      <c r="H2145" s="25" t="str">
        <f t="shared" si="435"/>
        <v/>
      </c>
      <c r="L2145" s="13">
        <f t="shared" si="438"/>
        <v>190992.97927419006</v>
      </c>
      <c r="M2145" s="14">
        <f t="shared" si="439"/>
        <v>-509.73305082879568</v>
      </c>
      <c r="N2145" s="14">
        <f t="shared" si="440"/>
        <v>23.860335536350668</v>
      </c>
      <c r="O2145" s="1">
        <f t="shared" si="441"/>
        <v>2.9447316627891391</v>
      </c>
      <c r="P2145" s="1">
        <f t="shared" si="442"/>
        <v>1846.1750465289729</v>
      </c>
      <c r="S2145" s="6">
        <f t="shared" si="436"/>
        <v>0.49171179137488213</v>
      </c>
      <c r="T2145" s="6">
        <f t="shared" si="437"/>
        <v>0.50828820862511781</v>
      </c>
      <c r="V2145" s="1">
        <f t="shared" si="443"/>
        <v>191213.6804822741</v>
      </c>
      <c r="W2145" s="7">
        <f t="shared" si="444"/>
        <v>-2.5406994028938537E-3</v>
      </c>
      <c r="X2145" s="7">
        <f t="shared" si="445"/>
        <v>-1.9354067741625394E-3</v>
      </c>
      <c r="Y2145">
        <f>LN(B2145/B2144)</f>
        <v>-5.4130098500915318E-3</v>
      </c>
      <c r="Z2145">
        <f>LN(C2145/C2144)</f>
        <v>2.4581166281600122E-4</v>
      </c>
    </row>
    <row r="2146" spans="1:26" x14ac:dyDescent="0.3">
      <c r="A2146" s="11">
        <v>43341</v>
      </c>
      <c r="B2146" s="12">
        <v>32266.560000000001</v>
      </c>
      <c r="C2146" s="12">
        <v>52.597042100000003</v>
      </c>
      <c r="D2146" s="16">
        <f t="shared" si="447"/>
        <v>1.174336919181096E-2</v>
      </c>
      <c r="E2146" s="15">
        <f t="shared" si="446"/>
        <v>2.4585371877550166E-4</v>
      </c>
      <c r="G2146" s="25" t="str">
        <f>IF(VLOOKUP(A2146,Aux!B:C,2,FALSE)=0,"",VLOOKUP(A2146,Aux!B:C,2,FALSE))</f>
        <v/>
      </c>
      <c r="H2146" s="25" t="str">
        <f t="shared" si="435"/>
        <v/>
      </c>
      <c r="L2146" s="13">
        <f t="shared" si="438"/>
        <v>192119.70752753937</v>
      </c>
      <c r="M2146" s="14">
        <f t="shared" si="439"/>
        <v>1102.8609023477898</v>
      </c>
      <c r="N2146" s="14">
        <f t="shared" si="440"/>
        <v>23.867351001530754</v>
      </c>
      <c r="O2146" s="1">
        <f t="shared" si="441"/>
        <v>2.9447316627891391</v>
      </c>
      <c r="P2146" s="1">
        <f t="shared" si="442"/>
        <v>1846.1750465289729</v>
      </c>
      <c r="S2146" s="6">
        <f t="shared" si="436"/>
        <v>0.49456852763356107</v>
      </c>
      <c r="T2146" s="6">
        <f t="shared" si="437"/>
        <v>0.50543147236643893</v>
      </c>
      <c r="V2146" s="1">
        <f t="shared" si="443"/>
        <v>192106.63287151617</v>
      </c>
      <c r="W2146" s="7">
        <f t="shared" si="444"/>
        <v>5.8819848085687612E-3</v>
      </c>
      <c r="X2146" s="7">
        <f t="shared" si="445"/>
        <v>4.6590487036050317E-3</v>
      </c>
      <c r="Y2146">
        <f>LN(B2146/B2145)</f>
        <v>1.1674950951334681E-2</v>
      </c>
      <c r="Z2146">
        <f>LN(C2146/C2145)</f>
        <v>2.4582350170253552E-4</v>
      </c>
    </row>
    <row r="2147" spans="1:26" x14ac:dyDescent="0.3">
      <c r="A2147" s="9">
        <v>43342</v>
      </c>
      <c r="B2147" s="1">
        <v>31464.74</v>
      </c>
      <c r="C2147" s="1">
        <v>52.609970099999998</v>
      </c>
      <c r="D2147" s="6">
        <f t="shared" si="447"/>
        <v>-2.4849875536778643E-2</v>
      </c>
      <c r="E2147" s="5">
        <f t="shared" si="446"/>
        <v>2.4579328958118651E-4</v>
      </c>
      <c r="G2147" s="25" t="str">
        <f>IF(VLOOKUP(A2147,Aux!B:C,2,FALSE)=0,"",VLOOKUP(A2147,Aux!B:C,2,FALSE))</f>
        <v/>
      </c>
      <c r="H2147" s="25" t="str">
        <f t="shared" si="435"/>
        <v/>
      </c>
      <c r="L2147" s="13">
        <f t="shared" si="438"/>
        <v>189782.43013668328</v>
      </c>
      <c r="M2147" s="14">
        <f t="shared" si="439"/>
        <v>-2361.1447418575867</v>
      </c>
      <c r="N2147" s="14">
        <f t="shared" si="440"/>
        <v>23.867351001517637</v>
      </c>
      <c r="O2147" s="1">
        <f t="shared" si="441"/>
        <v>2.9447316627891391</v>
      </c>
      <c r="P2147" s="1">
        <f t="shared" si="442"/>
        <v>1846.1750465289729</v>
      </c>
      <c r="S2147" s="6">
        <f t="shared" si="436"/>
        <v>0.48821809306950431</v>
      </c>
      <c r="T2147" s="6">
        <f t="shared" si="437"/>
        <v>0.51178190693049586</v>
      </c>
      <c r="V2147" s="1">
        <f t="shared" si="443"/>
        <v>190285.72773216484</v>
      </c>
      <c r="W2147" s="7">
        <f t="shared" si="444"/>
        <v>-1.2240342969299257E-2</v>
      </c>
      <c r="X2147" s="7">
        <f t="shared" si="445"/>
        <v>-9.5238246912412328E-3</v>
      </c>
      <c r="Y2147">
        <f>LN(B2147/B2146)</f>
        <v>-2.5163846028607897E-2</v>
      </c>
      <c r="Z2147">
        <f>LN(C2147/C2146)</f>
        <v>2.4576308735948588E-4</v>
      </c>
    </row>
    <row r="2148" spans="1:26" x14ac:dyDescent="0.3">
      <c r="A2148" s="11">
        <v>43343</v>
      </c>
      <c r="B2148" s="12">
        <v>31591.01</v>
      </c>
      <c r="C2148" s="12">
        <v>52.622905699999997</v>
      </c>
      <c r="D2148" s="16">
        <f t="shared" si="447"/>
        <v>4.0130635117276992E-3</v>
      </c>
      <c r="E2148" s="15">
        <f t="shared" si="446"/>
        <v>2.4587734939607309E-4</v>
      </c>
      <c r="G2148" s="25" t="str">
        <f>IF(VLOOKUP(A2148,Aux!B:C,2,FALSE)=0,"",VLOOKUP(A2148,Aux!B:C,2,FALSE))</f>
        <v/>
      </c>
      <c r="H2148" s="25" t="str">
        <f t="shared" si="435"/>
        <v/>
      </c>
      <c r="L2148" s="13">
        <f t="shared" si="438"/>
        <v>190178.14278567553</v>
      </c>
      <c r="M2148" s="14">
        <f t="shared" si="439"/>
        <v>371.83126706037518</v>
      </c>
      <c r="N2148" s="14">
        <f t="shared" si="440"/>
        <v>23.881381931877808</v>
      </c>
      <c r="O2148" s="1">
        <f t="shared" si="441"/>
        <v>2.9447316627891391</v>
      </c>
      <c r="P2148" s="1">
        <f t="shared" si="442"/>
        <v>1846.1750465289729</v>
      </c>
      <c r="S2148" s="6">
        <f t="shared" si="436"/>
        <v>0.48915740812195602</v>
      </c>
      <c r="T2148" s="6">
        <f t="shared" si="437"/>
        <v>0.51084259187804415</v>
      </c>
      <c r="V2148" s="1">
        <f t="shared" si="443"/>
        <v>190605.97568978215</v>
      </c>
      <c r="W2148" s="7">
        <f t="shared" si="444"/>
        <v>2.0829150194005921E-3</v>
      </c>
      <c r="X2148" s="7">
        <f t="shared" si="445"/>
        <v>1.6815700116507425E-3</v>
      </c>
      <c r="Y2148">
        <f>LN(B2148/B2147)</f>
        <v>4.0050326507533075E-3</v>
      </c>
      <c r="Z2148">
        <f>LN(C2148/C2147)</f>
        <v>2.4584712651457989E-4</v>
      </c>
    </row>
    <row r="2149" spans="1:26" x14ac:dyDescent="0.3">
      <c r="A2149" s="9">
        <v>43346</v>
      </c>
      <c r="B2149" s="1">
        <v>31402.67</v>
      </c>
      <c r="C2149" s="1">
        <v>52.635841399999997</v>
      </c>
      <c r="D2149" s="6">
        <f t="shared" si="447"/>
        <v>-5.9618226830987497E-3</v>
      </c>
      <c r="E2149" s="5">
        <f t="shared" si="446"/>
        <v>2.4581880889940066E-4</v>
      </c>
      <c r="G2149" s="25" t="str">
        <f>IF(VLOOKUP(A2149,Aux!B:C,2,FALSE)=0,"",VLOOKUP(A2149,Aux!B:C,2,FALSE))</f>
        <v/>
      </c>
      <c r="H2149" s="25" t="str">
        <f t="shared" si="435"/>
        <v/>
      </c>
      <c r="L2149" s="13">
        <f t="shared" si="438"/>
        <v>189647.41359085523</v>
      </c>
      <c r="M2149" s="14">
        <f t="shared" si="439"/>
        <v>-554.61076136970689</v>
      </c>
      <c r="N2149" s="14">
        <f t="shared" si="440"/>
        <v>23.881566549384619</v>
      </c>
      <c r="O2149" s="1">
        <f t="shared" si="441"/>
        <v>2.9447316627891391</v>
      </c>
      <c r="P2149" s="1">
        <f t="shared" si="442"/>
        <v>1846.1750465289729</v>
      </c>
      <c r="S2149" s="6">
        <f t="shared" si="436"/>
        <v>0.48760188654414433</v>
      </c>
      <c r="T2149" s="6">
        <f t="shared" si="437"/>
        <v>0.51239811345585573</v>
      </c>
      <c r="V2149" s="1">
        <f t="shared" si="443"/>
        <v>190200.40759599602</v>
      </c>
      <c r="W2149" s="7">
        <f t="shared" si="444"/>
        <v>-2.7945962630283594E-3</v>
      </c>
      <c r="X2149" s="7">
        <f t="shared" si="445"/>
        <v>-2.1300496258964369E-3</v>
      </c>
      <c r="Y2149">
        <f>LN(B2149/B2148)</f>
        <v>-5.9796652996401359E-3</v>
      </c>
      <c r="Z2149">
        <f>LN(C2149/C2148)</f>
        <v>2.4578860040643874E-4</v>
      </c>
    </row>
    <row r="2150" spans="1:26" x14ac:dyDescent="0.3">
      <c r="A2150" s="11">
        <v>43347</v>
      </c>
      <c r="B2150" s="12">
        <v>30801.89</v>
      </c>
      <c r="C2150" s="12">
        <v>52.648780799999997</v>
      </c>
      <c r="D2150" s="16">
        <f t="shared" si="447"/>
        <v>-1.9131494232815238E-2</v>
      </c>
      <c r="E2150" s="15">
        <f t="shared" si="446"/>
        <v>2.4582869117018014E-4</v>
      </c>
      <c r="G2150" s="25" t="str">
        <f>IF(VLOOKUP(A2150,Aux!B:C,2,FALSE)=0,"",VLOOKUP(A2150,Aux!B:C,2,FALSE))</f>
        <v/>
      </c>
      <c r="H2150" s="25" t="str">
        <f t="shared" si="435"/>
        <v/>
      </c>
      <c r="L2150" s="13">
        <f t="shared" si="438"/>
        <v>187902.16609988184</v>
      </c>
      <c r="M2150" s="14">
        <f t="shared" si="439"/>
        <v>-1769.1358883704556</v>
      </c>
      <c r="N2150" s="14">
        <f t="shared" si="440"/>
        <v>23.888397397057894</v>
      </c>
      <c r="O2150" s="1">
        <f t="shared" si="441"/>
        <v>2.9447316627891391</v>
      </c>
      <c r="P2150" s="1">
        <f t="shared" si="442"/>
        <v>1846.1750465289729</v>
      </c>
      <c r="S2150" s="6">
        <f t="shared" si="436"/>
        <v>0.48271556757112438</v>
      </c>
      <c r="T2150" s="6">
        <f t="shared" si="437"/>
        <v>0.51728443242887556</v>
      </c>
      <c r="V2150" s="1">
        <f t="shared" si="443"/>
        <v>188843.33427237161</v>
      </c>
      <c r="W2150" s="7">
        <f t="shared" si="444"/>
        <v>-9.2451959471977607E-3</v>
      </c>
      <c r="X2150" s="7">
        <f t="shared" si="445"/>
        <v>-7.1605409729467414E-3</v>
      </c>
      <c r="Y2150">
        <f>LN(B2150/B2149)</f>
        <v>-1.931686941311735E-2</v>
      </c>
      <c r="Z2150">
        <f>LN(C2150/C2149)</f>
        <v>2.457984802485184E-4</v>
      </c>
    </row>
    <row r="2151" spans="1:26" x14ac:dyDescent="0.3">
      <c r="A2151" s="9">
        <v>43348</v>
      </c>
      <c r="B2151" s="1">
        <v>30970.53</v>
      </c>
      <c r="C2151" s="1">
        <v>52.661724100000001</v>
      </c>
      <c r="D2151" s="6">
        <f t="shared" si="447"/>
        <v>5.4749887101084305E-3</v>
      </c>
      <c r="E2151" s="5">
        <f t="shared" si="446"/>
        <v>2.4584235006641642E-4</v>
      </c>
      <c r="G2151" s="25" t="str">
        <f>IF(VLOOKUP(A2151,Aux!B:C,2,FALSE)=0,"",VLOOKUP(A2151,Aux!B:C,2,FALSE))</f>
        <v/>
      </c>
      <c r="H2151" s="25" t="str">
        <f t="shared" si="435"/>
        <v/>
      </c>
      <c r="L2151" s="13">
        <f t="shared" si="438"/>
        <v>188422.66124497436</v>
      </c>
      <c r="M2151" s="14">
        <f t="shared" si="439"/>
        <v>496.59954761275873</v>
      </c>
      <c r="N2151" s="14">
        <f t="shared" si="440"/>
        <v>23.89559747974479</v>
      </c>
      <c r="O2151" s="1">
        <f t="shared" si="441"/>
        <v>2.9447316627891391</v>
      </c>
      <c r="P2151" s="1">
        <f t="shared" si="442"/>
        <v>1846.1750465289729</v>
      </c>
      <c r="S2151" s="6">
        <f t="shared" si="436"/>
        <v>0.48401768503730552</v>
      </c>
      <c r="T2151" s="6">
        <f t="shared" si="437"/>
        <v>0.51598231496269442</v>
      </c>
      <c r="V2151" s="1">
        <f t="shared" si="443"/>
        <v>189261.34852801941</v>
      </c>
      <c r="W2151" s="7">
        <f t="shared" si="444"/>
        <v>2.7662032327870159E-3</v>
      </c>
      <c r="X2151" s="7">
        <f t="shared" si="445"/>
        <v>2.2111041992771388E-3</v>
      </c>
      <c r="Y2151">
        <f>LN(B2151/B2150)</f>
        <v>5.4600554409444772E-3</v>
      </c>
      <c r="Z2151">
        <f>LN(C2151/C2150)</f>
        <v>2.4581213578773808E-4</v>
      </c>
    </row>
    <row r="2152" spans="1:26" x14ac:dyDescent="0.3">
      <c r="A2152" s="11">
        <v>43349</v>
      </c>
      <c r="B2152" s="12">
        <v>31495.31</v>
      </c>
      <c r="C2152" s="12">
        <v>52.674667399999997</v>
      </c>
      <c r="D2152" s="16">
        <f t="shared" si="447"/>
        <v>1.6944495299241025E-2</v>
      </c>
      <c r="E2152" s="15">
        <f t="shared" si="446"/>
        <v>2.4578192645985375E-4</v>
      </c>
      <c r="G2152" s="25" t="str">
        <f>IF(VLOOKUP(A2152,Aux!B:C,2,FALSE)=0,"",VLOOKUP(A2152,Aux!B:C,2,FALSE))</f>
        <v/>
      </c>
      <c r="H2152" s="25" t="str">
        <f t="shared" si="435"/>
        <v/>
      </c>
      <c r="L2152" s="13">
        <f t="shared" si="438"/>
        <v>189991.89312445259</v>
      </c>
      <c r="M2152" s="14">
        <f t="shared" si="439"/>
        <v>1545.3362819984918</v>
      </c>
      <c r="N2152" s="14">
        <f t="shared" si="440"/>
        <v>23.895597479731673</v>
      </c>
      <c r="O2152" s="1">
        <f t="shared" si="441"/>
        <v>2.9447316627891391</v>
      </c>
      <c r="P2152" s="1">
        <f t="shared" si="442"/>
        <v>1846.1750465289729</v>
      </c>
      <c r="S2152" s="6">
        <f t="shared" si="436"/>
        <v>0.48815365256457238</v>
      </c>
      <c r="T2152" s="6">
        <f t="shared" si="437"/>
        <v>0.51184634743542756</v>
      </c>
      <c r="V2152" s="1">
        <f t="shared" si="443"/>
        <v>190500.99022151108</v>
      </c>
      <c r="W2152" s="7">
        <f t="shared" si="444"/>
        <v>8.2937659586265373E-3</v>
      </c>
      <c r="X2152" s="7">
        <f t="shared" si="445"/>
        <v>6.5285362447943009E-3</v>
      </c>
      <c r="Y2152">
        <f>LN(B2152/B2151)</f>
        <v>1.6802538683481739E-2</v>
      </c>
      <c r="Z2152">
        <f>LN(C2152/C2151)</f>
        <v>2.4575172703038121E-4</v>
      </c>
    </row>
    <row r="2153" spans="1:26" x14ac:dyDescent="0.3">
      <c r="A2153" s="9">
        <v>43353</v>
      </c>
      <c r="B2153" s="1">
        <v>31522.799999999999</v>
      </c>
      <c r="C2153" s="1">
        <v>52.687618299999997</v>
      </c>
      <c r="D2153" s="6">
        <f t="shared" si="447"/>
        <v>8.7282836714419609E-4</v>
      </c>
      <c r="E2153" s="5">
        <f t="shared" si="446"/>
        <v>2.4586581442753719E-4</v>
      </c>
      <c r="G2153" s="25" t="str">
        <f>IF(VLOOKUP(A2153,Aux!B:C,2,FALSE)=0,"",VLOOKUP(A2153,Aux!B:C,2,FALSE))</f>
        <v/>
      </c>
      <c r="H2153" s="25" t="str">
        <f t="shared" si="435"/>
        <v/>
      </c>
      <c r="L2153" s="13">
        <f t="shared" si="438"/>
        <v>190096.75342627274</v>
      </c>
      <c r="M2153" s="14">
        <f t="shared" si="439"/>
        <v>80.950673410067438</v>
      </c>
      <c r="N2153" s="14">
        <f t="shared" si="440"/>
        <v>23.909628410091848</v>
      </c>
      <c r="O2153" s="1">
        <f t="shared" si="441"/>
        <v>2.9447316627891391</v>
      </c>
      <c r="P2153" s="1">
        <f t="shared" si="442"/>
        <v>1846.1750465289729</v>
      </c>
      <c r="S2153" s="6">
        <f t="shared" si="436"/>
        <v>0.4883102188053477</v>
      </c>
      <c r="T2153" s="6">
        <f t="shared" si="437"/>
        <v>0.51168978119465225</v>
      </c>
      <c r="V2153" s="1">
        <f t="shared" si="443"/>
        <v>190593.38349191216</v>
      </c>
      <c r="W2153" s="7">
        <f t="shared" si="444"/>
        <v>5.5176762280135464E-4</v>
      </c>
      <c r="X2153" s="7">
        <f t="shared" si="445"/>
        <v>4.8488394783163948E-4</v>
      </c>
      <c r="Y2153">
        <f>LN(B2153/B2152)</f>
        <v>8.7244767396871389E-4</v>
      </c>
      <c r="Z2153">
        <f>LN(C2153/C2152)</f>
        <v>2.4583559438146784E-4</v>
      </c>
    </row>
    <row r="2154" spans="1:26" x14ac:dyDescent="0.3">
      <c r="A2154" s="11">
        <v>43354</v>
      </c>
      <c r="B2154" s="12">
        <v>30803.27</v>
      </c>
      <c r="C2154" s="12">
        <v>52.700569199999997</v>
      </c>
      <c r="D2154" s="16">
        <f t="shared" si="447"/>
        <v>-2.2825700762622581E-2</v>
      </c>
      <c r="E2154" s="15">
        <f t="shared" si="446"/>
        <v>2.458053792877557E-4</v>
      </c>
      <c r="G2154" s="25" t="str">
        <f>IF(VLOOKUP(A2154,Aux!B:C,2,FALSE)=0,"",VLOOKUP(A2154,Aux!B:C,2,FALSE))</f>
        <v/>
      </c>
      <c r="H2154" s="25" t="str">
        <f t="shared" si="435"/>
        <v/>
      </c>
      <c r="L2154" s="13">
        <f t="shared" si="438"/>
        <v>188001.84028135618</v>
      </c>
      <c r="M2154" s="14">
        <f t="shared" si="439"/>
        <v>-2118.8227733266658</v>
      </c>
      <c r="N2154" s="14">
        <f t="shared" si="440"/>
        <v>23.909628410091848</v>
      </c>
      <c r="O2154" s="1">
        <f t="shared" si="441"/>
        <v>2.9447316627891391</v>
      </c>
      <c r="P2154" s="1">
        <f t="shared" si="442"/>
        <v>1846.1750465289729</v>
      </c>
      <c r="S2154" s="6">
        <f t="shared" si="436"/>
        <v>0.48248125843179895</v>
      </c>
      <c r="T2154" s="6">
        <f t="shared" si="437"/>
        <v>0.51751874156820088</v>
      </c>
      <c r="V2154" s="1">
        <f t="shared" si="443"/>
        <v>188962.37549141381</v>
      </c>
      <c r="W2154" s="7">
        <f t="shared" si="444"/>
        <v>-1.1081419594295443E-2</v>
      </c>
      <c r="X2154" s="7">
        <f t="shared" si="445"/>
        <v>-8.5943527459738534E-3</v>
      </c>
      <c r="Y2154">
        <f>LN(B2154/B2153)</f>
        <v>-2.3090240356430106E-2</v>
      </c>
      <c r="Z2154">
        <f>LN(C2154/C2153)</f>
        <v>2.4577517409514346E-4</v>
      </c>
    </row>
    <row r="2155" spans="1:26" x14ac:dyDescent="0.3">
      <c r="A2155" s="9">
        <v>43355</v>
      </c>
      <c r="B2155" s="1">
        <v>30970.28</v>
      </c>
      <c r="C2155" s="1">
        <v>52.713523899999998</v>
      </c>
      <c r="D2155" s="6">
        <f t="shared" si="447"/>
        <v>5.4218269683705689E-3</v>
      </c>
      <c r="E2155" s="5">
        <f t="shared" si="446"/>
        <v>2.4581707933424291E-4</v>
      </c>
      <c r="G2155" s="25" t="str">
        <f>IF(VLOOKUP(A2155,Aux!B:C,2,FALSE)=0,"",VLOOKUP(A2155,Aux!B:C,2,FALSE))</f>
        <v/>
      </c>
      <c r="H2155" s="25" t="str">
        <f t="shared" si="435"/>
        <v/>
      </c>
      <c r="L2155" s="13">
        <f t="shared" si="438"/>
        <v>188517.55656023388</v>
      </c>
      <c r="M2155" s="14">
        <f t="shared" si="439"/>
        <v>491.79963500240939</v>
      </c>
      <c r="N2155" s="14">
        <f t="shared" si="440"/>
        <v>23.916643875271934</v>
      </c>
      <c r="O2155" s="1">
        <f t="shared" si="441"/>
        <v>2.9447316627891391</v>
      </c>
      <c r="P2155" s="1">
        <f t="shared" si="442"/>
        <v>1846.1750465289729</v>
      </c>
      <c r="S2155" s="6">
        <f t="shared" si="436"/>
        <v>0.4837701367740031</v>
      </c>
      <c r="T2155" s="6">
        <f t="shared" si="437"/>
        <v>0.51622986322599662</v>
      </c>
      <c r="V2155" s="1">
        <f t="shared" si="443"/>
        <v>189376.65478335397</v>
      </c>
      <c r="W2155" s="7">
        <f t="shared" si="444"/>
        <v>2.739389288887666E-3</v>
      </c>
      <c r="X2155" s="7">
        <f t="shared" si="445"/>
        <v>2.1899905870929096E-3</v>
      </c>
      <c r="Y2155">
        <f>LN(B2155/B2154)</f>
        <v>5.4071817764821768E-3</v>
      </c>
      <c r="Z2155">
        <f>LN(C2155/C2154)</f>
        <v>2.4578687126633464E-4</v>
      </c>
    </row>
    <row r="2156" spans="1:26" x14ac:dyDescent="0.3">
      <c r="A2156" s="11">
        <v>43356</v>
      </c>
      <c r="B2156" s="12">
        <v>30778.7</v>
      </c>
      <c r="C2156" s="12">
        <v>52.726482400000002</v>
      </c>
      <c r="D2156" s="16">
        <f t="shared" si="447"/>
        <v>-6.1859305114451146E-3</v>
      </c>
      <c r="E2156" s="15">
        <f t="shared" si="446"/>
        <v>2.4582875591061537E-4</v>
      </c>
      <c r="G2156" s="25" t="str">
        <f>IF(VLOOKUP(A2156,Aux!B:C,2,FALSE)=0,"",VLOOKUP(A2156,Aux!B:C,2,FALSE))</f>
        <v/>
      </c>
      <c r="H2156" s="25" t="str">
        <f t="shared" si="435"/>
        <v/>
      </c>
      <c r="L2156" s="13">
        <f t="shared" si="438"/>
        <v>187977.32852761718</v>
      </c>
      <c r="M2156" s="14">
        <f t="shared" si="439"/>
        <v>-564.1516919571377</v>
      </c>
      <c r="N2156" s="14">
        <f t="shared" si="440"/>
        <v>23.923659340452019</v>
      </c>
      <c r="O2156" s="1">
        <f t="shared" si="441"/>
        <v>2.9447316627891391</v>
      </c>
      <c r="P2156" s="1">
        <f t="shared" si="442"/>
        <v>1846.1750465289729</v>
      </c>
      <c r="S2156" s="6">
        <f t="shared" si="436"/>
        <v>0.48215927494773497</v>
      </c>
      <c r="T2156" s="6">
        <f t="shared" si="437"/>
        <v>0.51784072505226486</v>
      </c>
      <c r="V2156" s="1">
        <f t="shared" si="443"/>
        <v>188963.66290285217</v>
      </c>
      <c r="W2156" s="7">
        <f t="shared" si="444"/>
        <v>-2.8697781817158059E-3</v>
      </c>
      <c r="X2156" s="7">
        <f t="shared" si="445"/>
        <v>-2.1831775532842809E-3</v>
      </c>
      <c r="Y2156">
        <f>LN(B2156/B2155)</f>
        <v>-6.205142650540822E-3</v>
      </c>
      <c r="Z2156">
        <f>LN(C2156/C2155)</f>
        <v>2.4579854497304248E-4</v>
      </c>
    </row>
    <row r="2157" spans="1:26" x14ac:dyDescent="0.3">
      <c r="A2157" s="9">
        <v>43357</v>
      </c>
      <c r="B2157" s="1">
        <v>31058.43</v>
      </c>
      <c r="C2157" s="1">
        <v>52.7394447</v>
      </c>
      <c r="D2157" s="6">
        <f t="shared" si="447"/>
        <v>9.0884280362717451E-3</v>
      </c>
      <c r="E2157" s="5">
        <f t="shared" si="446"/>
        <v>2.45840409031306E-4</v>
      </c>
      <c r="G2157" s="25" t="str">
        <f>IF(VLOOKUP(A2157,Aux!B:C,2,FALSE)=0,"",VLOOKUP(A2157,Aux!B:C,2,FALSE))</f>
        <v/>
      </c>
      <c r="H2157" s="25" t="str">
        <f t="shared" si="435"/>
        <v/>
      </c>
      <c r="L2157" s="13">
        <f t="shared" si="438"/>
        <v>188824.98899045482</v>
      </c>
      <c r="M2157" s="14">
        <f t="shared" si="439"/>
        <v>823.72978803200465</v>
      </c>
      <c r="N2157" s="14">
        <f t="shared" si="440"/>
        <v>23.930674805618988</v>
      </c>
      <c r="O2157" s="1">
        <f t="shared" si="441"/>
        <v>2.9447316627891391</v>
      </c>
      <c r="P2157" s="1">
        <f t="shared" si="442"/>
        <v>1846.1750465289729</v>
      </c>
      <c r="S2157" s="6">
        <f t="shared" si="436"/>
        <v>0.48435719608141142</v>
      </c>
      <c r="T2157" s="6">
        <f t="shared" si="437"/>
        <v>0.5156428039185883</v>
      </c>
      <c r="V2157" s="1">
        <f t="shared" si="443"/>
        <v>189638.00817996572</v>
      </c>
      <c r="W2157" s="7">
        <f t="shared" si="444"/>
        <v>4.499239274131807E-3</v>
      </c>
      <c r="X2157" s="7">
        <f t="shared" si="445"/>
        <v>3.5622980125946677E-3</v>
      </c>
      <c r="Y2157">
        <f>LN(B2157/B2156)</f>
        <v>9.0473768141015268E-3</v>
      </c>
      <c r="Z2157">
        <f>LN(C2157/C2156)</f>
        <v>2.4581019522969711E-4</v>
      </c>
    </row>
    <row r="2158" spans="1:26" x14ac:dyDescent="0.3">
      <c r="A2158" s="11">
        <v>43360</v>
      </c>
      <c r="B2158" s="12">
        <v>31603.05</v>
      </c>
      <c r="C2158" s="12">
        <v>52.752410900000001</v>
      </c>
      <c r="D2158" s="16">
        <f t="shared" si="447"/>
        <v>1.7535335817038922E-2</v>
      </c>
      <c r="E2158" s="15">
        <f t="shared" si="446"/>
        <v>2.4585393482534634E-4</v>
      </c>
      <c r="G2158" s="25" t="str">
        <f>IF(VLOOKUP(A2158,Aux!B:C,2,FALSE)=0,"",VLOOKUP(A2158,Aux!B:C,2,FALSE))</f>
        <v/>
      </c>
      <c r="H2158" s="25" t="str">
        <f t="shared" si="435"/>
        <v/>
      </c>
      <c r="L2158" s="13">
        <f t="shared" si="438"/>
        <v>190452.68662353134</v>
      </c>
      <c r="M2158" s="14">
        <f t="shared" si="439"/>
        <v>1603.759758188218</v>
      </c>
      <c r="N2158" s="14">
        <f t="shared" si="440"/>
        <v>23.937874888305885</v>
      </c>
      <c r="O2158" s="1">
        <f t="shared" si="441"/>
        <v>2.9447316627891391</v>
      </c>
      <c r="P2158" s="1">
        <f t="shared" si="442"/>
        <v>1846.1750465289729</v>
      </c>
      <c r="S2158" s="6">
        <f t="shared" si="436"/>
        <v>0.48863843102232191</v>
      </c>
      <c r="T2158" s="6">
        <f t="shared" si="437"/>
        <v>0.51136156897767793</v>
      </c>
      <c r="V2158" s="1">
        <f t="shared" si="443"/>
        <v>190923.47267779769</v>
      </c>
      <c r="W2158" s="7">
        <f t="shared" si="444"/>
        <v>8.5831976443654177E-3</v>
      </c>
      <c r="X2158" s="7">
        <f t="shared" si="445"/>
        <v>6.7556463352400004E-3</v>
      </c>
      <c r="Y2158">
        <f>LN(B2158/B2157)</f>
        <v>1.738336580732127E-2</v>
      </c>
      <c r="Z2158">
        <f>LN(C2158/C2157)</f>
        <v>2.4582371769927658E-4</v>
      </c>
    </row>
    <row r="2159" spans="1:26" x14ac:dyDescent="0.3">
      <c r="A2159" s="9">
        <v>43361</v>
      </c>
      <c r="B2159" s="1">
        <v>32192.53</v>
      </c>
      <c r="C2159" s="1">
        <v>52.765377000000001</v>
      </c>
      <c r="D2159" s="6">
        <f t="shared" si="447"/>
        <v>1.8652630046783525E-2</v>
      </c>
      <c r="E2159" s="5">
        <f t="shared" si="446"/>
        <v>2.4579160987681092E-4</v>
      </c>
      <c r="G2159" s="25" t="str">
        <f>IF(VLOOKUP(A2159,Aux!B:C,2,FALSE)=0,"",VLOOKUP(A2159,Aux!B:C,2,FALSE))</f>
        <v/>
      </c>
      <c r="H2159" s="25" t="str">
        <f t="shared" si="435"/>
        <v/>
      </c>
      <c r="L2159" s="13">
        <f t="shared" si="438"/>
        <v>192212.48473438309</v>
      </c>
      <c r="M2159" s="14">
        <f t="shared" si="439"/>
        <v>1735.8604205809404</v>
      </c>
      <c r="N2159" s="14">
        <f t="shared" si="440"/>
        <v>23.937690270799074</v>
      </c>
      <c r="O2159" s="1">
        <f t="shared" si="441"/>
        <v>2.9447316627891391</v>
      </c>
      <c r="P2159" s="1">
        <f t="shared" si="442"/>
        <v>1846.1750465289729</v>
      </c>
      <c r="S2159" s="6">
        <f t="shared" si="436"/>
        <v>0.49319565546062394</v>
      </c>
      <c r="T2159" s="6">
        <f t="shared" si="437"/>
        <v>0.50680434453937584</v>
      </c>
      <c r="V2159" s="1">
        <f t="shared" si="443"/>
        <v>192312.43054112757</v>
      </c>
      <c r="W2159" s="7">
        <f t="shared" si="444"/>
        <v>9.1976518829601766E-3</v>
      </c>
      <c r="X2159" s="7">
        <f t="shared" si="445"/>
        <v>7.2486107551595668E-3</v>
      </c>
      <c r="Y2159">
        <f>LN(B2159/B2158)</f>
        <v>1.8480803136891957E-2</v>
      </c>
      <c r="Z2159">
        <f>LN(C2159/C2158)</f>
        <v>2.4576140806786747E-4</v>
      </c>
    </row>
    <row r="2160" spans="1:26" x14ac:dyDescent="0.3">
      <c r="A2160" s="11">
        <v>43362</v>
      </c>
      <c r="B2160" s="12">
        <v>32142.12</v>
      </c>
      <c r="C2160" s="12">
        <v>52.778350799999998</v>
      </c>
      <c r="D2160" s="16">
        <f t="shared" si="447"/>
        <v>-1.5658912176209627E-3</v>
      </c>
      <c r="E2160" s="15">
        <f t="shared" si="446"/>
        <v>2.4587714023160956E-4</v>
      </c>
      <c r="G2160" s="25" t="str">
        <f>IF(VLOOKUP(A2160,Aux!B:C,2,FALSE)=0,"",VLOOKUP(A2160,Aux!B:C,2,FALSE))</f>
        <v/>
      </c>
      <c r="H2160" s="25" t="str">
        <f t="shared" si="435"/>
        <v/>
      </c>
      <c r="L2160" s="13">
        <f t="shared" si="438"/>
        <v>192087.99271708055</v>
      </c>
      <c r="M2160" s="14">
        <f t="shared" si="439"/>
        <v>-148.44392312120007</v>
      </c>
      <c r="N2160" s="14">
        <f t="shared" si="440"/>
        <v>23.951905818652939</v>
      </c>
      <c r="O2160" s="1">
        <f t="shared" si="441"/>
        <v>2.9447316627891391</v>
      </c>
      <c r="P2160" s="1">
        <f t="shared" si="442"/>
        <v>1846.1750465289729</v>
      </c>
      <c r="S2160" s="6">
        <f t="shared" si="436"/>
        <v>0.492742503757507</v>
      </c>
      <c r="T2160" s="6">
        <f t="shared" si="437"/>
        <v>0.50725749624249272</v>
      </c>
      <c r="V2160" s="1">
        <f t="shared" si="443"/>
        <v>192225.15701690543</v>
      </c>
      <c r="W2160" s="7">
        <f t="shared" si="444"/>
        <v>-6.4788897730683485E-4</v>
      </c>
      <c r="X2160" s="7">
        <f t="shared" si="445"/>
        <v>-4.5391414802815178E-4</v>
      </c>
      <c r="Y2160">
        <f>LN(B2160/B2159)</f>
        <v>-1.5671185066417315E-3</v>
      </c>
      <c r="Z2160">
        <f>LN(C2160/C2159)</f>
        <v>2.4584691740153254E-4</v>
      </c>
    </row>
    <row r="2161" spans="1:26" x14ac:dyDescent="0.3">
      <c r="A2161" s="9">
        <v>43363</v>
      </c>
      <c r="B2161" s="1">
        <v>32113.62</v>
      </c>
      <c r="C2161" s="1">
        <v>52.791324600000003</v>
      </c>
      <c r="D2161" s="6">
        <f t="shared" si="447"/>
        <v>-8.8668700135519085E-4</v>
      </c>
      <c r="E2161" s="5">
        <f t="shared" si="446"/>
        <v>2.4581669952450369E-4</v>
      </c>
      <c r="G2161" s="25" t="str">
        <f>IF(VLOOKUP(A2161,Aux!B:C,2,FALSE)=0,"",VLOOKUP(A2161,Aux!B:C,2,FALSE))</f>
        <v/>
      </c>
      <c r="H2161" s="25" t="str">
        <f t="shared" si="435"/>
        <v/>
      </c>
      <c r="L2161" s="13">
        <f t="shared" si="438"/>
        <v>192028.01977050971</v>
      </c>
      <c r="M2161" s="14">
        <f t="shared" si="439"/>
        <v>-83.924852389490468</v>
      </c>
      <c r="N2161" s="14">
        <f t="shared" si="440"/>
        <v>23.951905818666056</v>
      </c>
      <c r="O2161" s="1">
        <f t="shared" si="441"/>
        <v>2.9447316627891391</v>
      </c>
      <c r="P2161" s="1">
        <f t="shared" si="442"/>
        <v>1846.1750465289729</v>
      </c>
      <c r="S2161" s="6">
        <f t="shared" si="436"/>
        <v>0.49245934907725025</v>
      </c>
      <c r="T2161" s="6">
        <f t="shared" si="437"/>
        <v>0.50754065092274958</v>
      </c>
      <c r="V2161" s="1">
        <f t="shared" si="443"/>
        <v>192188.43062909925</v>
      </c>
      <c r="W2161" s="7">
        <f t="shared" si="444"/>
        <v>-3.1226475912716828E-4</v>
      </c>
      <c r="X2161" s="7">
        <f t="shared" si="445"/>
        <v>-1.9107747019458116E-4</v>
      </c>
      <c r="Y2161">
        <f>LN(B2161/B2160)</f>
        <v>-8.870803408042166E-4</v>
      </c>
      <c r="Z2161">
        <f>LN(C2161/C2160)</f>
        <v>2.4578649154993613E-4</v>
      </c>
    </row>
    <row r="2162" spans="1:26" x14ac:dyDescent="0.3">
      <c r="A2162" s="11">
        <v>43364</v>
      </c>
      <c r="B2162" s="12">
        <v>32648.41</v>
      </c>
      <c r="C2162" s="12">
        <v>52.804302200000002</v>
      </c>
      <c r="D2162" s="16">
        <f t="shared" si="447"/>
        <v>1.6653058733334891E-2</v>
      </c>
      <c r="E2162" s="15">
        <f t="shared" si="446"/>
        <v>2.4582827004882013E-4</v>
      </c>
      <c r="G2162" s="25" t="str">
        <f>IF(VLOOKUP(A2162,Aux!B:C,2,FALSE)=0,"",VLOOKUP(A2162,Aux!B:C,2,FALSE))</f>
        <v/>
      </c>
      <c r="H2162" s="25" t="str">
        <f t="shared" si="435"/>
        <v/>
      </c>
      <c r="L2162" s="13">
        <f t="shared" si="438"/>
        <v>193626.79173773655</v>
      </c>
      <c r="M2162" s="14">
        <f t="shared" si="439"/>
        <v>1574.8130459430063</v>
      </c>
      <c r="N2162" s="14">
        <f t="shared" si="440"/>
        <v>23.958921283833025</v>
      </c>
      <c r="O2162" s="1">
        <f t="shared" si="441"/>
        <v>2.9447316627891391</v>
      </c>
      <c r="P2162" s="1">
        <f t="shared" si="442"/>
        <v>1846.1750465289729</v>
      </c>
      <c r="S2162" s="6">
        <f t="shared" si="436"/>
        <v>0.49652636292679103</v>
      </c>
      <c r="T2162" s="6">
        <f t="shared" si="437"/>
        <v>0.5034736370732088</v>
      </c>
      <c r="V2162" s="1">
        <f t="shared" si="443"/>
        <v>193451.24247638602</v>
      </c>
      <c r="W2162" s="7">
        <f t="shared" si="444"/>
        <v>8.2912546581011201E-3</v>
      </c>
      <c r="X2162" s="7">
        <f t="shared" si="445"/>
        <v>6.5492035652446687E-3</v>
      </c>
      <c r="Y2162">
        <f>LN(B2162/B2161)</f>
        <v>1.6515917009175141E-2</v>
      </c>
      <c r="Z2162">
        <f>LN(C2162/C2161)</f>
        <v>2.4579805923065655E-4</v>
      </c>
    </row>
    <row r="2163" spans="1:26" x14ac:dyDescent="0.3">
      <c r="A2163" s="9">
        <v>43367</v>
      </c>
      <c r="B2163" s="1">
        <v>32056.53</v>
      </c>
      <c r="C2163" s="1">
        <v>52.817283600000003</v>
      </c>
      <c r="D2163" s="6">
        <f t="shared" si="447"/>
        <v>-1.8128907349546308E-2</v>
      </c>
      <c r="E2163" s="5">
        <f t="shared" si="446"/>
        <v>2.4583981719583647E-4</v>
      </c>
      <c r="G2163" s="25" t="str">
        <f>IF(VLOOKUP(A2163,Aux!B:C,2,FALSE)=0,"",VLOOKUP(A2163,Aux!B:C,2,FALSE))</f>
        <v/>
      </c>
      <c r="H2163" s="25" t="str">
        <f t="shared" si="435"/>
        <v/>
      </c>
      <c r="L2163" s="13">
        <f t="shared" si="438"/>
        <v>191907.82989791394</v>
      </c>
      <c r="M2163" s="14">
        <f t="shared" si="439"/>
        <v>-1742.9277765716386</v>
      </c>
      <c r="N2163" s="14">
        <f t="shared" si="440"/>
        <v>23.96593674901311</v>
      </c>
      <c r="O2163" s="1">
        <f t="shared" si="441"/>
        <v>2.9447316627891391</v>
      </c>
      <c r="P2163" s="1">
        <f t="shared" si="442"/>
        <v>1846.1750465289729</v>
      </c>
      <c r="S2163" s="6">
        <f t="shared" si="436"/>
        <v>0.49189175314193911</v>
      </c>
      <c r="T2163" s="6">
        <f t="shared" si="437"/>
        <v>0.50810824685806055</v>
      </c>
      <c r="V2163" s="1">
        <f t="shared" si="443"/>
        <v>192114.79572364863</v>
      </c>
      <c r="W2163" s="7">
        <f t="shared" si="444"/>
        <v>-8.9173481923502419E-3</v>
      </c>
      <c r="X2163" s="7">
        <f t="shared" si="445"/>
        <v>-6.9324160979656307E-3</v>
      </c>
      <c r="Y2163">
        <f>LN(B2163/B2162)</f>
        <v>-1.8295249457746989E-2</v>
      </c>
      <c r="Z2163">
        <f>LN(C2163/C2162)</f>
        <v>2.4580960353968876E-4</v>
      </c>
    </row>
    <row r="2164" spans="1:26" x14ac:dyDescent="0.3">
      <c r="A2164" s="11">
        <v>43368</v>
      </c>
      <c r="B2164" s="12">
        <v>32299.71</v>
      </c>
      <c r="C2164" s="12">
        <v>52.830264999999997</v>
      </c>
      <c r="D2164" s="16">
        <f t="shared" si="447"/>
        <v>7.5859739029771056E-3</v>
      </c>
      <c r="E2164" s="15">
        <f t="shared" si="446"/>
        <v>2.4577939483427791E-4</v>
      </c>
      <c r="G2164" s="25" t="str">
        <f>IF(VLOOKUP(A2164,Aux!B:C,2,FALSE)=0,"",VLOOKUP(A2164,Aux!B:C,2,FALSE))</f>
        <v/>
      </c>
      <c r="H2164" s="25" t="str">
        <f t="shared" si="435"/>
        <v/>
      </c>
      <c r="L2164" s="13">
        <f t="shared" si="438"/>
        <v>192647.89568042001</v>
      </c>
      <c r="M2164" s="14">
        <f t="shared" si="439"/>
        <v>716.09984575706369</v>
      </c>
      <c r="N2164" s="14">
        <f t="shared" si="440"/>
        <v>23.965936748999994</v>
      </c>
      <c r="O2164" s="1">
        <f t="shared" si="441"/>
        <v>2.9447316627891391</v>
      </c>
      <c r="P2164" s="1">
        <f t="shared" si="442"/>
        <v>1846.1750465289729</v>
      </c>
      <c r="S2164" s="6">
        <f t="shared" si="436"/>
        <v>0.49371927162749696</v>
      </c>
      <c r="T2164" s="6">
        <f t="shared" si="437"/>
        <v>0.50628072837250271</v>
      </c>
      <c r="V2164" s="1">
        <f t="shared" si="443"/>
        <v>192704.86160146637</v>
      </c>
      <c r="W2164" s="7">
        <f t="shared" si="444"/>
        <v>3.8489438430635526E-3</v>
      </c>
      <c r="X2164" s="7">
        <f t="shared" si="445"/>
        <v>3.0667162086831464E-3</v>
      </c>
      <c r="Y2164">
        <f>LN(B2164/B2163)</f>
        <v>7.5573450967075569E-3</v>
      </c>
      <c r="Z2164">
        <f>LN(C2164/C2163)</f>
        <v>2.457491960268771E-4</v>
      </c>
    </row>
    <row r="2165" spans="1:26" x14ac:dyDescent="0.3">
      <c r="A2165" s="9">
        <v>43369</v>
      </c>
      <c r="B2165" s="1">
        <v>32327.27</v>
      </c>
      <c r="C2165" s="1">
        <v>52.843254100000003</v>
      </c>
      <c r="D2165" s="6">
        <f t="shared" si="447"/>
        <v>8.5325843482819685E-4</v>
      </c>
      <c r="E2165" s="5">
        <f t="shared" si="446"/>
        <v>2.4586475195631508E-4</v>
      </c>
      <c r="G2165" s="25" t="str">
        <f>IF(VLOOKUP(A2165,Aux!B:C,2,FALSE)=0,"",VLOOKUP(A2165,Aux!B:C,2,FALSE))</f>
        <v/>
      </c>
      <c r="H2165" s="25" t="str">
        <f t="shared" si="435"/>
        <v/>
      </c>
      <c r="L2165" s="13">
        <f t="shared" si="438"/>
        <v>192753.03263734336</v>
      </c>
      <c r="M2165" s="14">
        <f t="shared" si="439"/>
        <v>81.156804626472535</v>
      </c>
      <c r="N2165" s="14">
        <f t="shared" si="440"/>
        <v>23.980152296880096</v>
      </c>
      <c r="O2165" s="1">
        <f t="shared" si="441"/>
        <v>2.9447316627891391</v>
      </c>
      <c r="P2165" s="1">
        <f t="shared" si="442"/>
        <v>1846.1750465289729</v>
      </c>
      <c r="S2165" s="6">
        <f t="shared" si="436"/>
        <v>0.49387101327551647</v>
      </c>
      <c r="T2165" s="6">
        <f t="shared" si="437"/>
        <v>0.50612898672448325</v>
      </c>
      <c r="V2165" s="1">
        <f t="shared" si="443"/>
        <v>192797.5018227761</v>
      </c>
      <c r="W2165" s="7">
        <f t="shared" si="444"/>
        <v>5.4559785307393808E-4</v>
      </c>
      <c r="X2165" s="7">
        <f t="shared" si="445"/>
        <v>4.8062077892413224E-4</v>
      </c>
      <c r="Y2165">
        <f>LN(B2165/B2164)</f>
        <v>8.5289461678905915E-4</v>
      </c>
      <c r="Z2165">
        <f>LN(C2165/C2164)</f>
        <v>2.4583453217140629E-4</v>
      </c>
    </row>
    <row r="2166" spans="1:26" x14ac:dyDescent="0.3">
      <c r="A2166" s="11">
        <v>43370</v>
      </c>
      <c r="B2166" s="12">
        <v>32863.99</v>
      </c>
      <c r="C2166" s="12">
        <v>52.8562431</v>
      </c>
      <c r="D2166" s="16">
        <f t="shared" si="447"/>
        <v>1.6602701063219927E-2</v>
      </c>
      <c r="E2166" s="15">
        <f t="shared" si="446"/>
        <v>2.4580242494942617E-4</v>
      </c>
      <c r="G2166" s="25" t="str">
        <f>IF(VLOOKUP(A2166,Aux!B:C,2,FALSE)=0,"",VLOOKUP(A2166,Aux!B:C,2,FALSE))</f>
        <v/>
      </c>
      <c r="H2166" s="25" t="str">
        <f t="shared" si="435"/>
        <v/>
      </c>
      <c r="L2166" s="13">
        <f t="shared" si="438"/>
        <v>194357.50898307492</v>
      </c>
      <c r="M2166" s="14">
        <f t="shared" si="439"/>
        <v>1580.4963780521794</v>
      </c>
      <c r="N2166" s="14">
        <f t="shared" si="440"/>
        <v>23.979967679360168</v>
      </c>
      <c r="O2166" s="1">
        <f t="shared" si="441"/>
        <v>2.9447316627891391</v>
      </c>
      <c r="P2166" s="1">
        <f t="shared" si="442"/>
        <v>1846.1750465289729</v>
      </c>
      <c r="S2166" s="6">
        <f t="shared" si="436"/>
        <v>0.49792587086004009</v>
      </c>
      <c r="T2166" s="6">
        <f t="shared" si="437"/>
        <v>0.50207412913995952</v>
      </c>
      <c r="V2166" s="1">
        <f t="shared" si="443"/>
        <v>194064.79175088467</v>
      </c>
      <c r="W2166" s="7">
        <f t="shared" si="444"/>
        <v>8.2895470986152613E-3</v>
      </c>
      <c r="X2166" s="7">
        <f t="shared" si="445"/>
        <v>6.5516566606497861E-3</v>
      </c>
      <c r="Y2166">
        <f>LN(B2166/B2165)</f>
        <v>1.6466382984857121E-2</v>
      </c>
      <c r="Z2166">
        <f>LN(C2166/C2165)</f>
        <v>2.4577222048282336E-4</v>
      </c>
    </row>
    <row r="2167" spans="1:26" x14ac:dyDescent="0.3">
      <c r="A2167" s="9">
        <v>43371</v>
      </c>
      <c r="B2167" s="1">
        <v>32611.25</v>
      </c>
      <c r="C2167" s="1">
        <v>52.869239800000003</v>
      </c>
      <c r="D2167" s="6">
        <f t="shared" si="447"/>
        <v>-7.6904843264617995E-3</v>
      </c>
      <c r="E2167" s="5">
        <f t="shared" si="446"/>
        <v>2.4588769912026187E-4</v>
      </c>
      <c r="G2167" s="25" t="str">
        <f>IF(VLOOKUP(A2167,Aux!B:C,2,FALSE)=0,"",VLOOKUP(A2167,Aux!B:C,2,FALSE))</f>
        <v/>
      </c>
      <c r="H2167" s="25" t="str">
        <f t="shared" si="435"/>
        <v/>
      </c>
      <c r="L2167" s="13">
        <f t="shared" si="438"/>
        <v>193637.25168584881</v>
      </c>
      <c r="M2167" s="14">
        <f t="shared" si="439"/>
        <v>-744.25148045332105</v>
      </c>
      <c r="N2167" s="14">
        <f t="shared" si="440"/>
        <v>23.99418322722715</v>
      </c>
      <c r="O2167" s="1">
        <f t="shared" si="441"/>
        <v>2.9447316627891391</v>
      </c>
      <c r="P2167" s="1">
        <f t="shared" si="442"/>
        <v>1846.1750465289729</v>
      </c>
      <c r="S2167" s="6">
        <f t="shared" si="436"/>
        <v>0.49593443204787219</v>
      </c>
      <c r="T2167" s="6">
        <f t="shared" si="437"/>
        <v>0.50406556795212742</v>
      </c>
      <c r="V2167" s="1">
        <f t="shared" si="443"/>
        <v>193510.78706945467</v>
      </c>
      <c r="W2167" s="7">
        <f t="shared" si="444"/>
        <v>-3.7127208797227127E-3</v>
      </c>
      <c r="X2167" s="7">
        <f t="shared" si="445"/>
        <v>-2.8588233574136871E-3</v>
      </c>
      <c r="Y2167">
        <f>LN(B2167/B2166)</f>
        <v>-7.7202085951336543E-3</v>
      </c>
      <c r="Z2167">
        <f>LN(C2167/C2166)</f>
        <v>2.4585747369457796E-4</v>
      </c>
    </row>
    <row r="2168" spans="1:26" x14ac:dyDescent="0.3">
      <c r="A2168" s="11">
        <v>43374</v>
      </c>
      <c r="B2168" s="12">
        <v>32302.31</v>
      </c>
      <c r="C2168" s="12">
        <v>52.882236499999998</v>
      </c>
      <c r="D2168" s="16">
        <f t="shared" si="447"/>
        <v>-9.473417915596527E-3</v>
      </c>
      <c r="E2168" s="15">
        <f t="shared" si="446"/>
        <v>2.4582725322241927E-4</v>
      </c>
      <c r="G2168" s="25" t="str">
        <f>IF(VLOOKUP(A2168,Aux!B:C,2,FALSE)=0,"",VLOOKUP(A2168,Aux!B:C,2,FALSE))</f>
        <v/>
      </c>
      <c r="H2168" s="25" t="str">
        <f t="shared" si="435"/>
        <v/>
      </c>
      <c r="L2168" s="13">
        <f t="shared" si="438"/>
        <v>192751.50046917395</v>
      </c>
      <c r="M2168" s="14">
        <f t="shared" si="439"/>
        <v>-909.74539990207279</v>
      </c>
      <c r="N2168" s="14">
        <f t="shared" si="440"/>
        <v>23.99418322721403</v>
      </c>
      <c r="O2168" s="1">
        <f t="shared" si="441"/>
        <v>2.9447316627891391</v>
      </c>
      <c r="P2168" s="1">
        <f t="shared" si="442"/>
        <v>1846.1750465289729</v>
      </c>
      <c r="S2168" s="6">
        <f t="shared" si="436"/>
        <v>0.49349361642682876</v>
      </c>
      <c r="T2168" s="6">
        <f t="shared" si="437"/>
        <v>0.50650638357317079</v>
      </c>
      <c r="V2168" s="1">
        <f t="shared" si="443"/>
        <v>192827.1270221381</v>
      </c>
      <c r="W2168" s="7">
        <f t="shared" si="444"/>
        <v>-4.5847751172210828E-3</v>
      </c>
      <c r="X2168" s="7">
        <f t="shared" si="445"/>
        <v>-3.5391854436114664E-3</v>
      </c>
      <c r="Y2168">
        <f>LN(B2168/B2167)</f>
        <v>-9.5185761673904183E-3</v>
      </c>
      <c r="Z2168">
        <f>LN(C2168/C2167)</f>
        <v>2.4579704265415844E-4</v>
      </c>
    </row>
    <row r="2169" spans="1:26" x14ac:dyDescent="0.3">
      <c r="A2169" s="9">
        <v>43375</v>
      </c>
      <c r="B2169" s="1">
        <v>33507.86</v>
      </c>
      <c r="C2169" s="1">
        <v>52.895256000000003</v>
      </c>
      <c r="D2169" s="6">
        <f t="shared" si="447"/>
        <v>3.7320860334756123E-2</v>
      </c>
      <c r="E2169" s="5">
        <f t="shared" si="446"/>
        <v>2.4619798370295598E-4</v>
      </c>
      <c r="G2169" s="25" t="str">
        <f>IF(VLOOKUP(A2169,Aux!B:C,2,FALSE)=0,"",VLOOKUP(A2169,Aux!B:C,2,FALSE))</f>
        <v/>
      </c>
      <c r="H2169" s="25" t="str">
        <f t="shared" si="435"/>
        <v/>
      </c>
      <c r="L2169" s="13">
        <f t="shared" si="438"/>
        <v>196325.55800126769</v>
      </c>
      <c r="M2169" s="14">
        <f t="shared" si="439"/>
        <v>3550.0212560754444</v>
      </c>
      <c r="N2169" s="14">
        <f t="shared" si="440"/>
        <v>24.036276018294551</v>
      </c>
      <c r="O2169" s="1">
        <f t="shared" si="441"/>
        <v>2.9447316627891391</v>
      </c>
      <c r="P2169" s="1">
        <f t="shared" si="442"/>
        <v>1846.1750465289729</v>
      </c>
      <c r="S2169" s="6">
        <f t="shared" si="436"/>
        <v>0.50259200737210463</v>
      </c>
      <c r="T2169" s="6">
        <f t="shared" si="437"/>
        <v>0.49740799262789503</v>
      </c>
      <c r="V2169" s="1">
        <f t="shared" si="443"/>
        <v>195637.49938858539</v>
      </c>
      <c r="W2169" s="7">
        <f t="shared" si="444"/>
        <v>1.8372494540844258E-2</v>
      </c>
      <c r="X2169" s="7">
        <f t="shared" si="445"/>
        <v>1.4469381290002192E-2</v>
      </c>
      <c r="Y2169">
        <f>LN(B2169/B2168)</f>
        <v>3.6641293476859939E-2</v>
      </c>
      <c r="Z2169">
        <f>LN(C2169/C2168)</f>
        <v>2.4616768195275077E-4</v>
      </c>
    </row>
    <row r="2170" spans="1:26" x14ac:dyDescent="0.3">
      <c r="A2170" s="11">
        <v>43376</v>
      </c>
      <c r="B2170" s="12">
        <v>34182.71</v>
      </c>
      <c r="C2170" s="12">
        <v>52.908275600000003</v>
      </c>
      <c r="D2170" s="16">
        <f t="shared" si="447"/>
        <v>2.0140050722427416E-2</v>
      </c>
      <c r="E2170" s="15">
        <f t="shared" si="446"/>
        <v>2.4613927570360516E-4</v>
      </c>
      <c r="G2170" s="25" t="str">
        <f>IF(VLOOKUP(A2170,Aux!B:C,2,FALSE)=0,"",VLOOKUP(A2170,Aux!B:C,2,FALSE))</f>
        <v/>
      </c>
      <c r="H2170" s="25" t="str">
        <f t="shared" si="435"/>
        <v/>
      </c>
      <c r="L2170" s="13">
        <f t="shared" si="438"/>
        <v>198336.84662453673</v>
      </c>
      <c r="M2170" s="14">
        <f t="shared" si="439"/>
        <v>1987.2521626332461</v>
      </c>
      <c r="N2170" s="14">
        <f t="shared" si="440"/>
        <v>24.036460635788242</v>
      </c>
      <c r="O2170" s="1">
        <f t="shared" si="441"/>
        <v>2.9447316627891391</v>
      </c>
      <c r="P2170" s="1">
        <f t="shared" si="442"/>
        <v>1846.1750465289729</v>
      </c>
      <c r="S2170" s="6">
        <f t="shared" si="436"/>
        <v>0.50751491802979076</v>
      </c>
      <c r="T2170" s="6">
        <f t="shared" si="437"/>
        <v>0.4924850819702089</v>
      </c>
      <c r="V2170" s="1">
        <f t="shared" si="443"/>
        <v>197223.52851476055</v>
      </c>
      <c r="W2170" s="7">
        <f t="shared" si="444"/>
        <v>1.0192539304664891E-2</v>
      </c>
      <c r="X2170" s="7">
        <f t="shared" si="445"/>
        <v>8.0742941151073118E-3</v>
      </c>
      <c r="Y2170">
        <f>LN(B2170/B2169)</f>
        <v>1.9939922500592587E-2</v>
      </c>
      <c r="Z2170">
        <f>LN(C2170/C2169)</f>
        <v>2.4610898840191097E-4</v>
      </c>
    </row>
    <row r="2171" spans="1:26" x14ac:dyDescent="0.3">
      <c r="A2171" s="9">
        <v>43377</v>
      </c>
      <c r="B2171" s="1">
        <v>34071.58</v>
      </c>
      <c r="C2171" s="1">
        <v>52.921302799999999</v>
      </c>
      <c r="D2171" s="6">
        <f t="shared" si="447"/>
        <v>-3.2510587955137948E-3</v>
      </c>
      <c r="E2171" s="5">
        <f t="shared" si="446"/>
        <v>2.4622235089433175E-4</v>
      </c>
      <c r="G2171" s="25" t="str">
        <f>IF(VLOOKUP(A2171,Aux!B:C,2,FALSE)=0,"",VLOOKUP(A2171,Aux!B:C,2,FALSE))</f>
        <v/>
      </c>
      <c r="H2171" s="25" t="str">
        <f t="shared" si="435"/>
        <v/>
      </c>
      <c r="L2171" s="13">
        <f t="shared" si="438"/>
        <v>198033.64908641711</v>
      </c>
      <c r="M2171" s="14">
        <f t="shared" si="439"/>
        <v>-327.24802968574932</v>
      </c>
      <c r="N2171" s="14">
        <f t="shared" si="440"/>
        <v>24.050491566135296</v>
      </c>
      <c r="O2171" s="1">
        <f t="shared" si="441"/>
        <v>2.9447316627891391</v>
      </c>
      <c r="P2171" s="1">
        <f t="shared" si="442"/>
        <v>1846.1750465289729</v>
      </c>
      <c r="S2171" s="6">
        <f t="shared" si="436"/>
        <v>0.50663945693123524</v>
      </c>
      <c r="T2171" s="6">
        <f t="shared" si="437"/>
        <v>0.49336054306876442</v>
      </c>
      <c r="V2171" s="1">
        <f t="shared" si="443"/>
        <v>196996.29128941489</v>
      </c>
      <c r="W2171" s="7">
        <f t="shared" si="444"/>
        <v>-1.5298696574878522E-3</v>
      </c>
      <c r="X2171" s="7">
        <f t="shared" si="445"/>
        <v>-1.1528453877638783E-3</v>
      </c>
      <c r="Y2171">
        <f>LN(B2171/B2170)</f>
        <v>-3.2563549690560428E-3</v>
      </c>
      <c r="Z2171">
        <f>LN(C2171/C2170)</f>
        <v>2.4619204314615305E-4</v>
      </c>
    </row>
    <row r="2172" spans="1:26" x14ac:dyDescent="0.3">
      <c r="A2172" s="11">
        <v>43378</v>
      </c>
      <c r="B2172" s="12">
        <v>33827.699999999997</v>
      </c>
      <c r="C2172" s="12">
        <v>52.934333799999997</v>
      </c>
      <c r="D2172" s="16">
        <f t="shared" si="447"/>
        <v>-7.157871751178102E-3</v>
      </c>
      <c r="E2172" s="15">
        <f t="shared" si="446"/>
        <v>2.4623354510455719E-4</v>
      </c>
      <c r="G2172" s="25" t="str">
        <f>IF(VLOOKUP(A2172,Aux!B:C,2,FALSE)=0,"",VLOOKUP(A2172,Aux!B:C,2,FALSE))</f>
        <v/>
      </c>
      <c r="H2172" s="25" t="str">
        <f t="shared" si="435"/>
        <v/>
      </c>
      <c r="L2172" s="13">
        <f t="shared" si="438"/>
        <v>197339.5454355274</v>
      </c>
      <c r="M2172" s="14">
        <f t="shared" si="439"/>
        <v>-718.16115792102892</v>
      </c>
      <c r="N2172" s="14">
        <f t="shared" si="440"/>
        <v>24.057507031315385</v>
      </c>
      <c r="O2172" s="1">
        <f t="shared" si="441"/>
        <v>2.9447316627891391</v>
      </c>
      <c r="P2172" s="1">
        <f t="shared" si="442"/>
        <v>1846.1750465289729</v>
      </c>
      <c r="S2172" s="6">
        <f t="shared" si="436"/>
        <v>0.50478224751904466</v>
      </c>
      <c r="T2172" s="6">
        <f t="shared" si="437"/>
        <v>0.49521775248095495</v>
      </c>
      <c r="V2172" s="1">
        <f t="shared" si="443"/>
        <v>196462.80367155274</v>
      </c>
      <c r="W2172" s="7">
        <f t="shared" si="444"/>
        <v>-3.5111351684258625E-3</v>
      </c>
      <c r="X2172" s="7">
        <f t="shared" si="445"/>
        <v>-2.7117835201841581E-3</v>
      </c>
      <c r="Y2172">
        <f>LN(B2172/B2171)</f>
        <v>-7.1836122200464774E-3</v>
      </c>
      <c r="Z2172">
        <f>LN(C2172/C2171)</f>
        <v>2.4620323460072959E-4</v>
      </c>
    </row>
    <row r="2173" spans="1:26" x14ac:dyDescent="0.3">
      <c r="A2173" s="9">
        <v>43381</v>
      </c>
      <c r="B2173" s="1">
        <v>35353.03</v>
      </c>
      <c r="C2173" s="1">
        <v>52.947364800000003</v>
      </c>
      <c r="D2173" s="6">
        <f t="shared" si="447"/>
        <v>4.5091153108251625E-2</v>
      </c>
      <c r="E2173" s="5">
        <f t="shared" si="446"/>
        <v>2.4617292907169741E-4</v>
      </c>
      <c r="G2173" s="25" t="str">
        <f>IF(VLOOKUP(A2173,Aux!B:C,2,FALSE)=0,"",VLOOKUP(A2173,Aux!B:C,2,FALSE))</f>
        <v/>
      </c>
      <c r="H2173" s="25" t="str">
        <f t="shared" si="435"/>
        <v/>
      </c>
      <c r="L2173" s="13">
        <f t="shared" si="438"/>
        <v>201855.2904897609</v>
      </c>
      <c r="M2173" s="14">
        <f t="shared" si="439"/>
        <v>4491.6875472021629</v>
      </c>
      <c r="N2173" s="14">
        <f t="shared" si="440"/>
        <v>24.057507031328502</v>
      </c>
      <c r="O2173" s="1">
        <f t="shared" si="441"/>
        <v>2.9447316627891391</v>
      </c>
      <c r="P2173" s="1">
        <f t="shared" si="442"/>
        <v>1846.1750465289729</v>
      </c>
      <c r="S2173" s="6">
        <f t="shared" si="436"/>
        <v>0.51574168090390005</v>
      </c>
      <c r="T2173" s="6">
        <f t="shared" si="437"/>
        <v>0.48425831909609957</v>
      </c>
      <c r="V2173" s="1">
        <f t="shared" si="443"/>
        <v>200010.9454109876</v>
      </c>
      <c r="W2173" s="7">
        <f t="shared" si="444"/>
        <v>2.2625230993711758E-2</v>
      </c>
      <c r="X2173" s="7">
        <f t="shared" si="445"/>
        <v>1.7898973006966325E-2</v>
      </c>
      <c r="Y2173">
        <f>LN(B2173/B2172)</f>
        <v>4.4104109467432463E-2</v>
      </c>
      <c r="Z2173">
        <f>LN(C2173/C2172)</f>
        <v>2.4614263348805994E-4</v>
      </c>
    </row>
    <row r="2174" spans="1:26" x14ac:dyDescent="0.3">
      <c r="A2174" s="11">
        <v>43382</v>
      </c>
      <c r="B2174" s="12">
        <v>35340.33</v>
      </c>
      <c r="C2174" s="12">
        <v>52.960399600000002</v>
      </c>
      <c r="D2174" s="16">
        <f t="shared" si="447"/>
        <v>-3.5923370641777197E-4</v>
      </c>
      <c r="E2174" s="15">
        <f t="shared" si="446"/>
        <v>2.4618411226384751E-4</v>
      </c>
      <c r="G2174" s="25" t="str">
        <f>IF(VLOOKUP(A2174,Aux!B:C,2,FALSE)=0,"",VLOOKUP(A2174,Aux!B:C,2,FALSE))</f>
        <v/>
      </c>
      <c r="H2174" s="25" t="str">
        <f t="shared" si="435"/>
        <v/>
      </c>
      <c r="L2174" s="13">
        <f t="shared" si="438"/>
        <v>201841.95692013996</v>
      </c>
      <c r="M2174" s="14">
        <f t="shared" si="439"/>
        <v>-37.398092117413498</v>
      </c>
      <c r="N2174" s="14">
        <f t="shared" si="440"/>
        <v>24.064522496495471</v>
      </c>
      <c r="O2174" s="1">
        <f t="shared" si="441"/>
        <v>2.9447316627891391</v>
      </c>
      <c r="P2174" s="1">
        <f t="shared" si="442"/>
        <v>1846.1750465289729</v>
      </c>
      <c r="S2174" s="6">
        <f t="shared" si="436"/>
        <v>0.51559046648359619</v>
      </c>
      <c r="T2174" s="6">
        <f t="shared" si="437"/>
        <v>0.48440953351640348</v>
      </c>
      <c r="V2174" s="1">
        <f t="shared" si="443"/>
        <v>200010.80664094846</v>
      </c>
      <c r="W2174" s="7">
        <f t="shared" si="444"/>
        <v>-6.6057272925898401E-5</v>
      </c>
      <c r="X2174" s="7">
        <f t="shared" si="445"/>
        <v>-6.9381246602641032E-7</v>
      </c>
      <c r="Y2174">
        <f>LN(B2174/B2173)</f>
        <v>-3.5929824630274949E-4</v>
      </c>
      <c r="Z2174">
        <f>LN(C2174/C2173)</f>
        <v>2.4615381392782589E-4</v>
      </c>
    </row>
    <row r="2175" spans="1:26" x14ac:dyDescent="0.3">
      <c r="A2175" s="9">
        <v>43383</v>
      </c>
      <c r="B2175" s="1">
        <v>34362.86</v>
      </c>
      <c r="C2175" s="1">
        <v>52.973438299999998</v>
      </c>
      <c r="D2175" s="6">
        <f t="shared" si="447"/>
        <v>-2.7658768325027006E-2</v>
      </c>
      <c r="E2175" s="5">
        <f t="shared" si="446"/>
        <v>2.4619716049123497E-4</v>
      </c>
      <c r="G2175" s="25" t="str">
        <f>IF(VLOOKUP(A2175,Aux!B:C,2,FALSE)=0,"",VLOOKUP(A2175,Aux!B:C,2,FALSE))</f>
        <v/>
      </c>
      <c r="H2175" s="25" t="str">
        <f t="shared" si="435"/>
        <v/>
      </c>
      <c r="L2175" s="13">
        <f t="shared" si="438"/>
        <v>198987.64178429262</v>
      </c>
      <c r="M2175" s="14">
        <f t="shared" si="439"/>
        <v>-2878.3868584265033</v>
      </c>
      <c r="N2175" s="14">
        <f t="shared" si="440"/>
        <v>24.071722579169247</v>
      </c>
      <c r="O2175" s="1">
        <f t="shared" si="441"/>
        <v>2.9447316627891391</v>
      </c>
      <c r="P2175" s="1">
        <f t="shared" si="442"/>
        <v>1846.1750465289729</v>
      </c>
      <c r="S2175" s="6">
        <f t="shared" si="436"/>
        <v>0.50852103657614145</v>
      </c>
      <c r="T2175" s="6">
        <f t="shared" si="437"/>
        <v>0.49147896342385827</v>
      </c>
      <c r="V2175" s="1">
        <f t="shared" si="443"/>
        <v>197784.91845789077</v>
      </c>
      <c r="W2175" s="7">
        <f t="shared" si="444"/>
        <v>-1.424227847915469E-2</v>
      </c>
      <c r="X2175" s="7">
        <f t="shared" si="445"/>
        <v>-1.1191228432511411E-2</v>
      </c>
      <c r="Y2175">
        <f>LN(B2175/B2174)</f>
        <v>-2.8048474735325731E-2</v>
      </c>
      <c r="Z2175">
        <f>LN(C2175/C2174)</f>
        <v>2.4616685894365261E-4</v>
      </c>
    </row>
    <row r="2176" spans="1:26" x14ac:dyDescent="0.3">
      <c r="A2176" s="11">
        <v>43384</v>
      </c>
      <c r="B2176" s="12">
        <v>34072.18</v>
      </c>
      <c r="C2176" s="12">
        <v>52.986480700000001</v>
      </c>
      <c r="D2176" s="16">
        <f t="shared" si="447"/>
        <v>-8.4591329126854076E-3</v>
      </c>
      <c r="E2176" s="15">
        <f t="shared" si="446"/>
        <v>2.4620640869366106E-4</v>
      </c>
      <c r="G2176" s="25" t="str">
        <f>IF(VLOOKUP(A2176,Aux!B:C,2,FALSE)=0,"",VLOOKUP(A2176,Aux!B:C,2,FALSE))</f>
        <v/>
      </c>
      <c r="H2176" s="25" t="str">
        <f t="shared" si="435"/>
        <v/>
      </c>
      <c r="L2176" s="13">
        <f t="shared" si="438"/>
        <v>198155.74573797995</v>
      </c>
      <c r="M2176" s="14">
        <f t="shared" si="439"/>
        <v>-855.97459973954778</v>
      </c>
      <c r="N2176" s="14">
        <f t="shared" si="440"/>
        <v>24.078553426855642</v>
      </c>
      <c r="O2176" s="1">
        <f t="shared" si="441"/>
        <v>2.9447316627891391</v>
      </c>
      <c r="P2176" s="1">
        <f t="shared" si="442"/>
        <v>1846.1750465289729</v>
      </c>
      <c r="S2176" s="6">
        <f t="shared" si="436"/>
        <v>0.50633619980376998</v>
      </c>
      <c r="T2176" s="6">
        <f t="shared" si="437"/>
        <v>0.49366380019622969</v>
      </c>
      <c r="V2176" s="1">
        <f t="shared" si="443"/>
        <v>197143.48710626591</v>
      </c>
      <c r="W2176" s="7">
        <f t="shared" si="444"/>
        <v>-4.1894050822685507E-3</v>
      </c>
      <c r="X2176" s="7">
        <f t="shared" si="445"/>
        <v>-3.2483453031287714E-3</v>
      </c>
      <c r="Y2176">
        <f>LN(B2176/B2175)</f>
        <v>-8.4951144361850566E-3</v>
      </c>
      <c r="Z2176">
        <f>LN(C2176/C2175)</f>
        <v>2.461761048697152E-4</v>
      </c>
    </row>
    <row r="2177" spans="1:26" x14ac:dyDescent="0.3">
      <c r="A2177" s="9">
        <v>43388</v>
      </c>
      <c r="B2177" s="1">
        <v>34242.18</v>
      </c>
      <c r="C2177" s="1">
        <v>52.999527</v>
      </c>
      <c r="D2177" s="6">
        <f t="shared" si="447"/>
        <v>4.9894077807759452E-3</v>
      </c>
      <c r="E2177" s="5">
        <f t="shared" si="446"/>
        <v>2.4621940969926648E-4</v>
      </c>
      <c r="G2177" s="25" t="str">
        <f>IF(VLOOKUP(A2177,Aux!B:C,2,FALSE)=0,"",VLOOKUP(A2177,Aux!B:C,2,FALSE))</f>
        <v/>
      </c>
      <c r="H2177" s="25" t="str">
        <f t="shared" si="435"/>
        <v/>
      </c>
      <c r="L2177" s="13">
        <f t="shared" si="438"/>
        <v>198680.43587416364</v>
      </c>
      <c r="M2177" s="14">
        <f t="shared" si="439"/>
        <v>500.60438267415367</v>
      </c>
      <c r="N2177" s="14">
        <f t="shared" si="440"/>
        <v>24.085753509529422</v>
      </c>
      <c r="O2177" s="1">
        <f t="shared" si="441"/>
        <v>2.9447316627891391</v>
      </c>
      <c r="P2177" s="1">
        <f t="shared" si="442"/>
        <v>1846.1750465289729</v>
      </c>
      <c r="S2177" s="6">
        <f t="shared" si="436"/>
        <v>0.5075186754310792</v>
      </c>
      <c r="T2177" s="6">
        <f t="shared" si="437"/>
        <v>0.49248132456892035</v>
      </c>
      <c r="V2177" s="1">
        <f t="shared" si="443"/>
        <v>197564.86935413032</v>
      </c>
      <c r="W2177" s="7">
        <f t="shared" si="444"/>
        <v>2.6443679596018493E-3</v>
      </c>
      <c r="X2177" s="7">
        <f t="shared" si="445"/>
        <v>2.1351582810654468E-3</v>
      </c>
      <c r="Y2177">
        <f>LN(B2177/B2176)</f>
        <v>4.9770019338819501E-3</v>
      </c>
      <c r="Z2177">
        <f>LN(C2177/C2176)</f>
        <v>2.4618910267509316E-4</v>
      </c>
    </row>
    <row r="2178" spans="1:26" x14ac:dyDescent="0.3">
      <c r="A2178" s="11">
        <v>43389</v>
      </c>
      <c r="B2178" s="12">
        <v>35194.9</v>
      </c>
      <c r="C2178" s="12">
        <v>53.012577100000001</v>
      </c>
      <c r="D2178" s="16">
        <f t="shared" si="447"/>
        <v>2.7822994914459276E-2</v>
      </c>
      <c r="E2178" s="15">
        <f t="shared" si="446"/>
        <v>2.462304993777753E-4</v>
      </c>
      <c r="G2178" s="25" t="str">
        <f>IF(VLOOKUP(A2178,Aux!B:C,2,FALSE)=0,"",VLOOKUP(A2178,Aux!B:C,2,FALSE))</f>
        <v/>
      </c>
      <c r="H2178" s="25" t="str">
        <f t="shared" si="435"/>
        <v/>
      </c>
      <c r="L2178" s="13">
        <f t="shared" si="438"/>
        <v>201510.03339291082</v>
      </c>
      <c r="M2178" s="14">
        <f t="shared" si="439"/>
        <v>2805.5047497724722</v>
      </c>
      <c r="N2178" s="14">
        <f t="shared" si="440"/>
        <v>24.092768974709507</v>
      </c>
      <c r="O2178" s="1">
        <f t="shared" si="441"/>
        <v>2.9447316627891391</v>
      </c>
      <c r="P2178" s="1">
        <f t="shared" si="442"/>
        <v>1846.1750465289729</v>
      </c>
      <c r="S2178" s="6">
        <f t="shared" si="436"/>
        <v>0.51431452148398848</v>
      </c>
      <c r="T2178" s="6">
        <f t="shared" si="437"/>
        <v>0.48568547851601107</v>
      </c>
      <c r="V2178" s="1">
        <f t="shared" si="443"/>
        <v>199792.02252279018</v>
      </c>
      <c r="W2178" s="7">
        <f t="shared" si="444"/>
        <v>1.4141489573313938E-2</v>
      </c>
      <c r="X2178" s="7">
        <f t="shared" si="445"/>
        <v>1.1209955265511044E-2</v>
      </c>
      <c r="Y2178">
        <f>LN(B2178/B2177)</f>
        <v>2.7442968272266853E-2</v>
      </c>
      <c r="Z2178">
        <f>LN(C2178/C2177)</f>
        <v>2.4620018962371855E-4</v>
      </c>
    </row>
    <row r="2179" spans="1:26" x14ac:dyDescent="0.3">
      <c r="A2179" s="9">
        <v>43390</v>
      </c>
      <c r="B2179" s="1">
        <v>35225.39</v>
      </c>
      <c r="C2179" s="1">
        <v>53.025627100000001</v>
      </c>
      <c r="D2179" s="6">
        <f t="shared" si="447"/>
        <v>8.6631869958431196E-4</v>
      </c>
      <c r="E2179" s="5">
        <f t="shared" si="446"/>
        <v>2.461679984993026E-4</v>
      </c>
      <c r="G2179" s="25" t="str">
        <f>IF(VLOOKUP(A2179,Aux!B:C,2,FALSE)=0,"",VLOOKUP(A2179,Aux!B:C,2,FALSE))</f>
        <v/>
      </c>
      <c r="H2179" s="25" t="str">
        <f t="shared" ref="H2179:H2242" si="448">IF(ISNUMBER(G2179),1-G2179,"")</f>
        <v/>
      </c>
      <c r="L2179" s="13">
        <f t="shared" si="438"/>
        <v>201623.91084566645</v>
      </c>
      <c r="M2179" s="14">
        <f t="shared" si="439"/>
        <v>89.784868398434853</v>
      </c>
      <c r="N2179" s="14">
        <f t="shared" si="440"/>
        <v>24.092584357202696</v>
      </c>
      <c r="O2179" s="1">
        <f t="shared" si="441"/>
        <v>2.9447316627891391</v>
      </c>
      <c r="P2179" s="1">
        <f t="shared" si="442"/>
        <v>1846.1750465289729</v>
      </c>
      <c r="S2179" s="6">
        <f t="shared" ref="S2179:S2242" si="449">O2179*B2179/L2179</f>
        <v>0.51446934459324023</v>
      </c>
      <c r="T2179" s="6">
        <f t="shared" ref="T2179:T2242" si="450">P2179*C2179/L2179</f>
        <v>0.48553065540675944</v>
      </c>
      <c r="V2179" s="1">
        <f t="shared" si="443"/>
        <v>199891.55859795876</v>
      </c>
      <c r="W2179" s="7">
        <f t="shared" si="444"/>
        <v>5.649608891143287E-4</v>
      </c>
      <c r="X2179" s="7">
        <f t="shared" si="445"/>
        <v>4.9807438647939974E-4</v>
      </c>
      <c r="Y2179">
        <f>LN(B2179/B2178)</f>
        <v>8.6594366212536646E-4</v>
      </c>
      <c r="Z2179">
        <f>LN(C2179/C2178)</f>
        <v>2.4613770412912768E-4</v>
      </c>
    </row>
    <row r="2180" spans="1:26" x14ac:dyDescent="0.3">
      <c r="A2180" s="11">
        <v>43391</v>
      </c>
      <c r="B2180" s="12">
        <v>34504.71</v>
      </c>
      <c r="C2180" s="12">
        <v>53.038680999999997</v>
      </c>
      <c r="D2180" s="16">
        <f t="shared" si="447"/>
        <v>-2.0459106343464151E-2</v>
      </c>
      <c r="E2180" s="15">
        <f t="shared" si="446"/>
        <v>2.4618096407191814E-4</v>
      </c>
      <c r="G2180" s="25" t="str">
        <f>IF(VLOOKUP(A2180,Aux!B:C,2,FALSE)=0,"",VLOOKUP(A2180,Aux!B:C,2,FALSE))</f>
        <v/>
      </c>
      <c r="H2180" s="25" t="str">
        <f t="shared" si="448"/>
        <v/>
      </c>
      <c r="L2180" s="13">
        <f t="shared" ref="L2180:L2243" si="451">L2179+M2180+N2180</f>
        <v>199525.80141536743</v>
      </c>
      <c r="M2180" s="14">
        <f t="shared" ref="M2180:M2243" si="452">O2179*(B2180-B2179)</f>
        <v>-2122.2092147388776</v>
      </c>
      <c r="N2180" s="14">
        <f t="shared" ref="N2180:N2243" si="453">P2179*(C2180-C2179)</f>
        <v>24.099784439876476</v>
      </c>
      <c r="O2180" s="1">
        <f t="shared" ref="O2180:O2243" si="454">IF(ISNUMBER(G2180),L2180*G2180/B2180,O2179)</f>
        <v>2.9447316627891391</v>
      </c>
      <c r="P2180" s="1">
        <f t="shared" ref="P2180:P2243" si="455">IF(ISNUMBER(H2180),L2180*H2180/C2180,P2179)</f>
        <v>1846.1750465289729</v>
      </c>
      <c r="S2180" s="6">
        <f t="shared" si="449"/>
        <v>0.50924297174396049</v>
      </c>
      <c r="T2180" s="6">
        <f t="shared" si="450"/>
        <v>0.49075702825603923</v>
      </c>
      <c r="V2180" s="1">
        <f t="shared" ref="V2180:V2243" si="456">$O$2*B2180+$P$2*C2180</f>
        <v>198258.12793187675</v>
      </c>
      <c r="W2180" s="7">
        <f t="shared" ref="W2180:W2243" si="457">LN(L2180/L2179)</f>
        <v>-1.0460576179094318E-2</v>
      </c>
      <c r="X2180" s="7">
        <f t="shared" ref="X2180:X2243" si="458">LN(V2180/V2179)</f>
        <v>-8.2051544205646119E-3</v>
      </c>
      <c r="Y2180">
        <f>LN(B2180/B2179)</f>
        <v>-2.0671292947297294E-2</v>
      </c>
      <c r="Z2180">
        <f>LN(C2180/C2179)</f>
        <v>2.4615066651073565E-4</v>
      </c>
    </row>
    <row r="2181" spans="1:26" x14ac:dyDescent="0.3">
      <c r="A2181" s="9">
        <v>43392</v>
      </c>
      <c r="B2181" s="1">
        <v>34683.760000000002</v>
      </c>
      <c r="C2181" s="1">
        <v>53.051738700000001</v>
      </c>
      <c r="D2181" s="6">
        <f t="shared" si="447"/>
        <v>5.1891466411397857E-3</v>
      </c>
      <c r="E2181" s="5">
        <f t="shared" ref="E2181:E2244" si="459">C2181/C2180-1</f>
        <v>2.4619201974496185E-4</v>
      </c>
      <c r="G2181" s="25" t="str">
        <f>IF(VLOOKUP(A2181,Aux!B:C,2,FALSE)=0,"",VLOOKUP(A2181,Aux!B:C,2,FALSE))</f>
        <v/>
      </c>
      <c r="H2181" s="25" t="str">
        <f t="shared" si="448"/>
        <v/>
      </c>
      <c r="L2181" s="13">
        <f t="shared" si="451"/>
        <v>200077.16241949491</v>
      </c>
      <c r="M2181" s="14">
        <f t="shared" si="452"/>
        <v>527.25420422240393</v>
      </c>
      <c r="N2181" s="14">
        <f t="shared" si="453"/>
        <v>24.106799905069682</v>
      </c>
      <c r="O2181" s="1">
        <f t="shared" si="454"/>
        <v>2.9447316627891391</v>
      </c>
      <c r="P2181" s="1">
        <f t="shared" si="455"/>
        <v>1846.1750465289729</v>
      </c>
      <c r="S2181" s="6">
        <f t="shared" si="449"/>
        <v>0.51047488389723272</v>
      </c>
      <c r="T2181" s="6">
        <f t="shared" si="450"/>
        <v>0.489525116102767</v>
      </c>
      <c r="V2181" s="1">
        <f t="shared" si="456"/>
        <v>198700.41434962192</v>
      </c>
      <c r="W2181" s="7">
        <f t="shared" si="457"/>
        <v>2.7595458688544836E-3</v>
      </c>
      <c r="X2181" s="7">
        <f t="shared" si="458"/>
        <v>2.2283767882842172E-3</v>
      </c>
      <c r="Y2181">
        <f>LN(B2181/B2180)</f>
        <v>5.1757294156589435E-3</v>
      </c>
      <c r="Z2181">
        <f>LN(C2181/C2180)</f>
        <v>2.461617194626919E-4</v>
      </c>
    </row>
    <row r="2182" spans="1:26" x14ac:dyDescent="0.3">
      <c r="A2182" s="11">
        <v>43395</v>
      </c>
      <c r="B2182" s="12">
        <v>35230.57</v>
      </c>
      <c r="C2182" s="12">
        <v>53.064800300000002</v>
      </c>
      <c r="D2182" s="16">
        <f t="shared" si="447"/>
        <v>1.5765591735152018E-2</v>
      </c>
      <c r="E2182" s="15">
        <f t="shared" si="459"/>
        <v>2.4620493729465842E-4</v>
      </c>
      <c r="G2182" s="25" t="str">
        <f>IF(VLOOKUP(A2182,Aux!B:C,2,FALSE)=0,"",VLOOKUP(A2182,Aux!B:C,2,FALSE))</f>
        <v/>
      </c>
      <c r="H2182" s="25" t="str">
        <f t="shared" si="448"/>
        <v/>
      </c>
      <c r="L2182" s="13">
        <f t="shared" si="451"/>
        <v>201711.48514001237</v>
      </c>
      <c r="M2182" s="14">
        <f t="shared" si="452"/>
        <v>1610.2087205297223</v>
      </c>
      <c r="N2182" s="14">
        <f t="shared" si="453"/>
        <v>24.113999987743458</v>
      </c>
      <c r="O2182" s="1">
        <f t="shared" si="454"/>
        <v>2.9447316627891391</v>
      </c>
      <c r="P2182" s="1">
        <f t="shared" si="455"/>
        <v>1846.1750465289729</v>
      </c>
      <c r="S2182" s="6">
        <f t="shared" si="449"/>
        <v>0.51432160595663545</v>
      </c>
      <c r="T2182" s="6">
        <f t="shared" si="450"/>
        <v>0.48567839404336427</v>
      </c>
      <c r="V2182" s="1">
        <f t="shared" si="456"/>
        <v>199991.14467649726</v>
      </c>
      <c r="W2182" s="7">
        <f t="shared" si="457"/>
        <v>8.1352807955369106E-3</v>
      </c>
      <c r="X2182" s="7">
        <f t="shared" si="458"/>
        <v>6.4748540921113857E-3</v>
      </c>
      <c r="Y2182">
        <f>LN(B2182/B2181)</f>
        <v>1.5642605740965515E-2</v>
      </c>
      <c r="Z2182">
        <f>LN(C2182/C2181)</f>
        <v>2.4617463383289019E-4</v>
      </c>
    </row>
    <row r="2183" spans="1:26" x14ac:dyDescent="0.3">
      <c r="A2183" s="9">
        <v>43396</v>
      </c>
      <c r="B2183" s="1">
        <v>35123.08</v>
      </c>
      <c r="C2183" s="1">
        <v>53.077865600000003</v>
      </c>
      <c r="D2183" s="6">
        <f t="shared" si="447"/>
        <v>-3.0510434545906184E-3</v>
      </c>
      <c r="E2183" s="5">
        <f t="shared" si="459"/>
        <v>2.4621406141434043E-4</v>
      </c>
      <c r="G2183" s="25" t="str">
        <f>IF(VLOOKUP(A2183,Aux!B:C,2,FALSE)=0,"",VLOOKUP(A2183,Aux!B:C,2,FALSE))</f>
        <v/>
      </c>
      <c r="H2183" s="25" t="str">
        <f t="shared" si="448"/>
        <v/>
      </c>
      <c r="L2183" s="13">
        <f t="shared" si="451"/>
        <v>201419.07676441461</v>
      </c>
      <c r="M2183" s="14">
        <f t="shared" si="452"/>
        <v>-316.52920643319857</v>
      </c>
      <c r="N2183" s="14">
        <f t="shared" si="453"/>
        <v>24.120830835416736</v>
      </c>
      <c r="O2183" s="1">
        <f t="shared" si="454"/>
        <v>2.9447316627891391</v>
      </c>
      <c r="P2183" s="1">
        <f t="shared" si="455"/>
        <v>1846.1750465289729</v>
      </c>
      <c r="S2183" s="6">
        <f t="shared" si="449"/>
        <v>0.51349677216348433</v>
      </c>
      <c r="T2183" s="6">
        <f t="shared" si="450"/>
        <v>0.48650322783651534</v>
      </c>
      <c r="V2183" s="1">
        <f t="shared" si="456"/>
        <v>199772.39029322632</v>
      </c>
      <c r="W2183" s="7">
        <f t="shared" si="457"/>
        <v>-1.4506884593290953E-3</v>
      </c>
      <c r="X2183" s="7">
        <f t="shared" si="458"/>
        <v>-1.0944190050850549E-3</v>
      </c>
      <c r="Y2183">
        <f>LN(B2183/B2182)</f>
        <v>-3.0557073766400026E-3</v>
      </c>
      <c r="Z2183">
        <f>LN(C2183/C2182)</f>
        <v>2.461837557066802E-4</v>
      </c>
    </row>
    <row r="2184" spans="1:26" x14ac:dyDescent="0.3">
      <c r="A2184" s="11">
        <v>43397</v>
      </c>
      <c r="B2184" s="12">
        <v>34236.79</v>
      </c>
      <c r="C2184" s="12">
        <v>53.090934799999999</v>
      </c>
      <c r="D2184" s="16">
        <f t="shared" si="447"/>
        <v>-2.5233834845919012E-2</v>
      </c>
      <c r="E2184" s="15">
        <f t="shared" si="459"/>
        <v>2.4622693192832834E-4</v>
      </c>
      <c r="G2184" s="25" t="str">
        <f>IF(VLOOKUP(A2184,Aux!B:C,2,FALSE)=0,"",VLOOKUP(A2184,Aux!B:C,2,FALSE))</f>
        <v/>
      </c>
      <c r="H2184" s="25" t="str">
        <f t="shared" si="448"/>
        <v/>
      </c>
      <c r="L2184" s="13">
        <f t="shared" si="451"/>
        <v>198833.31856991933</v>
      </c>
      <c r="M2184" s="14">
        <f t="shared" si="452"/>
        <v>-2609.8862254133887</v>
      </c>
      <c r="N2184" s="14">
        <f t="shared" si="453"/>
        <v>24.128030918090513</v>
      </c>
      <c r="O2184" s="1">
        <f t="shared" si="454"/>
        <v>2.9447316627891391</v>
      </c>
      <c r="P2184" s="1">
        <f t="shared" si="455"/>
        <v>1846.1750465289729</v>
      </c>
      <c r="S2184" s="6">
        <f t="shared" si="449"/>
        <v>0.5070486187646166</v>
      </c>
      <c r="T2184" s="6">
        <f t="shared" si="450"/>
        <v>0.49295138123538301</v>
      </c>
      <c r="V2184" s="1">
        <f t="shared" si="456"/>
        <v>197756.92579220212</v>
      </c>
      <c r="W2184" s="7">
        <f t="shared" si="457"/>
        <v>-1.29208179557068E-2</v>
      </c>
      <c r="X2184" s="7">
        <f t="shared" si="458"/>
        <v>-1.0140040941309669E-2</v>
      </c>
      <c r="Y2184">
        <f>LN(B2184/B2183)</f>
        <v>-2.5557667359448973E-2</v>
      </c>
      <c r="Z2184">
        <f>LN(C2184/C2183)</f>
        <v>2.4619662305246386E-4</v>
      </c>
    </row>
    <row r="2185" spans="1:26" x14ac:dyDescent="0.3">
      <c r="A2185" s="9">
        <v>43398</v>
      </c>
      <c r="B2185" s="1">
        <v>34648.550000000003</v>
      </c>
      <c r="C2185" s="1">
        <v>53.104003900000002</v>
      </c>
      <c r="D2185" s="6">
        <f t="shared" si="447"/>
        <v>1.2026828449746674E-2</v>
      </c>
      <c r="E2185" s="5">
        <f t="shared" si="459"/>
        <v>2.4616443559022372E-4</v>
      </c>
      <c r="G2185" s="25" t="str">
        <f>IF(VLOOKUP(A2185,Aux!B:C,2,FALSE)=0,"",VLOOKUP(A2185,Aux!B:C,2,FALSE))</f>
        <v/>
      </c>
      <c r="H2185" s="25" t="str">
        <f t="shared" si="448"/>
        <v/>
      </c>
      <c r="L2185" s="13">
        <f t="shared" si="451"/>
        <v>200069.96912569</v>
      </c>
      <c r="M2185" s="14">
        <f t="shared" si="452"/>
        <v>1212.522709470062</v>
      </c>
      <c r="N2185" s="14">
        <f t="shared" si="453"/>
        <v>24.127846300596822</v>
      </c>
      <c r="O2185" s="1">
        <f t="shared" si="454"/>
        <v>2.9447316627891391</v>
      </c>
      <c r="P2185" s="1">
        <f t="shared" si="455"/>
        <v>1846.1750465289729</v>
      </c>
      <c r="S2185" s="6">
        <f t="shared" si="449"/>
        <v>0.50997499874973173</v>
      </c>
      <c r="T2185" s="6">
        <f t="shared" si="450"/>
        <v>0.49002500125026771</v>
      </c>
      <c r="V2185" s="1">
        <f t="shared" si="456"/>
        <v>198736.10782349671</v>
      </c>
      <c r="W2185" s="7">
        <f t="shared" si="457"/>
        <v>6.2002723751115544E-3</v>
      </c>
      <c r="X2185" s="7">
        <f t="shared" si="458"/>
        <v>4.9392243441773991E-3</v>
      </c>
      <c r="Y2185">
        <f>LN(B2185/B2184)</f>
        <v>1.1955080839717958E-2</v>
      </c>
      <c r="Z2185">
        <f>LN(C2185/C2184)</f>
        <v>2.4613414209690083E-4</v>
      </c>
    </row>
    <row r="2186" spans="1:26" x14ac:dyDescent="0.3">
      <c r="A2186" s="11">
        <v>43399</v>
      </c>
      <c r="B2186" s="12">
        <v>35290.589999999997</v>
      </c>
      <c r="C2186" s="12">
        <v>53.117076900000001</v>
      </c>
      <c r="D2186" s="16">
        <f t="shared" si="447"/>
        <v>1.8530068357838658E-2</v>
      </c>
      <c r="E2186" s="15">
        <f t="shared" si="459"/>
        <v>2.4617729436404723E-4</v>
      </c>
      <c r="G2186" s="25" t="str">
        <f>IF(VLOOKUP(A2186,Aux!B:C,2,FALSE)=0,"",VLOOKUP(A2186,Aux!B:C,2,FALSE))</f>
        <v/>
      </c>
      <c r="H2186" s="25" t="str">
        <f t="shared" si="448"/>
        <v/>
      </c>
      <c r="L2186" s="13">
        <f t="shared" si="451"/>
        <v>201984.73968885039</v>
      </c>
      <c r="M2186" s="14">
        <f t="shared" si="452"/>
        <v>1890.6355167771201</v>
      </c>
      <c r="N2186" s="14">
        <f t="shared" si="453"/>
        <v>24.135046383270602</v>
      </c>
      <c r="O2186" s="1">
        <f t="shared" si="454"/>
        <v>2.9447316627891391</v>
      </c>
      <c r="P2186" s="1">
        <f t="shared" si="455"/>
        <v>1846.1750465289729</v>
      </c>
      <c r="S2186" s="6">
        <f t="shared" si="449"/>
        <v>0.51450083769494914</v>
      </c>
      <c r="T2186" s="6">
        <f t="shared" si="450"/>
        <v>0.48549916230505041</v>
      </c>
      <c r="V2186" s="1">
        <f t="shared" si="456"/>
        <v>200246.56259484537</v>
      </c>
      <c r="W2186" s="7">
        <f t="shared" si="457"/>
        <v>9.524997457880862E-3</v>
      </c>
      <c r="X2186" s="7">
        <f t="shared" si="458"/>
        <v>7.5715668842589985E-3</v>
      </c>
      <c r="Y2186">
        <f>LN(B2186/B2185)</f>
        <v>1.8360478446142602E-2</v>
      </c>
      <c r="Z2186">
        <f>LN(C2186/C2185)</f>
        <v>2.4614699770604792E-4</v>
      </c>
    </row>
    <row r="2187" spans="1:26" x14ac:dyDescent="0.3">
      <c r="A2187" s="9">
        <v>43402</v>
      </c>
      <c r="B2187" s="1">
        <v>34529.339999999997</v>
      </c>
      <c r="C2187" s="1">
        <v>53.130157500000003</v>
      </c>
      <c r="D2187" s="6">
        <f t="shared" si="447"/>
        <v>-2.1570906012055913E-2</v>
      </c>
      <c r="E2187" s="5">
        <f t="shared" si="459"/>
        <v>2.4625978618186828E-4</v>
      </c>
      <c r="G2187" s="25" t="str">
        <f>IF(VLOOKUP(A2187,Aux!B:C,2,FALSE)=0,"",VLOOKUP(A2187,Aux!B:C,2,FALSE))</f>
        <v/>
      </c>
      <c r="H2187" s="25" t="str">
        <f t="shared" si="448"/>
        <v/>
      </c>
      <c r="L2187" s="13">
        <f t="shared" si="451"/>
        <v>199767.21178786579</v>
      </c>
      <c r="M2187" s="14">
        <f t="shared" si="452"/>
        <v>-2241.6769782982324</v>
      </c>
      <c r="N2187" s="14">
        <f t="shared" si="453"/>
        <v>24.149077313630773</v>
      </c>
      <c r="O2187" s="1">
        <f t="shared" si="454"/>
        <v>2.9447316627891391</v>
      </c>
      <c r="P2187" s="1">
        <f t="shared" si="455"/>
        <v>1846.1750465289729</v>
      </c>
      <c r="S2187" s="6">
        <f t="shared" si="449"/>
        <v>0.50899063907036879</v>
      </c>
      <c r="T2187" s="6">
        <f t="shared" si="450"/>
        <v>0.49100936092963066</v>
      </c>
      <c r="V2187" s="1">
        <f t="shared" si="456"/>
        <v>198519.59525105386</v>
      </c>
      <c r="W2187" s="7">
        <f t="shared" si="457"/>
        <v>-1.1039400870764552E-2</v>
      </c>
      <c r="X2187" s="7">
        <f t="shared" si="458"/>
        <v>-8.6616083472528822E-3</v>
      </c>
      <c r="Y2187">
        <f>LN(B2187/B2186)</f>
        <v>-2.1806958759441209E-2</v>
      </c>
      <c r="Z2187">
        <f>LN(C2187/C2186)</f>
        <v>2.4622946921785369E-4</v>
      </c>
    </row>
    <row r="2188" spans="1:26" x14ac:dyDescent="0.3">
      <c r="A2188" s="11">
        <v>43403</v>
      </c>
      <c r="B2188" s="12">
        <v>35793.17</v>
      </c>
      <c r="C2188" s="12">
        <v>53.143238099999998</v>
      </c>
      <c r="D2188" s="16">
        <f t="shared" si="447"/>
        <v>3.6601626327059877E-2</v>
      </c>
      <c r="E2188" s="15">
        <f t="shared" si="459"/>
        <v>2.4619915723000929E-4</v>
      </c>
      <c r="G2188" s="25" t="str">
        <f>IF(VLOOKUP(A2188,Aux!B:C,2,FALSE)=0,"",VLOOKUP(A2188,Aux!B:C,2,FALSE))</f>
        <v/>
      </c>
      <c r="H2188" s="25" t="str">
        <f t="shared" si="448"/>
        <v/>
      </c>
      <c r="L2188" s="13">
        <f t="shared" si="451"/>
        <v>203513.00108256223</v>
      </c>
      <c r="M2188" s="14">
        <f t="shared" si="452"/>
        <v>3721.6402173828028</v>
      </c>
      <c r="N2188" s="14">
        <f t="shared" si="453"/>
        <v>24.149077313617656</v>
      </c>
      <c r="O2188" s="1">
        <f t="shared" si="454"/>
        <v>2.9447316627891391</v>
      </c>
      <c r="P2188" s="1">
        <f t="shared" si="455"/>
        <v>1846.1750465289729</v>
      </c>
      <c r="S2188" s="6">
        <f t="shared" si="449"/>
        <v>0.51790932495676079</v>
      </c>
      <c r="T2188" s="6">
        <f t="shared" si="450"/>
        <v>0.4820906750432386</v>
      </c>
      <c r="V2188" s="1">
        <f t="shared" si="456"/>
        <v>201464.55830493983</v>
      </c>
      <c r="W2188" s="7">
        <f t="shared" si="457"/>
        <v>1.8577142643645801E-2</v>
      </c>
      <c r="X2188" s="7">
        <f t="shared" si="458"/>
        <v>1.4725664725816611E-2</v>
      </c>
      <c r="Y2188">
        <f>LN(B2188/B2187)</f>
        <v>3.5947695677370439E-2</v>
      </c>
      <c r="Z2188">
        <f>LN(C2188/C2187)</f>
        <v>2.4616885519095452E-4</v>
      </c>
    </row>
    <row r="2189" spans="1:26" x14ac:dyDescent="0.3">
      <c r="A2189" s="9">
        <v>43404</v>
      </c>
      <c r="B2189" s="1">
        <v>36009.31</v>
      </c>
      <c r="C2189" s="1">
        <v>53.156322500000002</v>
      </c>
      <c r="D2189" s="6">
        <f t="shared" si="447"/>
        <v>6.0385822211332929E-3</v>
      </c>
      <c r="E2189" s="5">
        <f t="shared" si="459"/>
        <v>2.4621006298830572E-4</v>
      </c>
      <c r="G2189" s="25" t="str">
        <f>IF(VLOOKUP(A2189,Aux!B:C,2,FALSE)=0,"",VLOOKUP(A2189,Aux!B:C,2,FALSE))</f>
        <v/>
      </c>
      <c r="H2189" s="25" t="str">
        <f t="shared" si="448"/>
        <v/>
      </c>
      <c r="L2189" s="13">
        <f t="shared" si="451"/>
        <v>204173.63147693628</v>
      </c>
      <c r="M2189" s="14">
        <f t="shared" si="452"/>
        <v>636.47430159524276</v>
      </c>
      <c r="N2189" s="14">
        <f t="shared" si="453"/>
        <v>24.156092778810859</v>
      </c>
      <c r="O2189" s="1">
        <f t="shared" si="454"/>
        <v>2.9447316627891391</v>
      </c>
      <c r="P2189" s="1">
        <f t="shared" si="455"/>
        <v>1846.1750465289729</v>
      </c>
      <c r="S2189" s="6">
        <f t="shared" si="449"/>
        <v>0.51935088064575918</v>
      </c>
      <c r="T2189" s="6">
        <f t="shared" si="450"/>
        <v>0.48064911935424015</v>
      </c>
      <c r="V2189" s="1">
        <f t="shared" si="456"/>
        <v>201992.47238153685</v>
      </c>
      <c r="W2189" s="7">
        <f t="shared" si="457"/>
        <v>3.2408762998118114E-3</v>
      </c>
      <c r="X2189" s="7">
        <f t="shared" si="458"/>
        <v>2.6169546580045782E-3</v>
      </c>
      <c r="Y2189">
        <f>LN(B2189/B2188)</f>
        <v>6.0204230506065532E-3</v>
      </c>
      <c r="Z2189">
        <f>LN(C2189/C2188)</f>
        <v>2.4617975826486389E-4</v>
      </c>
    </row>
    <row r="2190" spans="1:26" x14ac:dyDescent="0.3">
      <c r="A2190" s="11">
        <v>43405</v>
      </c>
      <c r="B2190" s="12">
        <v>36429.839999999997</v>
      </c>
      <c r="C2190" s="12">
        <v>53.169406899999998</v>
      </c>
      <c r="D2190" s="16">
        <f t="shared" si="447"/>
        <v>1.1678368732974898E-2</v>
      </c>
      <c r="E2190" s="15">
        <f t="shared" si="459"/>
        <v>2.4614945851442194E-4</v>
      </c>
      <c r="G2190" s="25" t="str">
        <f>IF(VLOOKUP(A2190,Aux!B:C,2,FALSE)=0,"",VLOOKUP(A2190,Aux!B:C,2,FALSE))</f>
        <v/>
      </c>
      <c r="H2190" s="25" t="str">
        <f t="shared" si="448"/>
        <v/>
      </c>
      <c r="L2190" s="13">
        <f t="shared" si="451"/>
        <v>205436.13557586781</v>
      </c>
      <c r="M2190" s="14">
        <f t="shared" si="452"/>
        <v>1238.3480061527132</v>
      </c>
      <c r="N2190" s="14">
        <f t="shared" si="453"/>
        <v>24.156092778797742</v>
      </c>
      <c r="O2190" s="1">
        <f t="shared" si="454"/>
        <v>2.9447316627891391</v>
      </c>
      <c r="P2190" s="1">
        <f t="shared" si="455"/>
        <v>1846.1750465289729</v>
      </c>
      <c r="S2190" s="6">
        <f t="shared" si="449"/>
        <v>0.52218711677783236</v>
      </c>
      <c r="T2190" s="6">
        <f t="shared" si="450"/>
        <v>0.47781288322216692</v>
      </c>
      <c r="V2190" s="1">
        <f t="shared" si="456"/>
        <v>202991.92133773433</v>
      </c>
      <c r="W2190" s="7">
        <f t="shared" si="457"/>
        <v>6.1644433236082447E-3</v>
      </c>
      <c r="X2190" s="7">
        <f t="shared" si="458"/>
        <v>4.9357506151555307E-3</v>
      </c>
      <c r="Y2190">
        <f>LN(B2190/B2189)</f>
        <v>1.1610702893067712E-2</v>
      </c>
      <c r="Z2190">
        <f>LN(C2190/C2189)</f>
        <v>2.4611916870690299E-4</v>
      </c>
    </row>
    <row r="2191" spans="1:26" x14ac:dyDescent="0.3">
      <c r="A2191" s="9">
        <v>43409</v>
      </c>
      <c r="B2191" s="1">
        <v>36906.36</v>
      </c>
      <c r="C2191" s="1">
        <v>53.182498899999999</v>
      </c>
      <c r="D2191" s="6">
        <f t="shared" si="447"/>
        <v>1.3080485667793296E-2</v>
      </c>
      <c r="E2191" s="5">
        <f t="shared" si="459"/>
        <v>2.462318232103744E-4</v>
      </c>
      <c r="G2191" s="25" t="str">
        <f>IF(VLOOKUP(A2191,Aux!B:C,2,FALSE)=0,"",VLOOKUP(A2191,Aux!B:C,2,FALSE))</f>
        <v/>
      </c>
      <c r="H2191" s="25" t="str">
        <f t="shared" si="448"/>
        <v/>
      </c>
      <c r="L2191" s="13">
        <f t="shared" si="451"/>
        <v>206863.52923152928</v>
      </c>
      <c r="M2191" s="14">
        <f t="shared" si="452"/>
        <v>1403.2235319522927</v>
      </c>
      <c r="N2191" s="14">
        <f t="shared" si="453"/>
        <v>24.170123709157913</v>
      </c>
      <c r="O2191" s="1">
        <f t="shared" si="454"/>
        <v>2.9447316627891391</v>
      </c>
      <c r="P2191" s="1">
        <f t="shared" si="455"/>
        <v>1846.1750465289729</v>
      </c>
      <c r="S2191" s="6">
        <f t="shared" si="449"/>
        <v>0.52536726630365405</v>
      </c>
      <c r="T2191" s="6">
        <f t="shared" si="450"/>
        <v>0.47463273369634512</v>
      </c>
      <c r="V2191" s="1">
        <f t="shared" si="456"/>
        <v>204120.55818467919</v>
      </c>
      <c r="W2191" s="7">
        <f t="shared" si="457"/>
        <v>6.924086921660624E-3</v>
      </c>
      <c r="X2191" s="7">
        <f t="shared" si="458"/>
        <v>5.5446088988065374E-3</v>
      </c>
      <c r="Y2191">
        <f>LN(B2191/B2190)</f>
        <v>1.2995674891973331E-2</v>
      </c>
      <c r="Z2191">
        <f>LN(C2191/C2190)</f>
        <v>2.4620151313042908E-4</v>
      </c>
    </row>
    <row r="2192" spans="1:26" x14ac:dyDescent="0.3">
      <c r="A2192" s="11">
        <v>43410</v>
      </c>
      <c r="B2192" s="12">
        <v>36530.89</v>
      </c>
      <c r="C2192" s="12">
        <v>53.195591</v>
      </c>
      <c r="D2192" s="16">
        <f t="shared" si="447"/>
        <v>-1.0173585257391982E-2</v>
      </c>
      <c r="E2192" s="15">
        <f t="shared" si="459"/>
        <v>2.4617308834273821E-4</v>
      </c>
      <c r="G2192" s="25" t="str">
        <f>IF(VLOOKUP(A2192,Aux!B:C,2,FALSE)=0,"",VLOOKUP(A2192,Aux!B:C,2,FALSE))</f>
        <v/>
      </c>
      <c r="H2192" s="25" t="str">
        <f t="shared" si="448"/>
        <v/>
      </c>
      <c r="L2192" s="13">
        <f t="shared" si="451"/>
        <v>205782.0411424285</v>
      </c>
      <c r="M2192" s="14">
        <f t="shared" si="452"/>
        <v>-1105.6583974274415</v>
      </c>
      <c r="N2192" s="14">
        <f t="shared" si="453"/>
        <v>24.170308326664724</v>
      </c>
      <c r="O2192" s="1">
        <f t="shared" si="454"/>
        <v>2.9447316627891391</v>
      </c>
      <c r="P2192" s="1">
        <f t="shared" si="455"/>
        <v>1846.1750465289729</v>
      </c>
      <c r="S2192" s="6">
        <f t="shared" si="449"/>
        <v>0.5227553767843709</v>
      </c>
      <c r="T2192" s="6">
        <f t="shared" si="450"/>
        <v>0.47724462321562827</v>
      </c>
      <c r="V2192" s="1">
        <f t="shared" si="456"/>
        <v>203283.62452256761</v>
      </c>
      <c r="W2192" s="7">
        <f t="shared" si="457"/>
        <v>-5.2417408205932001E-3</v>
      </c>
      <c r="X2192" s="7">
        <f t="shared" si="458"/>
        <v>-4.1086217323066639E-3</v>
      </c>
      <c r="Y2192">
        <f>LN(B2192/B2191)</f>
        <v>-1.0225689870948821E-2</v>
      </c>
      <c r="Z2192">
        <f>LN(C2192/C2191)</f>
        <v>2.4614279271990217E-4</v>
      </c>
    </row>
    <row r="2193" spans="1:26" x14ac:dyDescent="0.3">
      <c r="A2193" s="9">
        <v>43411</v>
      </c>
      <c r="B2193" s="1">
        <v>36149.26</v>
      </c>
      <c r="C2193" s="1">
        <v>53.208686800000002</v>
      </c>
      <c r="D2193" s="6">
        <f t="shared" si="447"/>
        <v>-1.0446775318093793E-2</v>
      </c>
      <c r="E2193" s="5">
        <f t="shared" si="459"/>
        <v>2.4618205670479121E-4</v>
      </c>
      <c r="G2193" s="25" t="str">
        <f>IF(VLOOKUP(A2193,Aux!B:C,2,FALSE)=0,"",VLOOKUP(A2193,Aux!B:C,2,FALSE))</f>
        <v/>
      </c>
      <c r="H2193" s="25" t="str">
        <f t="shared" si="448"/>
        <v/>
      </c>
      <c r="L2193" s="13">
        <f t="shared" si="451"/>
        <v>204682.42033713261</v>
      </c>
      <c r="M2193" s="14">
        <f t="shared" si="452"/>
        <v>-1123.7979444702114</v>
      </c>
      <c r="N2193" s="14">
        <f t="shared" si="453"/>
        <v>24.177139174337999</v>
      </c>
      <c r="O2193" s="1">
        <f t="shared" si="454"/>
        <v>2.9447316627891391</v>
      </c>
      <c r="P2193" s="1">
        <f t="shared" si="455"/>
        <v>1846.1750465289729</v>
      </c>
      <c r="S2193" s="6">
        <f t="shared" si="449"/>
        <v>0.52007334256192217</v>
      </c>
      <c r="T2193" s="6">
        <f t="shared" si="450"/>
        <v>0.47992665743807705</v>
      </c>
      <c r="V2193" s="1">
        <f t="shared" si="456"/>
        <v>202432.48780236821</v>
      </c>
      <c r="W2193" s="7">
        <f t="shared" si="457"/>
        <v>-5.3579471019416375E-3</v>
      </c>
      <c r="X2193" s="7">
        <f t="shared" si="458"/>
        <v>-4.195731660499428E-3</v>
      </c>
      <c r="Y2193">
        <f>LN(B2193/B2192)</f>
        <v>-1.0501725914762935E-2</v>
      </c>
      <c r="Z2193">
        <f>LN(C2193/C2192)</f>
        <v>2.461517588746889E-4</v>
      </c>
    </row>
    <row r="2194" spans="1:26" x14ac:dyDescent="0.3">
      <c r="A2194" s="11">
        <v>43412</v>
      </c>
      <c r="B2194" s="12">
        <v>35305.339999999997</v>
      </c>
      <c r="C2194" s="12">
        <v>53.2217865</v>
      </c>
      <c r="D2194" s="16">
        <f t="shared" si="447"/>
        <v>-2.3345429477671376E-2</v>
      </c>
      <c r="E2194" s="15">
        <f t="shared" si="459"/>
        <v>2.4619476231846349E-4</v>
      </c>
      <c r="G2194" s="25" t="str">
        <f>IF(VLOOKUP(A2194,Aux!B:C,2,FALSE)=0,"",VLOOKUP(A2194,Aux!B:C,2,FALSE))</f>
        <v/>
      </c>
      <c r="H2194" s="25" t="str">
        <f t="shared" si="448"/>
        <v/>
      </c>
      <c r="L2194" s="13">
        <f t="shared" si="451"/>
        <v>202221.4867315286</v>
      </c>
      <c r="M2194" s="14">
        <f t="shared" si="452"/>
        <v>-2485.1179448610264</v>
      </c>
      <c r="N2194" s="14">
        <f t="shared" si="453"/>
        <v>24.184339257011779</v>
      </c>
      <c r="O2194" s="1">
        <f t="shared" si="454"/>
        <v>2.9447316627891391</v>
      </c>
      <c r="P2194" s="1">
        <f t="shared" si="455"/>
        <v>1846.1750465289729</v>
      </c>
      <c r="S2194" s="6">
        <f t="shared" si="449"/>
        <v>0.51411328362727648</v>
      </c>
      <c r="T2194" s="6">
        <f t="shared" si="450"/>
        <v>0.48588671637272279</v>
      </c>
      <c r="V2194" s="1">
        <f t="shared" si="456"/>
        <v>200514.84060599463</v>
      </c>
      <c r="W2194" s="7">
        <f t="shared" si="457"/>
        <v>-1.2096043161965641E-2</v>
      </c>
      <c r="X2194" s="7">
        <f t="shared" si="458"/>
        <v>-9.5181753976119419E-3</v>
      </c>
      <c r="Y2194">
        <f>LN(B2194/B2193)</f>
        <v>-2.3622250846551663E-2</v>
      </c>
      <c r="Z2194">
        <f>LN(C2194/C2193)</f>
        <v>2.4616446136115625E-4</v>
      </c>
    </row>
    <row r="2195" spans="1:26" x14ac:dyDescent="0.3">
      <c r="A2195" s="9">
        <v>43413</v>
      </c>
      <c r="B2195" s="1">
        <v>35330.49</v>
      </c>
      <c r="C2195" s="1">
        <v>53.23489</v>
      </c>
      <c r="D2195" s="6">
        <f t="shared" si="447"/>
        <v>7.1235682760750763E-4</v>
      </c>
      <c r="E2195" s="5">
        <f t="shared" si="459"/>
        <v>2.462055647078909E-4</v>
      </c>
      <c r="G2195" s="25" t="str">
        <f>IF(VLOOKUP(A2195,Aux!B:C,2,FALSE)=0,"",VLOOKUP(A2195,Aux!B:C,2,FALSE))</f>
        <v/>
      </c>
      <c r="H2195" s="25" t="str">
        <f t="shared" si="448"/>
        <v/>
      </c>
      <c r="L2195" s="13">
        <f t="shared" si="451"/>
        <v>202319.73808756995</v>
      </c>
      <c r="M2195" s="14">
        <f t="shared" si="452"/>
        <v>74.060001319151141</v>
      </c>
      <c r="N2195" s="14">
        <f t="shared" si="453"/>
        <v>24.191354722191864</v>
      </c>
      <c r="O2195" s="1">
        <f t="shared" si="454"/>
        <v>2.9447316627891391</v>
      </c>
      <c r="P2195" s="1">
        <f t="shared" si="455"/>
        <v>1846.1750465289729</v>
      </c>
      <c r="S2195" s="6">
        <f t="shared" si="449"/>
        <v>0.51422967204427672</v>
      </c>
      <c r="T2195" s="6">
        <f t="shared" si="450"/>
        <v>0.48577032795572261</v>
      </c>
      <c r="V2195" s="1">
        <f t="shared" si="456"/>
        <v>200602.17680095573</v>
      </c>
      <c r="W2195" s="7">
        <f t="shared" si="457"/>
        <v>4.8574212933229281E-4</v>
      </c>
      <c r="X2195" s="7">
        <f t="shared" si="458"/>
        <v>4.3546492694732883E-4</v>
      </c>
      <c r="Y2195">
        <f>LN(B2195/B2194)</f>
        <v>7.1210322191393944E-4</v>
      </c>
      <c r="Z2195">
        <f>LN(C2195/C2194)</f>
        <v>2.4617526109168826E-4</v>
      </c>
    </row>
    <row r="2196" spans="1:26" x14ac:dyDescent="0.3">
      <c r="A2196" s="11">
        <v>43416</v>
      </c>
      <c r="B2196" s="12">
        <v>35301.870000000003</v>
      </c>
      <c r="C2196" s="12">
        <v>53.247997300000002</v>
      </c>
      <c r="D2196" s="16">
        <f t="shared" si="447"/>
        <v>-8.1006518732107402E-4</v>
      </c>
      <c r="E2196" s="15">
        <f t="shared" si="459"/>
        <v>2.4621634420585181E-4</v>
      </c>
      <c r="G2196" s="25" t="str">
        <f>IF(VLOOKUP(A2196,Aux!B:C,2,FALSE)=0,"",VLOOKUP(A2196,Aux!B:C,2,FALSE))</f>
        <v/>
      </c>
      <c r="H2196" s="25" t="str">
        <f t="shared" si="448"/>
        <v/>
      </c>
      <c r="L2196" s="13">
        <f t="shared" si="451"/>
        <v>202259.65823756831</v>
      </c>
      <c r="M2196" s="14">
        <f t="shared" si="452"/>
        <v>-84.278220189011449</v>
      </c>
      <c r="N2196" s="14">
        <f t="shared" si="453"/>
        <v>24.198370187371953</v>
      </c>
      <c r="O2196" s="1">
        <f t="shared" si="454"/>
        <v>2.9447316627891391</v>
      </c>
      <c r="P2196" s="1">
        <f t="shared" si="455"/>
        <v>1846.1750465289729</v>
      </c>
      <c r="S2196" s="6">
        <f t="shared" si="449"/>
        <v>0.51396573716427463</v>
      </c>
      <c r="T2196" s="6">
        <f t="shared" si="450"/>
        <v>0.48603426283572465</v>
      </c>
      <c r="V2196" s="1">
        <f t="shared" si="456"/>
        <v>200565.47222613549</v>
      </c>
      <c r="W2196" s="7">
        <f t="shared" si="457"/>
        <v>-2.9699906119283134E-4</v>
      </c>
      <c r="X2196" s="7">
        <f t="shared" si="458"/>
        <v>-1.8298870814570094E-4</v>
      </c>
      <c r="Y2196">
        <f>LN(B2196/B2195)</f>
        <v>-8.1039346742242289E-4</v>
      </c>
      <c r="Z2196">
        <f>LN(C2196/C2195)</f>
        <v>2.4618603793627198E-4</v>
      </c>
    </row>
    <row r="2197" spans="1:26" x14ac:dyDescent="0.3">
      <c r="A2197" s="9">
        <v>43417</v>
      </c>
      <c r="B2197" s="1">
        <v>35083.18</v>
      </c>
      <c r="C2197" s="1">
        <v>53.261108399999998</v>
      </c>
      <c r="D2197" s="6">
        <f t="shared" si="447"/>
        <v>-6.1948559665536695E-3</v>
      </c>
      <c r="E2197" s="5">
        <f t="shared" si="459"/>
        <v>2.4622710082655708E-4</v>
      </c>
      <c r="G2197" s="25" t="str">
        <f>IF(VLOOKUP(A2197,Aux!B:C,2,FALSE)=0,"",VLOOKUP(A2197,Aux!B:C,2,FALSE))</f>
        <v/>
      </c>
      <c r="H2197" s="25" t="str">
        <f t="shared" si="448"/>
        <v/>
      </c>
      <c r="L2197" s="13">
        <f t="shared" si="451"/>
        <v>201639.88025588548</v>
      </c>
      <c r="M2197" s="14">
        <f t="shared" si="452"/>
        <v>-643.98336733536371</v>
      </c>
      <c r="N2197" s="14">
        <f t="shared" si="453"/>
        <v>24.205385652538919</v>
      </c>
      <c r="O2197" s="1">
        <f t="shared" si="454"/>
        <v>2.9447316627891391</v>
      </c>
      <c r="P2197" s="1">
        <f t="shared" si="455"/>
        <v>1846.1750465289729</v>
      </c>
      <c r="S2197" s="6">
        <f t="shared" si="449"/>
        <v>0.51235177707022683</v>
      </c>
      <c r="T2197" s="6">
        <f t="shared" si="450"/>
        <v>0.48764822292977245</v>
      </c>
      <c r="V2197" s="1">
        <f t="shared" si="456"/>
        <v>200090.27801373444</v>
      </c>
      <c r="W2197" s="7">
        <f t="shared" si="457"/>
        <v>-3.0689733909962011E-3</v>
      </c>
      <c r="X2197" s="7">
        <f t="shared" si="458"/>
        <v>-2.3720834403814259E-3</v>
      </c>
      <c r="Y2197">
        <f>LN(B2197/B2196)</f>
        <v>-6.2141237018889812E-3</v>
      </c>
      <c r="Z2197">
        <f>LN(C2197/C2196)</f>
        <v>2.461967919091155E-4</v>
      </c>
    </row>
    <row r="2198" spans="1:26" x14ac:dyDescent="0.3">
      <c r="A2198" s="11">
        <v>43418</v>
      </c>
      <c r="B2198" s="12">
        <v>35503.51</v>
      </c>
      <c r="C2198" s="12">
        <v>53.274219500000001</v>
      </c>
      <c r="D2198" s="16">
        <f t="shared" si="447"/>
        <v>1.1980954976145375E-2</v>
      </c>
      <c r="E2198" s="15">
        <f t="shared" si="459"/>
        <v>2.4616648796604856E-4</v>
      </c>
      <c r="G2198" s="25" t="str">
        <f>IF(VLOOKUP(A2198,Aux!B:C,2,FALSE)=0,"",VLOOKUP(A2198,Aux!B:C,2,FALSE))</f>
        <v/>
      </c>
      <c r="H2198" s="25" t="str">
        <f t="shared" si="448"/>
        <v/>
      </c>
      <c r="L2198" s="13">
        <f t="shared" si="451"/>
        <v>202901.84470135818</v>
      </c>
      <c r="M2198" s="14">
        <f t="shared" si="452"/>
        <v>1237.7590598201639</v>
      </c>
      <c r="N2198" s="14">
        <f t="shared" si="453"/>
        <v>24.205385652552039</v>
      </c>
      <c r="O2198" s="1">
        <f t="shared" si="454"/>
        <v>2.9447316627891391</v>
      </c>
      <c r="P2198" s="1">
        <f t="shared" si="455"/>
        <v>1846.1750465289729</v>
      </c>
      <c r="S2198" s="6">
        <f t="shared" si="449"/>
        <v>0.51526544862630819</v>
      </c>
      <c r="T2198" s="6">
        <f t="shared" si="450"/>
        <v>0.48473455137369115</v>
      </c>
      <c r="V2198" s="1">
        <f t="shared" si="456"/>
        <v>201089.3252943726</v>
      </c>
      <c r="W2198" s="7">
        <f t="shared" si="457"/>
        <v>6.2390031046482075E-3</v>
      </c>
      <c r="X2198" s="7">
        <f t="shared" si="458"/>
        <v>4.9805590194206542E-3</v>
      </c>
      <c r="Y2198">
        <f>LN(B2198/B2197)</f>
        <v>1.1909751494658319E-2</v>
      </c>
      <c r="Z2198">
        <f>LN(C2198/C2197)</f>
        <v>2.4613619396762597E-4</v>
      </c>
    </row>
    <row r="2199" spans="1:26" x14ac:dyDescent="0.3">
      <c r="A2199" s="9">
        <v>43420</v>
      </c>
      <c r="B2199" s="1">
        <v>36528.57</v>
      </c>
      <c r="C2199" s="1">
        <v>53.287338300000002</v>
      </c>
      <c r="D2199" s="6">
        <f t="shared" si="447"/>
        <v>2.887207490188981E-2</v>
      </c>
      <c r="E2199" s="5">
        <f t="shared" si="459"/>
        <v>2.4625044014014996E-4</v>
      </c>
      <c r="G2199" s="25" t="str">
        <f>IF(VLOOKUP(A2199,Aux!B:C,2,FALSE)=0,"",VLOOKUP(A2199,Aux!B:C,2,FALSE))</f>
        <v/>
      </c>
      <c r="H2199" s="25" t="str">
        <f t="shared" si="448"/>
        <v/>
      </c>
      <c r="L2199" s="13">
        <f t="shared" si="451"/>
        <v>205944.5909408172</v>
      </c>
      <c r="M2199" s="14">
        <f t="shared" si="452"/>
        <v>3018.5266382586283</v>
      </c>
      <c r="N2199" s="14">
        <f t="shared" si="453"/>
        <v>24.219601200405904</v>
      </c>
      <c r="O2199" s="1">
        <f t="shared" si="454"/>
        <v>2.9447316627891391</v>
      </c>
      <c r="P2199" s="1">
        <f t="shared" si="455"/>
        <v>1846.1750465289729</v>
      </c>
      <c r="S2199" s="6">
        <f t="shared" si="449"/>
        <v>0.52230959882952788</v>
      </c>
      <c r="T2199" s="6">
        <f t="shared" si="450"/>
        <v>0.47769040117047151</v>
      </c>
      <c r="V2199" s="1">
        <f t="shared" si="456"/>
        <v>203483.52306449928</v>
      </c>
      <c r="W2199" s="7">
        <f t="shared" si="457"/>
        <v>1.4884818125686601E-2</v>
      </c>
      <c r="X2199" s="7">
        <f t="shared" si="458"/>
        <v>1.183582007228739E-2</v>
      </c>
      <c r="Y2199">
        <f>LN(B2199/B2198)</f>
        <v>2.8463129300326462E-2</v>
      </c>
      <c r="Z2199">
        <f>LN(C2199/C2198)</f>
        <v>2.4622012547707931E-4</v>
      </c>
    </row>
    <row r="2200" spans="1:26" x14ac:dyDescent="0.3">
      <c r="A2200" s="11">
        <v>43423</v>
      </c>
      <c r="B2200" s="12">
        <v>36282.79</v>
      </c>
      <c r="C2200" s="12">
        <v>53.300457000000002</v>
      </c>
      <c r="D2200" s="16">
        <f t="shared" si="447"/>
        <v>-6.7284320191017821E-3</v>
      </c>
      <c r="E2200" s="15">
        <f t="shared" si="459"/>
        <v>2.461879391713051E-4</v>
      </c>
      <c r="G2200" s="25" t="str">
        <f>IF(VLOOKUP(A2200,Aux!B:C,2,FALSE)=0,"",VLOOKUP(A2200,Aux!B:C,2,FALSE))</f>
        <v/>
      </c>
      <c r="H2200" s="25" t="str">
        <f t="shared" si="448"/>
        <v/>
      </c>
      <c r="L2200" s="13">
        <f t="shared" si="451"/>
        <v>205245.05420931979</v>
      </c>
      <c r="M2200" s="14">
        <f t="shared" si="452"/>
        <v>-723.75614808031116</v>
      </c>
      <c r="N2200" s="14">
        <f t="shared" si="453"/>
        <v>24.219416582899093</v>
      </c>
      <c r="O2200" s="1">
        <f t="shared" si="454"/>
        <v>2.9447316627891391</v>
      </c>
      <c r="P2200" s="1">
        <f t="shared" si="455"/>
        <v>1846.1750465289729</v>
      </c>
      <c r="S2200" s="6">
        <f t="shared" si="449"/>
        <v>0.52056348416739395</v>
      </c>
      <c r="T2200" s="6">
        <f t="shared" si="450"/>
        <v>0.47943651583260549</v>
      </c>
      <c r="V2200" s="1">
        <f t="shared" si="456"/>
        <v>202945.84827669169</v>
      </c>
      <c r="W2200" s="7">
        <f t="shared" si="457"/>
        <v>-3.402504973695313E-3</v>
      </c>
      <c r="X2200" s="7">
        <f t="shared" si="458"/>
        <v>-2.6458476645019311E-3</v>
      </c>
      <c r="Y2200">
        <f>LN(B2200/B2199)</f>
        <v>-6.7511699690475926E-3</v>
      </c>
      <c r="Z2200">
        <f>LN(C2200/C2199)</f>
        <v>2.4615763989338426E-4</v>
      </c>
    </row>
    <row r="2201" spans="1:26" x14ac:dyDescent="0.3">
      <c r="A2201" s="9">
        <v>43425</v>
      </c>
      <c r="B2201" s="1">
        <v>36041.93</v>
      </c>
      <c r="C2201" s="1">
        <v>53.3267059</v>
      </c>
      <c r="D2201" s="6">
        <f t="shared" si="447"/>
        <v>-6.6384090087889813E-3</v>
      </c>
      <c r="E2201" s="5">
        <f t="shared" si="459"/>
        <v>4.9247044917444249E-4</v>
      </c>
      <c r="G2201" s="25" t="str">
        <f>IF(VLOOKUP(A2201,Aux!B:C,2,FALSE)=0,"",VLOOKUP(A2201,Aux!B:C,2,FALSE))</f>
        <v/>
      </c>
      <c r="H2201" s="25" t="str">
        <f t="shared" si="448"/>
        <v/>
      </c>
      <c r="L2201" s="13">
        <f t="shared" si="451"/>
        <v>204584.24620519922</v>
      </c>
      <c r="M2201" s="14">
        <f t="shared" si="452"/>
        <v>-709.2680682993938</v>
      </c>
      <c r="N2201" s="14">
        <f t="shared" si="453"/>
        <v>48.460064178832134</v>
      </c>
      <c r="O2201" s="1">
        <f t="shared" si="454"/>
        <v>2.9447316627891391</v>
      </c>
      <c r="P2201" s="1">
        <f t="shared" si="455"/>
        <v>1846.1750465289729</v>
      </c>
      <c r="S2201" s="6">
        <f t="shared" si="449"/>
        <v>0.51877803119100829</v>
      </c>
      <c r="T2201" s="6">
        <f t="shared" si="450"/>
        <v>0.48122196880899115</v>
      </c>
      <c r="V2201" s="1">
        <f t="shared" si="456"/>
        <v>202448.89809763266</v>
      </c>
      <c r="W2201" s="7">
        <f t="shared" si="457"/>
        <v>-3.2247990864266583E-3</v>
      </c>
      <c r="X2201" s="7">
        <f t="shared" si="458"/>
        <v>-2.4516865717895478E-3</v>
      </c>
      <c r="Y2201">
        <f>LN(B2201/B2200)</f>
        <v>-6.6605412488252875E-3</v>
      </c>
      <c r="Z2201">
        <f>LN(C2201/C2200)</f>
        <v>4.9234922540057212E-4</v>
      </c>
    </row>
    <row r="2202" spans="1:26" x14ac:dyDescent="0.3">
      <c r="A2202" s="11">
        <v>43426</v>
      </c>
      <c r="B2202" s="12">
        <v>36148.269999999997</v>
      </c>
      <c r="C2202" s="12">
        <v>53.339832299999998</v>
      </c>
      <c r="D2202" s="16">
        <f t="shared" si="447"/>
        <v>2.9504524313763714E-3</v>
      </c>
      <c r="E2202" s="15">
        <f t="shared" si="459"/>
        <v>2.4615058774890564E-4</v>
      </c>
      <c r="G2202" s="25" t="str">
        <f>IF(VLOOKUP(A2202,Aux!B:C,2,FALSE)=0,"",VLOOKUP(A2202,Aux!B:C,2,FALSE))</f>
        <v/>
      </c>
      <c r="H2202" s="25" t="str">
        <f t="shared" si="448"/>
        <v/>
      </c>
      <c r="L2202" s="13">
        <f t="shared" si="451"/>
        <v>204921.62260235095</v>
      </c>
      <c r="M2202" s="14">
        <f t="shared" si="452"/>
        <v>313.14276502098676</v>
      </c>
      <c r="N2202" s="14">
        <f t="shared" si="453"/>
        <v>24.233632130752959</v>
      </c>
      <c r="O2202" s="1">
        <f t="shared" si="454"/>
        <v>2.9447316627891391</v>
      </c>
      <c r="P2202" s="1">
        <f t="shared" si="455"/>
        <v>1846.1750465289729</v>
      </c>
      <c r="S2202" s="6">
        <f t="shared" si="449"/>
        <v>0.51945204157694158</v>
      </c>
      <c r="T2202" s="6">
        <f t="shared" si="450"/>
        <v>0.48054795842305786</v>
      </c>
      <c r="V2202" s="1">
        <f t="shared" si="456"/>
        <v>202723.59369296848</v>
      </c>
      <c r="W2202" s="7">
        <f t="shared" si="457"/>
        <v>1.6477247296380587E-3</v>
      </c>
      <c r="X2202" s="7">
        <f t="shared" si="458"/>
        <v>1.3559441620008249E-3</v>
      </c>
      <c r="Y2202">
        <f>LN(B2202/B2201)</f>
        <v>2.9461083890972985E-3</v>
      </c>
      <c r="Z2202">
        <f>LN(C2202/C2201)</f>
        <v>2.4612029766349401E-4</v>
      </c>
    </row>
    <row r="2203" spans="1:26" x14ac:dyDescent="0.3">
      <c r="A2203" s="9">
        <v>43427</v>
      </c>
      <c r="B2203" s="1">
        <v>35666.480000000003</v>
      </c>
      <c r="C2203" s="1">
        <v>53.352966299999999</v>
      </c>
      <c r="D2203" s="6">
        <f t="shared" ref="D2203:D2266" si="460">B2203/B2202-1</f>
        <v>-1.3328162039289659E-2</v>
      </c>
      <c r="E2203" s="5">
        <f t="shared" si="459"/>
        <v>2.462324951855166E-4</v>
      </c>
      <c r="G2203" s="25" t="str">
        <f>IF(VLOOKUP(A2203,Aux!B:C,2,FALSE)=0,"",VLOOKUP(A2203,Aux!B:C,2,FALSE))</f>
        <v/>
      </c>
      <c r="H2203" s="25" t="str">
        <f t="shared" si="448"/>
        <v/>
      </c>
      <c r="L2203" s="13">
        <f t="shared" si="451"/>
        <v>203527.12799759689</v>
      </c>
      <c r="M2203" s="14">
        <f t="shared" si="452"/>
        <v>-1418.7422678151604</v>
      </c>
      <c r="N2203" s="14">
        <f t="shared" si="453"/>
        <v>24.24766306111313</v>
      </c>
      <c r="O2203" s="1">
        <f t="shared" si="454"/>
        <v>2.9447316627891391</v>
      </c>
      <c r="P2203" s="1">
        <f t="shared" si="455"/>
        <v>1846.1750465289729</v>
      </c>
      <c r="S2203" s="6">
        <f t="shared" si="449"/>
        <v>0.51604036272489284</v>
      </c>
      <c r="T2203" s="6">
        <f t="shared" si="450"/>
        <v>0.48395963727510677</v>
      </c>
      <c r="V2203" s="1">
        <f t="shared" si="456"/>
        <v>201641.46980761355</v>
      </c>
      <c r="W2203" s="7">
        <f t="shared" si="457"/>
        <v>-6.8282741515659912E-3</v>
      </c>
      <c r="X2203" s="7">
        <f t="shared" si="458"/>
        <v>-5.3522253343269181E-3</v>
      </c>
      <c r="Y2203">
        <f>LN(B2203/B2202)</f>
        <v>-1.3417779169479989E-2</v>
      </c>
      <c r="Z2203">
        <f>LN(C2203/C2202)</f>
        <v>2.4620218494015011E-4</v>
      </c>
    </row>
    <row r="2204" spans="1:26" x14ac:dyDescent="0.3">
      <c r="A2204" s="11">
        <v>43430</v>
      </c>
      <c r="B2204" s="12">
        <v>35383.480000000003</v>
      </c>
      <c r="C2204" s="12">
        <v>53.366100299999999</v>
      </c>
      <c r="D2204" s="16">
        <f t="shared" si="460"/>
        <v>-7.9346209662405354E-3</v>
      </c>
      <c r="E2204" s="15">
        <f t="shared" si="459"/>
        <v>2.4617187966935461E-4</v>
      </c>
      <c r="G2204" s="25" t="str">
        <f>IF(VLOOKUP(A2204,Aux!B:C,2,FALSE)=0,"",VLOOKUP(A2204,Aux!B:C,2,FALSE))</f>
        <v/>
      </c>
      <c r="H2204" s="25" t="str">
        <f t="shared" si="448"/>
        <v/>
      </c>
      <c r="L2204" s="13">
        <f t="shared" si="451"/>
        <v>202718.01660008868</v>
      </c>
      <c r="M2204" s="14">
        <f t="shared" si="452"/>
        <v>-833.3590605693264</v>
      </c>
      <c r="N2204" s="14">
        <f t="shared" si="453"/>
        <v>24.24766306111313</v>
      </c>
      <c r="O2204" s="1">
        <f t="shared" si="454"/>
        <v>2.9447316627891391</v>
      </c>
      <c r="P2204" s="1">
        <f t="shared" si="455"/>
        <v>1846.1750465289729</v>
      </c>
      <c r="S2204" s="6">
        <f t="shared" si="449"/>
        <v>0.51398911474758713</v>
      </c>
      <c r="T2204" s="6">
        <f t="shared" si="450"/>
        <v>0.48601088525241237</v>
      </c>
      <c r="V2204" s="1">
        <f t="shared" si="456"/>
        <v>201017.96140597004</v>
      </c>
      <c r="W2204" s="7">
        <f t="shared" si="457"/>
        <v>-3.9833705245781274E-3</v>
      </c>
      <c r="X2204" s="7">
        <f t="shared" si="458"/>
        <v>-3.0969541585544073E-3</v>
      </c>
      <c r="Y2204">
        <f>LN(B2204/B2203)</f>
        <v>-7.9662675849562579E-3</v>
      </c>
      <c r="Z2204">
        <f>LN(C2204/C2203)</f>
        <v>2.4614158434398744E-4</v>
      </c>
    </row>
    <row r="2205" spans="1:26" x14ac:dyDescent="0.3">
      <c r="A2205" s="9">
        <v>43431</v>
      </c>
      <c r="B2205" s="1">
        <v>36322.080000000002</v>
      </c>
      <c r="C2205" s="1">
        <v>53.379238100000002</v>
      </c>
      <c r="D2205" s="6">
        <f t="shared" si="460"/>
        <v>2.6526503328671902E-2</v>
      </c>
      <c r="E2205" s="5">
        <f t="shared" si="459"/>
        <v>2.4618250024177613E-4</v>
      </c>
      <c r="G2205" s="25" t="str">
        <f>IF(VLOOKUP(A2205,Aux!B:C,2,FALSE)=0,"",VLOOKUP(A2205,Aux!B:C,2,FALSE))</f>
        <v/>
      </c>
      <c r="H2205" s="25" t="str">
        <f t="shared" si="448"/>
        <v/>
      </c>
      <c r="L2205" s="13">
        <f t="shared" si="451"/>
        <v>205506.19641730885</v>
      </c>
      <c r="M2205" s="14">
        <f t="shared" si="452"/>
        <v>2763.9251386938818</v>
      </c>
      <c r="N2205" s="14">
        <f t="shared" si="453"/>
        <v>24.254678526293215</v>
      </c>
      <c r="O2205" s="1">
        <f t="shared" si="454"/>
        <v>2.9447316627891391</v>
      </c>
      <c r="P2205" s="1">
        <f t="shared" si="455"/>
        <v>1846.1750465289729</v>
      </c>
      <c r="S2205" s="6">
        <f t="shared" si="449"/>
        <v>0.52046498304686395</v>
      </c>
      <c r="T2205" s="6">
        <f t="shared" si="450"/>
        <v>0.47953501695313566</v>
      </c>
      <c r="V2205" s="1">
        <f t="shared" si="456"/>
        <v>203212.73543722654</v>
      </c>
      <c r="W2205" s="7">
        <f t="shared" si="457"/>
        <v>1.3660253777015685E-2</v>
      </c>
      <c r="X2205" s="7">
        <f t="shared" si="458"/>
        <v>1.0859123840773744E-2</v>
      </c>
      <c r="Y2205">
        <f>LN(B2205/B2204)</f>
        <v>2.6180776265483898E-2</v>
      </c>
      <c r="Z2205">
        <f>LN(C2205/C2204)</f>
        <v>2.4615220230250978E-4</v>
      </c>
    </row>
    <row r="2206" spans="1:26" x14ac:dyDescent="0.3">
      <c r="A2206" s="11">
        <v>43432</v>
      </c>
      <c r="B2206" s="12">
        <v>36884.620000000003</v>
      </c>
      <c r="C2206" s="12">
        <v>53.392383600000002</v>
      </c>
      <c r="D2206" s="16">
        <f t="shared" si="460"/>
        <v>1.5487549171192772E-2</v>
      </c>
      <c r="E2206" s="15">
        <f t="shared" si="459"/>
        <v>2.4626616017586755E-4</v>
      </c>
      <c r="G2206" s="25" t="str">
        <f>IF(VLOOKUP(A2206,Aux!B:C,2,FALSE)=0,"",VLOOKUP(A2206,Aux!B:C,2,FALSE))</f>
        <v/>
      </c>
      <c r="H2206" s="25" t="str">
        <f t="shared" si="448"/>
        <v/>
      </c>
      <c r="L2206" s="13">
        <f t="shared" si="451"/>
        <v>207186.9946609684</v>
      </c>
      <c r="M2206" s="14">
        <f t="shared" si="452"/>
        <v>1656.5293495854048</v>
      </c>
      <c r="N2206" s="14">
        <f t="shared" si="453"/>
        <v>24.268894074147081</v>
      </c>
      <c r="O2206" s="1">
        <f t="shared" si="454"/>
        <v>2.9447316627891391</v>
      </c>
      <c r="P2206" s="1">
        <f t="shared" si="455"/>
        <v>1846.1750465289729</v>
      </c>
      <c r="S2206" s="6">
        <f t="shared" si="449"/>
        <v>0.52423806118563965</v>
      </c>
      <c r="T2206" s="6">
        <f t="shared" si="450"/>
        <v>0.47576193881435996</v>
      </c>
      <c r="V2206" s="1">
        <f t="shared" si="456"/>
        <v>204539.94311975379</v>
      </c>
      <c r="W2206" s="7">
        <f t="shared" si="457"/>
        <v>8.1455549711422926E-3</v>
      </c>
      <c r="X2206" s="7">
        <f t="shared" si="458"/>
        <v>6.5098891530398677E-3</v>
      </c>
      <c r="Y2206">
        <f>LN(B2206/B2205)</f>
        <v>1.5368841176523564E-2</v>
      </c>
      <c r="Z2206">
        <f>LN(C2206/C2205)</f>
        <v>2.4623584164256074E-4</v>
      </c>
    </row>
    <row r="2207" spans="1:26" x14ac:dyDescent="0.3">
      <c r="A2207" s="9">
        <v>43433</v>
      </c>
      <c r="B2207" s="1">
        <v>37063.599999999999</v>
      </c>
      <c r="C2207" s="1">
        <v>53.4055252</v>
      </c>
      <c r="D2207" s="6">
        <f t="shared" si="460"/>
        <v>4.8524290069951181E-3</v>
      </c>
      <c r="E2207" s="5">
        <f t="shared" si="459"/>
        <v>2.4613248395977116E-4</v>
      </c>
      <c r="G2207" s="25" t="str">
        <f>IF(VLOOKUP(A2207,Aux!B:C,2,FALSE)=0,"",VLOOKUP(A2207,Aux!B:C,2,FALSE))</f>
        <v/>
      </c>
      <c r="H2207" s="25" t="str">
        <f t="shared" si="448"/>
        <v/>
      </c>
      <c r="L2207" s="13">
        <f t="shared" si="451"/>
        <v>207738.30442796584</v>
      </c>
      <c r="M2207" s="14">
        <f t="shared" si="452"/>
        <v>527.04807300598816</v>
      </c>
      <c r="N2207" s="14">
        <f t="shared" si="453"/>
        <v>24.261693991460184</v>
      </c>
      <c r="O2207" s="1">
        <f t="shared" si="454"/>
        <v>2.9447316627891391</v>
      </c>
      <c r="P2207" s="1">
        <f t="shared" si="455"/>
        <v>1846.1750465289729</v>
      </c>
      <c r="S2207" s="6">
        <f t="shared" si="449"/>
        <v>0.52538388025014959</v>
      </c>
      <c r="T2207" s="6">
        <f t="shared" si="450"/>
        <v>0.47461611974985002</v>
      </c>
      <c r="V2207" s="1">
        <f t="shared" si="456"/>
        <v>204982.25574046379</v>
      </c>
      <c r="W2207" s="7">
        <f t="shared" si="457"/>
        <v>2.6573944401173818E-3</v>
      </c>
      <c r="X2207" s="7">
        <f t="shared" si="458"/>
        <v>2.1601407393035078E-3</v>
      </c>
      <c r="Y2207">
        <f>LN(B2207/B2206)</f>
        <v>4.8406939204993244E-3</v>
      </c>
      <c r="Z2207">
        <f>LN(C2207/C2206)</f>
        <v>2.4610219832935744E-4</v>
      </c>
    </row>
    <row r="2208" spans="1:26" x14ac:dyDescent="0.3">
      <c r="A2208" s="11">
        <v>43434</v>
      </c>
      <c r="B2208" s="12">
        <v>36967.800000000003</v>
      </c>
      <c r="C2208" s="12">
        <v>53.418674500000002</v>
      </c>
      <c r="D2208" s="16">
        <f t="shared" si="460"/>
        <v>-2.584746220010925E-3</v>
      </c>
      <c r="E2208" s="15">
        <f t="shared" si="459"/>
        <v>2.4621609750608009E-4</v>
      </c>
      <c r="G2208" s="25" t="str">
        <f>IF(VLOOKUP(A2208,Aux!B:C,2,FALSE)=0,"",VLOOKUP(A2208,Aux!B:C,2,FALSE))</f>
        <v/>
      </c>
      <c r="H2208" s="25" t="str">
        <f t="shared" si="448"/>
        <v/>
      </c>
      <c r="L2208" s="13">
        <f t="shared" si="451"/>
        <v>207480.47504420998</v>
      </c>
      <c r="M2208" s="14">
        <f t="shared" si="452"/>
        <v>-282.1052932951867</v>
      </c>
      <c r="N2208" s="14">
        <f t="shared" si="453"/>
        <v>24.27590953932717</v>
      </c>
      <c r="O2208" s="1">
        <f t="shared" si="454"/>
        <v>2.9447316627891391</v>
      </c>
      <c r="P2208" s="1">
        <f t="shared" si="455"/>
        <v>1846.1750465289729</v>
      </c>
      <c r="S2208" s="6">
        <f t="shared" si="449"/>
        <v>0.52467708655698997</v>
      </c>
      <c r="T2208" s="6">
        <f t="shared" si="450"/>
        <v>0.47532291344300975</v>
      </c>
      <c r="V2208" s="1">
        <f t="shared" si="456"/>
        <v>204790.658515238</v>
      </c>
      <c r="W2208" s="7">
        <f t="shared" si="457"/>
        <v>-1.2418967042931042E-3</v>
      </c>
      <c r="X2208" s="7">
        <f t="shared" si="458"/>
        <v>-9.3513862201554049E-4</v>
      </c>
      <c r="Y2208">
        <f>LN(B2208/B2207)</f>
        <v>-2.5880924438585217E-3</v>
      </c>
      <c r="Z2208">
        <f>LN(C2208/C2207)</f>
        <v>2.461857912972268E-4</v>
      </c>
    </row>
    <row r="2209" spans="1:26" x14ac:dyDescent="0.3">
      <c r="A2209" s="9">
        <v>43437</v>
      </c>
      <c r="B2209" s="1">
        <v>37103.589999999997</v>
      </c>
      <c r="C2209" s="1">
        <v>53.431827499999997</v>
      </c>
      <c r="D2209" s="6">
        <f t="shared" si="460"/>
        <v>3.6731966738619004E-3</v>
      </c>
      <c r="E2209" s="5">
        <f t="shared" si="459"/>
        <v>2.4622475422897416E-4</v>
      </c>
      <c r="G2209" s="25" t="str">
        <f>IF(VLOOKUP(A2209,Aux!B:C,2,FALSE)=0,"",VLOOKUP(A2209,Aux!B:C,2,FALSE))</f>
        <v/>
      </c>
      <c r="H2209" s="25" t="str">
        <f t="shared" si="448"/>
        <v/>
      </c>
      <c r="L2209" s="13">
        <f t="shared" si="451"/>
        <v>207904.62289708707</v>
      </c>
      <c r="M2209" s="14">
        <f t="shared" si="452"/>
        <v>399.86511249011835</v>
      </c>
      <c r="N2209" s="14">
        <f t="shared" si="453"/>
        <v>24.282740386987328</v>
      </c>
      <c r="O2209" s="1">
        <f t="shared" si="454"/>
        <v>2.9447316627891391</v>
      </c>
      <c r="P2209" s="1">
        <f t="shared" si="455"/>
        <v>1846.1750465289729</v>
      </c>
      <c r="S2209" s="6">
        <f t="shared" si="449"/>
        <v>0.52552999906226372</v>
      </c>
      <c r="T2209" s="6">
        <f t="shared" si="450"/>
        <v>0.474470000937736</v>
      </c>
      <c r="V2209" s="1">
        <f t="shared" si="456"/>
        <v>205133.3557984638</v>
      </c>
      <c r="W2209" s="7">
        <f t="shared" si="457"/>
        <v>2.0421917030241181E-3</v>
      </c>
      <c r="X2209" s="7">
        <f t="shared" si="458"/>
        <v>1.6720043281024518E-3</v>
      </c>
      <c r="Y2209">
        <f>LN(B2209/B2208)</f>
        <v>3.6664669616292838E-3</v>
      </c>
      <c r="Z2209">
        <f>LN(C2209/C2208)</f>
        <v>2.4619444588918352E-4</v>
      </c>
    </row>
    <row r="2210" spans="1:26" x14ac:dyDescent="0.3">
      <c r="A2210" s="11">
        <v>43438</v>
      </c>
      <c r="B2210" s="12">
        <v>36644.089999999997</v>
      </c>
      <c r="C2210" s="12">
        <v>53.444980600000001</v>
      </c>
      <c r="D2210" s="16">
        <f t="shared" si="460"/>
        <v>-1.2384246376159314E-2</v>
      </c>
      <c r="E2210" s="15">
        <f t="shared" si="459"/>
        <v>2.461660140673505E-4</v>
      </c>
      <c r="G2210" s="25" t="str">
        <f>IF(VLOOKUP(A2210,Aux!B:C,2,FALSE)=0,"",VLOOKUP(A2210,Aux!B:C,2,FALSE))</f>
        <v/>
      </c>
      <c r="H2210" s="25" t="str">
        <f t="shared" si="448"/>
        <v/>
      </c>
      <c r="L2210" s="13">
        <f t="shared" si="451"/>
        <v>206575.80162304</v>
      </c>
      <c r="M2210" s="14">
        <f t="shared" si="452"/>
        <v>-1353.1041990516094</v>
      </c>
      <c r="N2210" s="14">
        <f t="shared" si="453"/>
        <v>24.282925004507256</v>
      </c>
      <c r="O2210" s="1">
        <f t="shared" si="454"/>
        <v>2.9447316627891391</v>
      </c>
      <c r="P2210" s="1">
        <f t="shared" si="455"/>
        <v>1846.1750465289729</v>
      </c>
      <c r="S2210" s="6">
        <f t="shared" si="449"/>
        <v>0.52236036955579057</v>
      </c>
      <c r="T2210" s="6">
        <f t="shared" si="450"/>
        <v>0.47763963044420898</v>
      </c>
      <c r="V2210" s="1">
        <f t="shared" si="456"/>
        <v>204102.69845204728</v>
      </c>
      <c r="W2210" s="7">
        <f t="shared" si="457"/>
        <v>-6.4120076518842167E-3</v>
      </c>
      <c r="X2210" s="7">
        <f t="shared" si="458"/>
        <v>-5.036992781078089E-3</v>
      </c>
      <c r="Y2210">
        <f>LN(B2210/B2209)</f>
        <v>-1.2461570216868308E-2</v>
      </c>
      <c r="Z2210">
        <f>LN(C2210/C2209)</f>
        <v>2.4613572018555705E-4</v>
      </c>
    </row>
    <row r="2211" spans="1:26" x14ac:dyDescent="0.3">
      <c r="A2211" s="9">
        <v>43439</v>
      </c>
      <c r="B2211" s="1">
        <v>36825.53</v>
      </c>
      <c r="C2211" s="1">
        <v>53.458141300000001</v>
      </c>
      <c r="D2211" s="6">
        <f t="shared" si="460"/>
        <v>4.9514123559897261E-3</v>
      </c>
      <c r="E2211" s="5">
        <f t="shared" si="459"/>
        <v>2.4624763358982449E-4</v>
      </c>
      <c r="G2211" s="25" t="str">
        <f>IF(VLOOKUP(A2211,Aux!B:C,2,FALSE)=0,"",VLOOKUP(A2211,Aux!B:C,2,FALSE))</f>
        <v/>
      </c>
      <c r="H2211" s="25" t="str">
        <f t="shared" si="448"/>
        <v/>
      </c>
      <c r="L2211" s="13">
        <f t="shared" si="451"/>
        <v>207134.39069187132</v>
      </c>
      <c r="M2211" s="14">
        <f t="shared" si="452"/>
        <v>534.29211289646821</v>
      </c>
      <c r="N2211" s="14">
        <f t="shared" si="453"/>
        <v>24.29695593485431</v>
      </c>
      <c r="O2211" s="1">
        <f t="shared" si="454"/>
        <v>2.9447316627891391</v>
      </c>
      <c r="P2211" s="1">
        <f t="shared" si="455"/>
        <v>1846.1750465289729</v>
      </c>
      <c r="S2211" s="6">
        <f t="shared" si="449"/>
        <v>0.5235311424036112</v>
      </c>
      <c r="T2211" s="6">
        <f t="shared" si="450"/>
        <v>0.47646885759638835</v>
      </c>
      <c r="V2211" s="1">
        <f t="shared" si="456"/>
        <v>204550.72910803859</v>
      </c>
      <c r="W2211" s="7">
        <f t="shared" si="457"/>
        <v>2.7003898799137205E-3</v>
      </c>
      <c r="X2211" s="7">
        <f t="shared" si="458"/>
        <v>2.1927178645127724E-3</v>
      </c>
      <c r="Y2211">
        <f>LN(B2211/B2210)</f>
        <v>4.9391944278996004E-3</v>
      </c>
      <c r="Z2211">
        <f>LN(C2211/C2210)</f>
        <v>2.4621731961769404E-4</v>
      </c>
    </row>
    <row r="2212" spans="1:26" x14ac:dyDescent="0.3">
      <c r="A2212" s="11">
        <v>43440</v>
      </c>
      <c r="B2212" s="12">
        <v>36763.379999999997</v>
      </c>
      <c r="C2212" s="12">
        <v>53.471302000000001</v>
      </c>
      <c r="D2212" s="16">
        <f t="shared" si="460"/>
        <v>-1.6876878621978619E-3</v>
      </c>
      <c r="E2212" s="15">
        <f t="shared" si="459"/>
        <v>2.4618701062095738E-4</v>
      </c>
      <c r="G2212" s="25" t="str">
        <f>IF(VLOOKUP(A2212,Aux!B:C,2,FALSE)=0,"",VLOOKUP(A2212,Aux!B:C,2,FALSE))</f>
        <v/>
      </c>
      <c r="H2212" s="25" t="str">
        <f t="shared" si="448"/>
        <v/>
      </c>
      <c r="L2212" s="13">
        <f t="shared" si="451"/>
        <v>206975.6725749638</v>
      </c>
      <c r="M2212" s="14">
        <f t="shared" si="452"/>
        <v>-183.01507284234927</v>
      </c>
      <c r="N2212" s="14">
        <f t="shared" si="453"/>
        <v>24.29695593485431</v>
      </c>
      <c r="O2212" s="1">
        <f t="shared" si="454"/>
        <v>2.9447316627891391</v>
      </c>
      <c r="P2212" s="1">
        <f t="shared" si="455"/>
        <v>1846.1750465289729</v>
      </c>
      <c r="S2212" s="6">
        <f t="shared" si="449"/>
        <v>0.52304837457619224</v>
      </c>
      <c r="T2212" s="6">
        <f t="shared" si="450"/>
        <v>0.47695162542380753</v>
      </c>
      <c r="V2212" s="1">
        <f t="shared" si="456"/>
        <v>204436.78911320615</v>
      </c>
      <c r="W2212" s="7">
        <f t="shared" si="457"/>
        <v>-7.6655043554036577E-4</v>
      </c>
      <c r="X2212" s="7">
        <f t="shared" si="458"/>
        <v>-5.5718080725651847E-4</v>
      </c>
      <c r="Y2212">
        <f>LN(B2212/B2211)</f>
        <v>-1.6891136117305656E-3</v>
      </c>
      <c r="Z2212">
        <f>LN(C2212/C2211)</f>
        <v>2.4615671157157774E-4</v>
      </c>
    </row>
    <row r="2213" spans="1:26" x14ac:dyDescent="0.3">
      <c r="A2213" s="9">
        <v>43441</v>
      </c>
      <c r="B2213" s="1">
        <v>36465.79</v>
      </c>
      <c r="C2213" s="1">
        <v>53.484466599999998</v>
      </c>
      <c r="D2213" s="6">
        <f t="shared" si="460"/>
        <v>-8.0947399287006894E-3</v>
      </c>
      <c r="E2213" s="5">
        <f t="shared" si="459"/>
        <v>2.4619935381409164E-4</v>
      </c>
      <c r="G2213" s="25" t="str">
        <f>IF(VLOOKUP(A2213,Aux!B:C,2,FALSE)=0,"",VLOOKUP(A2213,Aux!B:C,2,FALSE))</f>
        <v/>
      </c>
      <c r="H2213" s="25" t="str">
        <f t="shared" si="448"/>
        <v/>
      </c>
      <c r="L2213" s="13">
        <f t="shared" si="451"/>
        <v>206123.65403545191</v>
      </c>
      <c r="M2213" s="14">
        <f t="shared" si="452"/>
        <v>-876.32269552940966</v>
      </c>
      <c r="N2213" s="14">
        <f t="shared" si="453"/>
        <v>24.30415601752809</v>
      </c>
      <c r="O2213" s="1">
        <f t="shared" si="454"/>
        <v>2.9447316627891391</v>
      </c>
      <c r="P2213" s="1">
        <f t="shared" si="455"/>
        <v>1846.1750465289729</v>
      </c>
      <c r="S2213" s="6">
        <f t="shared" si="449"/>
        <v>0.52095896962485722</v>
      </c>
      <c r="T2213" s="6">
        <f t="shared" si="450"/>
        <v>0.47904103037514251</v>
      </c>
      <c r="V2213" s="1">
        <f t="shared" si="456"/>
        <v>203779.68952745502</v>
      </c>
      <c r="W2213" s="7">
        <f t="shared" si="457"/>
        <v>-4.1250115542188085E-3</v>
      </c>
      <c r="X2213" s="7">
        <f t="shared" si="458"/>
        <v>-3.2193710331013428E-3</v>
      </c>
      <c r="Y2213">
        <f>LN(B2213/B2212)</f>
        <v>-8.1276802184416276E-3</v>
      </c>
      <c r="Z2213">
        <f>LN(C2213/C2212)</f>
        <v>2.4616905172664995E-4</v>
      </c>
    </row>
    <row r="2214" spans="1:26" x14ac:dyDescent="0.3">
      <c r="A2214" s="11">
        <v>43444</v>
      </c>
      <c r="B2214" s="12">
        <v>35594.629999999997</v>
      </c>
      <c r="C2214" s="12">
        <v>53.497634900000001</v>
      </c>
      <c r="D2214" s="16">
        <f t="shared" si="460"/>
        <v>-2.3889788209716656E-2</v>
      </c>
      <c r="E2214" s="15">
        <f t="shared" si="459"/>
        <v>2.462079335761036E-4</v>
      </c>
      <c r="G2214" s="25" t="str">
        <f>IF(VLOOKUP(A2214,Aux!B:C,2,FALSE)=0,"",VLOOKUP(A2214,Aux!B:C,2,FALSE))</f>
        <v/>
      </c>
      <c r="H2214" s="25" t="str">
        <f t="shared" si="448"/>
        <v/>
      </c>
      <c r="L2214" s="13">
        <f t="shared" si="451"/>
        <v>203582.63258696173</v>
      </c>
      <c r="M2214" s="14">
        <f t="shared" si="452"/>
        <v>-2565.3324353553967</v>
      </c>
      <c r="N2214" s="14">
        <f t="shared" si="453"/>
        <v>24.310986865214481</v>
      </c>
      <c r="O2214" s="1">
        <f t="shared" si="454"/>
        <v>2.9447316627891391</v>
      </c>
      <c r="P2214" s="1">
        <f t="shared" si="455"/>
        <v>1846.1750465289729</v>
      </c>
      <c r="S2214" s="6">
        <f t="shared" si="449"/>
        <v>0.51486039184354793</v>
      </c>
      <c r="T2214" s="6">
        <f t="shared" si="450"/>
        <v>0.4851396081564518</v>
      </c>
      <c r="V2214" s="1">
        <f t="shared" si="456"/>
        <v>201799.35216550803</v>
      </c>
      <c r="W2214" s="7">
        <f t="shared" si="457"/>
        <v>-1.2404271610014539E-2</v>
      </c>
      <c r="X2214" s="7">
        <f t="shared" si="458"/>
        <v>-9.7655593432605433E-3</v>
      </c>
      <c r="Y2214">
        <f>LN(B2214/B2213)</f>
        <v>-2.4179777027970306E-2</v>
      </c>
      <c r="Z2214">
        <f>LN(C2214/C2213)</f>
        <v>2.4617762937681318E-4</v>
      </c>
    </row>
    <row r="2215" spans="1:26" x14ac:dyDescent="0.3">
      <c r="A2215" s="9">
        <v>43445</v>
      </c>
      <c r="B2215" s="1">
        <v>35818.410000000003</v>
      </c>
      <c r="C2215" s="1">
        <v>53.510807</v>
      </c>
      <c r="D2215" s="6">
        <f t="shared" si="460"/>
        <v>6.2869033896406634E-3</v>
      </c>
      <c r="E2215" s="5">
        <f t="shared" si="459"/>
        <v>2.4621836132787678E-4</v>
      </c>
      <c r="G2215" s="25" t="str">
        <f>IF(VLOOKUP(A2215,Aux!B:C,2,FALSE)=0,"",VLOOKUP(A2215,Aux!B:C,2,FALSE))</f>
        <v/>
      </c>
      <c r="H2215" s="25" t="str">
        <f t="shared" si="448"/>
        <v/>
      </c>
      <c r="L2215" s="13">
        <f t="shared" si="451"/>
        <v>204265.92264079108</v>
      </c>
      <c r="M2215" s="14">
        <f t="shared" si="452"/>
        <v>658.9720514989715</v>
      </c>
      <c r="N2215" s="14">
        <f t="shared" si="453"/>
        <v>24.31800233038145</v>
      </c>
      <c r="O2215" s="1">
        <f t="shared" si="454"/>
        <v>2.9447316627891391</v>
      </c>
      <c r="P2215" s="1">
        <f t="shared" si="455"/>
        <v>1846.1750465289729</v>
      </c>
      <c r="S2215" s="6">
        <f t="shared" si="449"/>
        <v>0.51636418191616695</v>
      </c>
      <c r="T2215" s="6">
        <f t="shared" si="450"/>
        <v>0.48363581808383271</v>
      </c>
      <c r="V2215" s="1">
        <f t="shared" si="456"/>
        <v>202345.08818587055</v>
      </c>
      <c r="W2215" s="7">
        <f t="shared" si="457"/>
        <v>3.3507079250842892E-3</v>
      </c>
      <c r="X2215" s="7">
        <f t="shared" si="458"/>
        <v>2.7006995399686982E-3</v>
      </c>
      <c r="Y2215">
        <f>LN(B2215/B2214)</f>
        <v>6.2672232541953329E-3</v>
      </c>
      <c r="Z2215">
        <f>LN(C2215/C2214)</f>
        <v>2.4618805456176873E-4</v>
      </c>
    </row>
    <row r="2216" spans="1:26" x14ac:dyDescent="0.3">
      <c r="A2216" s="11">
        <v>43446</v>
      </c>
      <c r="B2216" s="12">
        <v>36058.589999999997</v>
      </c>
      <c r="C2216" s="12">
        <v>53.523979199999999</v>
      </c>
      <c r="D2216" s="16">
        <f t="shared" si="460"/>
        <v>6.7054902772063496E-3</v>
      </c>
      <c r="E2216" s="15">
        <f t="shared" si="459"/>
        <v>2.4615962155083437E-4</v>
      </c>
      <c r="G2216" s="25" t="str">
        <f>IF(VLOOKUP(A2216,Aux!B:C,2,FALSE)=0,"",VLOOKUP(A2216,Aux!B:C,2,FALSE))</f>
        <v/>
      </c>
      <c r="H2216" s="25" t="str">
        <f t="shared" si="448"/>
        <v/>
      </c>
      <c r="L2216" s="13">
        <f t="shared" si="451"/>
        <v>204997.50647850765</v>
      </c>
      <c r="M2216" s="14">
        <f t="shared" si="452"/>
        <v>707.26565076867485</v>
      </c>
      <c r="N2216" s="14">
        <f t="shared" si="453"/>
        <v>24.318186947888261</v>
      </c>
      <c r="O2216" s="1">
        <f t="shared" si="454"/>
        <v>2.9447316627891391</v>
      </c>
      <c r="P2216" s="1">
        <f t="shared" si="455"/>
        <v>1846.1750465289729</v>
      </c>
      <c r="S2216" s="6">
        <f t="shared" si="449"/>
        <v>0.51797152810570524</v>
      </c>
      <c r="T2216" s="6">
        <f t="shared" si="450"/>
        <v>0.48202847189429449</v>
      </c>
      <c r="V2216" s="1">
        <f t="shared" si="456"/>
        <v>202928.65980362135</v>
      </c>
      <c r="W2216" s="7">
        <f t="shared" si="457"/>
        <v>3.5751282176444766E-3</v>
      </c>
      <c r="X2216" s="7">
        <f t="shared" si="458"/>
        <v>2.8798905627607191E-3</v>
      </c>
      <c r="Y2216">
        <f>LN(B2216/B2215)</f>
        <v>6.6831084755363266E-3</v>
      </c>
      <c r="Z2216">
        <f>LN(C2216/C2215)</f>
        <v>2.4612932924225351E-4</v>
      </c>
    </row>
    <row r="2217" spans="1:26" x14ac:dyDescent="0.3">
      <c r="A2217" s="9">
        <v>43447</v>
      </c>
      <c r="B2217" s="1">
        <v>36384.86</v>
      </c>
      <c r="C2217" s="1">
        <v>53.537159000000003</v>
      </c>
      <c r="D2217" s="6">
        <f t="shared" si="460"/>
        <v>9.0483293994580993E-3</v>
      </c>
      <c r="E2217" s="5">
        <f t="shared" si="459"/>
        <v>2.4624103433623645E-4</v>
      </c>
      <c r="G2217" s="25" t="str">
        <f>IF(VLOOKUP(A2217,Aux!B:C,2,FALSE)=0,"",VLOOKUP(A2217,Aux!B:C,2,FALSE))</f>
        <v/>
      </c>
      <c r="H2217" s="25" t="str">
        <f t="shared" si="448"/>
        <v/>
      </c>
      <c r="L2217" s="13">
        <f t="shared" si="451"/>
        <v>205982.61629600413</v>
      </c>
      <c r="M2217" s="14">
        <f t="shared" si="452"/>
        <v>960.77759961822437</v>
      </c>
      <c r="N2217" s="14">
        <f t="shared" si="453"/>
        <v>24.332217878248432</v>
      </c>
      <c r="O2217" s="1">
        <f t="shared" si="454"/>
        <v>2.9447316627891391</v>
      </c>
      <c r="P2217" s="1">
        <f t="shared" si="455"/>
        <v>1846.1750465289729</v>
      </c>
      <c r="S2217" s="6">
        <f t="shared" si="449"/>
        <v>0.52015869695615924</v>
      </c>
      <c r="T2217" s="6">
        <f t="shared" si="450"/>
        <v>0.47984130304384043</v>
      </c>
      <c r="V2217" s="1">
        <f t="shared" si="456"/>
        <v>203710.86106502323</v>
      </c>
      <c r="W2217" s="7">
        <f t="shared" si="457"/>
        <v>4.7939627712468257E-3</v>
      </c>
      <c r="X2217" s="7">
        <f t="shared" si="458"/>
        <v>3.8471529992158593E-3</v>
      </c>
      <c r="Y2217">
        <f>LN(B2217/B2216)</f>
        <v>9.0076385390107233E-3</v>
      </c>
      <c r="Z2217">
        <f>LN(C2217/C2216)</f>
        <v>2.4621072198873471E-4</v>
      </c>
    </row>
    <row r="2218" spans="1:26" x14ac:dyDescent="0.3">
      <c r="A2218" s="11">
        <v>43448</v>
      </c>
      <c r="B2218" s="12">
        <v>36228.65</v>
      </c>
      <c r="C2218" s="12">
        <v>53.550338699999998</v>
      </c>
      <c r="D2218" s="16">
        <f t="shared" si="460"/>
        <v>-4.2932692334118894E-3</v>
      </c>
      <c r="E2218" s="15">
        <f t="shared" si="459"/>
        <v>2.4617854675468287E-4</v>
      </c>
      <c r="G2218" s="25" t="str">
        <f>IF(VLOOKUP(A2218,Aux!B:C,2,FALSE)=0,"",VLOOKUP(A2218,Aux!B:C,2,FALSE))</f>
        <v/>
      </c>
      <c r="H2218" s="25" t="str">
        <f t="shared" si="448"/>
        <v/>
      </c>
      <c r="L2218" s="13">
        <f t="shared" si="451"/>
        <v>205546.95179622056</v>
      </c>
      <c r="M2218" s="14">
        <f t="shared" si="452"/>
        <v>-459.99653304428887</v>
      </c>
      <c r="N2218" s="14">
        <f t="shared" si="453"/>
        <v>24.332033260728505</v>
      </c>
      <c r="O2218" s="1">
        <f t="shared" si="454"/>
        <v>2.9447316627891391</v>
      </c>
      <c r="P2218" s="1">
        <f t="shared" si="455"/>
        <v>1846.1750465289729</v>
      </c>
      <c r="S2218" s="6">
        <f t="shared" si="449"/>
        <v>0.51902327824774563</v>
      </c>
      <c r="T2218" s="6">
        <f t="shared" si="450"/>
        <v>0.48097672175225403</v>
      </c>
      <c r="V2218" s="1">
        <f t="shared" si="456"/>
        <v>203379.9638654711</v>
      </c>
      <c r="W2218" s="7">
        <f t="shared" si="457"/>
        <v>-2.1172945825395076E-3</v>
      </c>
      <c r="X2218" s="7">
        <f t="shared" si="458"/>
        <v>-1.6256680434058501E-3</v>
      </c>
      <c r="Y2218">
        <f>LN(B2218/B2217)</f>
        <v>-4.3025117770722392E-3</v>
      </c>
      <c r="Z2218">
        <f>LN(C2218/C2217)</f>
        <v>2.4614824978844851E-4</v>
      </c>
    </row>
    <row r="2219" spans="1:26" x14ac:dyDescent="0.3">
      <c r="A2219" s="9">
        <v>43451</v>
      </c>
      <c r="B2219" s="1">
        <v>35788.879999999997</v>
      </c>
      <c r="C2219" s="1">
        <v>53.563522300000002</v>
      </c>
      <c r="D2219" s="6">
        <f t="shared" si="460"/>
        <v>-1.2138735503531173E-2</v>
      </c>
      <c r="E2219" s="5">
        <f t="shared" si="459"/>
        <v>2.4619078646481718E-4</v>
      </c>
      <c r="G2219" s="25" t="str">
        <f>IF(VLOOKUP(A2219,Aux!B:C,2,FALSE)=0,"",VLOOKUP(A2219,Aux!B:C,2,FALSE))</f>
        <v/>
      </c>
      <c r="H2219" s="25" t="str">
        <f t="shared" si="448"/>
        <v/>
      </c>
      <c r="L2219" s="13">
        <f t="shared" si="451"/>
        <v>204276.2863862192</v>
      </c>
      <c r="M2219" s="14">
        <f t="shared" si="452"/>
        <v>-1295.0046433447917</v>
      </c>
      <c r="N2219" s="14">
        <f t="shared" si="453"/>
        <v>24.339233343428521</v>
      </c>
      <c r="O2219" s="1">
        <f t="shared" si="454"/>
        <v>2.9447316627891391</v>
      </c>
      <c r="P2219" s="1">
        <f t="shared" si="455"/>
        <v>1846.1750465289729</v>
      </c>
      <c r="S2219" s="6">
        <f t="shared" si="449"/>
        <v>0.51591229690021734</v>
      </c>
      <c r="T2219" s="6">
        <f t="shared" si="450"/>
        <v>0.48408770309978227</v>
      </c>
      <c r="V2219" s="1">
        <f t="shared" si="456"/>
        <v>202394.89255175373</v>
      </c>
      <c r="W2219" s="7">
        <f t="shared" si="457"/>
        <v>-6.2010611569633927E-3</v>
      </c>
      <c r="X2219" s="7">
        <f t="shared" si="458"/>
        <v>-4.8552700261317236E-3</v>
      </c>
      <c r="Y2219">
        <f>LN(B2219/B2218)</f>
        <v>-1.2213011644290485E-2</v>
      </c>
      <c r="Z2219">
        <f>LN(C2219/C2218)</f>
        <v>2.4616048648609548E-4</v>
      </c>
    </row>
    <row r="2220" spans="1:26" x14ac:dyDescent="0.3">
      <c r="A2220" s="11">
        <v>43452</v>
      </c>
      <c r="B2220" s="12">
        <v>35906.239999999998</v>
      </c>
      <c r="C2220" s="12">
        <v>53.576709700000002</v>
      </c>
      <c r="D2220" s="16">
        <f t="shared" si="460"/>
        <v>3.2792308672413562E-3</v>
      </c>
      <c r="E2220" s="15">
        <f t="shared" si="459"/>
        <v>2.4620113528261989E-4</v>
      </c>
      <c r="G2220" s="25" t="str">
        <f>IF(VLOOKUP(A2220,Aux!B:C,2,FALSE)=0,"",VLOOKUP(A2220,Aux!B:C,2,FALSE))</f>
        <v/>
      </c>
      <c r="H2220" s="25" t="str">
        <f t="shared" si="448"/>
        <v/>
      </c>
      <c r="L2220" s="13">
        <f t="shared" si="451"/>
        <v>204646.22634297275</v>
      </c>
      <c r="M2220" s="14">
        <f t="shared" si="452"/>
        <v>345.59370794493509</v>
      </c>
      <c r="N2220" s="14">
        <f t="shared" si="453"/>
        <v>24.34624880859549</v>
      </c>
      <c r="O2220" s="1">
        <f t="shared" si="454"/>
        <v>2.9447316627891391</v>
      </c>
      <c r="P2220" s="1">
        <f t="shared" si="455"/>
        <v>1846.1750465289729</v>
      </c>
      <c r="S2220" s="6">
        <f t="shared" si="449"/>
        <v>0.51666841704915045</v>
      </c>
      <c r="T2220" s="6">
        <f t="shared" si="450"/>
        <v>0.4833315829508491</v>
      </c>
      <c r="V2220" s="1">
        <f t="shared" si="456"/>
        <v>202695.14813765138</v>
      </c>
      <c r="W2220" s="7">
        <f t="shared" si="457"/>
        <v>1.8093406264557432E-3</v>
      </c>
      <c r="X2220" s="7">
        <f t="shared" si="458"/>
        <v>1.4824143312548216E-3</v>
      </c>
      <c r="Y2220">
        <f>LN(B2220/B2219)</f>
        <v>3.273865915112628E-3</v>
      </c>
      <c r="Z2220">
        <f>LN(C2220/C2219)</f>
        <v>2.4617083275668813E-4</v>
      </c>
    </row>
    <row r="2221" spans="1:26" x14ac:dyDescent="0.3">
      <c r="A2221" s="9">
        <v>43453</v>
      </c>
      <c r="B2221" s="1">
        <v>35521.910000000003</v>
      </c>
      <c r="C2221" s="1">
        <v>53.589900999999998</v>
      </c>
      <c r="D2221" s="6">
        <f t="shared" si="460"/>
        <v>-1.070371055281738E-2</v>
      </c>
      <c r="E2221" s="5">
        <f t="shared" si="459"/>
        <v>2.4621332802743368E-4</v>
      </c>
      <c r="G2221" s="25" t="str">
        <f>IF(VLOOKUP(A2221,Aux!B:C,2,FALSE)=0,"",VLOOKUP(A2221,Aux!B:C,2,FALSE))</f>
        <v/>
      </c>
      <c r="H2221" s="25" t="str">
        <f t="shared" si="448"/>
        <v/>
      </c>
      <c r="L2221" s="13">
        <f t="shared" si="451"/>
        <v>203538.83107190428</v>
      </c>
      <c r="M2221" s="14">
        <f t="shared" si="452"/>
        <v>-1131.7487199597335</v>
      </c>
      <c r="N2221" s="14">
        <f t="shared" si="453"/>
        <v>24.353448891269267</v>
      </c>
      <c r="O2221" s="1">
        <f t="shared" si="454"/>
        <v>2.9447316627891391</v>
      </c>
      <c r="P2221" s="1">
        <f t="shared" si="455"/>
        <v>1846.1750465289729</v>
      </c>
      <c r="S2221" s="6">
        <f t="shared" si="449"/>
        <v>0.51391910108196104</v>
      </c>
      <c r="T2221" s="6">
        <f t="shared" si="450"/>
        <v>0.48608089891803863</v>
      </c>
      <c r="V2221" s="1">
        <f t="shared" si="456"/>
        <v>201837.99606915552</v>
      </c>
      <c r="W2221" s="7">
        <f t="shared" si="457"/>
        <v>-5.4259604454257203E-3</v>
      </c>
      <c r="X2221" s="7">
        <f t="shared" si="458"/>
        <v>-4.237741028297202E-3</v>
      </c>
      <c r="Y2221">
        <f>LN(B2221/B2220)</f>
        <v>-1.0761407345142469E-2</v>
      </c>
      <c r="Z2221">
        <f>LN(C2221/C2220)</f>
        <v>2.461830225002989E-4</v>
      </c>
    </row>
    <row r="2222" spans="1:26" x14ac:dyDescent="0.3">
      <c r="A2222" s="11">
        <v>43454</v>
      </c>
      <c r="B2222" s="12">
        <v>35400.17</v>
      </c>
      <c r="C2222" s="12">
        <v>53.603092199999999</v>
      </c>
      <c r="D2222" s="16">
        <f t="shared" si="460"/>
        <v>-3.4271805767203123E-3</v>
      </c>
      <c r="E2222" s="15">
        <f t="shared" si="459"/>
        <v>2.4615085592349928E-4</v>
      </c>
      <c r="G2222" s="25" t="str">
        <f>IF(VLOOKUP(A2222,Aux!B:C,2,FALSE)=0,"",VLOOKUP(A2222,Aux!B:C,2,FALSE))</f>
        <v/>
      </c>
      <c r="H2222" s="25" t="str">
        <f t="shared" si="448"/>
        <v/>
      </c>
      <c r="L2222" s="13">
        <f t="shared" si="451"/>
        <v>203204.6927035501</v>
      </c>
      <c r="M2222" s="14">
        <f t="shared" si="452"/>
        <v>-358.4916326279652</v>
      </c>
      <c r="N2222" s="14">
        <f t="shared" si="453"/>
        <v>24.353264273775576</v>
      </c>
      <c r="O2222" s="1">
        <f t="shared" si="454"/>
        <v>2.9447316627891391</v>
      </c>
      <c r="P2222" s="1">
        <f t="shared" si="455"/>
        <v>1846.1750465289729</v>
      </c>
      <c r="S2222" s="6">
        <f t="shared" si="449"/>
        <v>0.51299997101541839</v>
      </c>
      <c r="T2222" s="6">
        <f t="shared" si="450"/>
        <v>0.48700002898458128</v>
      </c>
      <c r="V2222" s="1">
        <f t="shared" si="456"/>
        <v>201586.64809239376</v>
      </c>
      <c r="W2222" s="7">
        <f t="shared" si="457"/>
        <v>-1.6429933065329188E-3</v>
      </c>
      <c r="X2222" s="7">
        <f t="shared" si="458"/>
        <v>-1.2460716662778476E-3</v>
      </c>
      <c r="Y2222">
        <f>LN(B2222/B2221)</f>
        <v>-3.4330668127168121E-3</v>
      </c>
      <c r="Z2222">
        <f>LN(C2222/C2221)</f>
        <v>2.4612056577209254E-4</v>
      </c>
    </row>
    <row r="2223" spans="1:26" x14ac:dyDescent="0.3">
      <c r="A2223" s="9">
        <v>43455</v>
      </c>
      <c r="B2223" s="1">
        <v>35572.9</v>
      </c>
      <c r="C2223" s="1">
        <v>53.616290999999997</v>
      </c>
      <c r="D2223" s="6">
        <f t="shared" si="460"/>
        <v>4.8793550991421686E-3</v>
      </c>
      <c r="E2223" s="5">
        <f t="shared" si="459"/>
        <v>2.462320634555315E-4</v>
      </c>
      <c r="G2223" s="25" t="str">
        <f>IF(VLOOKUP(A2223,Aux!B:C,2,FALSE)=0,"",VLOOKUP(A2223,Aux!B:C,2,FALSE))</f>
        <v/>
      </c>
      <c r="H2223" s="25" t="str">
        <f t="shared" si="448"/>
        <v/>
      </c>
      <c r="L2223" s="13">
        <f t="shared" si="451"/>
        <v>203737.70349886778</v>
      </c>
      <c r="M2223" s="14">
        <f t="shared" si="452"/>
        <v>508.64350011357743</v>
      </c>
      <c r="N2223" s="14">
        <f t="shared" si="453"/>
        <v>24.36729520412263</v>
      </c>
      <c r="O2223" s="1">
        <f t="shared" si="454"/>
        <v>2.9447316627891391</v>
      </c>
      <c r="P2223" s="1">
        <f t="shared" si="455"/>
        <v>1846.1750465289729</v>
      </c>
      <c r="S2223" s="6">
        <f t="shared" si="449"/>
        <v>0.51415444057861337</v>
      </c>
      <c r="T2223" s="6">
        <f t="shared" si="450"/>
        <v>0.4858455594213863</v>
      </c>
      <c r="V2223" s="1">
        <f t="shared" si="456"/>
        <v>202014.66970845446</v>
      </c>
      <c r="W2223" s="7">
        <f t="shared" si="457"/>
        <v>2.6195899227812003E-3</v>
      </c>
      <c r="X2223" s="7">
        <f t="shared" si="458"/>
        <v>2.1210127799109984E-3</v>
      </c>
      <c r="Y2223">
        <f>LN(B2223/B2222)</f>
        <v>4.8674896276296046E-3</v>
      </c>
      <c r="Z2223">
        <f>LN(C2223/C2222)</f>
        <v>2.4620175331644469E-4</v>
      </c>
    </row>
    <row r="2224" spans="1:26" x14ac:dyDescent="0.3">
      <c r="A2224" s="11">
        <v>43460</v>
      </c>
      <c r="B2224" s="12">
        <v>35356.11</v>
      </c>
      <c r="C2224" s="12">
        <v>53.642696399999998</v>
      </c>
      <c r="D2224" s="16">
        <f t="shared" si="460"/>
        <v>-6.0942459006716465E-3</v>
      </c>
      <c r="E2224" s="15">
        <f t="shared" si="459"/>
        <v>4.9248837447568583E-4</v>
      </c>
      <c r="G2224" s="25" t="str">
        <f>IF(VLOOKUP(A2224,Aux!B:C,2,FALSE)=0,"",VLOOKUP(A2224,Aux!B:C,2,FALSE))</f>
        <v/>
      </c>
      <c r="H2224" s="25" t="str">
        <f t="shared" si="448"/>
        <v/>
      </c>
      <c r="L2224" s="13">
        <f t="shared" si="451"/>
        <v>203148.06411226533</v>
      </c>
      <c r="M2224" s="14">
        <f t="shared" si="452"/>
        <v>-638.38837717606009</v>
      </c>
      <c r="N2224" s="14">
        <f t="shared" si="453"/>
        <v>48.748990573619054</v>
      </c>
      <c r="O2224" s="1">
        <f t="shared" si="454"/>
        <v>2.9447316627891391</v>
      </c>
      <c r="P2224" s="1">
        <f t="shared" si="455"/>
        <v>1846.1750465289729</v>
      </c>
      <c r="S2224" s="6">
        <f t="shared" si="449"/>
        <v>0.51250430096404587</v>
      </c>
      <c r="T2224" s="6">
        <f t="shared" si="450"/>
        <v>0.48749569903595391</v>
      </c>
      <c r="V2224" s="1">
        <f t="shared" si="456"/>
        <v>201573.59997259878</v>
      </c>
      <c r="W2224" s="7">
        <f t="shared" si="457"/>
        <v>-2.8983063370371441E-3</v>
      </c>
      <c r="X2224" s="7">
        <f t="shared" si="458"/>
        <v>-2.1857419781003387E-3</v>
      </c>
      <c r="Y2224">
        <f>LN(B2224/B2223)</f>
        <v>-6.1128916101774004E-3</v>
      </c>
      <c r="Z2224">
        <f>LN(C2224/C2223)</f>
        <v>4.9236714187831905E-4</v>
      </c>
    </row>
    <row r="2225" spans="1:26" x14ac:dyDescent="0.3">
      <c r="A2225" s="9">
        <v>43461</v>
      </c>
      <c r="B2225" s="1">
        <v>35503.96</v>
      </c>
      <c r="C2225" s="1">
        <v>53.655902900000001</v>
      </c>
      <c r="D2225" s="6">
        <f t="shared" si="460"/>
        <v>4.1817383190627666E-3</v>
      </c>
      <c r="E2225" s="5">
        <f t="shared" si="459"/>
        <v>2.4619381362800397E-4</v>
      </c>
      <c r="G2225" s="25" t="str">
        <f>IF(VLOOKUP(A2225,Aux!B:C,2,FALSE)=0,"",VLOOKUP(A2225,Aux!B:C,2,FALSE))</f>
        <v/>
      </c>
      <c r="H2225" s="25" t="str">
        <f t="shared" si="448"/>
        <v/>
      </c>
      <c r="L2225" s="13">
        <f t="shared" si="451"/>
        <v>203607.82419936071</v>
      </c>
      <c r="M2225" s="14">
        <f t="shared" si="452"/>
        <v>435.37857634336996</v>
      </c>
      <c r="N2225" s="14">
        <f t="shared" si="453"/>
        <v>24.381510751989612</v>
      </c>
      <c r="O2225" s="1">
        <f t="shared" si="454"/>
        <v>2.9447316627891391</v>
      </c>
      <c r="P2225" s="1">
        <f t="shared" si="455"/>
        <v>1846.1750465289729</v>
      </c>
      <c r="S2225" s="6">
        <f t="shared" si="449"/>
        <v>0.51348535144715401</v>
      </c>
      <c r="T2225" s="6">
        <f t="shared" si="450"/>
        <v>0.48651464855284565</v>
      </c>
      <c r="V2225" s="1">
        <f t="shared" si="456"/>
        <v>201944.23978427239</v>
      </c>
      <c r="W2225" s="7">
        <f t="shared" si="457"/>
        <v>2.260620170984409E-3</v>
      </c>
      <c r="X2225" s="7">
        <f t="shared" si="458"/>
        <v>1.8370435177339647E-3</v>
      </c>
      <c r="Y2225">
        <f>LN(B2225/B2224)</f>
        <v>4.1730191504474132E-3</v>
      </c>
      <c r="Z2225">
        <f>LN(C2225/C2224)</f>
        <v>2.461635129042014E-4</v>
      </c>
    </row>
    <row r="2226" spans="1:26" x14ac:dyDescent="0.3">
      <c r="A2226" s="11">
        <v>43462</v>
      </c>
      <c r="B2226" s="12">
        <v>36491.42</v>
      </c>
      <c r="C2226" s="12">
        <v>53.669113199999998</v>
      </c>
      <c r="D2226" s="16">
        <f t="shared" si="460"/>
        <v>2.7812672163893826E-2</v>
      </c>
      <c r="E2226" s="15">
        <f t="shared" si="459"/>
        <v>2.4620403881048247E-4</v>
      </c>
      <c r="G2226" s="25">
        <f>IF(VLOOKUP(A2226,Aux!B:C,2,FALSE)=0,"",VLOOKUP(A2226,Aux!B:C,2,FALSE))</f>
        <v>0.5</v>
      </c>
      <c r="H2226" s="25">
        <f t="shared" si="448"/>
        <v>0.5</v>
      </c>
      <c r="L2226" s="13">
        <f t="shared" si="451"/>
        <v>206540.01745331564</v>
      </c>
      <c r="M2226" s="14">
        <f t="shared" si="452"/>
        <v>2907.8047277377609</v>
      </c>
      <c r="N2226" s="14">
        <f t="shared" si="453"/>
        <v>24.388526217156581</v>
      </c>
      <c r="O2226" s="1">
        <f t="shared" si="454"/>
        <v>2.8299805468424584</v>
      </c>
      <c r="P2226" s="1">
        <f t="shared" si="455"/>
        <v>1924.1981573613521</v>
      </c>
      <c r="S2226" s="6">
        <f t="shared" si="449"/>
        <v>0.5</v>
      </c>
      <c r="T2226" s="6">
        <f t="shared" si="450"/>
        <v>0.5</v>
      </c>
      <c r="V2226" s="1">
        <f t="shared" si="456"/>
        <v>204251.89773676425</v>
      </c>
      <c r="W2226" s="7">
        <f t="shared" si="457"/>
        <v>1.4298469538647213E-2</v>
      </c>
      <c r="X2226" s="7">
        <f t="shared" si="458"/>
        <v>1.1362406318769887E-2</v>
      </c>
      <c r="Y2226">
        <f>LN(B2226/B2225)</f>
        <v>2.7432924906381682E-2</v>
      </c>
      <c r="Z2226">
        <f>LN(C2226/C2225)</f>
        <v>2.4617373556987061E-4</v>
      </c>
    </row>
    <row r="2227" spans="1:26" x14ac:dyDescent="0.3">
      <c r="A2227" s="9">
        <v>43467</v>
      </c>
      <c r="B2227" s="1">
        <v>37744.230000000003</v>
      </c>
      <c r="C2227" s="1">
        <v>53.695541400000003</v>
      </c>
      <c r="D2227" s="6">
        <f t="shared" si="460"/>
        <v>3.4331631928820716E-2</v>
      </c>
      <c r="E2227" s="5">
        <f t="shared" si="459"/>
        <v>4.924284830554182E-4</v>
      </c>
      <c r="G2227" s="25" t="str">
        <f>IF(VLOOKUP(A2227,Aux!B:C,2,FALSE)=0,"",VLOOKUP(A2227,Aux!B:C,2,FALSE))</f>
        <v/>
      </c>
      <c r="H2227" s="25" t="str">
        <f t="shared" si="448"/>
        <v/>
      </c>
      <c r="L2227" s="13">
        <f t="shared" si="451"/>
        <v>210136.29847594775</v>
      </c>
      <c r="M2227" s="14">
        <f t="shared" si="452"/>
        <v>3545.4279288897142</v>
      </c>
      <c r="N2227" s="14">
        <f t="shared" si="453"/>
        <v>50.853093742387138</v>
      </c>
      <c r="O2227" s="1">
        <f t="shared" si="454"/>
        <v>2.8299805468424584</v>
      </c>
      <c r="P2227" s="1">
        <f t="shared" si="455"/>
        <v>1924.1981573613521</v>
      </c>
      <c r="S2227" s="6">
        <f t="shared" si="449"/>
        <v>0.50831501949090274</v>
      </c>
      <c r="T2227" s="6">
        <f t="shared" si="450"/>
        <v>0.49168498050909715</v>
      </c>
      <c r="V2227" s="1">
        <f t="shared" si="456"/>
        <v>207201.2976144118</v>
      </c>
      <c r="W2227" s="7">
        <f t="shared" si="457"/>
        <v>1.7262177796947675E-2</v>
      </c>
      <c r="X2227" s="7">
        <f t="shared" si="458"/>
        <v>1.4336748041718734E-2</v>
      </c>
      <c r="Y2227">
        <f>LN(B2227/B2226)</f>
        <v>3.3755451868150897E-2</v>
      </c>
      <c r="Z2227">
        <f>LN(C2227/C2226)</f>
        <v>4.9230727993756866E-4</v>
      </c>
    </row>
    <row r="2228" spans="1:26" x14ac:dyDescent="0.3">
      <c r="A2228" s="11">
        <v>43468</v>
      </c>
      <c r="B2228" s="12">
        <v>37975.699999999997</v>
      </c>
      <c r="C2228" s="12">
        <v>53.708763099999999</v>
      </c>
      <c r="D2228" s="16">
        <f t="shared" si="460"/>
        <v>6.1325929817614977E-3</v>
      </c>
      <c r="E2228" s="15">
        <f t="shared" si="459"/>
        <v>2.4623459704975481E-4</v>
      </c>
      <c r="G2228" s="25" t="str">
        <f>IF(VLOOKUP(A2228,Aux!B:C,2,FALSE)=0,"",VLOOKUP(A2228,Aux!B:C,2,FALSE))</f>
        <v/>
      </c>
      <c r="H2228" s="25" t="str">
        <f t="shared" si="448"/>
        <v/>
      </c>
      <c r="L2228" s="13">
        <f t="shared" si="451"/>
        <v>210816.79524390254</v>
      </c>
      <c r="M2228" s="14">
        <f t="shared" si="452"/>
        <v>655.0555971776065</v>
      </c>
      <c r="N2228" s="14">
        <f t="shared" si="453"/>
        <v>25.441170777175834</v>
      </c>
      <c r="O2228" s="1">
        <f t="shared" si="454"/>
        <v>2.8299805468424584</v>
      </c>
      <c r="P2228" s="1">
        <f t="shared" si="455"/>
        <v>1924.1981573613521</v>
      </c>
      <c r="S2228" s="6">
        <f t="shared" si="449"/>
        <v>0.50978145326793411</v>
      </c>
      <c r="T2228" s="6">
        <f t="shared" si="450"/>
        <v>0.49021854673206577</v>
      </c>
      <c r="V2228" s="1">
        <f t="shared" si="456"/>
        <v>207764.88569554203</v>
      </c>
      <c r="W2228" s="7">
        <f t="shared" si="457"/>
        <v>3.2331267824491756E-3</v>
      </c>
      <c r="X2228" s="7">
        <f t="shared" si="458"/>
        <v>2.7163101492440242E-3</v>
      </c>
      <c r="Y2228">
        <f>LN(B2228/B2227)</f>
        <v>6.1138651611537627E-3</v>
      </c>
      <c r="Z2228">
        <f>LN(C2228/C2227)</f>
        <v>2.4620428628696622E-4</v>
      </c>
    </row>
    <row r="2229" spans="1:26" x14ac:dyDescent="0.3">
      <c r="A2229" s="9">
        <v>43469</v>
      </c>
      <c r="B2229" s="1">
        <v>38060.75</v>
      </c>
      <c r="C2229" s="1">
        <v>53.721984900000002</v>
      </c>
      <c r="D2229" s="6">
        <f t="shared" si="460"/>
        <v>2.2395900536396063E-3</v>
      </c>
      <c r="E2229" s="5">
        <f t="shared" si="459"/>
        <v>2.4617584239261525E-4</v>
      </c>
      <c r="G2229" s="25" t="str">
        <f>IF(VLOOKUP(A2229,Aux!B:C,2,FALSE)=0,"",VLOOKUP(A2229,Aux!B:C,2,FALSE))</f>
        <v/>
      </c>
      <c r="H2229" s="25" t="str">
        <f t="shared" si="448"/>
        <v/>
      </c>
      <c r="L2229" s="13">
        <f t="shared" si="451"/>
        <v>211082.92645260849</v>
      </c>
      <c r="M2229" s="14">
        <f t="shared" si="452"/>
        <v>240.68984550895931</v>
      </c>
      <c r="N2229" s="14">
        <f t="shared" si="453"/>
        <v>25.441363197007494</v>
      </c>
      <c r="O2229" s="1">
        <f t="shared" si="454"/>
        <v>2.8299805468424584</v>
      </c>
      <c r="P2229" s="1">
        <f t="shared" si="455"/>
        <v>1924.1981573613521</v>
      </c>
      <c r="S2229" s="6">
        <f t="shared" si="449"/>
        <v>0.51027898801856431</v>
      </c>
      <c r="T2229" s="6">
        <f t="shared" si="450"/>
        <v>0.48972101198143569</v>
      </c>
      <c r="V2229" s="1">
        <f t="shared" si="456"/>
        <v>207990.67793858651</v>
      </c>
      <c r="W2229" s="7">
        <f t="shared" si="457"/>
        <v>1.2615853024676342E-3</v>
      </c>
      <c r="X2229" s="7">
        <f t="shared" si="458"/>
        <v>1.0861779612503022E-3</v>
      </c>
      <c r="Y2229">
        <f>LN(B2229/B2228)</f>
        <v>2.2370859099752984E-3</v>
      </c>
      <c r="Z2229">
        <f>LN(C2229/C2228)</f>
        <v>2.461455460919693E-4</v>
      </c>
    </row>
    <row r="2230" spans="1:26" x14ac:dyDescent="0.3">
      <c r="A2230" s="11">
        <v>43472</v>
      </c>
      <c r="B2230" s="12">
        <v>37985.82</v>
      </c>
      <c r="C2230" s="12">
        <v>53.7352104</v>
      </c>
      <c r="D2230" s="16">
        <f t="shared" si="460"/>
        <v>-1.9686947839966384E-3</v>
      </c>
      <c r="E2230" s="15">
        <f t="shared" si="459"/>
        <v>2.461841278689203E-4</v>
      </c>
      <c r="G2230" s="25" t="str">
        <f>IF(VLOOKUP(A2230,Aux!B:C,2,FALSE)=0,"",VLOOKUP(A2230,Aux!B:C,2,FALSE))</f>
        <v/>
      </c>
      <c r="H2230" s="25" t="str">
        <f t="shared" si="448"/>
        <v/>
      </c>
      <c r="L2230" s="13">
        <f t="shared" si="451"/>
        <v>210896.32449296376</v>
      </c>
      <c r="M2230" s="14">
        <f t="shared" si="452"/>
        <v>-212.05044237490623</v>
      </c>
      <c r="N2230" s="14">
        <f t="shared" si="453"/>
        <v>25.448482730177222</v>
      </c>
      <c r="O2230" s="1">
        <f t="shared" si="454"/>
        <v>2.8299805468424584</v>
      </c>
      <c r="P2230" s="1">
        <f t="shared" si="455"/>
        <v>1924.1981573613521</v>
      </c>
      <c r="S2230" s="6">
        <f t="shared" si="449"/>
        <v>0.5097250125828805</v>
      </c>
      <c r="T2230" s="6">
        <f t="shared" si="450"/>
        <v>0.49027498741711956</v>
      </c>
      <c r="V2230" s="1">
        <f t="shared" si="456"/>
        <v>207847.39900289077</v>
      </c>
      <c r="W2230" s="7">
        <f t="shared" si="457"/>
        <v>-8.8441301978574305E-4</v>
      </c>
      <c r="X2230" s="7">
        <f t="shared" si="458"/>
        <v>-6.8910929186425133E-4</v>
      </c>
      <c r="Y2230">
        <f>LN(B2230/B2229)</f>
        <v>-1.9706352107298169E-3</v>
      </c>
      <c r="Z2230">
        <f>LN(C2230/C2229)</f>
        <v>2.461538295290579E-4</v>
      </c>
    </row>
    <row r="2231" spans="1:26" x14ac:dyDescent="0.3">
      <c r="A2231" s="9">
        <v>43473</v>
      </c>
      <c r="B2231" s="1">
        <v>38106.81</v>
      </c>
      <c r="C2231" s="1">
        <v>53.7484398</v>
      </c>
      <c r="D2231" s="6">
        <f t="shared" si="460"/>
        <v>3.185135927038063E-3</v>
      </c>
      <c r="E2231" s="5">
        <f t="shared" si="459"/>
        <v>2.4619611427079136E-4</v>
      </c>
      <c r="G2231" s="25" t="str">
        <f>IF(VLOOKUP(A2231,Aux!B:C,2,FALSE)=0,"",VLOOKUP(A2231,Aux!B:C,2,FALSE))</f>
        <v/>
      </c>
      <c r="H2231" s="25" t="str">
        <f t="shared" si="448"/>
        <v/>
      </c>
      <c r="L2231" s="13">
        <f t="shared" si="451"/>
        <v>211264.1798264292</v>
      </c>
      <c r="M2231" s="14">
        <f t="shared" si="452"/>
        <v>342.39934636246329</v>
      </c>
      <c r="N2231" s="14">
        <f t="shared" si="453"/>
        <v>25.455987102996595</v>
      </c>
      <c r="O2231" s="1">
        <f t="shared" si="454"/>
        <v>2.8299805468424584</v>
      </c>
      <c r="P2231" s="1">
        <f t="shared" si="455"/>
        <v>1924.1981573613521</v>
      </c>
      <c r="S2231" s="6">
        <f t="shared" si="449"/>
        <v>0.51045819073930232</v>
      </c>
      <c r="T2231" s="6">
        <f t="shared" si="450"/>
        <v>0.48954180926069779</v>
      </c>
      <c r="V2231" s="1">
        <f t="shared" si="456"/>
        <v>208156.12308532989</v>
      </c>
      <c r="W2231" s="7">
        <f t="shared" si="457"/>
        <v>1.7427278146713778E-3</v>
      </c>
      <c r="X2231" s="7">
        <f t="shared" si="458"/>
        <v>1.4842381024325654E-3</v>
      </c>
      <c r="Y2231">
        <f>LN(B2231/B2230)</f>
        <v>3.1800741271003578E-3</v>
      </c>
      <c r="Z2231">
        <f>LN(C2231/C2230)</f>
        <v>2.4616581298072155E-4</v>
      </c>
    </row>
    <row r="2232" spans="1:26" x14ac:dyDescent="0.3">
      <c r="A2232" s="11">
        <v>43474</v>
      </c>
      <c r="B2232" s="12">
        <v>38745.85</v>
      </c>
      <c r="C2232" s="12">
        <v>53.761673000000002</v>
      </c>
      <c r="D2232" s="16">
        <f t="shared" si="460"/>
        <v>1.6769705992183637E-2</v>
      </c>
      <c r="E2232" s="15">
        <f t="shared" si="459"/>
        <v>2.4620621638948847E-4</v>
      </c>
      <c r="G2232" s="25" t="str">
        <f>IF(VLOOKUP(A2232,Aux!B:C,2,FALSE)=0,"",VLOOKUP(A2232,Aux!B:C,2,FALSE))</f>
        <v/>
      </c>
      <c r="H2232" s="25" t="str">
        <f t="shared" si="448"/>
        <v/>
      </c>
      <c r="L2232" s="13">
        <f t="shared" si="451"/>
        <v>213098.11389413939</v>
      </c>
      <c r="M2232" s="14">
        <f t="shared" si="452"/>
        <v>1808.4707686542072</v>
      </c>
      <c r="N2232" s="14">
        <f t="shared" si="453"/>
        <v>25.463299055997982</v>
      </c>
      <c r="O2232" s="1">
        <f t="shared" si="454"/>
        <v>2.8299805468424584</v>
      </c>
      <c r="P2232" s="1">
        <f t="shared" si="455"/>
        <v>1924.1981573613521</v>
      </c>
      <c r="S2232" s="6">
        <f t="shared" si="449"/>
        <v>0.51455172346267986</v>
      </c>
      <c r="T2232" s="6">
        <f t="shared" si="450"/>
        <v>0.48544827653732026</v>
      </c>
      <c r="V2232" s="1">
        <f t="shared" si="456"/>
        <v>209660.01514035833</v>
      </c>
      <c r="W2232" s="7">
        <f t="shared" si="457"/>
        <v>8.6433008402925938E-3</v>
      </c>
      <c r="X2232" s="7">
        <f t="shared" si="458"/>
        <v>7.1988533336879417E-3</v>
      </c>
      <c r="Y2232">
        <f>LN(B2232/B2231)</f>
        <v>1.6630646971876668E-2</v>
      </c>
      <c r="Z2232">
        <f>LN(C2232/C2231)</f>
        <v>2.4617591261287747E-4</v>
      </c>
    </row>
    <row r="2233" spans="1:26" x14ac:dyDescent="0.3">
      <c r="A2233" s="9">
        <v>43475</v>
      </c>
      <c r="B2233" s="1">
        <v>38840.21</v>
      </c>
      <c r="C2233" s="1">
        <v>53.774909999999998</v>
      </c>
      <c r="D2233" s="6">
        <f t="shared" si="460"/>
        <v>2.4353575931357341E-3</v>
      </c>
      <c r="E2233" s="5">
        <f t="shared" si="459"/>
        <v>2.4621629613341689E-4</v>
      </c>
      <c r="G2233" s="25" t="str">
        <f>IF(VLOOKUP(A2233,Aux!B:C,2,FALSE)=0,"",VLOOKUP(A2233,Aux!B:C,2,FALSE))</f>
        <v/>
      </c>
      <c r="H2233" s="25" t="str">
        <f t="shared" si="448"/>
        <v/>
      </c>
      <c r="L2233" s="13">
        <f t="shared" si="451"/>
        <v>213390.62146954844</v>
      </c>
      <c r="M2233" s="14">
        <f t="shared" si="452"/>
        <v>267.03696440005604</v>
      </c>
      <c r="N2233" s="14">
        <f t="shared" si="453"/>
        <v>25.470611008985699</v>
      </c>
      <c r="O2233" s="1">
        <f t="shared" si="454"/>
        <v>2.8299805468424584</v>
      </c>
      <c r="P2233" s="1">
        <f t="shared" si="455"/>
        <v>1924.1981573613521</v>
      </c>
      <c r="S2233" s="6">
        <f t="shared" si="449"/>
        <v>0.5150977956684073</v>
      </c>
      <c r="T2233" s="6">
        <f t="shared" si="450"/>
        <v>0.48490220433159276</v>
      </c>
      <c r="V2233" s="1">
        <f t="shared" si="456"/>
        <v>209907.31988348177</v>
      </c>
      <c r="W2233" s="7">
        <f t="shared" si="457"/>
        <v>1.3717015105870862E-3</v>
      </c>
      <c r="X2233" s="7">
        <f t="shared" si="458"/>
        <v>1.178856174536872E-3</v>
      </c>
      <c r="Y2233">
        <f>LN(B2233/B2232)</f>
        <v>2.4323969157303729E-3</v>
      </c>
      <c r="Z2233">
        <f>LN(C2233/C2232)</f>
        <v>2.4618598987567037E-4</v>
      </c>
    </row>
    <row r="2234" spans="1:26" x14ac:dyDescent="0.3">
      <c r="A2234" s="11">
        <v>43476</v>
      </c>
      <c r="B2234" s="12">
        <v>38808.61</v>
      </c>
      <c r="C2234" s="12">
        <v>53.788150799999997</v>
      </c>
      <c r="D2234" s="16">
        <f t="shared" si="460"/>
        <v>-8.1358983383450489E-4</v>
      </c>
      <c r="E2234" s="15">
        <f t="shared" si="459"/>
        <v>2.4622635351678746E-4</v>
      </c>
      <c r="G2234" s="25" t="str">
        <f>IF(VLOOKUP(A2234,Aux!B:C,2,FALSE)=0,"",VLOOKUP(A2234,Aux!B:C,2,FALSE))</f>
        <v/>
      </c>
      <c r="H2234" s="25" t="str">
        <f t="shared" si="448"/>
        <v/>
      </c>
      <c r="L2234" s="13">
        <f t="shared" si="451"/>
        <v>213326.6720072302</v>
      </c>
      <c r="M2234" s="14">
        <f t="shared" si="452"/>
        <v>-89.427385280217564</v>
      </c>
      <c r="N2234" s="14">
        <f t="shared" si="453"/>
        <v>25.477922961987087</v>
      </c>
      <c r="O2234" s="1">
        <f t="shared" si="454"/>
        <v>2.8299805468424584</v>
      </c>
      <c r="P2234" s="1">
        <f t="shared" si="455"/>
        <v>1924.1981573613521</v>
      </c>
      <c r="S2234" s="6">
        <f t="shared" si="449"/>
        <v>0.51483300384620145</v>
      </c>
      <c r="T2234" s="6">
        <f t="shared" si="450"/>
        <v>0.48516699615379871</v>
      </c>
      <c r="V2234" s="1">
        <f t="shared" si="456"/>
        <v>209864.03900160419</v>
      </c>
      <c r="W2234" s="7">
        <f t="shared" si="457"/>
        <v>-2.9972754221388735E-4</v>
      </c>
      <c r="X2234" s="7">
        <f t="shared" si="458"/>
        <v>-2.0621169650979134E-4</v>
      </c>
      <c r="Y2234">
        <f>LN(B2234/B2233)</f>
        <v>-8.1392097766571682E-4</v>
      </c>
      <c r="Z2234">
        <f>LN(C2234/C2233)</f>
        <v>2.4619604478330826E-4</v>
      </c>
    </row>
    <row r="2235" spans="1:26" x14ac:dyDescent="0.3">
      <c r="A2235" s="9">
        <v>43479</v>
      </c>
      <c r="B2235" s="1">
        <v>39159.599999999999</v>
      </c>
      <c r="C2235" s="1">
        <v>53.801391600000002</v>
      </c>
      <c r="D2235" s="6">
        <f t="shared" si="460"/>
        <v>9.0441270635561732E-3</v>
      </c>
      <c r="E2235" s="5">
        <f t="shared" si="459"/>
        <v>2.4616574102420685E-4</v>
      </c>
      <c r="G2235" s="25" t="str">
        <f>IF(VLOOKUP(A2235,Aux!B:C,2,FALSE)=0,"",VLOOKUP(A2235,Aux!B:C,2,FALSE))</f>
        <v/>
      </c>
      <c r="H2235" s="25" t="str">
        <f t="shared" si="448"/>
        <v/>
      </c>
      <c r="L2235" s="13">
        <f t="shared" si="451"/>
        <v>214345.44480232842</v>
      </c>
      <c r="M2235" s="14">
        <f t="shared" si="452"/>
        <v>993.29487213622872</v>
      </c>
      <c r="N2235" s="14">
        <f t="shared" si="453"/>
        <v>25.477922962000758</v>
      </c>
      <c r="O2235" s="1">
        <f t="shared" si="454"/>
        <v>2.8299805468424584</v>
      </c>
      <c r="P2235" s="1">
        <f t="shared" si="455"/>
        <v>1924.1981573613521</v>
      </c>
      <c r="S2235" s="6">
        <f t="shared" si="449"/>
        <v>0.51702011360368361</v>
      </c>
      <c r="T2235" s="6">
        <f t="shared" si="450"/>
        <v>0.48297988639631662</v>
      </c>
      <c r="V2235" s="1">
        <f t="shared" si="456"/>
        <v>210703.40663279645</v>
      </c>
      <c r="W2235" s="7">
        <f t="shared" si="457"/>
        <v>4.7642793724158496E-3</v>
      </c>
      <c r="X2235" s="7">
        <f t="shared" si="458"/>
        <v>3.9916011301719123E-3</v>
      </c>
      <c r="Y2235">
        <f>LN(B2235/B2234)</f>
        <v>9.0034738775865396E-3</v>
      </c>
      <c r="Z2235">
        <f>LN(C2235/C2234)</f>
        <v>2.4613544720961079E-4</v>
      </c>
    </row>
    <row r="2236" spans="1:26" x14ac:dyDescent="0.3">
      <c r="A2236" s="11">
        <v>43480</v>
      </c>
      <c r="B2236" s="12">
        <v>39003.67</v>
      </c>
      <c r="C2236" s="12">
        <v>53.814636200000002</v>
      </c>
      <c r="D2236" s="16">
        <f t="shared" si="460"/>
        <v>-3.9819099275784087E-3</v>
      </c>
      <c r="E2236" s="15">
        <f t="shared" si="459"/>
        <v>2.4617578850882893E-4</v>
      </c>
      <c r="G2236" s="25" t="str">
        <f>IF(VLOOKUP(A2236,Aux!B:C,2,FALSE)=0,"",VLOOKUP(A2236,Aux!B:C,2,FALSE))</f>
        <v/>
      </c>
      <c r="H2236" s="25" t="str">
        <f t="shared" si="448"/>
        <v/>
      </c>
      <c r="L2236" s="13">
        <f t="shared" si="451"/>
        <v>213929.65117057427</v>
      </c>
      <c r="M2236" s="14">
        <f t="shared" si="452"/>
        <v>-441.27886666914537</v>
      </c>
      <c r="N2236" s="14">
        <f t="shared" si="453"/>
        <v>25.485234914988474</v>
      </c>
      <c r="O2236" s="1">
        <f t="shared" si="454"/>
        <v>2.8299805468424584</v>
      </c>
      <c r="P2236" s="1">
        <f t="shared" si="455"/>
        <v>1924.1981573613521</v>
      </c>
      <c r="S2236" s="6">
        <f t="shared" si="449"/>
        <v>0.51596226493845354</v>
      </c>
      <c r="T2236" s="6">
        <f t="shared" si="450"/>
        <v>0.48403773506154663</v>
      </c>
      <c r="V2236" s="1">
        <f t="shared" si="456"/>
        <v>210373.30059293553</v>
      </c>
      <c r="W2236" s="7">
        <f t="shared" si="457"/>
        <v>-1.9417134748253321E-3</v>
      </c>
      <c r="X2236" s="7">
        <f t="shared" si="458"/>
        <v>-1.5679143577536599E-3</v>
      </c>
      <c r="Y2236">
        <f>LN(B2236/B2235)</f>
        <v>-3.9898588391642292E-3</v>
      </c>
      <c r="Z2236">
        <f>LN(C2236/C2235)</f>
        <v>2.4614549222144462E-4</v>
      </c>
    </row>
    <row r="2237" spans="1:26" x14ac:dyDescent="0.3">
      <c r="A2237" s="9">
        <v>43481</v>
      </c>
      <c r="B2237" s="1">
        <v>39142.980000000003</v>
      </c>
      <c r="C2237" s="1">
        <v>53.8278885</v>
      </c>
      <c r="D2237" s="6">
        <f t="shared" si="460"/>
        <v>3.5717151744951714E-3</v>
      </c>
      <c r="E2237" s="5">
        <f t="shared" si="459"/>
        <v>2.4625828465607569E-4</v>
      </c>
      <c r="G2237" s="25" t="str">
        <f>IF(VLOOKUP(A2237,Aux!B:C,2,FALSE)=0,"",VLOOKUP(A2237,Aux!B:C,2,FALSE))</f>
        <v/>
      </c>
      <c r="H2237" s="25" t="str">
        <f t="shared" si="448"/>
        <v/>
      </c>
      <c r="L2237" s="13">
        <f t="shared" si="451"/>
        <v>214349.39581179569</v>
      </c>
      <c r="M2237" s="14">
        <f t="shared" si="452"/>
        <v>394.24458998063687</v>
      </c>
      <c r="N2237" s="14">
        <f t="shared" si="453"/>
        <v>25.500051240795564</v>
      </c>
      <c r="O2237" s="1">
        <f t="shared" si="454"/>
        <v>2.8299805468424584</v>
      </c>
      <c r="P2237" s="1">
        <f t="shared" si="455"/>
        <v>1924.1981573613521</v>
      </c>
      <c r="S2237" s="6">
        <f t="shared" si="449"/>
        <v>0.51679115551464272</v>
      </c>
      <c r="T2237" s="6">
        <f t="shared" si="450"/>
        <v>0.48320884448535745</v>
      </c>
      <c r="V2237" s="1">
        <f t="shared" si="456"/>
        <v>210724.34078654507</v>
      </c>
      <c r="W2237" s="7">
        <f t="shared" si="457"/>
        <v>1.9601462110893889E-3</v>
      </c>
      <c r="X2237" s="7">
        <f t="shared" si="458"/>
        <v>1.6672630783542369E-3</v>
      </c>
      <c r="Y2237">
        <f>LN(B2237/B2236)</f>
        <v>3.5653517475822396E-3</v>
      </c>
      <c r="Z2237">
        <f>LN(C2237/C2236)</f>
        <v>2.4622796806173436E-4</v>
      </c>
    </row>
    <row r="2238" spans="1:26" x14ac:dyDescent="0.3">
      <c r="A2238" s="11">
        <v>43482</v>
      </c>
      <c r="B2238" s="12">
        <v>39525.99</v>
      </c>
      <c r="C2238" s="12">
        <v>53.841140699999997</v>
      </c>
      <c r="D2238" s="16">
        <f t="shared" si="460"/>
        <v>9.7848962955808805E-3</v>
      </c>
      <c r="E2238" s="15">
        <f t="shared" si="459"/>
        <v>2.4619579867035668E-4</v>
      </c>
      <c r="G2238" s="25" t="str">
        <f>IF(VLOOKUP(A2238,Aux!B:C,2,FALSE)=0,"",VLOOKUP(A2238,Aux!B:C,2,FALSE))</f>
        <v/>
      </c>
      <c r="H2238" s="25" t="str">
        <f t="shared" si="448"/>
        <v/>
      </c>
      <c r="L2238" s="13">
        <f t="shared" si="451"/>
        <v>215458.80651986279</v>
      </c>
      <c r="M2238" s="14">
        <f t="shared" si="452"/>
        <v>1083.910849246115</v>
      </c>
      <c r="N2238" s="14">
        <f t="shared" si="453"/>
        <v>25.499858820977579</v>
      </c>
      <c r="O2238" s="1">
        <f t="shared" si="454"/>
        <v>2.8299805468424584</v>
      </c>
      <c r="P2238" s="1">
        <f t="shared" si="455"/>
        <v>1924.1981573613521</v>
      </c>
      <c r="S2238" s="6">
        <f t="shared" si="449"/>
        <v>0.51916087627811847</v>
      </c>
      <c r="T2238" s="6">
        <f t="shared" si="450"/>
        <v>0.48083912372188176</v>
      </c>
      <c r="V2238" s="1">
        <f t="shared" si="456"/>
        <v>211637.60518111294</v>
      </c>
      <c r="W2238" s="7">
        <f t="shared" si="457"/>
        <v>5.1623638909817889E-3</v>
      </c>
      <c r="X2238" s="7">
        <f t="shared" si="458"/>
        <v>4.324564874267231E-3</v>
      </c>
      <c r="Y2238">
        <f>LN(B2238/B2237)</f>
        <v>9.7373342062213094E-3</v>
      </c>
      <c r="Z2238">
        <f>LN(C2238/C2237)</f>
        <v>2.461654974579673E-4</v>
      </c>
    </row>
    <row r="2239" spans="1:26" x14ac:dyDescent="0.3">
      <c r="A2239" s="9">
        <v>43483</v>
      </c>
      <c r="B2239" s="1">
        <v>39822.089999999997</v>
      </c>
      <c r="C2239" s="1">
        <v>53.854393000000002</v>
      </c>
      <c r="D2239" s="6">
        <f t="shared" si="460"/>
        <v>7.4912734633592049E-3</v>
      </c>
      <c r="E2239" s="5">
        <f t="shared" si="459"/>
        <v>2.4613705853382406E-4</v>
      </c>
      <c r="G2239" s="25" t="str">
        <f>IF(VLOOKUP(A2239,Aux!B:C,2,FALSE)=0,"",VLOOKUP(A2239,Aux!B:C,2,FALSE))</f>
        <v/>
      </c>
      <c r="H2239" s="25" t="str">
        <f t="shared" si="448"/>
        <v/>
      </c>
      <c r="L2239" s="13">
        <f t="shared" si="451"/>
        <v>216322.26381102364</v>
      </c>
      <c r="M2239" s="14">
        <f t="shared" si="452"/>
        <v>837.95723992004775</v>
      </c>
      <c r="N2239" s="14">
        <f t="shared" si="453"/>
        <v>25.500051240809235</v>
      </c>
      <c r="O2239" s="1">
        <f t="shared" si="454"/>
        <v>2.8299805468424584</v>
      </c>
      <c r="P2239" s="1">
        <f t="shared" si="455"/>
        <v>1924.1981573613521</v>
      </c>
      <c r="S2239" s="6">
        <f t="shared" si="449"/>
        <v>0.52096228122436405</v>
      </c>
      <c r="T2239" s="6">
        <f t="shared" si="450"/>
        <v>0.47903771877563611</v>
      </c>
      <c r="V2239" s="1">
        <f t="shared" si="456"/>
        <v>212350.36538926599</v>
      </c>
      <c r="W2239" s="7">
        <f t="shared" si="457"/>
        <v>3.999519670923872E-3</v>
      </c>
      <c r="X2239" s="7">
        <f t="shared" si="458"/>
        <v>3.3621750099528279E-3</v>
      </c>
      <c r="Y2239">
        <f>LN(B2239/B2238)</f>
        <v>7.4633532263597658E-3</v>
      </c>
      <c r="Z2239">
        <f>LN(C2239/C2238)</f>
        <v>2.4610677177772566E-4</v>
      </c>
    </row>
    <row r="2240" spans="1:26" x14ac:dyDescent="0.3">
      <c r="A2240" s="11">
        <v>43486</v>
      </c>
      <c r="B2240" s="12">
        <v>39785.949999999997</v>
      </c>
      <c r="C2240" s="12">
        <v>53.867652900000003</v>
      </c>
      <c r="D2240" s="16">
        <f t="shared" si="460"/>
        <v>-9.0753649544761394E-4</v>
      </c>
      <c r="E2240" s="15">
        <f t="shared" si="459"/>
        <v>2.4621761125409591E-4</v>
      </c>
      <c r="G2240" s="25" t="str">
        <f>IF(VLOOKUP(A2240,Aux!B:C,2,FALSE)=0,"",VLOOKUP(A2240,Aux!B:C,2,FALSE))</f>
        <v/>
      </c>
      <c r="H2240" s="25" t="str">
        <f t="shared" si="448"/>
        <v/>
      </c>
      <c r="L2240" s="13">
        <f t="shared" si="451"/>
        <v>216245.50298920757</v>
      </c>
      <c r="M2240" s="14">
        <f t="shared" si="452"/>
        <v>-102.2754969628848</v>
      </c>
      <c r="N2240" s="14">
        <f t="shared" si="453"/>
        <v>25.514675146798339</v>
      </c>
      <c r="O2240" s="1">
        <f t="shared" si="454"/>
        <v>2.8299805468424584</v>
      </c>
      <c r="P2240" s="1">
        <f t="shared" si="455"/>
        <v>1924.1981573613521</v>
      </c>
      <c r="S2240" s="6">
        <f t="shared" si="449"/>
        <v>0.52067424746985858</v>
      </c>
      <c r="T2240" s="6">
        <f t="shared" si="450"/>
        <v>0.47932575253014159</v>
      </c>
      <c r="V2240" s="1">
        <f t="shared" si="456"/>
        <v>212296.65329780837</v>
      </c>
      <c r="W2240" s="7">
        <f t="shared" si="457"/>
        <v>-3.549077324444031E-4</v>
      </c>
      <c r="X2240" s="7">
        <f t="shared" si="458"/>
        <v>-2.5297288986105812E-4</v>
      </c>
      <c r="Y2240">
        <f>LN(B2240/B2239)</f>
        <v>-9.0794855601843323E-4</v>
      </c>
      <c r="Z2240">
        <f>LN(C2240/C2239)</f>
        <v>2.4618730467262408E-4</v>
      </c>
    </row>
    <row r="2241" spans="1:26" x14ac:dyDescent="0.3">
      <c r="A2241" s="9">
        <v>43487</v>
      </c>
      <c r="B2241" s="1">
        <v>39429.800000000003</v>
      </c>
      <c r="C2241" s="1">
        <v>53.880916599999999</v>
      </c>
      <c r="D2241" s="6">
        <f t="shared" si="460"/>
        <v>-8.9516525306042594E-3</v>
      </c>
      <c r="E2241" s="5">
        <f t="shared" si="459"/>
        <v>2.4622754632774857E-4</v>
      </c>
      <c r="G2241" s="25" t="str">
        <f>IF(VLOOKUP(A2241,Aux!B:C,2,FALSE)=0,"",VLOOKUP(A2241,Aux!B:C,2,FALSE))</f>
        <v/>
      </c>
      <c r="H2241" s="25" t="str">
        <f t="shared" si="448"/>
        <v/>
      </c>
      <c r="L2241" s="13">
        <f t="shared" si="451"/>
        <v>215263.12740454942</v>
      </c>
      <c r="M2241" s="14">
        <f t="shared" si="452"/>
        <v>-1007.8975717579251</v>
      </c>
      <c r="N2241" s="14">
        <f t="shared" si="453"/>
        <v>25.521987099786053</v>
      </c>
      <c r="O2241" s="1">
        <f t="shared" si="454"/>
        <v>2.8299805468424584</v>
      </c>
      <c r="P2241" s="1">
        <f t="shared" si="455"/>
        <v>1924.1981573613521</v>
      </c>
      <c r="S2241" s="6">
        <f t="shared" si="449"/>
        <v>0.51836823292167078</v>
      </c>
      <c r="T2241" s="6">
        <f t="shared" si="450"/>
        <v>0.48163176707832939</v>
      </c>
      <c r="V2241" s="1">
        <f t="shared" si="456"/>
        <v>211504.67544344443</v>
      </c>
      <c r="W2241" s="7">
        <f t="shared" si="457"/>
        <v>-4.5532219411916529E-3</v>
      </c>
      <c r="X2241" s="7">
        <f t="shared" si="458"/>
        <v>-3.737500203872166E-3</v>
      </c>
      <c r="Y2241">
        <f>LN(B2241/B2240)</f>
        <v>-8.991959293843289E-3</v>
      </c>
      <c r="Z2241">
        <f>LN(C2241/C2240)</f>
        <v>2.4619723730063945E-4</v>
      </c>
    </row>
    <row r="2242" spans="1:26" x14ac:dyDescent="0.3">
      <c r="A2242" s="11">
        <v>43488</v>
      </c>
      <c r="B2242" s="12">
        <v>40007.4</v>
      </c>
      <c r="C2242" s="12">
        <v>53.894180300000002</v>
      </c>
      <c r="D2242" s="16">
        <f t="shared" si="460"/>
        <v>1.4648818913613582E-2</v>
      </c>
      <c r="E2242" s="15">
        <f t="shared" si="459"/>
        <v>2.4616693324785999E-4</v>
      </c>
      <c r="G2242" s="25" t="str">
        <f>IF(VLOOKUP(A2242,Aux!B:C,2,FALSE)=0,"",VLOOKUP(A2242,Aux!B:C,2,FALSE))</f>
        <v/>
      </c>
      <c r="H2242" s="25" t="str">
        <f t="shared" si="448"/>
        <v/>
      </c>
      <c r="L2242" s="13">
        <f t="shared" si="451"/>
        <v>216923.24615550545</v>
      </c>
      <c r="M2242" s="14">
        <f t="shared" si="452"/>
        <v>1634.5967638561999</v>
      </c>
      <c r="N2242" s="14">
        <f t="shared" si="453"/>
        <v>25.521987099799727</v>
      </c>
      <c r="O2242" s="1">
        <f t="shared" si="454"/>
        <v>2.8299805468424584</v>
      </c>
      <c r="P2242" s="1">
        <f t="shared" si="455"/>
        <v>1924.1981573613521</v>
      </c>
      <c r="S2242" s="6">
        <f t="shared" si="449"/>
        <v>0.52193651780676842</v>
      </c>
      <c r="T2242" s="6">
        <f t="shared" si="450"/>
        <v>0.47806348219323164</v>
      </c>
      <c r="V2242" s="1">
        <f t="shared" si="456"/>
        <v>212866.89150183025</v>
      </c>
      <c r="W2242" s="7">
        <f t="shared" si="457"/>
        <v>7.6824583908718666E-3</v>
      </c>
      <c r="X2242" s="7">
        <f t="shared" si="458"/>
        <v>6.4199434797637357E-3</v>
      </c>
      <c r="Y2242">
        <f>LN(B2242/B2241)</f>
        <v>1.4542561406864673E-2</v>
      </c>
      <c r="Z2242">
        <f>LN(C2242/C2241)</f>
        <v>2.4613663913985079E-4</v>
      </c>
    </row>
    <row r="2243" spans="1:26" x14ac:dyDescent="0.3">
      <c r="A2243" s="9">
        <v>43489</v>
      </c>
      <c r="B2243" s="1">
        <v>40481.81</v>
      </c>
      <c r="C2243" s="1">
        <v>53.907451600000002</v>
      </c>
      <c r="D2243" s="6">
        <f t="shared" si="460"/>
        <v>1.1858056259591798E-2</v>
      </c>
      <c r="E2243" s="5">
        <f t="shared" si="459"/>
        <v>2.4624736708345196E-4</v>
      </c>
      <c r="G2243" s="25" t="str">
        <f>IF(VLOOKUP(A2243,Aux!B:C,2,FALSE)=0,"",VLOOKUP(A2243,Aux!B:C,2,FALSE))</f>
        <v/>
      </c>
      <c r="H2243" s="25" t="str">
        <f t="shared" ref="H2243:H2306" si="461">IF(ISNUMBER(G2243),1-G2243,"")</f>
        <v/>
      </c>
      <c r="L2243" s="13">
        <f t="shared" si="451"/>
        <v>218291.35383773874</v>
      </c>
      <c r="M2243" s="14">
        <f t="shared" si="452"/>
        <v>1342.57107122752</v>
      </c>
      <c r="N2243" s="14">
        <f t="shared" si="453"/>
        <v>25.536611005788831</v>
      </c>
      <c r="O2243" s="1">
        <f t="shared" si="454"/>
        <v>2.8299805468424584</v>
      </c>
      <c r="P2243" s="1">
        <f t="shared" si="455"/>
        <v>1924.1981573613521</v>
      </c>
      <c r="S2243" s="6">
        <f t="shared" ref="S2243:S2306" si="462">O2243*B2243/L2243</f>
        <v>0.52481572351294203</v>
      </c>
      <c r="T2243" s="6">
        <f t="shared" ref="T2243:T2306" si="463">P2243*C2243/L2243</f>
        <v>0.47518427648705808</v>
      </c>
      <c r="V2243" s="1">
        <f t="shared" si="456"/>
        <v>213991.06162281724</v>
      </c>
      <c r="W2243" s="7">
        <f t="shared" si="457"/>
        <v>6.2870693616976997E-3</v>
      </c>
      <c r="X2243" s="7">
        <f t="shared" si="458"/>
        <v>5.2671981945265171E-3</v>
      </c>
      <c r="Y2243">
        <f>LN(B2243/B2242)</f>
        <v>1.1788300414782552E-2</v>
      </c>
      <c r="Z2243">
        <f>LN(C2243/C2242)</f>
        <v>2.4621705317693184E-4</v>
      </c>
    </row>
    <row r="2244" spans="1:26" x14ac:dyDescent="0.3">
      <c r="A2244" s="11">
        <v>43493</v>
      </c>
      <c r="B2244" s="12">
        <v>39639.550000000003</v>
      </c>
      <c r="C2244" s="12">
        <v>53.933998099999997</v>
      </c>
      <c r="D2244" s="16">
        <f t="shared" si="460"/>
        <v>-2.0805887879025042E-2</v>
      </c>
      <c r="E2244" s="15">
        <f t="shared" si="459"/>
        <v>4.9244583470531289E-4</v>
      </c>
      <c r="G2244" s="25" t="str">
        <f>IF(VLOOKUP(A2244,Aux!B:C,2,FALSE)=0,"",VLOOKUP(A2244,Aux!B:C,2,FALSE))</f>
        <v/>
      </c>
      <c r="H2244" s="25" t="str">
        <f t="shared" si="461"/>
        <v/>
      </c>
      <c r="L2244" s="13">
        <f t="shared" ref="L2244:L2307" si="464">L2243+M2244+N2244</f>
        <v>215958.85514873962</v>
      </c>
      <c r="M2244" s="14">
        <f t="shared" ref="M2244:M2307" si="465">O2243*(B2244-B2243)</f>
        <v>-2383.5794153835141</v>
      </c>
      <c r="N2244" s="14">
        <f t="shared" ref="N2244:N2307" si="466">P2243*(C2244-C2243)</f>
        <v>51.080726384383361</v>
      </c>
      <c r="O2244" s="1">
        <f t="shared" ref="O2244:O2307" si="467">IF(ISNUMBER(G2244),L2244*G2244/B2244,O2243)</f>
        <v>2.8299805468424584</v>
      </c>
      <c r="P2244" s="1">
        <f t="shared" ref="P2244:P2307" si="468">IF(ISNUMBER(H2244),L2244*H2244/C2244,P2243)</f>
        <v>1924.1981573613521</v>
      </c>
      <c r="S2244" s="6">
        <f t="shared" si="462"/>
        <v>0.51944688866000266</v>
      </c>
      <c r="T2244" s="6">
        <f t="shared" si="463"/>
        <v>0.48055311133999745</v>
      </c>
      <c r="V2244" s="1">
        <f t="shared" ref="V2244:V2307" si="469">$O$2*B2244+$P$2*C2244</f>
        <v>212107.3263772942</v>
      </c>
      <c r="W2244" s="7">
        <f t="shared" ref="W2244:W2307" si="470">LN(L2244/L2243)</f>
        <v>-1.0742751864498169E-2</v>
      </c>
      <c r="X2244" s="7">
        <f t="shared" ref="X2244:X2307" si="471">LN(V2244/V2243)</f>
        <v>-8.8418429677659307E-3</v>
      </c>
      <c r="Y2244">
        <f>LN(B2244/B2243)</f>
        <v>-2.1025380190504001E-2</v>
      </c>
      <c r="Z2244">
        <f>LN(C2244/C2243)</f>
        <v>4.9232462304707176E-4</v>
      </c>
    </row>
    <row r="2245" spans="1:26" x14ac:dyDescent="0.3">
      <c r="A2245" s="9">
        <v>43494</v>
      </c>
      <c r="B2245" s="1">
        <v>39685.56</v>
      </c>
      <c r="C2245" s="1">
        <v>53.947277100000001</v>
      </c>
      <c r="D2245" s="6">
        <f t="shared" si="460"/>
        <v>1.1607094429677556E-3</v>
      </c>
      <c r="E2245" s="5">
        <f t="shared" ref="E2245:E2308" si="472">C2245/C2244-1</f>
        <v>2.4620833737154513E-4</v>
      </c>
      <c r="G2245" s="25" t="str">
        <f>IF(VLOOKUP(A2245,Aux!B:C,2,FALSE)=0,"",VLOOKUP(A2245,Aux!B:C,2,FALSE))</f>
        <v/>
      </c>
      <c r="H2245" s="25" t="str">
        <f t="shared" si="461"/>
        <v/>
      </c>
      <c r="L2245" s="13">
        <f t="shared" si="464"/>
        <v>216114.61398103143</v>
      </c>
      <c r="M2245" s="14">
        <f t="shared" si="465"/>
        <v>130.20740496020667</v>
      </c>
      <c r="N2245" s="14">
        <f t="shared" si="466"/>
        <v>25.551427331609592</v>
      </c>
      <c r="O2245" s="1">
        <f t="shared" si="467"/>
        <v>2.8299805468424584</v>
      </c>
      <c r="P2245" s="1">
        <f t="shared" si="468"/>
        <v>1924.1981573613521</v>
      </c>
      <c r="S2245" s="6">
        <f t="shared" si="462"/>
        <v>0.51967500356272378</v>
      </c>
      <c r="T2245" s="6">
        <f t="shared" si="463"/>
        <v>0.48032499643727627</v>
      </c>
      <c r="V2245" s="1">
        <f t="shared" si="469"/>
        <v>212243.17993868899</v>
      </c>
      <c r="W2245" s="7">
        <f t="shared" si="470"/>
        <v>7.2098312054519928E-4</v>
      </c>
      <c r="X2245" s="7">
        <f t="shared" si="471"/>
        <v>6.4028940234126539E-4</v>
      </c>
      <c r="Y2245">
        <f>LN(B2245/B2244)</f>
        <v>1.1600363405627882E-3</v>
      </c>
      <c r="Z2245">
        <f>LN(C2245/C2244)</f>
        <v>2.4617803307286145E-4</v>
      </c>
    </row>
    <row r="2246" spans="1:26" x14ac:dyDescent="0.3">
      <c r="A2246" s="11">
        <v>43495</v>
      </c>
      <c r="B2246" s="12">
        <v>40230.980000000003</v>
      </c>
      <c r="C2246" s="12">
        <v>53.960555999999997</v>
      </c>
      <c r="D2246" s="16">
        <f t="shared" si="460"/>
        <v>1.3743537951839579E-2</v>
      </c>
      <c r="E2246" s="15">
        <f t="shared" si="472"/>
        <v>2.461458800855354E-4</v>
      </c>
      <c r="G2246" s="25" t="str">
        <f>IF(VLOOKUP(A2246,Aux!B:C,2,FALSE)=0,"",VLOOKUP(A2246,Aux!B:C,2,FALSE))</f>
        <v/>
      </c>
      <c r="H2246" s="25" t="str">
        <f t="shared" si="461"/>
        <v/>
      </c>
      <c r="L2246" s="13">
        <f t="shared" si="464"/>
        <v>217683.69320580203</v>
      </c>
      <c r="M2246" s="14">
        <f t="shared" si="465"/>
        <v>1543.5279898588292</v>
      </c>
      <c r="N2246" s="14">
        <f t="shared" si="466"/>
        <v>25.551234911777932</v>
      </c>
      <c r="O2246" s="1">
        <f t="shared" si="467"/>
        <v>2.8299805468424584</v>
      </c>
      <c r="P2246" s="1">
        <f t="shared" si="468"/>
        <v>1924.1981573613521</v>
      </c>
      <c r="S2246" s="6">
        <f t="shared" si="462"/>
        <v>0.52301984178837624</v>
      </c>
      <c r="T2246" s="6">
        <f t="shared" si="463"/>
        <v>0.47698015821162382</v>
      </c>
      <c r="V2246" s="1">
        <f t="shared" si="469"/>
        <v>213531.1896158258</v>
      </c>
      <c r="W2246" s="7">
        <f t="shared" si="470"/>
        <v>7.2341733090651519E-3</v>
      </c>
      <c r="X2246" s="7">
        <f t="shared" si="471"/>
        <v>6.0502167261095559E-3</v>
      </c>
      <c r="Y2246">
        <f>LN(B2246/B2245)</f>
        <v>1.3649952027010805E-2</v>
      </c>
      <c r="Z2246">
        <f>LN(C2246/C2245)</f>
        <v>2.461155911586216E-4</v>
      </c>
    </row>
    <row r="2247" spans="1:26" x14ac:dyDescent="0.3">
      <c r="A2247" s="9">
        <v>43496</v>
      </c>
      <c r="B2247" s="1">
        <v>40400.910000000003</v>
      </c>
      <c r="C2247" s="1">
        <v>53.973842599999998</v>
      </c>
      <c r="D2247" s="6">
        <f t="shared" si="460"/>
        <v>4.2238593243315581E-3</v>
      </c>
      <c r="E2247" s="5">
        <f t="shared" si="472"/>
        <v>2.4622800402585021E-4</v>
      </c>
      <c r="G2247" s="25" t="str">
        <f>IF(VLOOKUP(A2247,Aux!B:C,2,FALSE)=0,"",VLOOKUP(A2247,Aux!B:C,2,FALSE))</f>
        <v/>
      </c>
      <c r="H2247" s="25" t="str">
        <f t="shared" si="461"/>
        <v/>
      </c>
      <c r="L2247" s="13">
        <f t="shared" si="464"/>
        <v>218190.15785136458</v>
      </c>
      <c r="M2247" s="14">
        <f t="shared" si="465"/>
        <v>480.89859432493978</v>
      </c>
      <c r="N2247" s="14">
        <f t="shared" si="466"/>
        <v>25.566051237598693</v>
      </c>
      <c r="O2247" s="1">
        <f t="shared" si="467"/>
        <v>2.8299805468424584</v>
      </c>
      <c r="P2247" s="1">
        <f t="shared" si="468"/>
        <v>1924.1981573613521</v>
      </c>
      <c r="S2247" s="6">
        <f t="shared" si="462"/>
        <v>0.52400983848510418</v>
      </c>
      <c r="T2247" s="6">
        <f t="shared" si="463"/>
        <v>0.47599016151489582</v>
      </c>
      <c r="V2247" s="1">
        <f t="shared" si="469"/>
        <v>213952.94795417209</v>
      </c>
      <c r="W2247" s="7">
        <f t="shared" si="470"/>
        <v>2.3239057459673875E-3</v>
      </c>
      <c r="X2247" s="7">
        <f t="shared" si="471"/>
        <v>1.9732122814618944E-3</v>
      </c>
      <c r="Y2247">
        <f>LN(B2247/B2246)</f>
        <v>4.2149638705023572E-3</v>
      </c>
      <c r="Z2247">
        <f>LN(C2247/C2246)</f>
        <v>2.4619769488607086E-4</v>
      </c>
    </row>
    <row r="2248" spans="1:26" x14ac:dyDescent="0.3">
      <c r="A2248" s="11">
        <v>43497</v>
      </c>
      <c r="B2248" s="12">
        <v>40592.660000000003</v>
      </c>
      <c r="C2248" s="12">
        <v>53.987133</v>
      </c>
      <c r="D2248" s="16">
        <f t="shared" si="460"/>
        <v>4.746180222178209E-3</v>
      </c>
      <c r="E2248" s="15">
        <f t="shared" si="472"/>
        <v>2.4623779519461486E-4</v>
      </c>
      <c r="G2248" s="25" t="str">
        <f>IF(VLOOKUP(A2248,Aux!B:C,2,FALSE)=0,"",VLOOKUP(A2248,Aux!B:C,2,FALSE))</f>
        <v/>
      </c>
      <c r="H2248" s="25" t="str">
        <f t="shared" si="461"/>
        <v/>
      </c>
      <c r="L2248" s="13">
        <f t="shared" si="464"/>
        <v>218758.37998441223</v>
      </c>
      <c r="M2248" s="14">
        <f t="shared" si="465"/>
        <v>542.64876985704143</v>
      </c>
      <c r="N2248" s="14">
        <f t="shared" si="466"/>
        <v>25.57336319060008</v>
      </c>
      <c r="O2248" s="1">
        <f t="shared" si="467"/>
        <v>2.8299805468424584</v>
      </c>
      <c r="P2248" s="1">
        <f t="shared" si="468"/>
        <v>1924.1981573613521</v>
      </c>
      <c r="S2248" s="6">
        <f t="shared" si="462"/>
        <v>0.52512931460168788</v>
      </c>
      <c r="T2248" s="6">
        <f t="shared" si="463"/>
        <v>0.47487068539831218</v>
      </c>
      <c r="V2248" s="1">
        <f t="shared" si="469"/>
        <v>214425.0542968894</v>
      </c>
      <c r="W2248" s="7">
        <f t="shared" si="470"/>
        <v>2.6008667115535746E-3</v>
      </c>
      <c r="X2248" s="7">
        <f t="shared" si="471"/>
        <v>2.2041586233337435E-3</v>
      </c>
      <c r="Y2248">
        <f>LN(B2248/B2247)</f>
        <v>4.7349526202934466E-3</v>
      </c>
      <c r="Z2248">
        <f>LN(C2248/C2247)</f>
        <v>2.462074836445211E-4</v>
      </c>
    </row>
    <row r="2249" spans="1:26" x14ac:dyDescent="0.3">
      <c r="A2249" s="9">
        <v>43500</v>
      </c>
      <c r="B2249" s="1">
        <v>40908.1</v>
      </c>
      <c r="C2249" s="1">
        <v>54.000423400000003</v>
      </c>
      <c r="D2249" s="6">
        <f t="shared" si="460"/>
        <v>7.7708630082382602E-3</v>
      </c>
      <c r="E2249" s="5">
        <f t="shared" si="472"/>
        <v>2.4617717706920672E-4</v>
      </c>
      <c r="G2249" s="25" t="str">
        <f>IF(VLOOKUP(A2249,Aux!B:C,2,FALSE)=0,"",VLOOKUP(A2249,Aux!B:C,2,FALSE))</f>
        <v/>
      </c>
      <c r="H2249" s="25" t="str">
        <f t="shared" si="461"/>
        <v/>
      </c>
      <c r="L2249" s="13">
        <f t="shared" si="464"/>
        <v>219676.64241129879</v>
      </c>
      <c r="M2249" s="14">
        <f t="shared" si="465"/>
        <v>892.68906369597107</v>
      </c>
      <c r="N2249" s="14">
        <f t="shared" si="466"/>
        <v>25.57336319060008</v>
      </c>
      <c r="O2249" s="1">
        <f t="shared" si="467"/>
        <v>2.8299805468424584</v>
      </c>
      <c r="P2249" s="1">
        <f t="shared" si="468"/>
        <v>1924.1981573613521</v>
      </c>
      <c r="S2249" s="6">
        <f t="shared" si="462"/>
        <v>0.52699789079774972</v>
      </c>
      <c r="T2249" s="6">
        <f t="shared" si="463"/>
        <v>0.47300210920225028</v>
      </c>
      <c r="V2249" s="1">
        <f t="shared" si="469"/>
        <v>215182.51779630606</v>
      </c>
      <c r="W2249" s="7">
        <f t="shared" si="470"/>
        <v>4.1888249006235495E-3</v>
      </c>
      <c r="X2249" s="7">
        <f t="shared" si="471"/>
        <v>3.5263078843688917E-3</v>
      </c>
      <c r="Y2249">
        <f>LN(B2249/B2248)</f>
        <v>7.7408253642151318E-3</v>
      </c>
      <c r="Z2249">
        <f>LN(C2249/C2248)</f>
        <v>2.4614688044007559E-4</v>
      </c>
    </row>
    <row r="2250" spans="1:26" x14ac:dyDescent="0.3">
      <c r="A2250" s="11">
        <v>43501</v>
      </c>
      <c r="B2250" s="12">
        <v>40786.54</v>
      </c>
      <c r="C2250" s="12">
        <v>54.013717700000001</v>
      </c>
      <c r="D2250" s="16">
        <f t="shared" si="460"/>
        <v>-2.9715386439359559E-3</v>
      </c>
      <c r="E2250" s="15">
        <f t="shared" si="472"/>
        <v>2.4618881043814156E-4</v>
      </c>
      <c r="G2250" s="25" t="str">
        <f>IF(VLOOKUP(A2250,Aux!B:C,2,FALSE)=0,"",VLOOKUP(A2250,Aux!B:C,2,FALSE))</f>
        <v/>
      </c>
      <c r="H2250" s="25" t="str">
        <f t="shared" si="461"/>
        <v/>
      </c>
      <c r="L2250" s="13">
        <f t="shared" si="464"/>
        <v>219358.21084358802</v>
      </c>
      <c r="M2250" s="14">
        <f t="shared" si="465"/>
        <v>-344.01243527416267</v>
      </c>
      <c r="N2250" s="14">
        <f t="shared" si="466"/>
        <v>25.580867563405782</v>
      </c>
      <c r="O2250" s="1">
        <f t="shared" si="467"/>
        <v>2.8299805468424584</v>
      </c>
      <c r="P2250" s="1">
        <f t="shared" si="468"/>
        <v>1924.1981573613521</v>
      </c>
      <c r="S2250" s="6">
        <f t="shared" si="462"/>
        <v>0.52619463994131022</v>
      </c>
      <c r="T2250" s="6">
        <f t="shared" si="463"/>
        <v>0.47380536005869001</v>
      </c>
      <c r="V2250" s="1">
        <f t="shared" si="469"/>
        <v>214931.81573419753</v>
      </c>
      <c r="W2250" s="7">
        <f t="shared" si="470"/>
        <v>-1.4505983804608067E-3</v>
      </c>
      <c r="X2250" s="7">
        <f t="shared" si="471"/>
        <v>-1.165746272354856E-3</v>
      </c>
      <c r="Y2250">
        <f>LN(B2250/B2249)</f>
        <v>-2.975962430701278E-3</v>
      </c>
      <c r="Z2250">
        <f>LN(C2250/C2249)</f>
        <v>2.4615851094577772E-4</v>
      </c>
    </row>
    <row r="2251" spans="1:26" x14ac:dyDescent="0.3">
      <c r="A2251" s="9">
        <v>43502</v>
      </c>
      <c r="B2251" s="1">
        <v>39315.39</v>
      </c>
      <c r="C2251" s="1">
        <v>54.0270157</v>
      </c>
      <c r="D2251" s="6">
        <f t="shared" si="460"/>
        <v>-3.6069497437144715E-2</v>
      </c>
      <c r="E2251" s="5">
        <f t="shared" si="472"/>
        <v>2.4619671754244621E-4</v>
      </c>
      <c r="G2251" s="25" t="str">
        <f>IF(VLOOKUP(A2251,Aux!B:C,2,FALSE)=0,"",VLOOKUP(A2251,Aux!B:C,2,FALSE))</f>
        <v/>
      </c>
      <c r="H2251" s="25" t="str">
        <f t="shared" si="461"/>
        <v/>
      </c>
      <c r="L2251" s="13">
        <f t="shared" si="464"/>
        <v>215220.47294919734</v>
      </c>
      <c r="M2251" s="14">
        <f t="shared" si="465"/>
        <v>-4163.325881487287</v>
      </c>
      <c r="N2251" s="14">
        <f t="shared" si="466"/>
        <v>25.587987096589185</v>
      </c>
      <c r="O2251" s="1">
        <f t="shared" si="467"/>
        <v>2.8299805468424584</v>
      </c>
      <c r="P2251" s="1">
        <f t="shared" si="468"/>
        <v>1924.1981573613521</v>
      </c>
      <c r="S2251" s="6">
        <f t="shared" si="462"/>
        <v>0.51696656626987247</v>
      </c>
      <c r="T2251" s="6">
        <f t="shared" si="463"/>
        <v>0.48303343373012764</v>
      </c>
      <c r="V2251" s="1">
        <f t="shared" si="469"/>
        <v>211567.57061056828</v>
      </c>
      <c r="W2251" s="7">
        <f t="shared" si="470"/>
        <v>-1.9043101239384849E-2</v>
      </c>
      <c r="X2251" s="7">
        <f t="shared" si="471"/>
        <v>-1.5776411454499942E-2</v>
      </c>
      <c r="Y2251">
        <f>LN(B2251/B2250)</f>
        <v>-3.6736079747521674E-2</v>
      </c>
      <c r="Z2251">
        <f>LN(C2251/C2250)</f>
        <v>2.4616641610388965E-4</v>
      </c>
    </row>
    <row r="2252" spans="1:26" x14ac:dyDescent="0.3">
      <c r="A2252" s="11">
        <v>43503</v>
      </c>
      <c r="B2252" s="12">
        <v>39192.93</v>
      </c>
      <c r="C2252" s="12">
        <v>54.0403175</v>
      </c>
      <c r="D2252" s="16">
        <f t="shared" si="460"/>
        <v>-3.1148107649446866E-3</v>
      </c>
      <c r="E2252" s="15">
        <f t="shared" si="472"/>
        <v>2.4620645481987502E-4</v>
      </c>
      <c r="G2252" s="25" t="str">
        <f>IF(VLOOKUP(A2252,Aux!B:C,2,FALSE)=0,"",VLOOKUP(A2252,Aux!B:C,2,FALSE))</f>
        <v/>
      </c>
      <c r="H2252" s="25" t="str">
        <f t="shared" si="461"/>
        <v/>
      </c>
      <c r="L2252" s="13">
        <f t="shared" si="464"/>
        <v>214899.50883048063</v>
      </c>
      <c r="M2252" s="14">
        <f t="shared" si="465"/>
        <v>-346.559417766325</v>
      </c>
      <c r="N2252" s="14">
        <f t="shared" si="466"/>
        <v>25.595299049590572</v>
      </c>
      <c r="O2252" s="1">
        <f t="shared" si="467"/>
        <v>2.8299805468424584</v>
      </c>
      <c r="P2252" s="1">
        <f t="shared" si="468"/>
        <v>1924.1981573613521</v>
      </c>
      <c r="S2252" s="6">
        <f t="shared" si="462"/>
        <v>0.51612602596151835</v>
      </c>
      <c r="T2252" s="6">
        <f t="shared" si="463"/>
        <v>0.48387397403848159</v>
      </c>
      <c r="V2252" s="1">
        <f t="shared" si="469"/>
        <v>211314.80899547104</v>
      </c>
      <c r="W2252" s="7">
        <f t="shared" si="470"/>
        <v>-1.4924402115167091E-3</v>
      </c>
      <c r="X2252" s="7">
        <f t="shared" si="471"/>
        <v>-1.1954229231928301E-3</v>
      </c>
      <c r="Y2252">
        <f>LN(B2252/B2251)</f>
        <v>-3.1196718849324902E-3</v>
      </c>
      <c r="Z2252">
        <f>LN(C2252/C2251)</f>
        <v>2.461761509845754E-4</v>
      </c>
    </row>
    <row r="2253" spans="1:26" x14ac:dyDescent="0.3">
      <c r="A2253" s="9">
        <v>43504</v>
      </c>
      <c r="B2253" s="1">
        <v>39593.660000000003</v>
      </c>
      <c r="C2253" s="1">
        <v>54.053623199999997</v>
      </c>
      <c r="D2253" s="6">
        <f t="shared" si="460"/>
        <v>1.0224548151924528E-2</v>
      </c>
      <c r="E2253" s="5">
        <f t="shared" si="472"/>
        <v>2.4621802046209673E-4</v>
      </c>
      <c r="G2253" s="25" t="str">
        <f>IF(VLOOKUP(A2253,Aux!B:C,2,FALSE)=0,"",VLOOKUP(A2253,Aux!B:C,2,FALSE))</f>
        <v/>
      </c>
      <c r="H2253" s="25" t="str">
        <f t="shared" si="461"/>
        <v/>
      </c>
      <c r="L2253" s="13">
        <f t="shared" si="464"/>
        <v>216059.1697384392</v>
      </c>
      <c r="M2253" s="14">
        <f t="shared" si="465"/>
        <v>1134.0581045361873</v>
      </c>
      <c r="N2253" s="14">
        <f t="shared" si="466"/>
        <v>25.602803422396274</v>
      </c>
      <c r="O2253" s="1">
        <f t="shared" si="467"/>
        <v>2.8299805468424584</v>
      </c>
      <c r="P2253" s="1">
        <f t="shared" si="468"/>
        <v>1924.1981573613521</v>
      </c>
      <c r="S2253" s="6">
        <f t="shared" si="462"/>
        <v>0.51860463832171999</v>
      </c>
      <c r="T2253" s="6">
        <f t="shared" si="463"/>
        <v>0.48139536167828001</v>
      </c>
      <c r="V2253" s="1">
        <f t="shared" si="469"/>
        <v>212269.07373647456</v>
      </c>
      <c r="W2253" s="7">
        <f t="shared" si="470"/>
        <v>5.3817860719565921E-3</v>
      </c>
      <c r="X2253" s="7">
        <f t="shared" si="471"/>
        <v>4.5056783050223589E-3</v>
      </c>
      <c r="Y2253">
        <f>LN(B2253/B2252)</f>
        <v>1.0172631045544873E-2</v>
      </c>
      <c r="Z2253">
        <f>LN(C2253/C2252)</f>
        <v>2.4618771377989541E-4</v>
      </c>
    </row>
    <row r="2254" spans="1:26" x14ac:dyDescent="0.3">
      <c r="A2254" s="11">
        <v>43507</v>
      </c>
      <c r="B2254" s="12">
        <v>39217.870000000003</v>
      </c>
      <c r="C2254" s="12">
        <v>54.066928900000001</v>
      </c>
      <c r="D2254" s="16">
        <f t="shared" si="460"/>
        <v>-9.4911660099117334E-3</v>
      </c>
      <c r="E2254" s="15">
        <f t="shared" si="472"/>
        <v>2.4615741207156816E-4</v>
      </c>
      <c r="G2254" s="25" t="str">
        <f>IF(VLOOKUP(A2254,Aux!B:C,2,FALSE)=0,"",VLOOKUP(A2254,Aux!B:C,2,FALSE))</f>
        <v/>
      </c>
      <c r="H2254" s="25" t="str">
        <f t="shared" si="461"/>
        <v/>
      </c>
      <c r="L2254" s="13">
        <f t="shared" si="464"/>
        <v>215021.29415216367</v>
      </c>
      <c r="M2254" s="14">
        <f t="shared" si="465"/>
        <v>-1063.47838969793</v>
      </c>
      <c r="N2254" s="14">
        <f t="shared" si="466"/>
        <v>25.602803422409945</v>
      </c>
      <c r="O2254" s="1">
        <f t="shared" si="467"/>
        <v>2.8299805468424584</v>
      </c>
      <c r="P2254" s="1">
        <f t="shared" si="468"/>
        <v>1924.1981573613521</v>
      </c>
      <c r="S2254" s="6">
        <f t="shared" si="462"/>
        <v>0.51616194398893045</v>
      </c>
      <c r="T2254" s="6">
        <f t="shared" si="463"/>
        <v>0.48383805601106955</v>
      </c>
      <c r="V2254" s="1">
        <f t="shared" si="469"/>
        <v>211431.8796746631</v>
      </c>
      <c r="W2254" s="7">
        <f t="shared" si="470"/>
        <v>-4.8152383538854647E-3</v>
      </c>
      <c r="X2254" s="7">
        <f t="shared" si="471"/>
        <v>-3.9518209463614267E-3</v>
      </c>
      <c r="Y2254">
        <f>LN(B2254/B2253)</f>
        <v>-9.5364941653945639E-3</v>
      </c>
      <c r="Z2254">
        <f>LN(C2254/C2253)</f>
        <v>2.4612712030673561E-4</v>
      </c>
    </row>
    <row r="2255" spans="1:26" x14ac:dyDescent="0.3">
      <c r="A2255" s="9">
        <v>43508</v>
      </c>
      <c r="B2255" s="1">
        <v>39928.449999999997</v>
      </c>
      <c r="C2255" s="1">
        <v>54.080242200000001</v>
      </c>
      <c r="D2255" s="6">
        <f t="shared" si="460"/>
        <v>1.811878105567688E-2</v>
      </c>
      <c r="E2255" s="5">
        <f t="shared" si="472"/>
        <v>2.4623740003115735E-4</v>
      </c>
      <c r="G2255" s="25" t="str">
        <f>IF(VLOOKUP(A2255,Aux!B:C,2,FALSE)=0,"",VLOOKUP(A2255,Aux!B:C,2,FALSE))</f>
        <v/>
      </c>
      <c r="H2255" s="25" t="str">
        <f t="shared" si="461"/>
        <v/>
      </c>
      <c r="L2255" s="13">
        <f t="shared" si="464"/>
        <v>217057.83915646735</v>
      </c>
      <c r="M2255" s="14">
        <f t="shared" si="465"/>
        <v>2010.9275769752985</v>
      </c>
      <c r="N2255" s="14">
        <f t="shared" si="466"/>
        <v>25.617427328399049</v>
      </c>
      <c r="O2255" s="1">
        <f t="shared" si="467"/>
        <v>2.8299805468424584</v>
      </c>
      <c r="P2255" s="1">
        <f t="shared" si="468"/>
        <v>1924.1981573613521</v>
      </c>
      <c r="S2255" s="6">
        <f t="shared" si="462"/>
        <v>0.52058353296384485</v>
      </c>
      <c r="T2255" s="6">
        <f t="shared" si="463"/>
        <v>0.47941646703615531</v>
      </c>
      <c r="V2255" s="1">
        <f t="shared" si="469"/>
        <v>213100.9962064843</v>
      </c>
      <c r="W2255" s="7">
        <f t="shared" si="470"/>
        <v>9.4267921250933678E-3</v>
      </c>
      <c r="X2255" s="7">
        <f t="shared" si="471"/>
        <v>7.8633492343103684E-3</v>
      </c>
      <c r="Y2255">
        <f>LN(B2255/B2254)</f>
        <v>1.7956592122910078E-2</v>
      </c>
      <c r="Z2255">
        <f>LN(C2255/C2254)</f>
        <v>2.4620708857834374E-4</v>
      </c>
    </row>
    <row r="2256" spans="1:26" x14ac:dyDescent="0.3">
      <c r="A2256" s="11">
        <v>43509</v>
      </c>
      <c r="B2256" s="12">
        <v>39785.25</v>
      </c>
      <c r="C2256" s="12">
        <v>54.093555500000001</v>
      </c>
      <c r="D2256" s="16">
        <f t="shared" si="460"/>
        <v>-3.586415200189319E-3</v>
      </c>
      <c r="E2256" s="15">
        <f t="shared" si="472"/>
        <v>2.4617678210026028E-4</v>
      </c>
      <c r="G2256" s="25" t="str">
        <f>IF(VLOOKUP(A2256,Aux!B:C,2,FALSE)=0,"",VLOOKUP(A2256,Aux!B:C,2,FALSE))</f>
        <v/>
      </c>
      <c r="H2256" s="25" t="str">
        <f t="shared" si="461"/>
        <v/>
      </c>
      <c r="L2256" s="13">
        <f t="shared" si="464"/>
        <v>216678.20336948792</v>
      </c>
      <c r="M2256" s="14">
        <f t="shared" si="465"/>
        <v>-405.2532143078318</v>
      </c>
      <c r="N2256" s="14">
        <f t="shared" si="466"/>
        <v>25.617427328399049</v>
      </c>
      <c r="O2256" s="1">
        <f t="shared" si="467"/>
        <v>2.8299805468424584</v>
      </c>
      <c r="P2256" s="1">
        <f t="shared" si="468"/>
        <v>1924.1981573613521</v>
      </c>
      <c r="S2256" s="6">
        <f t="shared" si="462"/>
        <v>0.51962533286870871</v>
      </c>
      <c r="T2256" s="6">
        <f t="shared" si="463"/>
        <v>0.48037466713129146</v>
      </c>
      <c r="V2256" s="1">
        <f t="shared" si="469"/>
        <v>212800.41241292129</v>
      </c>
      <c r="W2256" s="7">
        <f t="shared" si="470"/>
        <v>-1.7505387918163977E-3</v>
      </c>
      <c r="X2256" s="7">
        <f t="shared" si="471"/>
        <v>-1.4115184283795775E-3</v>
      </c>
      <c r="Y2256">
        <f>LN(B2256/B2255)</f>
        <v>-3.5928618052671105E-3</v>
      </c>
      <c r="Z2256">
        <f>LN(C2256/C2255)</f>
        <v>2.4614648556833748E-4</v>
      </c>
    </row>
    <row r="2257" spans="1:26" x14ac:dyDescent="0.3">
      <c r="A2257" s="9">
        <v>43510</v>
      </c>
      <c r="B2257" s="1">
        <v>40647.230000000003</v>
      </c>
      <c r="C2257" s="1">
        <v>54.106872600000003</v>
      </c>
      <c r="D2257" s="6">
        <f t="shared" si="460"/>
        <v>2.1665818362332834E-2</v>
      </c>
      <c r="E2257" s="5">
        <f t="shared" si="472"/>
        <v>2.4618644267149214E-4</v>
      </c>
      <c r="G2257" s="25" t="str">
        <f>IF(VLOOKUP(A2257,Aux!B:C,2,FALSE)=0,"",VLOOKUP(A2257,Aux!B:C,2,FALSE))</f>
        <v/>
      </c>
      <c r="H2257" s="25" t="str">
        <f t="shared" si="461"/>
        <v/>
      </c>
      <c r="L2257" s="13">
        <f t="shared" si="464"/>
        <v>219143.21474053658</v>
      </c>
      <c r="M2257" s="14">
        <f t="shared" si="465"/>
        <v>2439.3866317672714</v>
      </c>
      <c r="N2257" s="14">
        <f t="shared" si="466"/>
        <v>25.624739281400437</v>
      </c>
      <c r="O2257" s="1">
        <f t="shared" si="467"/>
        <v>2.8299805468424584</v>
      </c>
      <c r="P2257" s="1">
        <f t="shared" si="468"/>
        <v>1924.1981573613521</v>
      </c>
      <c r="S2257" s="6">
        <f t="shared" si="462"/>
        <v>0.52491184962868509</v>
      </c>
      <c r="T2257" s="6">
        <f t="shared" si="463"/>
        <v>0.47508815037131508</v>
      </c>
      <c r="V2257" s="1">
        <f t="shared" si="469"/>
        <v>214818.8225418462</v>
      </c>
      <c r="W2257" s="7">
        <f t="shared" si="470"/>
        <v>1.1312145547471491E-2</v>
      </c>
      <c r="X2257" s="7">
        <f t="shared" si="471"/>
        <v>9.4402915202103782E-3</v>
      </c>
      <c r="Y2257">
        <f>LN(B2257/B2256)</f>
        <v>2.1434450405527335E-2</v>
      </c>
      <c r="Z2257">
        <f>LN(C2257/C2256)</f>
        <v>2.4615614376189972E-4</v>
      </c>
    </row>
    <row r="2258" spans="1:26" x14ac:dyDescent="0.3">
      <c r="A2258" s="11">
        <v>43511</v>
      </c>
      <c r="B2258" s="12">
        <v>40456.76</v>
      </c>
      <c r="C2258" s="12">
        <v>54.120193499999999</v>
      </c>
      <c r="D2258" s="16">
        <f t="shared" si="460"/>
        <v>-4.6859281677988918E-3</v>
      </c>
      <c r="E2258" s="15">
        <f t="shared" si="472"/>
        <v>2.4619608119791359E-4</v>
      </c>
      <c r="G2258" s="25" t="str">
        <f>IF(VLOOKUP(A2258,Aux!B:C,2,FALSE)=0,"",VLOOKUP(A2258,Aux!B:C,2,FALSE))</f>
        <v/>
      </c>
      <c r="H2258" s="25" t="str">
        <f t="shared" si="461"/>
        <v/>
      </c>
      <c r="L2258" s="13">
        <f t="shared" si="464"/>
        <v>218629.82039701389</v>
      </c>
      <c r="M2258" s="14">
        <f t="shared" si="465"/>
        <v>-539.02639475708634</v>
      </c>
      <c r="N2258" s="14">
        <f t="shared" si="466"/>
        <v>25.632051234388154</v>
      </c>
      <c r="O2258" s="1">
        <f t="shared" si="467"/>
        <v>2.8299805468424584</v>
      </c>
      <c r="P2258" s="1">
        <f t="shared" si="468"/>
        <v>1924.1981573613521</v>
      </c>
      <c r="S2258" s="6">
        <f t="shared" si="462"/>
        <v>0.52367899118412242</v>
      </c>
      <c r="T2258" s="6">
        <f t="shared" si="463"/>
        <v>0.47632100881587774</v>
      </c>
      <c r="V2258" s="1">
        <f t="shared" si="469"/>
        <v>214409.20220697642</v>
      </c>
      <c r="W2258" s="7">
        <f t="shared" si="470"/>
        <v>-2.3454828766339467E-3</v>
      </c>
      <c r="X2258" s="7">
        <f t="shared" si="471"/>
        <v>-1.9086379993939969E-3</v>
      </c>
      <c r="Y2258">
        <f>LN(B2258/B2257)</f>
        <v>-4.6969415479366488E-3</v>
      </c>
      <c r="Z2258">
        <f>LN(C2258/C2257)</f>
        <v>2.4616577991598418E-4</v>
      </c>
    </row>
    <row r="2259" spans="1:26" x14ac:dyDescent="0.3">
      <c r="A2259" s="9">
        <v>43514</v>
      </c>
      <c r="B2259" s="1">
        <v>40081.58</v>
      </c>
      <c r="C2259" s="1">
        <v>54.133518199999997</v>
      </c>
      <c r="D2259" s="6">
        <f t="shared" si="460"/>
        <v>-9.2736047078412209E-3</v>
      </c>
      <c r="E2259" s="5">
        <f t="shared" si="472"/>
        <v>2.462056976939575E-4</v>
      </c>
      <c r="G2259" s="25" t="str">
        <f>IF(VLOOKUP(A2259,Aux!B:C,2,FALSE)=0,"",VLOOKUP(A2259,Aux!B:C,2,FALSE))</f>
        <v/>
      </c>
      <c r="H2259" s="25" t="str">
        <f t="shared" si="461"/>
        <v/>
      </c>
      <c r="L2259" s="13">
        <f t="shared" si="464"/>
        <v>217593.70765863694</v>
      </c>
      <c r="M2259" s="14">
        <f t="shared" si="465"/>
        <v>-1061.7521015643545</v>
      </c>
      <c r="N2259" s="14">
        <f t="shared" si="466"/>
        <v>25.639363187389542</v>
      </c>
      <c r="O2259" s="1">
        <f t="shared" si="467"/>
        <v>2.8299805468424584</v>
      </c>
      <c r="P2259" s="1">
        <f t="shared" si="468"/>
        <v>1924.1981573613521</v>
      </c>
      <c r="S2259" s="6">
        <f t="shared" si="462"/>
        <v>0.52129306912063811</v>
      </c>
      <c r="T2259" s="6">
        <f t="shared" si="463"/>
        <v>0.478706930879362</v>
      </c>
      <c r="V2259" s="1">
        <f t="shared" si="469"/>
        <v>213573.45794201965</v>
      </c>
      <c r="W2259" s="7">
        <f t="shared" si="470"/>
        <v>-4.7503842418469035E-3</v>
      </c>
      <c r="X2259" s="7">
        <f t="shared" si="471"/>
        <v>-3.9055102230863407E-3</v>
      </c>
      <c r="Y2259">
        <f>LN(B2259/B2258)</f>
        <v>-9.3168722853376323E-3</v>
      </c>
      <c r="Z2259">
        <f>LN(C2259/C2258)</f>
        <v>2.4617539404502101E-4</v>
      </c>
    </row>
    <row r="2260" spans="1:26" x14ac:dyDescent="0.3">
      <c r="A2260" s="11">
        <v>43515</v>
      </c>
      <c r="B2260" s="12">
        <v>40518.660000000003</v>
      </c>
      <c r="C2260" s="12">
        <v>54.146846799999999</v>
      </c>
      <c r="D2260" s="16">
        <f t="shared" si="460"/>
        <v>1.0904759742505155E-2</v>
      </c>
      <c r="E2260" s="15">
        <f t="shared" si="472"/>
        <v>2.4621713945793822E-4</v>
      </c>
      <c r="G2260" s="25" t="str">
        <f>IF(VLOOKUP(A2260,Aux!B:C,2,FALSE)=0,"",VLOOKUP(A2260,Aux!B:C,2,FALSE))</f>
        <v/>
      </c>
      <c r="H2260" s="25" t="str">
        <f t="shared" si="461"/>
        <v/>
      </c>
      <c r="L2260" s="13">
        <f t="shared" si="464"/>
        <v>218856.28242361106</v>
      </c>
      <c r="M2260" s="14">
        <f t="shared" si="465"/>
        <v>1236.9278974139067</v>
      </c>
      <c r="N2260" s="14">
        <f t="shared" si="466"/>
        <v>25.646867560208914</v>
      </c>
      <c r="O2260" s="1">
        <f t="shared" si="467"/>
        <v>2.8299805468424584</v>
      </c>
      <c r="P2260" s="1">
        <f t="shared" si="468"/>
        <v>1924.1981573613521</v>
      </c>
      <c r="S2260" s="6">
        <f t="shared" si="462"/>
        <v>0.52393752792610226</v>
      </c>
      <c r="T2260" s="6">
        <f t="shared" si="463"/>
        <v>0.47606247207389774</v>
      </c>
      <c r="V2260" s="1">
        <f t="shared" si="469"/>
        <v>214611.63463488634</v>
      </c>
      <c r="W2260" s="7">
        <f t="shared" si="470"/>
        <v>5.785672198947025E-3</v>
      </c>
      <c r="X2260" s="7">
        <f t="shared" si="471"/>
        <v>4.8492053798217484E-3</v>
      </c>
      <c r="Y2260">
        <f>LN(B2260/B2259)</f>
        <v>1.0845731587509594E-2</v>
      </c>
      <c r="Z2260">
        <f>LN(C2260/C2259)</f>
        <v>2.4618683299260221E-4</v>
      </c>
    </row>
    <row r="2261" spans="1:26" x14ac:dyDescent="0.3">
      <c r="A2261" s="9">
        <v>43516</v>
      </c>
      <c r="B2261" s="1">
        <v>40062.53</v>
      </c>
      <c r="C2261" s="1">
        <v>54.160179100000001</v>
      </c>
      <c r="D2261" s="6">
        <f t="shared" si="460"/>
        <v>-1.1257282447149186E-2</v>
      </c>
      <c r="E2261" s="5">
        <f t="shared" si="472"/>
        <v>2.4622486419656475E-4</v>
      </c>
      <c r="G2261" s="25" t="str">
        <f>IF(VLOOKUP(A2261,Aux!B:C,2,FALSE)=0,"",VLOOKUP(A2261,Aux!B:C,2,FALSE))</f>
        <v/>
      </c>
      <c r="H2261" s="25" t="str">
        <f t="shared" si="461"/>
        <v/>
      </c>
      <c r="L2261" s="13">
        <f t="shared" si="464"/>
        <v>217591.09738387319</v>
      </c>
      <c r="M2261" s="14">
        <f t="shared" si="465"/>
        <v>-1290.8390268312637</v>
      </c>
      <c r="N2261" s="14">
        <f t="shared" si="466"/>
        <v>25.653987093392317</v>
      </c>
      <c r="O2261" s="1">
        <f t="shared" si="467"/>
        <v>2.8299805468424584</v>
      </c>
      <c r="P2261" s="1">
        <f t="shared" si="468"/>
        <v>1924.1981573613521</v>
      </c>
      <c r="S2261" s="6">
        <f t="shared" si="462"/>
        <v>0.52105155918798773</v>
      </c>
      <c r="T2261" s="6">
        <f t="shared" si="463"/>
        <v>0.47894844081201238</v>
      </c>
      <c r="V2261" s="1">
        <f t="shared" si="469"/>
        <v>213589.15289049011</v>
      </c>
      <c r="W2261" s="7">
        <f t="shared" si="470"/>
        <v>-5.7976683657869977E-3</v>
      </c>
      <c r="X2261" s="7">
        <f t="shared" si="471"/>
        <v>-4.7757207251282524E-3</v>
      </c>
      <c r="Y2261">
        <f>LN(B2261/B2260)</f>
        <v>-1.1321125234248691E-2</v>
      </c>
      <c r="Z2261">
        <f>LN(C2261/C2260)</f>
        <v>2.4619455582970408E-4</v>
      </c>
    </row>
    <row r="2262" spans="1:26" x14ac:dyDescent="0.3">
      <c r="A2262" s="11">
        <v>43517</v>
      </c>
      <c r="B2262" s="12">
        <v>40208.15</v>
      </c>
      <c r="C2262" s="12">
        <v>54.173511499999996</v>
      </c>
      <c r="D2262" s="16">
        <f t="shared" si="460"/>
        <v>3.6348178709633139E-3</v>
      </c>
      <c r="E2262" s="15">
        <f t="shared" si="472"/>
        <v>2.461660988117842E-4</v>
      </c>
      <c r="G2262" s="25" t="str">
        <f>IF(VLOOKUP(A2262,Aux!B:C,2,FALSE)=0,"",VLOOKUP(A2262,Aux!B:C,2,FALSE))</f>
        <v/>
      </c>
      <c r="H2262" s="25" t="str">
        <f t="shared" si="461"/>
        <v/>
      </c>
      <c r="L2262" s="13">
        <f t="shared" si="464"/>
        <v>218028.8533306176</v>
      </c>
      <c r="M2262" s="14">
        <f t="shared" si="465"/>
        <v>412.10176723120622</v>
      </c>
      <c r="N2262" s="14">
        <f t="shared" si="466"/>
        <v>25.654179513196627</v>
      </c>
      <c r="O2262" s="1">
        <f t="shared" si="467"/>
        <v>2.8299805468424584</v>
      </c>
      <c r="P2262" s="1">
        <f t="shared" si="468"/>
        <v>1924.1981573613521</v>
      </c>
      <c r="S2262" s="6">
        <f t="shared" si="462"/>
        <v>0.52189552247920024</v>
      </c>
      <c r="T2262" s="6">
        <f t="shared" si="463"/>
        <v>0.47810447752079976</v>
      </c>
      <c r="V2262" s="1">
        <f t="shared" si="469"/>
        <v>213954.92966913476</v>
      </c>
      <c r="W2262" s="7">
        <f t="shared" si="470"/>
        <v>2.0098073716762828E-3</v>
      </c>
      <c r="X2262" s="7">
        <f t="shared" si="471"/>
        <v>1.7110603692421229E-3</v>
      </c>
      <c r="Y2262">
        <f>LN(B2262/B2261)</f>
        <v>3.6282278845916069E-3</v>
      </c>
      <c r="Z2262">
        <f>LN(C2262/C2261)</f>
        <v>2.4613580490913465E-4</v>
      </c>
    </row>
    <row r="2263" spans="1:26" x14ac:dyDescent="0.3">
      <c r="A2263" s="9">
        <v>43518</v>
      </c>
      <c r="B2263" s="1">
        <v>40583.58</v>
      </c>
      <c r="C2263" s="1">
        <v>54.186851500000003</v>
      </c>
      <c r="D2263" s="6">
        <f t="shared" si="460"/>
        <v>9.3371617445716648E-3</v>
      </c>
      <c r="E2263" s="5">
        <f t="shared" si="472"/>
        <v>2.4624580594156953E-4</v>
      </c>
      <c r="G2263" s="25" t="str">
        <f>IF(VLOOKUP(A2263,Aux!B:C,2,FALSE)=0,"",VLOOKUP(A2263,Aux!B:C,2,FALSE))</f>
        <v/>
      </c>
      <c r="H2263" s="25" t="str">
        <f t="shared" si="461"/>
        <v/>
      </c>
      <c r="L2263" s="13">
        <f t="shared" si="464"/>
        <v>219116.98173073787</v>
      </c>
      <c r="M2263" s="14">
        <f t="shared" si="465"/>
        <v>1062.459596701065</v>
      </c>
      <c r="N2263" s="14">
        <f t="shared" si="466"/>
        <v>25.668803419213077</v>
      </c>
      <c r="O2263" s="1">
        <f t="shared" si="467"/>
        <v>2.8299805468424584</v>
      </c>
      <c r="P2263" s="1">
        <f t="shared" si="468"/>
        <v>1924.1981573613521</v>
      </c>
      <c r="S2263" s="6">
        <f t="shared" si="462"/>
        <v>0.5241526284912007</v>
      </c>
      <c r="T2263" s="6">
        <f t="shared" si="463"/>
        <v>0.47584737150879935</v>
      </c>
      <c r="V2263" s="1">
        <f t="shared" si="469"/>
        <v>214850.90315878298</v>
      </c>
      <c r="W2263" s="7">
        <f t="shared" si="470"/>
        <v>4.9783415976230108E-3</v>
      </c>
      <c r="X2263" s="7">
        <f t="shared" si="471"/>
        <v>4.1789300655661211E-3</v>
      </c>
      <c r="Y2263">
        <f>LN(B2263/B2262)</f>
        <v>9.2938399097126142E-3</v>
      </c>
      <c r="Z2263">
        <f>LN(C2263/C2262)</f>
        <v>2.4621549241938065E-4</v>
      </c>
    </row>
    <row r="2264" spans="1:26" x14ac:dyDescent="0.3">
      <c r="A2264" s="11">
        <v>43521</v>
      </c>
      <c r="B2264" s="12">
        <v>40363.64</v>
      </c>
      <c r="C2264" s="12">
        <v>54.200191500000003</v>
      </c>
      <c r="D2264" s="16">
        <f t="shared" si="460"/>
        <v>-5.4194331796258988E-3</v>
      </c>
      <c r="E2264" s="15">
        <f t="shared" si="472"/>
        <v>2.4618518387242716E-4</v>
      </c>
      <c r="G2264" s="25" t="str">
        <f>IF(VLOOKUP(A2264,Aux!B:C,2,FALSE)=0,"",VLOOKUP(A2264,Aux!B:C,2,FALSE))</f>
        <v/>
      </c>
      <c r="H2264" s="25" t="str">
        <f t="shared" si="461"/>
        <v/>
      </c>
      <c r="L2264" s="13">
        <f t="shared" si="464"/>
        <v>218520.22461268451</v>
      </c>
      <c r="M2264" s="14">
        <f t="shared" si="465"/>
        <v>-622.42592147253686</v>
      </c>
      <c r="N2264" s="14">
        <f t="shared" si="466"/>
        <v>25.668803419199403</v>
      </c>
      <c r="O2264" s="1">
        <f t="shared" si="467"/>
        <v>2.8299805468424584</v>
      </c>
      <c r="P2264" s="1">
        <f t="shared" si="468"/>
        <v>1924.1981573613521</v>
      </c>
      <c r="S2264" s="6">
        <f t="shared" si="462"/>
        <v>0.5227356699006499</v>
      </c>
      <c r="T2264" s="6">
        <f t="shared" si="463"/>
        <v>0.47726433009935026</v>
      </c>
      <c r="V2264" s="1">
        <f t="shared" si="469"/>
        <v>214373.33723227712</v>
      </c>
      <c r="W2264" s="7">
        <f t="shared" si="470"/>
        <v>-2.7271789476251999E-3</v>
      </c>
      <c r="X2264" s="7">
        <f t="shared" si="471"/>
        <v>-2.2252523442583636E-3</v>
      </c>
      <c r="Y2264">
        <f>LN(B2264/B2263)</f>
        <v>-5.43417158092558E-3</v>
      </c>
      <c r="Z2264">
        <f>LN(C2264/C2263)</f>
        <v>2.4615488527265689E-4</v>
      </c>
    </row>
    <row r="2265" spans="1:26" x14ac:dyDescent="0.3">
      <c r="A2265" s="9">
        <v>43522</v>
      </c>
      <c r="B2265" s="1">
        <v>40504.400000000001</v>
      </c>
      <c r="C2265" s="1">
        <v>54.213535299999997</v>
      </c>
      <c r="D2265" s="6">
        <f t="shared" si="460"/>
        <v>3.4872969831265532E-3</v>
      </c>
      <c r="E2265" s="5">
        <f t="shared" si="472"/>
        <v>2.4619470209796823E-4</v>
      </c>
      <c r="G2265" s="25" t="str">
        <f>IF(VLOOKUP(A2265,Aux!B:C,2,FALSE)=0,"",VLOOKUP(A2265,Aux!B:C,2,FALSE))</f>
        <v/>
      </c>
      <c r="H2265" s="25" t="str">
        <f t="shared" si="461"/>
        <v/>
      </c>
      <c r="L2265" s="13">
        <f t="shared" si="464"/>
        <v>218944.24878983025</v>
      </c>
      <c r="M2265" s="14">
        <f t="shared" si="465"/>
        <v>398.34806177355023</v>
      </c>
      <c r="N2265" s="14">
        <f t="shared" si="466"/>
        <v>25.67611537218712</v>
      </c>
      <c r="O2265" s="1">
        <f t="shared" si="467"/>
        <v>2.8299805468424584</v>
      </c>
      <c r="P2265" s="1">
        <f t="shared" si="468"/>
        <v>1924.1981573613521</v>
      </c>
      <c r="S2265" s="6">
        <f t="shared" si="462"/>
        <v>0.52354270411349568</v>
      </c>
      <c r="T2265" s="6">
        <f t="shared" si="463"/>
        <v>0.47645729588650448</v>
      </c>
      <c r="V2265" s="1">
        <f t="shared" si="469"/>
        <v>214727.92732422811</v>
      </c>
      <c r="W2265" s="7">
        <f t="shared" si="470"/>
        <v>1.938554263105073E-3</v>
      </c>
      <c r="X2265" s="7">
        <f t="shared" si="471"/>
        <v>1.6527109190865323E-3</v>
      </c>
      <c r="Y2265">
        <f>LN(B2265/B2264)</f>
        <v>3.4812304627500129E-3</v>
      </c>
      <c r="Z2265">
        <f>LN(C2265/C2264)</f>
        <v>2.4616440115548334E-4</v>
      </c>
    </row>
    <row r="2266" spans="1:26" x14ac:dyDescent="0.3">
      <c r="A2266" s="11">
        <v>43523</v>
      </c>
      <c r="B2266" s="12">
        <v>40370.639999999999</v>
      </c>
      <c r="C2266" s="12">
        <v>54.2268829</v>
      </c>
      <c r="D2266" s="16">
        <f t="shared" si="460"/>
        <v>-3.3023572747652441E-3</v>
      </c>
      <c r="E2266" s="15">
        <f t="shared" si="472"/>
        <v>2.4620419838217167E-4</v>
      </c>
      <c r="G2266" s="25" t="str">
        <f>IF(VLOOKUP(A2266,Aux!B:C,2,FALSE)=0,"",VLOOKUP(A2266,Aux!B:C,2,FALSE))</f>
        <v/>
      </c>
      <c r="H2266" s="25" t="str">
        <f t="shared" si="461"/>
        <v/>
      </c>
      <c r="L2266" s="13">
        <f t="shared" si="464"/>
        <v>218591.39401920978</v>
      </c>
      <c r="M2266" s="14">
        <f t="shared" si="465"/>
        <v>-378.538197945653</v>
      </c>
      <c r="N2266" s="14">
        <f t="shared" si="466"/>
        <v>25.683427325202178</v>
      </c>
      <c r="O2266" s="1">
        <f t="shared" si="467"/>
        <v>2.8299805468424584</v>
      </c>
      <c r="P2266" s="1">
        <f t="shared" si="468"/>
        <v>1924.1981573613521</v>
      </c>
      <c r="S2266" s="6">
        <f t="shared" si="462"/>
        <v>0.52265610170151489</v>
      </c>
      <c r="T2266" s="6">
        <f t="shared" si="463"/>
        <v>0.47734389829848534</v>
      </c>
      <c r="V2266" s="1">
        <f t="shared" si="469"/>
        <v>214449.19867452153</v>
      </c>
      <c r="W2266" s="7">
        <f t="shared" si="470"/>
        <v>-1.6129193263036054E-3</v>
      </c>
      <c r="X2266" s="7">
        <f t="shared" si="471"/>
        <v>-1.2988981565395178E-3</v>
      </c>
      <c r="Y2266">
        <f>LN(B2266/B2265)</f>
        <v>-3.307822091051002E-3</v>
      </c>
      <c r="Z2266">
        <f>LN(C2266/C2265)</f>
        <v>2.4617389510228231E-4</v>
      </c>
    </row>
    <row r="2267" spans="1:26" x14ac:dyDescent="0.3">
      <c r="A2267" s="9">
        <v>43524</v>
      </c>
      <c r="B2267" s="1">
        <v>39688.74</v>
      </c>
      <c r="C2267" s="1">
        <v>54.240234399999999</v>
      </c>
      <c r="D2267" s="6">
        <f t="shared" ref="D2267:D2330" si="473">B2267/B2266-1</f>
        <v>-1.689098810422629E-2</v>
      </c>
      <c r="E2267" s="5">
        <f t="shared" si="472"/>
        <v>2.4621551684278487E-4</v>
      </c>
      <c r="G2267" s="25" t="str">
        <f>IF(VLOOKUP(A2267,Aux!B:C,2,FALSE)=0,"",VLOOKUP(A2267,Aux!B:C,2,FALSE))</f>
        <v/>
      </c>
      <c r="H2267" s="25" t="str">
        <f t="shared" si="461"/>
        <v/>
      </c>
      <c r="L2267" s="13">
        <f t="shared" si="464"/>
        <v>216687.32121601593</v>
      </c>
      <c r="M2267" s="14">
        <f t="shared" si="465"/>
        <v>-1929.7637348918765</v>
      </c>
      <c r="N2267" s="14">
        <f t="shared" si="466"/>
        <v>25.69093169800788</v>
      </c>
      <c r="O2267" s="1">
        <f t="shared" si="467"/>
        <v>2.8299805468424584</v>
      </c>
      <c r="P2267" s="1">
        <f t="shared" si="468"/>
        <v>1924.1981573613521</v>
      </c>
      <c r="S2267" s="6">
        <f t="shared" si="462"/>
        <v>0.51834302763251106</v>
      </c>
      <c r="T2267" s="6">
        <f t="shared" si="463"/>
        <v>0.48165697236748911</v>
      </c>
      <c r="V2267" s="1">
        <f t="shared" si="469"/>
        <v>212905.90059559169</v>
      </c>
      <c r="W2267" s="7">
        <f t="shared" si="470"/>
        <v>-8.7488079779908315E-3</v>
      </c>
      <c r="X2267" s="7">
        <f t="shared" si="471"/>
        <v>-7.2225874477882656E-3</v>
      </c>
      <c r="Y2267">
        <f>LN(B2267/B2266)</f>
        <v>-1.7035267836327139E-2</v>
      </c>
      <c r="Z2267">
        <f>LN(C2267/C2266)</f>
        <v>2.4618521077686488E-4</v>
      </c>
    </row>
    <row r="2268" spans="1:26" x14ac:dyDescent="0.3">
      <c r="A2268" s="11">
        <v>43525</v>
      </c>
      <c r="B2268" s="12">
        <v>39307.83</v>
      </c>
      <c r="C2268" s="12">
        <v>54.253585800000003</v>
      </c>
      <c r="D2268" s="16">
        <f t="shared" si="473"/>
        <v>-9.5974324203791372E-3</v>
      </c>
      <c r="E2268" s="15">
        <f t="shared" si="472"/>
        <v>2.4615306603470444E-4</v>
      </c>
      <c r="G2268" s="25" t="str">
        <f>IF(VLOOKUP(A2268,Aux!B:C,2,FALSE)=0,"",VLOOKUP(A2268,Aux!B:C,2,FALSE))</f>
        <v/>
      </c>
      <c r="H2268" s="25" t="str">
        <f t="shared" si="461"/>
        <v/>
      </c>
      <c r="L2268" s="13">
        <f t="shared" si="464"/>
        <v>215635.04406519639</v>
      </c>
      <c r="M2268" s="14">
        <f t="shared" si="465"/>
        <v>-1077.9678900977501</v>
      </c>
      <c r="N2268" s="14">
        <f t="shared" si="466"/>
        <v>25.690739278203566</v>
      </c>
      <c r="O2268" s="1">
        <f t="shared" si="467"/>
        <v>2.8299805468424584</v>
      </c>
      <c r="P2268" s="1">
        <f t="shared" si="468"/>
        <v>1924.1981573613521</v>
      </c>
      <c r="S2268" s="6">
        <f t="shared" si="462"/>
        <v>0.51587345053690492</v>
      </c>
      <c r="T2268" s="6">
        <f t="shared" si="463"/>
        <v>0.48412654946309525</v>
      </c>
      <c r="V2268" s="1">
        <f t="shared" si="469"/>
        <v>212056.99675163516</v>
      </c>
      <c r="W2268" s="7">
        <f t="shared" si="470"/>
        <v>-4.8680304947062505E-3</v>
      </c>
      <c r="X2268" s="7">
        <f t="shared" si="471"/>
        <v>-3.9951957143077857E-3</v>
      </c>
      <c r="Y2268">
        <f>LN(B2268/B2267)</f>
        <v>-9.6437845878588231E-3</v>
      </c>
      <c r="Z2268">
        <f>LN(C2268/C2267)</f>
        <v>2.4612277533940833E-4</v>
      </c>
    </row>
    <row r="2269" spans="1:26" x14ac:dyDescent="0.3">
      <c r="A2269" s="9">
        <v>43530</v>
      </c>
      <c r="B2269" s="1">
        <v>39140.1</v>
      </c>
      <c r="C2269" s="1">
        <v>54.266944899999999</v>
      </c>
      <c r="D2269" s="6">
        <f t="shared" si="473"/>
        <v>-4.2670887708632366E-3</v>
      </c>
      <c r="E2269" s="5">
        <f t="shared" si="472"/>
        <v>2.4623441571658411E-4</v>
      </c>
      <c r="G2269" s="25" t="str">
        <f>IF(VLOOKUP(A2269,Aux!B:C,2,FALSE)=0,"",VLOOKUP(A2269,Aux!B:C,2,FALSE))</f>
        <v/>
      </c>
      <c r="H2269" s="25" t="str">
        <f t="shared" si="461"/>
        <v/>
      </c>
      <c r="L2269" s="13">
        <f t="shared" si="464"/>
        <v>215186.07698367847</v>
      </c>
      <c r="M2269" s="14">
        <f t="shared" si="465"/>
        <v>-474.67263712189458</v>
      </c>
      <c r="N2269" s="14">
        <f t="shared" si="466"/>
        <v>25.705555603996984</v>
      </c>
      <c r="O2269" s="1">
        <f t="shared" si="467"/>
        <v>2.8299805468424584</v>
      </c>
      <c r="P2269" s="1">
        <f t="shared" si="468"/>
        <v>1924.1981573613521</v>
      </c>
      <c r="S2269" s="6">
        <f t="shared" si="462"/>
        <v>0.51474390515456026</v>
      </c>
      <c r="T2269" s="6">
        <f t="shared" si="463"/>
        <v>0.48525609484543991</v>
      </c>
      <c r="V2269" s="1">
        <f t="shared" si="469"/>
        <v>211699.92385067491</v>
      </c>
      <c r="W2269" s="7">
        <f t="shared" si="470"/>
        <v>-2.0842397092927295E-3</v>
      </c>
      <c r="X2269" s="7">
        <f t="shared" si="471"/>
        <v>-1.6852727028705903E-3</v>
      </c>
      <c r="Y2269">
        <f>LN(B2269/B2268)</f>
        <v>-4.2762187757700012E-3</v>
      </c>
      <c r="Z2269">
        <f>LN(C2269/C2268)</f>
        <v>2.4620410499843505E-4</v>
      </c>
    </row>
    <row r="2270" spans="1:26" x14ac:dyDescent="0.3">
      <c r="A2270" s="11">
        <v>43531</v>
      </c>
      <c r="B2270" s="12">
        <v>39161.769999999997</v>
      </c>
      <c r="C2270" s="12">
        <v>54.280304000000001</v>
      </c>
      <c r="D2270" s="16">
        <f t="shared" si="473"/>
        <v>5.5365213681102254E-4</v>
      </c>
      <c r="E2270" s="15">
        <f t="shared" si="472"/>
        <v>2.4617379925517824E-4</v>
      </c>
      <c r="G2270" s="25" t="str">
        <f>IF(VLOOKUP(A2270,Aux!B:C,2,FALSE)=0,"",VLOOKUP(A2270,Aux!B:C,2,FALSE))</f>
        <v/>
      </c>
      <c r="H2270" s="25" t="str">
        <f t="shared" si="461"/>
        <v/>
      </c>
      <c r="L2270" s="13">
        <f t="shared" si="464"/>
        <v>215273.10821773257</v>
      </c>
      <c r="M2270" s="14">
        <f t="shared" si="465"/>
        <v>61.32567845007113</v>
      </c>
      <c r="N2270" s="14">
        <f t="shared" si="466"/>
        <v>25.705555604010655</v>
      </c>
      <c r="O2270" s="1">
        <f t="shared" si="467"/>
        <v>2.8299805468424584</v>
      </c>
      <c r="P2270" s="1">
        <f t="shared" si="468"/>
        <v>1924.1981573613521</v>
      </c>
      <c r="S2270" s="6">
        <f t="shared" si="462"/>
        <v>0.5148206768484308</v>
      </c>
      <c r="T2270" s="6">
        <f t="shared" si="463"/>
        <v>0.48517932315156936</v>
      </c>
      <c r="V2270" s="1">
        <f t="shared" si="469"/>
        <v>211779.80337496207</v>
      </c>
      <c r="W2270" s="7">
        <f t="shared" si="470"/>
        <v>4.0436463308021194E-4</v>
      </c>
      <c r="X2270" s="7">
        <f t="shared" si="471"/>
        <v>3.7725312499768969E-4</v>
      </c>
      <c r="Y2270">
        <f>LN(B2270/B2269)</f>
        <v>5.5349892801370183E-4</v>
      </c>
      <c r="Z2270">
        <f>LN(C2270/C2269)</f>
        <v>2.461435034573775E-4</v>
      </c>
    </row>
    <row r="2271" spans="1:26" x14ac:dyDescent="0.3">
      <c r="A2271" s="9">
        <v>43532</v>
      </c>
      <c r="B2271" s="1">
        <v>39607.120000000003</v>
      </c>
      <c r="C2271" s="1">
        <v>54.293666799999997</v>
      </c>
      <c r="D2271" s="6">
        <f t="shared" si="473"/>
        <v>1.137206004733704E-2</v>
      </c>
      <c r="E2271" s="5">
        <f t="shared" si="472"/>
        <v>2.4618137731868828E-4</v>
      </c>
      <c r="G2271" s="25" t="str">
        <f>IF(VLOOKUP(A2271,Aux!B:C,2,FALSE)=0,"",VLOOKUP(A2271,Aux!B:C,2,FALSE))</f>
        <v/>
      </c>
      <c r="H2271" s="25" t="str">
        <f t="shared" si="461"/>
        <v/>
      </c>
      <c r="L2271" s="13">
        <f t="shared" si="464"/>
        <v>216559.15272940605</v>
      </c>
      <c r="M2271" s="14">
        <f t="shared" si="465"/>
        <v>1260.3318365363052</v>
      </c>
      <c r="N2271" s="14">
        <f t="shared" si="466"/>
        <v>25.712675137180387</v>
      </c>
      <c r="O2271" s="1">
        <f t="shared" si="467"/>
        <v>2.8299805468424584</v>
      </c>
      <c r="P2271" s="1">
        <f t="shared" si="468"/>
        <v>1924.1981573613521</v>
      </c>
      <c r="S2271" s="6">
        <f t="shared" si="462"/>
        <v>0.51758319934188957</v>
      </c>
      <c r="T2271" s="6">
        <f t="shared" si="463"/>
        <v>0.4824168006581106</v>
      </c>
      <c r="V2271" s="1">
        <f t="shared" si="469"/>
        <v>212837.13575704509</v>
      </c>
      <c r="W2271" s="7">
        <f t="shared" si="470"/>
        <v>5.9562400961526525E-3</v>
      </c>
      <c r="X2271" s="7">
        <f t="shared" si="471"/>
        <v>4.9801808170490333E-3</v>
      </c>
      <c r="Y2271">
        <f>LN(B2271/B2270)</f>
        <v>1.1307884254816351E-2</v>
      </c>
      <c r="Z2271">
        <f>LN(C2271/C2270)</f>
        <v>2.4615107965579727E-4</v>
      </c>
    </row>
    <row r="2272" spans="1:26" x14ac:dyDescent="0.3">
      <c r="A2272" s="11">
        <v>43535</v>
      </c>
      <c r="B2272" s="12">
        <v>40666.019999999997</v>
      </c>
      <c r="C2272" s="12">
        <v>54.307033500000003</v>
      </c>
      <c r="D2272" s="16">
        <f t="shared" si="473"/>
        <v>2.6735092074354094E-2</v>
      </c>
      <c r="E2272" s="15">
        <f t="shared" si="472"/>
        <v>2.4619261854685881E-4</v>
      </c>
      <c r="G2272" s="25" t="str">
        <f>IF(VLOOKUP(A2272,Aux!B:C,2,FALSE)=0,"",VLOOKUP(A2272,Aux!B:C,2,FALSE))</f>
        <v/>
      </c>
      <c r="H2272" s="25" t="str">
        <f t="shared" si="461"/>
        <v/>
      </c>
      <c r="L2272" s="13">
        <f t="shared" si="464"/>
        <v>219581.53930996751</v>
      </c>
      <c r="M2272" s="14">
        <f t="shared" si="465"/>
        <v>2996.6664010514628</v>
      </c>
      <c r="N2272" s="14">
        <f t="shared" si="466"/>
        <v>25.720179510013431</v>
      </c>
      <c r="O2272" s="1">
        <f t="shared" si="467"/>
        <v>2.8299805468424584</v>
      </c>
      <c r="P2272" s="1">
        <f t="shared" si="468"/>
        <v>1924.1981573613521</v>
      </c>
      <c r="S2272" s="6">
        <f t="shared" si="462"/>
        <v>0.52410619708358286</v>
      </c>
      <c r="T2272" s="6">
        <f t="shared" si="463"/>
        <v>0.47589380291641731</v>
      </c>
      <c r="V2272" s="1">
        <f t="shared" si="469"/>
        <v>215309.95817603852</v>
      </c>
      <c r="W2272" s="7">
        <f t="shared" si="470"/>
        <v>1.3859908136081249E-2</v>
      </c>
      <c r="X2272" s="7">
        <f t="shared" si="471"/>
        <v>1.1551403481242567E-2</v>
      </c>
      <c r="Y2272">
        <f>LN(B2272/B2271)</f>
        <v>2.6383954220856716E-2</v>
      </c>
      <c r="Z2272">
        <f>LN(C2272/C2271)</f>
        <v>2.4616231811720474E-4</v>
      </c>
    </row>
    <row r="2273" spans="1:26" x14ac:dyDescent="0.3">
      <c r="A2273" s="9">
        <v>43536</v>
      </c>
      <c r="B2273" s="1">
        <v>40612.06</v>
      </c>
      <c r="C2273" s="1">
        <v>54.320404099999998</v>
      </c>
      <c r="D2273" s="6">
        <f t="shared" si="473"/>
        <v>-1.3269063458877239E-3</v>
      </c>
      <c r="E2273" s="5">
        <f t="shared" si="472"/>
        <v>2.4620383656182021E-4</v>
      </c>
      <c r="G2273" s="25" t="str">
        <f>IF(VLOOKUP(A2273,Aux!B:C,2,FALSE)=0,"",VLOOKUP(A2273,Aux!B:C,2,FALSE))</f>
        <v/>
      </c>
      <c r="H2273" s="25" t="str">
        <f t="shared" si="461"/>
        <v/>
      </c>
      <c r="L2273" s="13">
        <f t="shared" si="464"/>
        <v>219454.5612435427</v>
      </c>
      <c r="M2273" s="14">
        <f t="shared" si="465"/>
        <v>-152.70575030761657</v>
      </c>
      <c r="N2273" s="14">
        <f t="shared" si="466"/>
        <v>25.727683882805458</v>
      </c>
      <c r="O2273" s="1">
        <f t="shared" si="467"/>
        <v>2.8299805468424584</v>
      </c>
      <c r="P2273" s="1">
        <f t="shared" si="468"/>
        <v>1924.1981573613521</v>
      </c>
      <c r="S2273" s="6">
        <f t="shared" si="462"/>
        <v>0.52371360666161815</v>
      </c>
      <c r="T2273" s="6">
        <f t="shared" si="463"/>
        <v>0.47628639333838202</v>
      </c>
      <c r="V2273" s="1">
        <f t="shared" si="469"/>
        <v>215215.38237179746</v>
      </c>
      <c r="W2273" s="7">
        <f t="shared" si="470"/>
        <v>-5.784402230487E-4</v>
      </c>
      <c r="X2273" s="7">
        <f t="shared" si="471"/>
        <v>-4.3935070415149208E-4</v>
      </c>
      <c r="Y2273">
        <f>LN(B2273/B2272)</f>
        <v>-1.3277874656416127E-3</v>
      </c>
      <c r="Z2273">
        <f>LN(C2273/C2272)</f>
        <v>2.4617353337099052E-4</v>
      </c>
    </row>
    <row r="2274" spans="1:26" x14ac:dyDescent="0.3">
      <c r="A2274" s="11">
        <v>43537</v>
      </c>
      <c r="B2274" s="12">
        <v>41025.74</v>
      </c>
      <c r="C2274" s="12">
        <v>54.3337784</v>
      </c>
      <c r="D2274" s="16">
        <f t="shared" si="473"/>
        <v>1.01861368273366E-2</v>
      </c>
      <c r="E2274" s="15">
        <f t="shared" si="472"/>
        <v>2.4621134952118595E-4</v>
      </c>
      <c r="G2274" s="25" t="str">
        <f>IF(VLOOKUP(A2274,Aux!B:C,2,FALSE)=0,"",VLOOKUP(A2274,Aux!B:C,2,FALSE))</f>
        <v/>
      </c>
      <c r="H2274" s="25" t="str">
        <f t="shared" si="461"/>
        <v/>
      </c>
      <c r="L2274" s="13">
        <f t="shared" si="464"/>
        <v>220651.00239957651</v>
      </c>
      <c r="M2274" s="14">
        <f t="shared" si="465"/>
        <v>1170.706352617789</v>
      </c>
      <c r="N2274" s="14">
        <f t="shared" si="466"/>
        <v>25.734803416002535</v>
      </c>
      <c r="O2274" s="1">
        <f t="shared" si="467"/>
        <v>2.8299805468424584</v>
      </c>
      <c r="P2274" s="1">
        <f t="shared" si="468"/>
        <v>1924.1981573613521</v>
      </c>
      <c r="S2274" s="6">
        <f t="shared" si="462"/>
        <v>0.52617955439680042</v>
      </c>
      <c r="T2274" s="6">
        <f t="shared" si="463"/>
        <v>0.47382044560319975</v>
      </c>
      <c r="V2274" s="1">
        <f t="shared" si="469"/>
        <v>216199.67668308126</v>
      </c>
      <c r="W2274" s="7">
        <f t="shared" si="470"/>
        <v>5.4370778389746339E-3</v>
      </c>
      <c r="X2274" s="7">
        <f t="shared" si="471"/>
        <v>4.5631045951337384E-3</v>
      </c>
      <c r="Y2274">
        <f>LN(B2274/B2273)</f>
        <v>1.013460776158768E-2</v>
      </c>
      <c r="Z2274">
        <f>LN(C2274/C2273)</f>
        <v>2.4618104448106395E-4</v>
      </c>
    </row>
    <row r="2275" spans="1:26" x14ac:dyDescent="0.3">
      <c r="A2275" s="9">
        <v>43538</v>
      </c>
      <c r="B2275" s="1">
        <v>40916.68</v>
      </c>
      <c r="C2275" s="1">
        <v>54.347156499999997</v>
      </c>
      <c r="D2275" s="6">
        <f t="shared" si="473"/>
        <v>-2.6583310867761556E-3</v>
      </c>
      <c r="E2275" s="5">
        <f t="shared" si="472"/>
        <v>2.4622068249158247E-4</v>
      </c>
      <c r="G2275" s="25" t="str">
        <f>IF(VLOOKUP(A2275,Aux!B:C,2,FALSE)=0,"",VLOOKUP(A2275,Aux!B:C,2,FALSE))</f>
        <v/>
      </c>
      <c r="H2275" s="25" t="str">
        <f t="shared" si="461"/>
        <v/>
      </c>
      <c r="L2275" s="13">
        <f t="shared" si="464"/>
        <v>220368.10683650686</v>
      </c>
      <c r="M2275" s="14">
        <f t="shared" si="465"/>
        <v>-308.63767843863189</v>
      </c>
      <c r="N2275" s="14">
        <f t="shared" si="466"/>
        <v>25.742115368990252</v>
      </c>
      <c r="O2275" s="1">
        <f t="shared" si="467"/>
        <v>2.8299805468424584</v>
      </c>
      <c r="P2275" s="1">
        <f t="shared" si="468"/>
        <v>1924.1981573613521</v>
      </c>
      <c r="S2275" s="6">
        <f t="shared" si="462"/>
        <v>0.52545447752694119</v>
      </c>
      <c r="T2275" s="6">
        <f t="shared" si="463"/>
        <v>0.47454552247305892</v>
      </c>
      <c r="V2275" s="1">
        <f t="shared" si="469"/>
        <v>215978.00002992532</v>
      </c>
      <c r="W2275" s="7">
        <f t="shared" si="470"/>
        <v>-1.2829176602374927E-3</v>
      </c>
      <c r="X2275" s="7">
        <f t="shared" si="471"/>
        <v>-1.0258589674632722E-3</v>
      </c>
      <c r="Y2275">
        <f>LN(B2275/B2274)</f>
        <v>-2.6618707232683846E-3</v>
      </c>
      <c r="Z2275">
        <f>LN(C2275/C2274)</f>
        <v>2.4619037515409933E-4</v>
      </c>
    </row>
    <row r="2276" spans="1:26" x14ac:dyDescent="0.3">
      <c r="A2276" s="11">
        <v>43539</v>
      </c>
      <c r="B2276" s="12">
        <v>41121.339999999997</v>
      </c>
      <c r="C2276" s="12">
        <v>54.360538499999997</v>
      </c>
      <c r="D2276" s="16">
        <f t="shared" si="473"/>
        <v>5.00187209714964E-3</v>
      </c>
      <c r="E2276" s="15">
        <f t="shared" si="472"/>
        <v>2.462318336746705E-4</v>
      </c>
      <c r="G2276" s="25" t="str">
        <f>IF(VLOOKUP(A2276,Aux!B:C,2,FALSE)=0,"",VLOOKUP(A2276,Aux!B:C,2,FALSE))</f>
        <v/>
      </c>
      <c r="H2276" s="25" t="str">
        <f t="shared" si="461"/>
        <v/>
      </c>
      <c r="L2276" s="13">
        <f t="shared" si="464"/>
        <v>220973.04027496543</v>
      </c>
      <c r="M2276" s="14">
        <f t="shared" si="465"/>
        <v>579.18381871676684</v>
      </c>
      <c r="N2276" s="14">
        <f t="shared" si="466"/>
        <v>25.749619741809624</v>
      </c>
      <c r="O2276" s="1">
        <f t="shared" si="467"/>
        <v>2.8299805468424584</v>
      </c>
      <c r="P2276" s="1">
        <f t="shared" si="468"/>
        <v>1924.1981573613521</v>
      </c>
      <c r="S2276" s="6">
        <f t="shared" si="462"/>
        <v>0.52663705995667009</v>
      </c>
      <c r="T2276" s="6">
        <f t="shared" si="463"/>
        <v>0.47336294004333007</v>
      </c>
      <c r="V2276" s="1">
        <f t="shared" si="469"/>
        <v>216480.09511557035</v>
      </c>
      <c r="W2276" s="7">
        <f t="shared" si="470"/>
        <v>2.7413433859745885E-3</v>
      </c>
      <c r="X2276" s="7">
        <f t="shared" si="471"/>
        <v>2.3220530122402493E-3</v>
      </c>
      <c r="Y2276">
        <f>LN(B2276/B2275)</f>
        <v>4.9894042925375673E-3</v>
      </c>
      <c r="Z2276">
        <f>LN(C2276/C2275)</f>
        <v>2.4620152359214917E-4</v>
      </c>
    </row>
    <row r="2277" spans="1:26" x14ac:dyDescent="0.3">
      <c r="A2277" s="9">
        <v>43542</v>
      </c>
      <c r="B2277" s="1">
        <v>41471.35</v>
      </c>
      <c r="C2277" s="1">
        <v>54.373920400000003</v>
      </c>
      <c r="D2277" s="6">
        <f t="shared" si="473"/>
        <v>8.5116389689636751E-3</v>
      </c>
      <c r="E2277" s="5">
        <f t="shared" si="472"/>
        <v>2.4616937891464019E-4</v>
      </c>
      <c r="G2277" s="25" t="str">
        <f>IF(VLOOKUP(A2277,Aux!B:C,2,FALSE)=0,"",VLOOKUP(A2277,Aux!B:C,2,FALSE))</f>
        <v/>
      </c>
      <c r="H2277" s="25" t="str">
        <f t="shared" si="461"/>
        <v/>
      </c>
      <c r="L2277" s="13">
        <f t="shared" si="464"/>
        <v>221989.31119348778</v>
      </c>
      <c r="M2277" s="14">
        <f t="shared" si="465"/>
        <v>990.52149120033459</v>
      </c>
      <c r="N2277" s="14">
        <f t="shared" si="466"/>
        <v>25.74942732200531</v>
      </c>
      <c r="O2277" s="1">
        <f t="shared" si="467"/>
        <v>2.8299805468424584</v>
      </c>
      <c r="P2277" s="1">
        <f t="shared" si="468"/>
        <v>1924.1981573613521</v>
      </c>
      <c r="S2277" s="6">
        <f t="shared" si="462"/>
        <v>0.52868812971359813</v>
      </c>
      <c r="T2277" s="6">
        <f t="shared" si="463"/>
        <v>0.47131187028640198</v>
      </c>
      <c r="V2277" s="1">
        <f t="shared" si="469"/>
        <v>217317.51751187234</v>
      </c>
      <c r="W2277" s="7">
        <f t="shared" si="470"/>
        <v>4.588528565691358E-3</v>
      </c>
      <c r="X2277" s="7">
        <f t="shared" si="471"/>
        <v>3.8608946300243562E-3</v>
      </c>
      <c r="Y2277">
        <f>LN(B2277/B2276)</f>
        <v>8.4756192170895184E-3</v>
      </c>
      <c r="Z2277">
        <f>LN(C2277/C2276)</f>
        <v>2.4613908420473388E-4</v>
      </c>
    </row>
    <row r="2278" spans="1:26" x14ac:dyDescent="0.3">
      <c r="A2278" s="11">
        <v>43543</v>
      </c>
      <c r="B2278" s="12">
        <v>41325.089999999997</v>
      </c>
      <c r="C2278" s="12">
        <v>54.387306199999998</v>
      </c>
      <c r="D2278" s="16">
        <f t="shared" si="473"/>
        <v>-3.5267720968813476E-3</v>
      </c>
      <c r="E2278" s="15">
        <f t="shared" si="472"/>
        <v>2.4618052002733926E-4</v>
      </c>
      <c r="G2278" s="25" t="str">
        <f>IF(VLOOKUP(A2278,Aux!B:C,2,FALSE)=0,"",VLOOKUP(A2278,Aux!B:C,2,FALSE))</f>
        <v/>
      </c>
      <c r="H2278" s="25" t="str">
        <f t="shared" si="461"/>
        <v/>
      </c>
      <c r="L2278" s="13">
        <f t="shared" si="464"/>
        <v>221601.15517040141</v>
      </c>
      <c r="M2278" s="14">
        <f t="shared" si="465"/>
        <v>-413.91295478118371</v>
      </c>
      <c r="N2278" s="14">
        <f t="shared" si="466"/>
        <v>25.756931694797338</v>
      </c>
      <c r="O2278" s="1">
        <f t="shared" si="467"/>
        <v>2.8299805468424584</v>
      </c>
      <c r="P2278" s="1">
        <f t="shared" si="468"/>
        <v>1924.1981573613521</v>
      </c>
      <c r="S2278" s="6">
        <f t="shared" si="462"/>
        <v>0.5277463499979731</v>
      </c>
      <c r="T2278" s="6">
        <f t="shared" si="463"/>
        <v>0.47225365000202707</v>
      </c>
      <c r="V2278" s="1">
        <f t="shared" si="469"/>
        <v>217010.03638337337</v>
      </c>
      <c r="W2278" s="7">
        <f t="shared" si="470"/>
        <v>-1.7500652136919052E-3</v>
      </c>
      <c r="X2278" s="7">
        <f t="shared" si="471"/>
        <v>-1.4158953403261938E-3</v>
      </c>
      <c r="Y2278">
        <f>LN(B2278/B2277)</f>
        <v>-3.5330058185190369E-3</v>
      </c>
      <c r="Z2278">
        <f>LN(C2278/C2277)</f>
        <v>2.461502225754451E-4</v>
      </c>
    </row>
    <row r="2279" spans="1:26" x14ac:dyDescent="0.3">
      <c r="A2279" s="9">
        <v>43544</v>
      </c>
      <c r="B2279" s="1">
        <v>40684.050000000003</v>
      </c>
      <c r="C2279" s="1">
        <v>54.400695800000001</v>
      </c>
      <c r="D2279" s="6">
        <f t="shared" si="473"/>
        <v>-1.5512125926404385E-2</v>
      </c>
      <c r="E2279" s="5">
        <f t="shared" si="472"/>
        <v>2.4618979933976881E-4</v>
      </c>
      <c r="G2279" s="25" t="str">
        <f>IF(VLOOKUP(A2279,Aux!B:C,2,FALSE)=0,"",VLOOKUP(A2279,Aux!B:C,2,FALSE))</f>
        <v/>
      </c>
      <c r="H2279" s="25" t="str">
        <f t="shared" si="461"/>
        <v/>
      </c>
      <c r="L2279" s="13">
        <f t="shared" si="464"/>
        <v>219812.78868430134</v>
      </c>
      <c r="M2279" s="14">
        <f t="shared" si="465"/>
        <v>-1814.1307297478713</v>
      </c>
      <c r="N2279" s="14">
        <f t="shared" si="466"/>
        <v>25.7642436478124</v>
      </c>
      <c r="O2279" s="1">
        <f t="shared" si="467"/>
        <v>2.8299805468424584</v>
      </c>
      <c r="P2279" s="1">
        <f t="shared" si="468"/>
        <v>1924.1981573613521</v>
      </c>
      <c r="S2279" s="6">
        <f t="shared" si="462"/>
        <v>0.52378694959429661</v>
      </c>
      <c r="T2279" s="6">
        <f t="shared" si="463"/>
        <v>0.4762130504057035</v>
      </c>
      <c r="V2279" s="1">
        <f t="shared" si="469"/>
        <v>215561.0889884808</v>
      </c>
      <c r="W2279" s="7">
        <f t="shared" si="470"/>
        <v>-8.1029441683481748E-3</v>
      </c>
      <c r="X2279" s="7">
        <f t="shared" si="471"/>
        <v>-6.6992581287684278E-3</v>
      </c>
      <c r="Y2279">
        <f>LN(B2279/B2278)</f>
        <v>-1.5633697816193521E-2</v>
      </c>
      <c r="Z2279">
        <f>LN(C2279/C2278)</f>
        <v>2.4615949960400788E-4</v>
      </c>
    </row>
    <row r="2280" spans="1:26" x14ac:dyDescent="0.3">
      <c r="A2280" s="11">
        <v>43545</v>
      </c>
      <c r="B2280" s="12">
        <v>40146.78</v>
      </c>
      <c r="C2280" s="12">
        <v>54.414089199999999</v>
      </c>
      <c r="D2280" s="16">
        <f t="shared" si="473"/>
        <v>-1.3205912390728214E-2</v>
      </c>
      <c r="E2280" s="15">
        <f t="shared" si="472"/>
        <v>2.4619905688783028E-4</v>
      </c>
      <c r="G2280" s="25" t="str">
        <f>IF(VLOOKUP(A2280,Aux!B:C,2,FALSE)=0,"",VLOOKUP(A2280,Aux!B:C,2,FALSE))</f>
        <v/>
      </c>
      <c r="H2280" s="25" t="str">
        <f t="shared" si="461"/>
        <v/>
      </c>
      <c r="L2280" s="13">
        <f t="shared" si="464"/>
        <v>218318.0965915001</v>
      </c>
      <c r="M2280" s="14">
        <f t="shared" si="465"/>
        <v>-1520.4636484020591</v>
      </c>
      <c r="N2280" s="14">
        <f t="shared" si="466"/>
        <v>25.771555600800113</v>
      </c>
      <c r="O2280" s="1">
        <f t="shared" si="467"/>
        <v>2.8299805468424584</v>
      </c>
      <c r="P2280" s="1">
        <f t="shared" si="468"/>
        <v>1924.1981573613521</v>
      </c>
      <c r="S2280" s="6">
        <f t="shared" si="462"/>
        <v>0.52040856068359154</v>
      </c>
      <c r="T2280" s="6">
        <f t="shared" si="463"/>
        <v>0.47959143931640857</v>
      </c>
      <c r="V2280" s="1">
        <f t="shared" si="469"/>
        <v>214351.5511145856</v>
      </c>
      <c r="W2280" s="7">
        <f t="shared" si="470"/>
        <v>-6.8230656258884345E-3</v>
      </c>
      <c r="X2280" s="7">
        <f t="shared" si="471"/>
        <v>-5.6269155751607972E-3</v>
      </c>
      <c r="Y2280">
        <f>LN(B2280/B2279)</f>
        <v>-1.3293885823125391E-2</v>
      </c>
      <c r="Z2280">
        <f>LN(C2280/C2279)</f>
        <v>2.4616875487347358E-4</v>
      </c>
    </row>
    <row r="2281" spans="1:26" x14ac:dyDescent="0.3">
      <c r="A2281" s="9">
        <v>43546</v>
      </c>
      <c r="B2281" s="1">
        <v>38953.24</v>
      </c>
      <c r="C2281" s="1">
        <v>54.427486399999999</v>
      </c>
      <c r="D2281" s="6">
        <f t="shared" si="473"/>
        <v>-2.972940793757306E-2</v>
      </c>
      <c r="E2281" s="5">
        <f t="shared" si="472"/>
        <v>2.4620829268617861E-4</v>
      </c>
      <c r="G2281" s="25" t="str">
        <f>IF(VLOOKUP(A2281,Aux!B:C,2,FALSE)=0,"",VLOOKUP(A2281,Aux!B:C,2,FALSE))</f>
        <v/>
      </c>
      <c r="H2281" s="25" t="str">
        <f t="shared" si="461"/>
        <v/>
      </c>
      <c r="L2281" s="13">
        <f t="shared" si="464"/>
        <v>214966.18047717554</v>
      </c>
      <c r="M2281" s="14">
        <f t="shared" si="465"/>
        <v>-3377.6949818783501</v>
      </c>
      <c r="N2281" s="14">
        <f t="shared" si="466"/>
        <v>25.778867553801501</v>
      </c>
      <c r="O2281" s="1">
        <f t="shared" si="467"/>
        <v>2.8299805468424584</v>
      </c>
      <c r="P2281" s="1">
        <f t="shared" si="468"/>
        <v>1924.1981573613521</v>
      </c>
      <c r="S2281" s="6">
        <f t="shared" si="462"/>
        <v>0.5128104857786695</v>
      </c>
      <c r="T2281" s="6">
        <f t="shared" si="463"/>
        <v>0.48718951422133067</v>
      </c>
      <c r="V2281" s="1">
        <f t="shared" si="469"/>
        <v>211627.98389534629</v>
      </c>
      <c r="W2281" s="7">
        <f t="shared" si="470"/>
        <v>-1.5472442279584289E-2</v>
      </c>
      <c r="X2281" s="7">
        <f t="shared" si="471"/>
        <v>-1.2787489108788044E-2</v>
      </c>
      <c r="Y2281">
        <f>LN(B2281/B2280)</f>
        <v>-3.0180285497962776E-2</v>
      </c>
      <c r="Z2281">
        <f>LN(C2281/C2280)</f>
        <v>2.4617798839849411E-4</v>
      </c>
    </row>
    <row r="2282" spans="1:26" x14ac:dyDescent="0.3">
      <c r="A2282" s="11">
        <v>43549</v>
      </c>
      <c r="B2282" s="12">
        <v>38937.699999999997</v>
      </c>
      <c r="C2282" s="12">
        <v>54.440887500000002</v>
      </c>
      <c r="D2282" s="16">
        <f t="shared" si="473"/>
        <v>-3.9893985712102786E-4</v>
      </c>
      <c r="E2282" s="15">
        <f t="shared" si="472"/>
        <v>2.4621934405555379E-4</v>
      </c>
      <c r="G2282" s="25" t="str">
        <f>IF(VLOOKUP(A2282,Aux!B:C,2,FALSE)=0,"",VLOOKUP(A2282,Aux!B:C,2,FALSE))</f>
        <v/>
      </c>
      <c r="H2282" s="25" t="str">
        <f t="shared" si="461"/>
        <v/>
      </c>
      <c r="L2282" s="13">
        <f t="shared" si="464"/>
        <v>214947.98895140423</v>
      </c>
      <c r="M2282" s="14">
        <f t="shared" si="465"/>
        <v>-43.977897697934274</v>
      </c>
      <c r="N2282" s="14">
        <f t="shared" si="466"/>
        <v>25.786371926620873</v>
      </c>
      <c r="O2282" s="1">
        <f t="shared" si="467"/>
        <v>2.8299805468424584</v>
      </c>
      <c r="P2282" s="1">
        <f t="shared" si="468"/>
        <v>1924.1981573613521</v>
      </c>
      <c r="S2282" s="6">
        <f t="shared" si="462"/>
        <v>0.51264928821316014</v>
      </c>
      <c r="T2282" s="6">
        <f t="shared" si="463"/>
        <v>0.48735071178683997</v>
      </c>
      <c r="V2282" s="1">
        <f t="shared" si="469"/>
        <v>211622.1126075841</v>
      </c>
      <c r="W2282" s="7">
        <f t="shared" si="470"/>
        <v>-8.4628640206754841E-5</v>
      </c>
      <c r="X2282" s="7">
        <f t="shared" si="471"/>
        <v>-2.7743822440109683E-5</v>
      </c>
      <c r="Y2282">
        <f>LN(B2282/B2281)</f>
        <v>-3.9901945479632183E-4</v>
      </c>
      <c r="Z2282">
        <f>LN(C2282/C2281)</f>
        <v>2.4618903704753925E-4</v>
      </c>
    </row>
    <row r="2283" spans="1:26" x14ac:dyDescent="0.3">
      <c r="A2283" s="9">
        <v>43550</v>
      </c>
      <c r="B2283" s="1">
        <v>39604.019999999997</v>
      </c>
      <c r="C2283" s="1">
        <v>54.454292299999999</v>
      </c>
      <c r="D2283" s="6">
        <f t="shared" si="473"/>
        <v>1.7112464269846361E-2</v>
      </c>
      <c r="E2283" s="5">
        <f t="shared" si="472"/>
        <v>2.4622669863716418E-4</v>
      </c>
      <c r="G2283" s="25" t="str">
        <f>IF(VLOOKUP(A2283,Aux!B:C,2,FALSE)=0,"",VLOOKUP(A2283,Aux!B:C,2,FALSE))</f>
        <v/>
      </c>
      <c r="H2283" s="25" t="str">
        <f t="shared" si="461"/>
        <v/>
      </c>
      <c r="L2283" s="13">
        <f t="shared" si="464"/>
        <v>216859.45508083611</v>
      </c>
      <c r="M2283" s="14">
        <f t="shared" si="465"/>
        <v>1885.672637972066</v>
      </c>
      <c r="N2283" s="14">
        <f t="shared" si="466"/>
        <v>25.793491459790605</v>
      </c>
      <c r="O2283" s="1">
        <f t="shared" si="467"/>
        <v>2.8299805468424584</v>
      </c>
      <c r="P2283" s="1">
        <f t="shared" si="468"/>
        <v>1924.1981573613521</v>
      </c>
      <c r="S2283" s="6">
        <f t="shared" si="462"/>
        <v>0.51682600666400025</v>
      </c>
      <c r="T2283" s="6">
        <f t="shared" si="463"/>
        <v>0.48317399333599981</v>
      </c>
      <c r="V2283" s="1">
        <f t="shared" si="469"/>
        <v>213189.32446880243</v>
      </c>
      <c r="W2283" s="7">
        <f t="shared" si="470"/>
        <v>8.8533842631800183E-3</v>
      </c>
      <c r="X2283" s="7">
        <f t="shared" si="471"/>
        <v>7.3784217395847585E-3</v>
      </c>
      <c r="Y2283">
        <f>LN(B2283/B2282)</f>
        <v>1.6967695288558054E-2</v>
      </c>
      <c r="Z2283">
        <f>LN(C2283/C2282)</f>
        <v>2.4619638981872809E-4</v>
      </c>
    </row>
    <row r="2284" spans="1:26" x14ac:dyDescent="0.3">
      <c r="A2284" s="11">
        <v>43551</v>
      </c>
      <c r="B2284" s="12">
        <v>38206.79</v>
      </c>
      <c r="C2284" s="12">
        <v>54.467697100000002</v>
      </c>
      <c r="D2284" s="16">
        <f t="shared" si="473"/>
        <v>-3.5280004403593246E-2</v>
      </c>
      <c r="E2284" s="15">
        <f t="shared" si="472"/>
        <v>2.4616608597449741E-4</v>
      </c>
      <c r="G2284" s="25" t="str">
        <f>IF(VLOOKUP(A2284,Aux!B:C,2,FALSE)=0,"",VLOOKUP(A2284,Aux!B:C,2,FALSE))</f>
        <v/>
      </c>
      <c r="H2284" s="25" t="str">
        <f t="shared" si="461"/>
        <v/>
      </c>
      <c r="L2284" s="13">
        <f t="shared" si="464"/>
        <v>212931.11485283123</v>
      </c>
      <c r="M2284" s="14">
        <f t="shared" si="465"/>
        <v>-3954.1337194646767</v>
      </c>
      <c r="N2284" s="14">
        <f t="shared" si="466"/>
        <v>25.793491459804276</v>
      </c>
      <c r="O2284" s="1">
        <f t="shared" si="467"/>
        <v>2.8299805468424584</v>
      </c>
      <c r="P2284" s="1">
        <f t="shared" si="468"/>
        <v>1924.1981573613521</v>
      </c>
      <c r="S2284" s="6">
        <f t="shared" si="462"/>
        <v>0.50779085307483562</v>
      </c>
      <c r="T2284" s="6">
        <f t="shared" si="463"/>
        <v>0.49220914692516443</v>
      </c>
      <c r="V2284" s="1">
        <f t="shared" si="469"/>
        <v>209995.85429665551</v>
      </c>
      <c r="W2284" s="7">
        <f t="shared" si="470"/>
        <v>-1.8280762315389054E-2</v>
      </c>
      <c r="X2284" s="7">
        <f t="shared" si="471"/>
        <v>-1.5092829111877712E-2</v>
      </c>
      <c r="Y2284">
        <f>LN(B2284/B2283)</f>
        <v>-3.5917379751433477E-2</v>
      </c>
      <c r="Z2284">
        <f>LN(C2284/C2283)</f>
        <v>2.4613579207500723E-4</v>
      </c>
    </row>
    <row r="2285" spans="1:26" x14ac:dyDescent="0.3">
      <c r="A2285" s="9">
        <v>43552</v>
      </c>
      <c r="B2285" s="1">
        <v>39202.85</v>
      </c>
      <c r="C2285" s="1">
        <v>54.481105800000002</v>
      </c>
      <c r="D2285" s="6">
        <f t="shared" si="473"/>
        <v>2.6070235159771249E-2</v>
      </c>
      <c r="E2285" s="5">
        <f t="shared" si="472"/>
        <v>2.4617710521845915E-4</v>
      </c>
      <c r="G2285" s="25" t="str">
        <f>IF(VLOOKUP(A2285,Aux!B:C,2,FALSE)=0,"",VLOOKUP(A2285,Aux!B:C,2,FALSE))</f>
        <v/>
      </c>
      <c r="H2285" s="25" t="str">
        <f t="shared" si="461"/>
        <v/>
      </c>
      <c r="L2285" s="13">
        <f t="shared" si="464"/>
        <v>215775.74627215174</v>
      </c>
      <c r="M2285" s="14">
        <f t="shared" si="465"/>
        <v>2818.8304234878924</v>
      </c>
      <c r="N2285" s="14">
        <f t="shared" si="466"/>
        <v>25.800995832609978</v>
      </c>
      <c r="O2285" s="1">
        <f t="shared" si="467"/>
        <v>2.8299805468424584</v>
      </c>
      <c r="P2285" s="1">
        <f t="shared" si="468"/>
        <v>1924.1981573613521</v>
      </c>
      <c r="S2285" s="6">
        <f t="shared" si="462"/>
        <v>0.51416020937243467</v>
      </c>
      <c r="T2285" s="6">
        <f t="shared" si="463"/>
        <v>0.48583979062756538</v>
      </c>
      <c r="V2285" s="1">
        <f t="shared" si="469"/>
        <v>212323.7965970574</v>
      </c>
      <c r="W2285" s="7">
        <f t="shared" si="470"/>
        <v>1.3270947709951708E-2</v>
      </c>
      <c r="X2285" s="7">
        <f t="shared" si="471"/>
        <v>1.1024662831683329E-2</v>
      </c>
      <c r="Y2285">
        <f>LN(B2285/B2284)</f>
        <v>2.5736199727033674E-2</v>
      </c>
      <c r="Z2285">
        <f>LN(C2285/C2284)</f>
        <v>2.4614680860701168E-4</v>
      </c>
    </row>
    <row r="2286" spans="1:26" x14ac:dyDescent="0.3">
      <c r="A2286" s="11">
        <v>43553</v>
      </c>
      <c r="B2286" s="12">
        <v>39643.35</v>
      </c>
      <c r="C2286" s="12">
        <v>54.494522099999998</v>
      </c>
      <c r="D2286" s="16">
        <f t="shared" si="473"/>
        <v>1.1236427963783324E-2</v>
      </c>
      <c r="E2286" s="15">
        <f t="shared" si="472"/>
        <v>2.4625601486949478E-4</v>
      </c>
      <c r="G2286" s="25" t="str">
        <f>IF(VLOOKUP(A2286,Aux!B:C,2,FALSE)=0,"",VLOOKUP(A2286,Aux!B:C,2,FALSE))</f>
        <v/>
      </c>
      <c r="H2286" s="25" t="str">
        <f t="shared" si="461"/>
        <v/>
      </c>
      <c r="L2286" s="13">
        <f t="shared" si="464"/>
        <v>217048.16832277444</v>
      </c>
      <c r="M2286" s="14">
        <f t="shared" si="465"/>
        <v>1246.606430884103</v>
      </c>
      <c r="N2286" s="14">
        <f t="shared" si="466"/>
        <v>25.815619738599082</v>
      </c>
      <c r="O2286" s="1">
        <f t="shared" si="467"/>
        <v>2.8299805468424584</v>
      </c>
      <c r="P2286" s="1">
        <f t="shared" si="468"/>
        <v>1924.1981573613521</v>
      </c>
      <c r="S2286" s="6">
        <f t="shared" si="462"/>
        <v>0.51688945444049206</v>
      </c>
      <c r="T2286" s="6">
        <f t="shared" si="463"/>
        <v>0.48311054555950794</v>
      </c>
      <c r="V2286" s="1">
        <f t="shared" si="469"/>
        <v>213370.05954607317</v>
      </c>
      <c r="W2286" s="7">
        <f t="shared" si="470"/>
        <v>5.8796460795034469E-3</v>
      </c>
      <c r="X2286" s="7">
        <f t="shared" si="471"/>
        <v>4.9155750812160358E-3</v>
      </c>
      <c r="Y2286">
        <f>LN(B2286/B2285)</f>
        <v>1.11737682510905E-2</v>
      </c>
      <c r="Z2286">
        <f>LN(C2286/C2285)</f>
        <v>2.4622569883396702E-4</v>
      </c>
    </row>
    <row r="2287" spans="1:26" x14ac:dyDescent="0.3">
      <c r="A2287" s="9">
        <v>43556</v>
      </c>
      <c r="B2287" s="1">
        <v>39908.160000000003</v>
      </c>
      <c r="C2287" s="1">
        <v>54.5079384</v>
      </c>
      <c r="D2287" s="6">
        <f t="shared" si="473"/>
        <v>6.6798088456199167E-3</v>
      </c>
      <c r="E2287" s="5">
        <f t="shared" si="472"/>
        <v>2.4619538777459482E-4</v>
      </c>
      <c r="G2287" s="25" t="str">
        <f>IF(VLOOKUP(A2287,Aux!B:C,2,FALSE)=0,"",VLOOKUP(A2287,Aux!B:C,2,FALSE))</f>
        <v/>
      </c>
      <c r="H2287" s="25" t="str">
        <f t="shared" si="461"/>
        <v/>
      </c>
      <c r="L2287" s="13">
        <f t="shared" si="464"/>
        <v>217823.39109112244</v>
      </c>
      <c r="M2287" s="14">
        <f t="shared" si="465"/>
        <v>749.40714860936544</v>
      </c>
      <c r="N2287" s="14">
        <f t="shared" si="466"/>
        <v>25.815619738612753</v>
      </c>
      <c r="O2287" s="1">
        <f t="shared" si="467"/>
        <v>2.8299805468424584</v>
      </c>
      <c r="P2287" s="1">
        <f t="shared" si="468"/>
        <v>1924.1981573613521</v>
      </c>
      <c r="S2287" s="6">
        <f t="shared" si="462"/>
        <v>0.5184903048958146</v>
      </c>
      <c r="T2287" s="6">
        <f t="shared" si="463"/>
        <v>0.48150969510418529</v>
      </c>
      <c r="V2287" s="1">
        <f t="shared" si="469"/>
        <v>214010.99951941989</v>
      </c>
      <c r="W2287" s="7">
        <f t="shared" si="470"/>
        <v>3.5652990992121425E-3</v>
      </c>
      <c r="X2287" s="7">
        <f t="shared" si="471"/>
        <v>2.9993863333880326E-3</v>
      </c>
      <c r="Y2287">
        <f>LN(B2287/B2286)</f>
        <v>6.6575977781064659E-3</v>
      </c>
      <c r="Z2287">
        <f>LN(C2287/C2286)</f>
        <v>2.4616508666334128E-4</v>
      </c>
    </row>
    <row r="2288" spans="1:26" x14ac:dyDescent="0.3">
      <c r="A2288" s="11">
        <v>43557</v>
      </c>
      <c r="B2288" s="12">
        <v>39640.080000000002</v>
      </c>
      <c r="C2288" s="12">
        <v>54.521358499999998</v>
      </c>
      <c r="D2288" s="16">
        <f t="shared" si="473"/>
        <v>-6.7174232036756321E-3</v>
      </c>
      <c r="E2288" s="15">
        <f t="shared" si="472"/>
        <v>2.4620450514034609E-4</v>
      </c>
      <c r="G2288" s="25" t="str">
        <f>IF(VLOOKUP(A2288,Aux!B:C,2,FALSE)=0,"",VLOOKUP(A2288,Aux!B:C,2,FALSE))</f>
        <v/>
      </c>
      <c r="H2288" s="25" t="str">
        <f t="shared" si="461"/>
        <v/>
      </c>
      <c r="L2288" s="13">
        <f t="shared" si="464"/>
        <v>217090.5528378165</v>
      </c>
      <c r="M2288" s="14">
        <f t="shared" si="465"/>
        <v>-758.66118499753122</v>
      </c>
      <c r="N2288" s="14">
        <f t="shared" si="466"/>
        <v>25.82293169160047</v>
      </c>
      <c r="O2288" s="1">
        <f t="shared" si="467"/>
        <v>2.8299805468424584</v>
      </c>
      <c r="P2288" s="1">
        <f t="shared" si="468"/>
        <v>1924.1981573613521</v>
      </c>
      <c r="S2288" s="6">
        <f t="shared" si="462"/>
        <v>0.51674590998479075</v>
      </c>
      <c r="T2288" s="6">
        <f t="shared" si="463"/>
        <v>0.48325409001520914</v>
      </c>
      <c r="V2288" s="1">
        <f t="shared" si="469"/>
        <v>213422.55212327797</v>
      </c>
      <c r="W2288" s="7">
        <f t="shared" si="470"/>
        <v>-3.3700411638524458E-3</v>
      </c>
      <c r="X2288" s="7">
        <f t="shared" si="471"/>
        <v>-2.7533999876349748E-3</v>
      </c>
      <c r="Y2288">
        <f>LN(B2288/B2287)</f>
        <v>-6.7400866412105883E-3</v>
      </c>
      <c r="Z2288">
        <f>LN(C2288/C2287)</f>
        <v>2.4617420178495007E-4</v>
      </c>
    </row>
    <row r="2289" spans="1:26" x14ac:dyDescent="0.3">
      <c r="A2289" s="9">
        <v>43558</v>
      </c>
      <c r="B2289" s="1">
        <v>39303.14</v>
      </c>
      <c r="C2289" s="1">
        <v>54.534778600000003</v>
      </c>
      <c r="D2289" s="6">
        <f t="shared" si="473"/>
        <v>-8.4999828456451265E-3</v>
      </c>
      <c r="E2289" s="5">
        <f t="shared" si="472"/>
        <v>2.4614390340271797E-4</v>
      </c>
      <c r="G2289" s="25" t="str">
        <f>IF(VLOOKUP(A2289,Aux!B:C,2,FALSE)=0,"",VLOOKUP(A2289,Aux!B:C,2,FALSE))</f>
        <v/>
      </c>
      <c r="H2289" s="25" t="str">
        <f t="shared" si="461"/>
        <v/>
      </c>
      <c r="L2289" s="13">
        <f t="shared" si="464"/>
        <v>216162.84212405502</v>
      </c>
      <c r="M2289" s="14">
        <f t="shared" si="465"/>
        <v>-953.53364545310455</v>
      </c>
      <c r="N2289" s="14">
        <f t="shared" si="466"/>
        <v>25.822931691614141</v>
      </c>
      <c r="O2289" s="1">
        <f t="shared" si="467"/>
        <v>2.8299805468424584</v>
      </c>
      <c r="P2289" s="1">
        <f t="shared" si="468"/>
        <v>1924.1981573613521</v>
      </c>
      <c r="S2289" s="6">
        <f t="shared" si="462"/>
        <v>0.51455245747552147</v>
      </c>
      <c r="T2289" s="6">
        <f t="shared" si="463"/>
        <v>0.48544754252447836</v>
      </c>
      <c r="V2289" s="1">
        <f t="shared" si="469"/>
        <v>212675.24229840038</v>
      </c>
      <c r="W2289" s="7">
        <f t="shared" si="470"/>
        <v>-4.282538313193281E-3</v>
      </c>
      <c r="X2289" s="7">
        <f t="shared" si="471"/>
        <v>-3.5076951859314954E-3</v>
      </c>
      <c r="Y2289">
        <f>LN(B2289/B2288)</f>
        <v>-8.536313720869616E-3</v>
      </c>
      <c r="Z2289">
        <f>LN(C2289/C2288)</f>
        <v>2.4611361496223484E-4</v>
      </c>
    </row>
    <row r="2290" spans="1:26" x14ac:dyDescent="0.3">
      <c r="A2290" s="11">
        <v>43559</v>
      </c>
      <c r="B2290" s="12">
        <v>40011.85</v>
      </c>
      <c r="C2290" s="12">
        <v>54.548206299999997</v>
      </c>
      <c r="D2290" s="16">
        <f t="shared" si="473"/>
        <v>1.8031892617231149E-2</v>
      </c>
      <c r="E2290" s="15">
        <f t="shared" si="472"/>
        <v>2.4622269210050618E-4</v>
      </c>
      <c r="G2290" s="25" t="str">
        <f>IF(VLOOKUP(A2290,Aux!B:C,2,FALSE)=0,"",VLOOKUP(A2290,Aux!B:C,2,FALSE))</f>
        <v/>
      </c>
      <c r="H2290" s="25" t="str">
        <f t="shared" si="461"/>
        <v/>
      </c>
      <c r="L2290" s="13">
        <f t="shared" si="464"/>
        <v>218194.31519300534</v>
      </c>
      <c r="M2290" s="14">
        <f t="shared" si="465"/>
        <v>2005.6355133527161</v>
      </c>
      <c r="N2290" s="14">
        <f t="shared" si="466"/>
        <v>25.837555597589574</v>
      </c>
      <c r="O2290" s="1">
        <f t="shared" si="467"/>
        <v>2.8299805468424584</v>
      </c>
      <c r="P2290" s="1">
        <f t="shared" si="468"/>
        <v>1924.1981573613521</v>
      </c>
      <c r="S2290" s="6">
        <f t="shared" si="462"/>
        <v>0.518953745623563</v>
      </c>
      <c r="T2290" s="6">
        <f t="shared" si="463"/>
        <v>0.48104625437643683</v>
      </c>
      <c r="V2290" s="1">
        <f t="shared" si="469"/>
        <v>214340.30060276223</v>
      </c>
      <c r="W2290" s="7">
        <f t="shared" si="470"/>
        <v>9.3539974975386953E-3</v>
      </c>
      <c r="X2290" s="7">
        <f t="shared" si="471"/>
        <v>7.7986235906416426E-3</v>
      </c>
      <c r="Y2290">
        <f>LN(B2290/B2289)</f>
        <v>1.7871246338217496E-2</v>
      </c>
      <c r="Z2290">
        <f>LN(C2290/C2289)</f>
        <v>2.4619238426833553E-4</v>
      </c>
    </row>
    <row r="2291" spans="1:26" x14ac:dyDescent="0.3">
      <c r="A2291" s="9">
        <v>43560</v>
      </c>
      <c r="B2291" s="1">
        <v>40338.78</v>
      </c>
      <c r="C2291" s="1">
        <v>54.561637900000001</v>
      </c>
      <c r="D2291" s="6">
        <f t="shared" si="473"/>
        <v>8.1708293917925889E-3</v>
      </c>
      <c r="E2291" s="5">
        <f t="shared" si="472"/>
        <v>2.462335778032898E-4</v>
      </c>
      <c r="G2291" s="25" t="str">
        <f>IF(VLOOKUP(A2291,Aux!B:C,2,FALSE)=0,"",VLOOKUP(A2291,Aux!B:C,2,FALSE))</f>
        <v/>
      </c>
      <c r="H2291" s="25" t="str">
        <f t="shared" si="461"/>
        <v/>
      </c>
      <c r="L2291" s="13">
        <f t="shared" si="464"/>
        <v>219145.36579315498</v>
      </c>
      <c r="M2291" s="14">
        <f t="shared" si="465"/>
        <v>925.20554017920574</v>
      </c>
      <c r="N2291" s="14">
        <f t="shared" si="466"/>
        <v>25.845059970422618</v>
      </c>
      <c r="O2291" s="1">
        <f t="shared" si="467"/>
        <v>2.8299805468424584</v>
      </c>
      <c r="P2291" s="1">
        <f t="shared" si="468"/>
        <v>1924.1981573613521</v>
      </c>
      <c r="S2291" s="6">
        <f t="shared" si="462"/>
        <v>0.52092346224244612</v>
      </c>
      <c r="T2291" s="6">
        <f t="shared" si="463"/>
        <v>0.4790765377575536</v>
      </c>
      <c r="V2291" s="1">
        <f t="shared" si="469"/>
        <v>215124.58781720483</v>
      </c>
      <c r="W2291" s="7">
        <f t="shared" si="470"/>
        <v>4.3492604978478877E-3</v>
      </c>
      <c r="X2291" s="7">
        <f t="shared" si="471"/>
        <v>3.6523967730817575E-3</v>
      </c>
      <c r="Y2291">
        <f>LN(B2291/B2290)</f>
        <v>8.1376288931169546E-3</v>
      </c>
      <c r="Z2291">
        <f>LN(C2291/C2290)</f>
        <v>2.4620326729141265E-4</v>
      </c>
    </row>
    <row r="2292" spans="1:26" x14ac:dyDescent="0.3">
      <c r="A2292" s="11">
        <v>43563</v>
      </c>
      <c r="B2292" s="12">
        <v>40427.94</v>
      </c>
      <c r="C2292" s="12">
        <v>54.575069399999997</v>
      </c>
      <c r="D2292" s="16">
        <f t="shared" si="473"/>
        <v>2.2102800332584049E-3</v>
      </c>
      <c r="E2292" s="15">
        <f t="shared" si="472"/>
        <v>2.4617112896452298E-4</v>
      </c>
      <c r="G2292" s="25" t="str">
        <f>IF(VLOOKUP(A2292,Aux!B:C,2,FALSE)=0,"",VLOOKUP(A2292,Aux!B:C,2,FALSE))</f>
        <v/>
      </c>
      <c r="H2292" s="25" t="str">
        <f t="shared" si="461"/>
        <v/>
      </c>
      <c r="L2292" s="13">
        <f t="shared" si="464"/>
        <v>219423.53172626207</v>
      </c>
      <c r="M2292" s="14">
        <f t="shared" si="465"/>
        <v>252.32106555648346</v>
      </c>
      <c r="N2292" s="14">
        <f t="shared" si="466"/>
        <v>25.844867550590962</v>
      </c>
      <c r="O2292" s="1">
        <f t="shared" si="467"/>
        <v>2.8299805468424584</v>
      </c>
      <c r="P2292" s="1">
        <f t="shared" si="468"/>
        <v>1924.1981573613521</v>
      </c>
      <c r="S2292" s="6">
        <f t="shared" si="462"/>
        <v>0.52141300820754555</v>
      </c>
      <c r="T2292" s="6">
        <f t="shared" si="463"/>
        <v>0.47858699179245423</v>
      </c>
      <c r="V2292" s="1">
        <f t="shared" si="469"/>
        <v>215360.33110069507</v>
      </c>
      <c r="W2292" s="7">
        <f t="shared" si="470"/>
        <v>1.2685166320773123E-3</v>
      </c>
      <c r="X2292" s="7">
        <f t="shared" si="471"/>
        <v>1.095245369563952E-3</v>
      </c>
      <c r="Y2292">
        <f>LN(B2292/B2291)</f>
        <v>2.2078409577111443E-3</v>
      </c>
      <c r="Z2292">
        <f>LN(C2292/C2291)</f>
        <v>2.4614083382391247E-4</v>
      </c>
    </row>
    <row r="2293" spans="1:26" x14ac:dyDescent="0.3">
      <c r="A2293" s="9">
        <v>43564</v>
      </c>
      <c r="B2293" s="1">
        <v>39983.300000000003</v>
      </c>
      <c r="C2293" s="1">
        <v>54.588504800000003</v>
      </c>
      <c r="D2293" s="6">
        <f t="shared" si="473"/>
        <v>-1.0998334320274528E-2</v>
      </c>
      <c r="E2293" s="5">
        <f t="shared" si="472"/>
        <v>2.4618200485515551E-4</v>
      </c>
      <c r="G2293" s="25" t="str">
        <f>IF(VLOOKUP(A2293,Aux!B:C,2,FALSE)=0,"",VLOOKUP(A2293,Aux!B:C,2,FALSE))</f>
        <v/>
      </c>
      <c r="H2293" s="25" t="str">
        <f t="shared" si="461"/>
        <v/>
      </c>
      <c r="L2293" s="13">
        <f t="shared" si="464"/>
        <v>218191.06154783745</v>
      </c>
      <c r="M2293" s="14">
        <f t="shared" si="465"/>
        <v>-1258.3225503480292</v>
      </c>
      <c r="N2293" s="14">
        <f t="shared" si="466"/>
        <v>25.852371923424005</v>
      </c>
      <c r="O2293" s="1">
        <f t="shared" si="467"/>
        <v>2.8299805468424584</v>
      </c>
      <c r="P2293" s="1">
        <f t="shared" si="468"/>
        <v>1924.1981573613521</v>
      </c>
      <c r="S2293" s="6">
        <f t="shared" si="462"/>
        <v>0.51859118515612512</v>
      </c>
      <c r="T2293" s="6">
        <f t="shared" si="463"/>
        <v>0.48140881484387454</v>
      </c>
      <c r="V2293" s="1">
        <f t="shared" si="469"/>
        <v>214364.58783657796</v>
      </c>
      <c r="W2293" s="7">
        <f t="shared" si="470"/>
        <v>-5.6326889273471906E-3</v>
      </c>
      <c r="X2293" s="7">
        <f t="shared" si="471"/>
        <v>-4.6343370019922871E-3</v>
      </c>
      <c r="Y2293">
        <f>LN(B2293/B2292)</f>
        <v>-1.1059263154851834E-2</v>
      </c>
      <c r="Z2293">
        <f>LN(C2293/C2292)</f>
        <v>2.4615170703781453E-4</v>
      </c>
    </row>
    <row r="2294" spans="1:26" x14ac:dyDescent="0.3">
      <c r="A2294" s="11">
        <v>43565</v>
      </c>
      <c r="B2294" s="12">
        <v>39854.67</v>
      </c>
      <c r="C2294" s="12">
        <v>54.601944000000003</v>
      </c>
      <c r="D2294" s="16">
        <f t="shared" si="473"/>
        <v>-3.217093136384519E-3</v>
      </c>
      <c r="E2294" s="15">
        <f t="shared" si="472"/>
        <v>2.4619102591727504E-4</v>
      </c>
      <c r="G2294" s="25" t="str">
        <f>IF(VLOOKUP(A2294,Aux!B:C,2,FALSE)=0,"",VLOOKUP(A2294,Aux!B:C,2,FALSE))</f>
        <v/>
      </c>
      <c r="H2294" s="25" t="str">
        <f t="shared" si="461"/>
        <v/>
      </c>
      <c r="L2294" s="13">
        <f t="shared" si="464"/>
        <v>217852.90083397352</v>
      </c>
      <c r="M2294" s="14">
        <f t="shared" si="465"/>
        <v>-364.02039774035859</v>
      </c>
      <c r="N2294" s="14">
        <f t="shared" si="466"/>
        <v>25.859683876411722</v>
      </c>
      <c r="O2294" s="1">
        <f t="shared" si="467"/>
        <v>2.8299805468424584</v>
      </c>
      <c r="P2294" s="1">
        <f t="shared" si="468"/>
        <v>1924.1981573613521</v>
      </c>
      <c r="S2294" s="6">
        <f t="shared" si="462"/>
        <v>0.51772521903108293</v>
      </c>
      <c r="T2294" s="6">
        <f t="shared" si="463"/>
        <v>0.48227478096891685</v>
      </c>
      <c r="V2294" s="1">
        <f t="shared" si="469"/>
        <v>214097.8991976532</v>
      </c>
      <c r="W2294" s="7">
        <f t="shared" si="470"/>
        <v>-1.5510398530013613E-3</v>
      </c>
      <c r="X2294" s="7">
        <f t="shared" si="471"/>
        <v>-1.2448635828589691E-3</v>
      </c>
      <c r="Y2294">
        <f>LN(B2294/B2293)</f>
        <v>-3.2222791059937318E-3</v>
      </c>
      <c r="Z2294">
        <f>LN(C2294/C2293)</f>
        <v>2.4616072587961682E-4</v>
      </c>
    </row>
    <row r="2295" spans="1:26" x14ac:dyDescent="0.3">
      <c r="A2295" s="9">
        <v>43566</v>
      </c>
      <c r="B2295" s="1">
        <v>39387.67</v>
      </c>
      <c r="C2295" s="1">
        <v>54.615386999999998</v>
      </c>
      <c r="D2295" s="6">
        <f t="shared" si="473"/>
        <v>-1.1717572871635884E-2</v>
      </c>
      <c r="E2295" s="5">
        <f t="shared" si="472"/>
        <v>2.4620002540554076E-4</v>
      </c>
      <c r="G2295" s="25" t="str">
        <f>IF(VLOOKUP(A2295,Aux!B:C,2,FALSE)=0,"",VLOOKUP(A2295,Aux!B:C,2,FALSE))</f>
        <v/>
      </c>
      <c r="H2295" s="25" t="str">
        <f t="shared" si="461"/>
        <v/>
      </c>
      <c r="L2295" s="13">
        <f t="shared" si="464"/>
        <v>216557.16691442748</v>
      </c>
      <c r="M2295" s="14">
        <f t="shared" si="465"/>
        <v>-1321.600915375428</v>
      </c>
      <c r="N2295" s="14">
        <f t="shared" si="466"/>
        <v>25.866995829399436</v>
      </c>
      <c r="O2295" s="1">
        <f t="shared" si="467"/>
        <v>2.8299805468424584</v>
      </c>
      <c r="P2295" s="1">
        <f t="shared" si="468"/>
        <v>1924.1981573613521</v>
      </c>
      <c r="S2295" s="6">
        <f t="shared" si="462"/>
        <v>0.51472016130270204</v>
      </c>
      <c r="T2295" s="6">
        <f t="shared" si="463"/>
        <v>0.48527983869729768</v>
      </c>
      <c r="V2295" s="1">
        <f t="shared" si="469"/>
        <v>213050.58763358582</v>
      </c>
      <c r="W2295" s="7">
        <f t="shared" si="470"/>
        <v>-5.9655052144343542E-3</v>
      </c>
      <c r="X2295" s="7">
        <f t="shared" si="471"/>
        <v>-4.9037451614838221E-3</v>
      </c>
      <c r="Y2295">
        <f>LN(B2295/B2294)</f>
        <v>-1.1786764666343624E-2</v>
      </c>
      <c r="Z2295">
        <f>LN(C2295/C2294)</f>
        <v>2.4616972315279412E-4</v>
      </c>
    </row>
    <row r="2296" spans="1:26" x14ac:dyDescent="0.3">
      <c r="A2296" s="11">
        <v>43567</v>
      </c>
      <c r="B2296" s="12">
        <v>38648.199999999997</v>
      </c>
      <c r="C2296" s="12">
        <v>54.628833800000002</v>
      </c>
      <c r="D2296" s="16">
        <f t="shared" si="473"/>
        <v>-1.8774149372125848E-2</v>
      </c>
      <c r="E2296" s="15">
        <f t="shared" si="472"/>
        <v>2.462090033346076E-4</v>
      </c>
      <c r="G2296" s="25" t="str">
        <f>IF(VLOOKUP(A2296,Aux!B:C,2,FALSE)=0,"",VLOOKUP(A2296,Aux!B:C,2,FALSE))</f>
        <v/>
      </c>
      <c r="H2296" s="25" t="str">
        <f t="shared" si="461"/>
        <v/>
      </c>
      <c r="L2296" s="13">
        <f t="shared" si="464"/>
        <v>214490.35550723629</v>
      </c>
      <c r="M2296" s="14">
        <f t="shared" si="465"/>
        <v>-2092.6857149735961</v>
      </c>
      <c r="N2296" s="14">
        <f t="shared" si="466"/>
        <v>25.874307782414498</v>
      </c>
      <c r="O2296" s="1">
        <f t="shared" si="467"/>
        <v>2.8299805468424584</v>
      </c>
      <c r="P2296" s="1">
        <f t="shared" si="468"/>
        <v>1924.1981573613521</v>
      </c>
      <c r="S2296" s="6">
        <f t="shared" si="462"/>
        <v>0.50992341316151502</v>
      </c>
      <c r="T2296" s="6">
        <f t="shared" si="463"/>
        <v>0.49007658683848471</v>
      </c>
      <c r="V2296" s="1">
        <f t="shared" si="469"/>
        <v>211374.68674957022</v>
      </c>
      <c r="W2296" s="7">
        <f t="shared" si="470"/>
        <v>-9.5897883134362424E-3</v>
      </c>
      <c r="X2296" s="7">
        <f t="shared" si="471"/>
        <v>-7.8973128855017206E-3</v>
      </c>
      <c r="Y2296">
        <f>LN(B2296/B2295)</f>
        <v>-1.8952621013466595E-2</v>
      </c>
      <c r="Z2296">
        <f>LN(C2296/C2295)</f>
        <v>2.4617869887199841E-4</v>
      </c>
    </row>
    <row r="2297" spans="1:26" x14ac:dyDescent="0.3">
      <c r="A2297" s="9">
        <v>43570</v>
      </c>
      <c r="B2297" s="1">
        <v>38723.56</v>
      </c>
      <c r="C2297" s="1">
        <v>54.642284400000001</v>
      </c>
      <c r="D2297" s="6">
        <f t="shared" si="473"/>
        <v>1.9498967610394047E-3</v>
      </c>
      <c r="E2297" s="5">
        <f t="shared" si="472"/>
        <v>2.4621795971779825E-4</v>
      </c>
      <c r="G2297" s="25" t="str">
        <f>IF(VLOOKUP(A2297,Aux!B:C,2,FALSE)=0,"",VLOOKUP(A2297,Aux!B:C,2,FALSE))</f>
        <v/>
      </c>
      <c r="H2297" s="25" t="str">
        <f t="shared" si="461"/>
        <v/>
      </c>
      <c r="L2297" s="13">
        <f t="shared" si="464"/>
        <v>214729.50446098173</v>
      </c>
      <c r="M2297" s="14">
        <f t="shared" si="465"/>
        <v>213.2673340100493</v>
      </c>
      <c r="N2297" s="14">
        <f t="shared" si="466"/>
        <v>25.881619735402211</v>
      </c>
      <c r="O2297" s="1">
        <f t="shared" si="467"/>
        <v>2.8299805468424584</v>
      </c>
      <c r="P2297" s="1">
        <f t="shared" si="468"/>
        <v>1924.1981573613521</v>
      </c>
      <c r="S2297" s="6">
        <f t="shared" si="462"/>
        <v>0.51034869092430502</v>
      </c>
      <c r="T2297" s="6">
        <f t="shared" si="463"/>
        <v>0.48965130907569482</v>
      </c>
      <c r="V2297" s="1">
        <f t="shared" si="469"/>
        <v>211578.63567956386</v>
      </c>
      <c r="W2297" s="7">
        <f t="shared" si="470"/>
        <v>1.1143425586609232E-3</v>
      </c>
      <c r="X2297" s="7">
        <f t="shared" si="471"/>
        <v>9.6440403697332726E-4</v>
      </c>
      <c r="Y2297">
        <f>LN(B2297/B2296)</f>
        <v>1.9479981799741457E-3</v>
      </c>
      <c r="Z2297">
        <f>LN(C2297/C2296)</f>
        <v>2.461876530505496E-4</v>
      </c>
    </row>
    <row r="2298" spans="1:26" x14ac:dyDescent="0.3">
      <c r="A2298" s="11">
        <v>43571</v>
      </c>
      <c r="B2298" s="12">
        <v>39213.29</v>
      </c>
      <c r="C2298" s="12">
        <v>54.655738800000002</v>
      </c>
      <c r="D2298" s="16">
        <f t="shared" si="473"/>
        <v>1.2646822761130494E-2</v>
      </c>
      <c r="E2298" s="15">
        <f t="shared" si="472"/>
        <v>2.4622689456954561E-4</v>
      </c>
      <c r="G2298" s="25" t="str">
        <f>IF(VLOOKUP(A2298,Aux!B:C,2,FALSE)=0,"",VLOOKUP(A2298,Aux!B:C,2,FALSE))</f>
        <v/>
      </c>
      <c r="H2298" s="25" t="str">
        <f t="shared" si="461"/>
        <v/>
      </c>
      <c r="L2298" s="13">
        <f t="shared" si="464"/>
        <v>216141.31976587532</v>
      </c>
      <c r="M2298" s="14">
        <f t="shared" si="465"/>
        <v>1385.9263732051661</v>
      </c>
      <c r="N2298" s="14">
        <f t="shared" si="466"/>
        <v>25.888931688403598</v>
      </c>
      <c r="O2298" s="1">
        <f t="shared" si="467"/>
        <v>2.8299805468424584</v>
      </c>
      <c r="P2298" s="1">
        <f t="shared" si="468"/>
        <v>1924.1981573613521</v>
      </c>
      <c r="S2298" s="6">
        <f t="shared" si="462"/>
        <v>0.51342727062968763</v>
      </c>
      <c r="T2298" s="6">
        <f t="shared" si="463"/>
        <v>0.48657272937031215</v>
      </c>
      <c r="V2298" s="1">
        <f t="shared" si="469"/>
        <v>212738.55919540109</v>
      </c>
      <c r="W2298" s="7">
        <f t="shared" si="470"/>
        <v>6.5533346802859561E-3</v>
      </c>
      <c r="X2298" s="7">
        <f t="shared" si="471"/>
        <v>5.4672609034606334E-3</v>
      </c>
      <c r="Y2298">
        <f>LN(B2298/B2297)</f>
        <v>1.2567519620053789E-2</v>
      </c>
      <c r="Z2298">
        <f>LN(C2298/C2297)</f>
        <v>2.461965857028776E-4</v>
      </c>
    </row>
    <row r="2299" spans="1:26" x14ac:dyDescent="0.3">
      <c r="A2299" s="9">
        <v>43572</v>
      </c>
      <c r="B2299" s="1">
        <v>38771.46</v>
      </c>
      <c r="C2299" s="1">
        <v>54.669193300000003</v>
      </c>
      <c r="D2299" s="6">
        <f t="shared" si="473"/>
        <v>-1.1267353491635101E-2</v>
      </c>
      <c r="E2299" s="5">
        <f t="shared" si="472"/>
        <v>2.4616811144451134E-4</v>
      </c>
      <c r="G2299" s="25" t="str">
        <f>IF(VLOOKUP(A2299,Aux!B:C,2,FALSE)=0,"",VLOOKUP(A2299,Aux!B:C,2,FALSE))</f>
        <v/>
      </c>
      <c r="H2299" s="25" t="str">
        <f t="shared" si="461"/>
        <v/>
      </c>
      <c r="L2299" s="13">
        <f t="shared" si="464"/>
        <v>214916.83858497214</v>
      </c>
      <c r="M2299" s="14">
        <f t="shared" si="465"/>
        <v>-1250.3703050114084</v>
      </c>
      <c r="N2299" s="14">
        <f t="shared" si="466"/>
        <v>25.889124108221583</v>
      </c>
      <c r="O2299" s="1">
        <f t="shared" si="467"/>
        <v>2.8299805468424584</v>
      </c>
      <c r="P2299" s="1">
        <f t="shared" si="468"/>
        <v>1924.1981573613521</v>
      </c>
      <c r="S2299" s="6">
        <f t="shared" si="462"/>
        <v>0.51053457837506422</v>
      </c>
      <c r="T2299" s="6">
        <f t="shared" si="463"/>
        <v>0.48946542162493545</v>
      </c>
      <c r="V2299" s="1">
        <f t="shared" si="469"/>
        <v>211749.34142880834</v>
      </c>
      <c r="W2299" s="7">
        <f t="shared" si="470"/>
        <v>-5.6812959028400773E-3</v>
      </c>
      <c r="X2299" s="7">
        <f t="shared" si="471"/>
        <v>-4.6607668008820848E-3</v>
      </c>
      <c r="Y2299">
        <f>LN(B2299/B2298)</f>
        <v>-1.133131099399977E-2</v>
      </c>
      <c r="Z2299">
        <f>LN(C2299/C2298)</f>
        <v>2.4613781704653975E-4</v>
      </c>
    </row>
    <row r="2300" spans="1:26" x14ac:dyDescent="0.3">
      <c r="A2300" s="11">
        <v>43573</v>
      </c>
      <c r="B2300" s="12">
        <v>39268.1</v>
      </c>
      <c r="C2300" s="12">
        <v>54.682651499999999</v>
      </c>
      <c r="D2300" s="16">
        <f t="shared" si="473"/>
        <v>1.2809422188382991E-2</v>
      </c>
      <c r="E2300" s="15">
        <f t="shared" si="472"/>
        <v>2.461752074178758E-4</v>
      </c>
      <c r="G2300" s="25" t="str">
        <f>IF(VLOOKUP(A2300,Aux!B:C,2,FALSE)=0,"",VLOOKUP(A2300,Aux!B:C,2,FALSE))</f>
        <v/>
      </c>
      <c r="H2300" s="25" t="str">
        <f t="shared" si="461"/>
        <v/>
      </c>
      <c r="L2300" s="13">
        <f t="shared" si="464"/>
        <v>216348.21636739737</v>
      </c>
      <c r="M2300" s="14">
        <f t="shared" si="465"/>
        <v>1405.4815387838369</v>
      </c>
      <c r="N2300" s="14">
        <f t="shared" si="466"/>
        <v>25.896243641391315</v>
      </c>
      <c r="O2300" s="1">
        <f t="shared" si="467"/>
        <v>2.8299805468424584</v>
      </c>
      <c r="P2300" s="1">
        <f t="shared" si="468"/>
        <v>1924.1981573613521</v>
      </c>
      <c r="S2300" s="6">
        <f t="shared" si="462"/>
        <v>0.51365322523736223</v>
      </c>
      <c r="T2300" s="6">
        <f t="shared" si="463"/>
        <v>0.48634677476263749</v>
      </c>
      <c r="V2300" s="1">
        <f t="shared" si="469"/>
        <v>212925.21505746193</v>
      </c>
      <c r="W2300" s="7">
        <f t="shared" si="470"/>
        <v>6.6380664141212119E-3</v>
      </c>
      <c r="X2300" s="7">
        <f t="shared" si="471"/>
        <v>5.5377776498897755E-3</v>
      </c>
      <c r="Y2300">
        <f>LN(B2300/B2299)</f>
        <v>1.2728075473094043E-2</v>
      </c>
      <c r="Z2300">
        <f>LN(C2300/C2299)</f>
        <v>2.4614491127350659E-4</v>
      </c>
    </row>
    <row r="2301" spans="1:26" x14ac:dyDescent="0.3">
      <c r="A2301" s="9">
        <v>43577</v>
      </c>
      <c r="B2301" s="1">
        <v>39304.519999999997</v>
      </c>
      <c r="C2301" s="1">
        <v>54.696117399999999</v>
      </c>
      <c r="D2301" s="6">
        <f t="shared" si="473"/>
        <v>9.2747038945084626E-4</v>
      </c>
      <c r="E2301" s="5">
        <f t="shared" si="472"/>
        <v>2.462554325846078E-4</v>
      </c>
      <c r="G2301" s="25" t="str">
        <f>IF(VLOOKUP(A2301,Aux!B:C,2,FALSE)=0,"",VLOOKUP(A2301,Aux!B:C,2,FALSE))</f>
        <v/>
      </c>
      <c r="H2301" s="25" t="str">
        <f t="shared" si="461"/>
        <v/>
      </c>
      <c r="L2301" s="13">
        <f t="shared" si="464"/>
        <v>216477.19531888058</v>
      </c>
      <c r="M2301" s="14">
        <f t="shared" si="465"/>
        <v>103.06789151599739</v>
      </c>
      <c r="N2301" s="14">
        <f t="shared" si="466"/>
        <v>25.911059967212076</v>
      </c>
      <c r="O2301" s="1">
        <f t="shared" si="467"/>
        <v>2.8299805468424584</v>
      </c>
      <c r="P2301" s="1">
        <f t="shared" si="468"/>
        <v>1924.1981573613521</v>
      </c>
      <c r="S2301" s="6">
        <f t="shared" si="462"/>
        <v>0.51382330059816261</v>
      </c>
      <c r="T2301" s="6">
        <f t="shared" si="463"/>
        <v>0.48617669940183711</v>
      </c>
      <c r="V2301" s="1">
        <f t="shared" si="469"/>
        <v>213039.36227345379</v>
      </c>
      <c r="W2301" s="7">
        <f t="shared" si="470"/>
        <v>5.9598605728109237E-4</v>
      </c>
      <c r="X2301" s="7">
        <f t="shared" si="471"/>
        <v>5.3594700028534049E-4</v>
      </c>
      <c r="Y2301">
        <f>LN(B2301/B2300)</f>
        <v>9.2704055454142825E-4</v>
      </c>
      <c r="Z2301">
        <f>LN(C2301/C2300)</f>
        <v>2.4622511669243575E-4</v>
      </c>
    </row>
    <row r="2302" spans="1:26" x14ac:dyDescent="0.3">
      <c r="A2302" s="11">
        <v>43578</v>
      </c>
      <c r="B2302" s="12">
        <v>39856.18</v>
      </c>
      <c r="C2302" s="12">
        <v>54.709583299999998</v>
      </c>
      <c r="D2302" s="16">
        <f t="shared" si="473"/>
        <v>1.403553586203321E-2</v>
      </c>
      <c r="E2302" s="15">
        <f t="shared" si="472"/>
        <v>2.4619480577614539E-4</v>
      </c>
      <c r="G2302" s="25" t="str">
        <f>IF(VLOOKUP(A2302,Aux!B:C,2,FALSE)=0,"",VLOOKUP(A2302,Aux!B:C,2,FALSE))</f>
        <v/>
      </c>
      <c r="H2302" s="25" t="str">
        <f t="shared" si="461"/>
        <v/>
      </c>
      <c r="L2302" s="13">
        <f t="shared" si="464"/>
        <v>218064.29344731892</v>
      </c>
      <c r="M2302" s="14">
        <f t="shared" si="465"/>
        <v>1561.1870684711205</v>
      </c>
      <c r="N2302" s="14">
        <f t="shared" si="466"/>
        <v>25.911059967212076</v>
      </c>
      <c r="O2302" s="1">
        <f t="shared" si="467"/>
        <v>2.8299805468424584</v>
      </c>
      <c r="P2302" s="1">
        <f t="shared" si="468"/>
        <v>1924.1981573613521</v>
      </c>
      <c r="S2302" s="6">
        <f t="shared" si="462"/>
        <v>0.51724293000174448</v>
      </c>
      <c r="T2302" s="6">
        <f t="shared" si="463"/>
        <v>0.48275706999825518</v>
      </c>
      <c r="V2302" s="1">
        <f t="shared" si="469"/>
        <v>214342.18619263725</v>
      </c>
      <c r="W2302" s="7">
        <f t="shared" si="470"/>
        <v>7.3047348833020836E-3</v>
      </c>
      <c r="X2302" s="7">
        <f t="shared" si="471"/>
        <v>6.0967908392266174E-3</v>
      </c>
      <c r="Y2302">
        <f>LN(B2302/B2301)</f>
        <v>1.3937949783751333E-2</v>
      </c>
      <c r="Z2302">
        <f>LN(C2302/C2301)</f>
        <v>2.4616450480814174E-4</v>
      </c>
    </row>
    <row r="2303" spans="1:26" x14ac:dyDescent="0.3">
      <c r="A2303" s="9">
        <v>43579</v>
      </c>
      <c r="B2303" s="1">
        <v>39525.39</v>
      </c>
      <c r="C2303" s="1">
        <v>54.723053</v>
      </c>
      <c r="D2303" s="6">
        <f t="shared" si="473"/>
        <v>-8.2995911800880506E-3</v>
      </c>
      <c r="E2303" s="5">
        <f t="shared" si="472"/>
        <v>2.4620366647898351E-4</v>
      </c>
      <c r="G2303" s="25" t="str">
        <f>IF(VLOOKUP(A2303,Aux!B:C,2,FALSE)=0,"",VLOOKUP(A2303,Aux!B:C,2,FALSE))</f>
        <v/>
      </c>
      <c r="H2303" s="25" t="str">
        <f t="shared" si="461"/>
        <v/>
      </c>
      <c r="L2303" s="13">
        <f t="shared" si="464"/>
        <v>217154.08255414912</v>
      </c>
      <c r="M2303" s="14">
        <f t="shared" si="465"/>
        <v>-936.12926509001932</v>
      </c>
      <c r="N2303" s="14">
        <f t="shared" si="466"/>
        <v>25.918371920213463</v>
      </c>
      <c r="O2303" s="1">
        <f t="shared" si="467"/>
        <v>2.8299805468424584</v>
      </c>
      <c r="P2303" s="1">
        <f t="shared" si="468"/>
        <v>1924.1981573613521</v>
      </c>
      <c r="S2303" s="6">
        <f t="shared" si="462"/>
        <v>0.51510007774534572</v>
      </c>
      <c r="T2303" s="6">
        <f t="shared" si="463"/>
        <v>0.48489992225465395</v>
      </c>
      <c r="V2303" s="1">
        <f t="shared" si="469"/>
        <v>213609.17559465789</v>
      </c>
      <c r="W2303" s="7">
        <f t="shared" si="470"/>
        <v>-4.1827839559315247E-3</v>
      </c>
      <c r="X2303" s="7">
        <f t="shared" si="471"/>
        <v>-3.425675813983673E-3</v>
      </c>
      <c r="Y2303">
        <f>LN(B2303/B2302)</f>
        <v>-8.3342245486260885E-3</v>
      </c>
      <c r="Z2303">
        <f>LN(C2303/C2302)</f>
        <v>2.4617336333001855E-4</v>
      </c>
    </row>
    <row r="2304" spans="1:26" x14ac:dyDescent="0.3">
      <c r="A2304" s="11">
        <v>43580</v>
      </c>
      <c r="B2304" s="12">
        <v>40127.160000000003</v>
      </c>
      <c r="C2304" s="12">
        <v>54.736526499999997</v>
      </c>
      <c r="D2304" s="16">
        <f t="shared" si="473"/>
        <v>1.5224897211640442E-2</v>
      </c>
      <c r="E2304" s="15">
        <f t="shared" si="472"/>
        <v>2.462125057238751E-4</v>
      </c>
      <c r="G2304" s="25" t="str">
        <f>IF(VLOOKUP(A2304,Aux!B:C,2,FALSE)=0,"",VLOOKUP(A2304,Aux!B:C,2,FALSE))</f>
        <v/>
      </c>
      <c r="H2304" s="25" t="str">
        <f t="shared" si="461"/>
        <v/>
      </c>
      <c r="L2304" s="13">
        <f t="shared" si="464"/>
        <v>218883.00563169573</v>
      </c>
      <c r="M2304" s="14">
        <f t="shared" si="465"/>
        <v>1702.9973936733977</v>
      </c>
      <c r="N2304" s="14">
        <f t="shared" si="466"/>
        <v>25.92568387320118</v>
      </c>
      <c r="O2304" s="1">
        <f t="shared" si="467"/>
        <v>2.8299805468424584</v>
      </c>
      <c r="P2304" s="1">
        <f t="shared" si="468"/>
        <v>1924.1981573613521</v>
      </c>
      <c r="S2304" s="6">
        <f t="shared" si="462"/>
        <v>0.51881178199423772</v>
      </c>
      <c r="T2304" s="6">
        <f t="shared" si="463"/>
        <v>0.48118821800576184</v>
      </c>
      <c r="V2304" s="1">
        <f t="shared" si="469"/>
        <v>215027.62203890528</v>
      </c>
      <c r="W2304" s="7">
        <f t="shared" si="470"/>
        <v>7.9302067879861056E-3</v>
      </c>
      <c r="X2304" s="7">
        <f t="shared" si="471"/>
        <v>6.6184314078201016E-3</v>
      </c>
      <c r="Y2304">
        <f>LN(B2304/B2303)</f>
        <v>1.5110161557471847E-2</v>
      </c>
      <c r="Z2304">
        <f>LN(C2304/C2303)</f>
        <v>2.4618220039915225E-4</v>
      </c>
    </row>
    <row r="2305" spans="1:26" x14ac:dyDescent="0.3">
      <c r="A2305" s="9">
        <v>43581</v>
      </c>
      <c r="B2305" s="1">
        <v>40003.17</v>
      </c>
      <c r="C2305" s="1">
        <v>54.75</v>
      </c>
      <c r="D2305" s="6">
        <f t="shared" si="473"/>
        <v>-3.0899271216803248E-3</v>
      </c>
      <c r="E2305" s="5">
        <f t="shared" si="472"/>
        <v>2.4615190004806387E-4</v>
      </c>
      <c r="G2305" s="25" t="str">
        <f>IF(VLOOKUP(A2305,Aux!B:C,2,FALSE)=0,"",VLOOKUP(A2305,Aux!B:C,2,FALSE))</f>
        <v/>
      </c>
      <c r="H2305" s="25" t="str">
        <f t="shared" si="461"/>
        <v/>
      </c>
      <c r="L2305" s="13">
        <f t="shared" si="464"/>
        <v>218558.04202756594</v>
      </c>
      <c r="M2305" s="14">
        <f t="shared" si="465"/>
        <v>-350.88928800301125</v>
      </c>
      <c r="N2305" s="14">
        <f t="shared" si="466"/>
        <v>25.925683873214851</v>
      </c>
      <c r="O2305" s="1">
        <f t="shared" si="467"/>
        <v>2.8299805468424584</v>
      </c>
      <c r="P2305" s="1">
        <f t="shared" si="468"/>
        <v>1924.1981573613521</v>
      </c>
      <c r="S2305" s="6">
        <f t="shared" si="462"/>
        <v>0.5179777045117987</v>
      </c>
      <c r="T2305" s="6">
        <f t="shared" si="463"/>
        <v>0.48202229548820097</v>
      </c>
      <c r="V2305" s="1">
        <f t="shared" si="469"/>
        <v>214771.71477593199</v>
      </c>
      <c r="W2305" s="7">
        <f t="shared" si="470"/>
        <v>-1.4857483797966959E-3</v>
      </c>
      <c r="X2305" s="7">
        <f t="shared" si="471"/>
        <v>-1.1908221874454719E-3</v>
      </c>
      <c r="Y2305">
        <f>LN(B2305/B2304)</f>
        <v>-3.0947108031820223E-3</v>
      </c>
      <c r="Z2305">
        <f>LN(C2305/C2304)</f>
        <v>2.4612160963970766E-4</v>
      </c>
    </row>
    <row r="2306" spans="1:26" x14ac:dyDescent="0.3">
      <c r="A2306" s="11">
        <v>43584</v>
      </c>
      <c r="B2306" s="12">
        <v>39984.15</v>
      </c>
      <c r="C2306" s="12">
        <v>54.7634811</v>
      </c>
      <c r="D2306" s="16">
        <f t="shared" si="473"/>
        <v>-4.7546231961104191E-4</v>
      </c>
      <c r="E2306" s="15">
        <f t="shared" si="472"/>
        <v>2.4623013698632512E-4</v>
      </c>
      <c r="G2306" s="25" t="str">
        <f>IF(VLOOKUP(A2306,Aux!B:C,2,FALSE)=0,"",VLOOKUP(A2306,Aux!B:C,2,FALSE))</f>
        <v/>
      </c>
      <c r="H2306" s="25" t="str">
        <f t="shared" si="461"/>
        <v/>
      </c>
      <c r="L2306" s="13">
        <f t="shared" si="464"/>
        <v>218530.15610534421</v>
      </c>
      <c r="M2306" s="14">
        <f t="shared" si="465"/>
        <v>-53.826230000934501</v>
      </c>
      <c r="N2306" s="14">
        <f t="shared" si="466"/>
        <v>25.940307779203955</v>
      </c>
      <c r="O2306" s="1">
        <f t="shared" si="467"/>
        <v>2.8299805468424584</v>
      </c>
      <c r="P2306" s="1">
        <f t="shared" si="468"/>
        <v>1924.1981573613521</v>
      </c>
      <c r="S2306" s="6">
        <f t="shared" si="462"/>
        <v>0.51779749165366407</v>
      </c>
      <c r="T2306" s="6">
        <f t="shared" si="463"/>
        <v>0.48220250834633543</v>
      </c>
      <c r="V2306" s="1">
        <f t="shared" si="469"/>
        <v>214757.99397703569</v>
      </c>
      <c r="W2306" s="7">
        <f t="shared" si="470"/>
        <v>-1.2759860540132668E-4</v>
      </c>
      <c r="X2306" s="7">
        <f t="shared" si="471"/>
        <v>-6.3887543149522788E-5</v>
      </c>
      <c r="Y2306">
        <f>LN(B2306/B2305)</f>
        <v>-4.7557538766087877E-4</v>
      </c>
      <c r="Z2306">
        <f>LN(C2306/C2305)</f>
        <v>2.4619982732147815E-4</v>
      </c>
    </row>
    <row r="2307" spans="1:26" x14ac:dyDescent="0.3">
      <c r="A2307" s="9">
        <v>43585</v>
      </c>
      <c r="B2307" s="1">
        <v>40062.33</v>
      </c>
      <c r="C2307" s="1">
        <v>54.776962300000001</v>
      </c>
      <c r="D2307" s="6">
        <f t="shared" si="473"/>
        <v>1.9552747776305779E-3</v>
      </c>
      <c r="E2307" s="5">
        <f t="shared" si="472"/>
        <v>2.461713486654471E-4</v>
      </c>
      <c r="G2307" s="25" t="str">
        <f>IF(VLOOKUP(A2307,Aux!B:C,2,FALSE)=0,"",VLOOKUP(A2307,Aux!B:C,2,FALSE))</f>
        <v/>
      </c>
      <c r="H2307" s="25" t="str">
        <f t="shared" ref="H2307:H2370" si="474">IF(ISNUMBER(G2307),1-G2307,"")</f>
        <v/>
      </c>
      <c r="L2307" s="13">
        <f t="shared" si="464"/>
        <v>218777.34448469538</v>
      </c>
      <c r="M2307" s="14">
        <f t="shared" si="465"/>
        <v>221.24787915214421</v>
      </c>
      <c r="N2307" s="14">
        <f t="shared" si="466"/>
        <v>25.94050019902194</v>
      </c>
      <c r="O2307" s="1">
        <f t="shared" si="467"/>
        <v>2.8299805468424584</v>
      </c>
      <c r="P2307" s="1">
        <f t="shared" si="468"/>
        <v>1924.1981573613521</v>
      </c>
      <c r="S2307" s="6">
        <f t="shared" ref="S2307:S2370" si="475">O2307*B2307/L2307</f>
        <v>0.51822374399975513</v>
      </c>
      <c r="T2307" s="6">
        <f t="shared" ref="T2307:T2370" si="476">P2307*C2307/L2307</f>
        <v>0.48177625600024437</v>
      </c>
      <c r="V2307" s="1">
        <f t="shared" si="469"/>
        <v>214968.51720192679</v>
      </c>
      <c r="W2307" s="7">
        <f t="shared" si="470"/>
        <v>1.1305015594011969E-3</v>
      </c>
      <c r="X2307" s="7">
        <f t="shared" si="471"/>
        <v>9.7980104208863334E-4</v>
      </c>
      <c r="Y2307">
        <f>LN(B2307/B2306)</f>
        <v>1.9533657159908888E-3</v>
      </c>
      <c r="Z2307">
        <f>LN(C2307/C2306)</f>
        <v>2.4614105347076586E-4</v>
      </c>
    </row>
    <row r="2308" spans="1:26" x14ac:dyDescent="0.3">
      <c r="A2308" s="11">
        <v>43587</v>
      </c>
      <c r="B2308" s="12">
        <v>39771.519999999997</v>
      </c>
      <c r="C2308" s="12">
        <v>54.790447200000003</v>
      </c>
      <c r="D2308" s="16">
        <f t="shared" si="473"/>
        <v>-7.2589387586794452E-3</v>
      </c>
      <c r="E2308" s="15">
        <f t="shared" si="472"/>
        <v>2.4617830989148715E-4</v>
      </c>
      <c r="G2308" s="25" t="str">
        <f>IF(VLOOKUP(A2308,Aux!B:C,2,FALSE)=0,"",VLOOKUP(A2308,Aux!B:C,2,FALSE))</f>
        <v/>
      </c>
      <c r="H2308" s="25" t="str">
        <f t="shared" si="474"/>
        <v/>
      </c>
      <c r="L2308" s="13">
        <f t="shared" ref="L2308:L2371" si="477">L2307+M2308+N2308</f>
        <v>217980.30546160031</v>
      </c>
      <c r="M2308" s="14">
        <f t="shared" ref="M2308:M2371" si="478">O2307*(B2308-B2307)</f>
        <v>-822.98664282726929</v>
      </c>
      <c r="N2308" s="14">
        <f t="shared" ref="N2308:N2371" si="479">P2307*(C2308-C2307)</f>
        <v>25.947619732205343</v>
      </c>
      <c r="O2308" s="1">
        <f t="shared" ref="O2308:O2371" si="480">IF(ISNUMBER(G2308),L2308*G2308/B2308,O2307)</f>
        <v>2.8299805468424584</v>
      </c>
      <c r="P2308" s="1">
        <f t="shared" ref="P2308:P2371" si="481">IF(ISNUMBER(H2308),L2308*H2308/C2308,P2307)</f>
        <v>1924.1981573613521</v>
      </c>
      <c r="S2308" s="6">
        <f t="shared" si="475"/>
        <v>0.51634310576825571</v>
      </c>
      <c r="T2308" s="6">
        <f t="shared" si="476"/>
        <v>0.48365689423174396</v>
      </c>
      <c r="V2308" s="1">
        <f t="shared" ref="V2308:V2371" si="482">$O$2*B2308+$P$2*C2308</f>
        <v>214327.77586686873</v>
      </c>
      <c r="W2308" s="7">
        <f t="shared" ref="W2308:W2371" si="483">LN(L2308/L2307)</f>
        <v>-3.64980399531506E-3</v>
      </c>
      <c r="X2308" s="7">
        <f t="shared" ref="X2308:X2371" si="484">LN(V2308/V2307)</f>
        <v>-2.9850796346995059E-3</v>
      </c>
      <c r="Y2308">
        <f>LN(B2308/B2307)</f>
        <v>-7.2854130492674158E-3</v>
      </c>
      <c r="Z2308">
        <f>LN(C2308/C2307)</f>
        <v>2.4614801298354904E-4</v>
      </c>
    </row>
    <row r="2309" spans="1:26" x14ac:dyDescent="0.3">
      <c r="A2309" s="9">
        <v>43588</v>
      </c>
      <c r="B2309" s="1">
        <v>39954.92</v>
      </c>
      <c r="C2309" s="1">
        <v>54.803939800000002</v>
      </c>
      <c r="D2309" s="6">
        <f t="shared" si="473"/>
        <v>4.61133997393115E-3</v>
      </c>
      <c r="E2309" s="5">
        <f t="shared" ref="E2309:E2372" si="485">C2309/C2308-1</f>
        <v>2.462582564939364E-4</v>
      </c>
      <c r="G2309" s="25" t="str">
        <f>IF(VLOOKUP(A2309,Aux!B:C,2,FALSE)=0,"",VLOOKUP(A2309,Aux!B:C,2,FALSE))</f>
        <v/>
      </c>
      <c r="H2309" s="25" t="str">
        <f t="shared" si="474"/>
        <v/>
      </c>
      <c r="L2309" s="13">
        <f t="shared" si="477"/>
        <v>218525.28632994922</v>
      </c>
      <c r="M2309" s="14">
        <f t="shared" si="478"/>
        <v>519.01843229091094</v>
      </c>
      <c r="N2309" s="14">
        <f t="shared" si="479"/>
        <v>25.962436058012432</v>
      </c>
      <c r="O2309" s="1">
        <f t="shared" si="480"/>
        <v>2.8299805468424584</v>
      </c>
      <c r="P2309" s="1">
        <f t="shared" si="481"/>
        <v>1924.1981573613521</v>
      </c>
      <c r="S2309" s="6">
        <f t="shared" si="475"/>
        <v>0.51743049168195976</v>
      </c>
      <c r="T2309" s="6">
        <f t="shared" si="476"/>
        <v>0.48256950831803991</v>
      </c>
      <c r="V2309" s="1">
        <f t="shared" si="482"/>
        <v>214781.07081568521</v>
      </c>
      <c r="W2309" s="7">
        <f t="shared" si="483"/>
        <v>2.4970179615778883E-3</v>
      </c>
      <c r="X2309" s="7">
        <f t="shared" si="484"/>
        <v>2.1127279054358318E-3</v>
      </c>
      <c r="Y2309">
        <f>LN(B2309/B2308)</f>
        <v>4.6007403190039238E-3</v>
      </c>
      <c r="Z2309">
        <f>LN(C2309/C2308)</f>
        <v>2.4622793990652854E-4</v>
      </c>
    </row>
    <row r="2310" spans="1:26" x14ac:dyDescent="0.3">
      <c r="A2310" s="11">
        <v>43591</v>
      </c>
      <c r="B2310" s="12">
        <v>39572.07</v>
      </c>
      <c r="C2310" s="12">
        <v>54.817432400000001</v>
      </c>
      <c r="D2310" s="16">
        <f t="shared" si="473"/>
        <v>-9.5820489691882393E-3</v>
      </c>
      <c r="E2310" s="15">
        <f t="shared" si="485"/>
        <v>2.4619762829525271E-4</v>
      </c>
      <c r="G2310" s="25" t="str">
        <f>IF(VLOOKUP(A2310,Aux!B:C,2,FALSE)=0,"",VLOOKUP(A2310,Aux!B:C,2,FALSE))</f>
        <v/>
      </c>
      <c r="H2310" s="25" t="str">
        <f t="shared" si="474"/>
        <v/>
      </c>
      <c r="L2310" s="13">
        <f t="shared" si="477"/>
        <v>217467.7907136486</v>
      </c>
      <c r="M2310" s="14">
        <f t="shared" si="478"/>
        <v>-1083.458052358631</v>
      </c>
      <c r="N2310" s="14">
        <f t="shared" si="479"/>
        <v>25.962436058012432</v>
      </c>
      <c r="O2310" s="1">
        <f t="shared" si="480"/>
        <v>2.8299805468424584</v>
      </c>
      <c r="P2310" s="1">
        <f t="shared" si="481"/>
        <v>1924.1981573613521</v>
      </c>
      <c r="S2310" s="6">
        <f t="shared" si="475"/>
        <v>0.5149644824678834</v>
      </c>
      <c r="T2310" s="6">
        <f t="shared" si="476"/>
        <v>0.48503551753211621</v>
      </c>
      <c r="V2310" s="1">
        <f t="shared" si="482"/>
        <v>213928.00720697071</v>
      </c>
      <c r="W2310" s="7">
        <f t="shared" si="483"/>
        <v>-4.8509838606766798E-3</v>
      </c>
      <c r="X2310" s="7">
        <f t="shared" si="484"/>
        <v>-3.9796905563376592E-3</v>
      </c>
      <c r="Y2310">
        <f>LN(B2310/B2309)</f>
        <v>-9.6282521849513671E-3</v>
      </c>
      <c r="Z2310">
        <f>LN(C2310/C2309)</f>
        <v>2.4616732663252657E-4</v>
      </c>
    </row>
    <row r="2311" spans="1:26" x14ac:dyDescent="0.3">
      <c r="A2311" s="9">
        <v>43592</v>
      </c>
      <c r="B2311" s="1">
        <v>39332.06</v>
      </c>
      <c r="C2311" s="1">
        <v>54.830928800000002</v>
      </c>
      <c r="D2311" s="6">
        <f t="shared" si="473"/>
        <v>-6.0651363449019113E-3</v>
      </c>
      <c r="E2311" s="5">
        <f t="shared" si="485"/>
        <v>2.4620635095629062E-4</v>
      </c>
      <c r="G2311" s="25" t="str">
        <f>IF(VLOOKUP(A2311,Aux!B:C,2,FALSE)=0,"",VLOOKUP(A2311,Aux!B:C,2,FALSE))</f>
        <v/>
      </c>
      <c r="H2311" s="25" t="str">
        <f t="shared" si="474"/>
        <v/>
      </c>
      <c r="L2311" s="13">
        <f t="shared" si="477"/>
        <v>216814.53683061193</v>
      </c>
      <c r="M2311" s="14">
        <f t="shared" si="478"/>
        <v>-679.22363104766418</v>
      </c>
      <c r="N2311" s="14">
        <f t="shared" si="479"/>
        <v>25.96974801101382</v>
      </c>
      <c r="O2311" s="1">
        <f t="shared" si="480"/>
        <v>2.8299805468424584</v>
      </c>
      <c r="P2311" s="1">
        <f t="shared" si="481"/>
        <v>1924.1981573613521</v>
      </c>
      <c r="S2311" s="6">
        <f t="shared" si="475"/>
        <v>0.51338331042904828</v>
      </c>
      <c r="T2311" s="6">
        <f t="shared" si="476"/>
        <v>0.48661668957095139</v>
      </c>
      <c r="V2311" s="1">
        <f t="shared" si="482"/>
        <v>213404.48897592945</v>
      </c>
      <c r="W2311" s="7">
        <f t="shared" si="483"/>
        <v>-3.0084317703134621E-3</v>
      </c>
      <c r="X2311" s="7">
        <f t="shared" si="484"/>
        <v>-2.4501693534747944E-3</v>
      </c>
      <c r="Y2311">
        <f>LN(B2311/B2310)</f>
        <v>-6.0836039947500626E-3</v>
      </c>
      <c r="Z2311">
        <f>LN(C2311/C2310)</f>
        <v>2.4617604714655659E-4</v>
      </c>
    </row>
    <row r="2312" spans="1:26" x14ac:dyDescent="0.3">
      <c r="A2312" s="11">
        <v>43593</v>
      </c>
      <c r="B2312" s="12">
        <v>39824</v>
      </c>
      <c r="C2312" s="12">
        <v>54.844425200000003</v>
      </c>
      <c r="D2312" s="16">
        <f t="shared" si="473"/>
        <v>1.250735405163117E-2</v>
      </c>
      <c r="E2312" s="15">
        <f t="shared" si="485"/>
        <v>2.4614574830983393E-4</v>
      </c>
      <c r="G2312" s="25" t="str">
        <f>IF(VLOOKUP(A2312,Aux!B:C,2,FALSE)=0,"",VLOOKUP(A2312,Aux!B:C,2,FALSE))</f>
        <v/>
      </c>
      <c r="H2312" s="25" t="str">
        <f t="shared" si="474"/>
        <v/>
      </c>
      <c r="L2312" s="13">
        <f t="shared" si="477"/>
        <v>218232.68720883664</v>
      </c>
      <c r="M2312" s="14">
        <f t="shared" si="478"/>
        <v>1392.1806302136856</v>
      </c>
      <c r="N2312" s="14">
        <f t="shared" si="479"/>
        <v>25.96974801101382</v>
      </c>
      <c r="O2312" s="1">
        <f t="shared" si="480"/>
        <v>2.8299805468424584</v>
      </c>
      <c r="P2312" s="1">
        <f t="shared" si="481"/>
        <v>1924.1981573613521</v>
      </c>
      <c r="S2312" s="6">
        <f t="shared" si="475"/>
        <v>0.51642651125679118</v>
      </c>
      <c r="T2312" s="6">
        <f t="shared" si="476"/>
        <v>0.48357348874320849</v>
      </c>
      <c r="V2312" s="1">
        <f t="shared" si="482"/>
        <v>214569.60499863623</v>
      </c>
      <c r="W2312" s="7">
        <f t="shared" si="483"/>
        <v>6.5195469503300813E-3</v>
      </c>
      <c r="X2312" s="7">
        <f t="shared" si="484"/>
        <v>5.4448104103697768E-3</v>
      </c>
      <c r="Y2312">
        <f>LN(B2312/B2311)</f>
        <v>1.2429783233050093E-2</v>
      </c>
      <c r="Z2312">
        <f>LN(C2312/C2311)</f>
        <v>2.4611545941534825E-4</v>
      </c>
    </row>
    <row r="2313" spans="1:26" x14ac:dyDescent="0.3">
      <c r="A2313" s="9">
        <v>43594</v>
      </c>
      <c r="B2313" s="1">
        <v>39525.72</v>
      </c>
      <c r="C2313" s="1">
        <v>54.857929200000001</v>
      </c>
      <c r="D2313" s="6">
        <f t="shared" si="473"/>
        <v>-7.489955805544346E-3</v>
      </c>
      <c r="E2313" s="5">
        <f t="shared" si="485"/>
        <v>2.462237492826258E-4</v>
      </c>
      <c r="G2313" s="25" t="str">
        <f>IF(VLOOKUP(A2313,Aux!B:C,2,FALSE)=0,"",VLOOKUP(A2313,Aux!B:C,2,FALSE))</f>
        <v/>
      </c>
      <c r="H2313" s="25" t="str">
        <f t="shared" si="474"/>
        <v/>
      </c>
      <c r="L2313" s="13">
        <f t="shared" si="477"/>
        <v>217414.54498324147</v>
      </c>
      <c r="M2313" s="14">
        <f t="shared" si="478"/>
        <v>-844.12659751216518</v>
      </c>
      <c r="N2313" s="14">
        <f t="shared" si="479"/>
        <v>25.984371917002921</v>
      </c>
      <c r="O2313" s="1">
        <f t="shared" si="480"/>
        <v>2.8299805468424584</v>
      </c>
      <c r="P2313" s="1">
        <f t="shared" si="481"/>
        <v>1924.1981573613521</v>
      </c>
      <c r="S2313" s="6">
        <f t="shared" si="475"/>
        <v>0.51448728376734842</v>
      </c>
      <c r="T2313" s="6">
        <f t="shared" si="476"/>
        <v>0.48551271623265124</v>
      </c>
      <c r="V2313" s="1">
        <f t="shared" si="482"/>
        <v>213911.6728415062</v>
      </c>
      <c r="W2313" s="7">
        <f t="shared" si="483"/>
        <v>-3.7559893738045719E-3</v>
      </c>
      <c r="X2313" s="7">
        <f t="shared" si="484"/>
        <v>-3.070998469422063E-3</v>
      </c>
      <c r="Y2313">
        <f>LN(B2313/B2312)</f>
        <v>-7.5181463768299664E-3</v>
      </c>
      <c r="Z2313">
        <f>LN(C2313/C2312)</f>
        <v>2.4619344119021643E-4</v>
      </c>
    </row>
    <row r="2314" spans="1:26" x14ac:dyDescent="0.3">
      <c r="A2314" s="11">
        <v>43595</v>
      </c>
      <c r="B2314" s="12">
        <v>39300.51</v>
      </c>
      <c r="C2314" s="12">
        <v>54.871437100000001</v>
      </c>
      <c r="D2314" s="16">
        <f t="shared" si="473"/>
        <v>-5.6978089203687521E-3</v>
      </c>
      <c r="E2314" s="15">
        <f t="shared" si="485"/>
        <v>2.4623423080294415E-4</v>
      </c>
      <c r="G2314" s="25" t="str">
        <f>IF(VLOOKUP(A2314,Aux!B:C,2,FALSE)=0,"",VLOOKUP(A2314,Aux!B:C,2,FALSE))</f>
        <v/>
      </c>
      <c r="H2314" s="25" t="str">
        <f t="shared" si="474"/>
        <v/>
      </c>
      <c r="L2314" s="13">
        <f t="shared" si="477"/>
        <v>216803.19694057692</v>
      </c>
      <c r="M2314" s="14">
        <f t="shared" si="478"/>
        <v>-637.3399189543876</v>
      </c>
      <c r="N2314" s="14">
        <f t="shared" si="479"/>
        <v>25.991876289822294</v>
      </c>
      <c r="O2314" s="1">
        <f t="shared" si="480"/>
        <v>2.8299805468424584</v>
      </c>
      <c r="P2314" s="1">
        <f t="shared" si="481"/>
        <v>1924.1981573613521</v>
      </c>
      <c r="S2314" s="6">
        <f t="shared" si="475"/>
        <v>0.51299833374445791</v>
      </c>
      <c r="T2314" s="6">
        <f t="shared" si="476"/>
        <v>0.48700166625554175</v>
      </c>
      <c r="V2314" s="1">
        <f t="shared" si="482"/>
        <v>213422.32445519505</v>
      </c>
      <c r="W2314" s="7">
        <f t="shared" si="483"/>
        <v>-2.8158612032198587E-3</v>
      </c>
      <c r="X2314" s="7">
        <f t="shared" si="484"/>
        <v>-2.2902395002540594E-3</v>
      </c>
      <c r="Y2314">
        <f>LN(B2314/B2313)</f>
        <v>-5.7141033581557428E-3</v>
      </c>
      <c r="Z2314">
        <f>LN(C2314/C2313)</f>
        <v>2.4620392013031598E-4</v>
      </c>
    </row>
    <row r="2315" spans="1:26" x14ac:dyDescent="0.3">
      <c r="A2315" s="9">
        <v>43598</v>
      </c>
      <c r="B2315" s="1">
        <v>38275.56</v>
      </c>
      <c r="C2315" s="1">
        <v>54.884944900000001</v>
      </c>
      <c r="D2315" s="6">
        <f t="shared" si="473"/>
        <v>-2.6079814231418474E-2</v>
      </c>
      <c r="E2315" s="5">
        <f t="shared" si="485"/>
        <v>2.4617179199037942E-4</v>
      </c>
      <c r="G2315" s="25" t="str">
        <f>IF(VLOOKUP(A2315,Aux!B:C,2,FALSE)=0,"",VLOOKUP(A2315,Aux!B:C,2,FALSE))</f>
        <v/>
      </c>
      <c r="H2315" s="25" t="str">
        <f t="shared" si="474"/>
        <v/>
      </c>
      <c r="L2315" s="13">
        <f t="shared" si="477"/>
        <v>213928.60006296073</v>
      </c>
      <c r="M2315" s="14">
        <f t="shared" si="478"/>
        <v>-2900.58856148619</v>
      </c>
      <c r="N2315" s="14">
        <f t="shared" si="479"/>
        <v>25.991683870004309</v>
      </c>
      <c r="O2315" s="1">
        <f t="shared" si="480"/>
        <v>2.8299805468424584</v>
      </c>
      <c r="P2315" s="1">
        <f t="shared" si="481"/>
        <v>1924.1981573613521</v>
      </c>
      <c r="S2315" s="6">
        <f t="shared" si="475"/>
        <v>0.5063329082115352</v>
      </c>
      <c r="T2315" s="6">
        <f t="shared" si="476"/>
        <v>0.49366709178846446</v>
      </c>
      <c r="V2315" s="1">
        <f t="shared" si="482"/>
        <v>211087.94769011575</v>
      </c>
      <c r="W2315" s="7">
        <f t="shared" si="483"/>
        <v>-1.3347700708124837E-2</v>
      </c>
      <c r="X2315" s="7">
        <f t="shared" si="484"/>
        <v>-1.0998086257579793E-2</v>
      </c>
      <c r="Y2315">
        <f>LN(B2315/B2314)</f>
        <v>-2.6425923493377718E-2</v>
      </c>
      <c r="Z2315">
        <f>LN(C2315/C2314)</f>
        <v>2.4614149668659107E-4</v>
      </c>
    </row>
    <row r="2316" spans="1:26" x14ac:dyDescent="0.3">
      <c r="A2316" s="11">
        <v>43599</v>
      </c>
      <c r="B2316" s="12">
        <v>38422.629999999997</v>
      </c>
      <c r="C2316" s="12">
        <v>54.898456600000003</v>
      </c>
      <c r="D2316" s="16">
        <f t="shared" si="473"/>
        <v>3.8423996931722382E-3</v>
      </c>
      <c r="E2316" s="15">
        <f t="shared" si="485"/>
        <v>2.4618226409112154E-4</v>
      </c>
      <c r="G2316" s="25" t="str">
        <f>IF(VLOOKUP(A2316,Aux!B:C,2,FALSE)=0,"",VLOOKUP(A2316,Aux!B:C,2,FALSE))</f>
        <v/>
      </c>
      <c r="H2316" s="25" t="str">
        <f t="shared" si="474"/>
        <v/>
      </c>
      <c r="L2316" s="13">
        <f t="shared" si="477"/>
        <v>214370.80449022769</v>
      </c>
      <c r="M2316" s="14">
        <f t="shared" si="478"/>
        <v>416.20523902411952</v>
      </c>
      <c r="N2316" s="14">
        <f t="shared" si="479"/>
        <v>25.999188242823681</v>
      </c>
      <c r="O2316" s="1">
        <f t="shared" si="480"/>
        <v>2.8299805468424584</v>
      </c>
      <c r="P2316" s="1">
        <f t="shared" si="481"/>
        <v>1924.1981573613521</v>
      </c>
      <c r="S2316" s="6">
        <f t="shared" si="475"/>
        <v>0.50722996406668919</v>
      </c>
      <c r="T2316" s="6">
        <f t="shared" si="476"/>
        <v>0.49277003593331042</v>
      </c>
      <c r="V2316" s="1">
        <f t="shared" si="482"/>
        <v>211457.47078733204</v>
      </c>
      <c r="W2316" s="7">
        <f t="shared" si="483"/>
        <v>2.0649320531097889E-3</v>
      </c>
      <c r="X2316" s="7">
        <f t="shared" si="484"/>
        <v>1.7490341878470623E-3</v>
      </c>
      <c r="Y2316">
        <f>LN(B2316/B2315)</f>
        <v>3.8350365309190171E-3</v>
      </c>
      <c r="Z2316">
        <f>LN(C2316/C2315)</f>
        <v>2.46151966209977E-4</v>
      </c>
    </row>
    <row r="2317" spans="1:26" x14ac:dyDescent="0.3">
      <c r="A2317" s="9">
        <v>43600</v>
      </c>
      <c r="B2317" s="1">
        <v>38226.03</v>
      </c>
      <c r="C2317" s="1">
        <v>54.911971999999999</v>
      </c>
      <c r="D2317" s="6">
        <f t="shared" si="473"/>
        <v>-5.1167762331729705E-3</v>
      </c>
      <c r="E2317" s="5">
        <f t="shared" si="485"/>
        <v>2.4618907045903526E-4</v>
      </c>
      <c r="G2317" s="25" t="str">
        <f>IF(VLOOKUP(A2317,Aux!B:C,2,FALSE)=0,"",VLOOKUP(A2317,Aux!B:C,2,FALSE))</f>
        <v/>
      </c>
      <c r="H2317" s="25" t="str">
        <f t="shared" si="474"/>
        <v/>
      </c>
      <c r="L2317" s="13">
        <f t="shared" si="477"/>
        <v>213840.43662249445</v>
      </c>
      <c r="M2317" s="14">
        <f t="shared" si="478"/>
        <v>-556.37417550922316</v>
      </c>
      <c r="N2317" s="14">
        <f t="shared" si="479"/>
        <v>26.006307775993413</v>
      </c>
      <c r="O2317" s="1">
        <f t="shared" si="480"/>
        <v>2.8299805468424584</v>
      </c>
      <c r="P2317" s="1">
        <f t="shared" si="481"/>
        <v>1924.1981573613521</v>
      </c>
      <c r="S2317" s="6">
        <f t="shared" si="475"/>
        <v>0.50588617845927364</v>
      </c>
      <c r="T2317" s="6">
        <f t="shared" si="476"/>
        <v>0.49411382154072597</v>
      </c>
      <c r="V2317" s="1">
        <f t="shared" si="482"/>
        <v>211034.1434502975</v>
      </c>
      <c r="W2317" s="7">
        <f t="shared" si="483"/>
        <v>-2.4771331904232504E-3</v>
      </c>
      <c r="X2317" s="7">
        <f t="shared" si="484"/>
        <v>-2.0039568333985844E-3</v>
      </c>
      <c r="Y2317">
        <f>LN(B2317/B2316)</f>
        <v>-5.1299117595407983E-3</v>
      </c>
      <c r="Z2317">
        <f>LN(C2317/C2316)</f>
        <v>2.4615877090267293E-4</v>
      </c>
    </row>
    <row r="2318" spans="1:26" x14ac:dyDescent="0.3">
      <c r="A2318" s="11">
        <v>43601</v>
      </c>
      <c r="B2318" s="12">
        <v>37565.26</v>
      </c>
      <c r="C2318" s="12">
        <v>54.925491299999997</v>
      </c>
      <c r="D2318" s="16">
        <f t="shared" si="473"/>
        <v>-1.728586515523578E-2</v>
      </c>
      <c r="E2318" s="15">
        <f t="shared" si="485"/>
        <v>2.4619949908188943E-4</v>
      </c>
      <c r="G2318" s="25" t="str">
        <f>IF(VLOOKUP(A2318,Aux!B:C,2,FALSE)=0,"",VLOOKUP(A2318,Aux!B:C,2,FALSE))</f>
        <v/>
      </c>
      <c r="H2318" s="25" t="str">
        <f t="shared" si="474"/>
        <v/>
      </c>
      <c r="L2318" s="13">
        <f t="shared" si="477"/>
        <v>211996.48418870621</v>
      </c>
      <c r="M2318" s="14">
        <f t="shared" si="478"/>
        <v>-1869.9662459370822</v>
      </c>
      <c r="N2318" s="14">
        <f t="shared" si="479"/>
        <v>26.013812148812786</v>
      </c>
      <c r="O2318" s="1">
        <f t="shared" si="480"/>
        <v>2.8299805468424584</v>
      </c>
      <c r="P2318" s="1">
        <f t="shared" si="481"/>
        <v>1924.1981573613521</v>
      </c>
      <c r="S2318" s="6">
        <f t="shared" si="475"/>
        <v>0.50146565139471588</v>
      </c>
      <c r="T2318" s="6">
        <f t="shared" si="476"/>
        <v>0.49853434860528367</v>
      </c>
      <c r="V2318" s="1">
        <f t="shared" si="482"/>
        <v>209539.96841132609</v>
      </c>
      <c r="W2318" s="7">
        <f t="shared" si="483"/>
        <v>-8.6604231282431787E-3</v>
      </c>
      <c r="X2318" s="7">
        <f t="shared" si="484"/>
        <v>-7.1054365127165096E-3</v>
      </c>
      <c r="Y2318">
        <f>LN(B2318/B2317)</f>
        <v>-1.7437010034729077E-2</v>
      </c>
      <c r="Z2318">
        <f>LN(C2318/C2317)</f>
        <v>2.4616919695869167E-4</v>
      </c>
    </row>
    <row r="2319" spans="1:26" x14ac:dyDescent="0.3">
      <c r="A2319" s="9">
        <v>43602</v>
      </c>
      <c r="B2319" s="1">
        <v>37536.589999999997</v>
      </c>
      <c r="C2319" s="1">
        <v>54.939014399999998</v>
      </c>
      <c r="D2319" s="6">
        <f t="shared" si="473"/>
        <v>-7.6320515284611368E-4</v>
      </c>
      <c r="E2319" s="5">
        <f t="shared" si="485"/>
        <v>2.4620808444186792E-4</v>
      </c>
      <c r="G2319" s="25" t="str">
        <f>IF(VLOOKUP(A2319,Aux!B:C,2,FALSE)=0,"",VLOOKUP(A2319,Aux!B:C,2,FALSE))</f>
        <v/>
      </c>
      <c r="H2319" s="25" t="str">
        <f t="shared" si="474"/>
        <v/>
      </c>
      <c r="L2319" s="13">
        <f t="shared" si="477"/>
        <v>211941.36977053003</v>
      </c>
      <c r="M2319" s="14">
        <f t="shared" si="478"/>
        <v>-81.135542277988932</v>
      </c>
      <c r="N2319" s="14">
        <f t="shared" si="479"/>
        <v>26.021124101814173</v>
      </c>
      <c r="O2319" s="1">
        <f t="shared" si="480"/>
        <v>2.8299805468424584</v>
      </c>
      <c r="P2319" s="1">
        <f t="shared" si="481"/>
        <v>1924.1981573613521</v>
      </c>
      <c r="S2319" s="6">
        <f t="shared" si="475"/>
        <v>0.50121323463094791</v>
      </c>
      <c r="T2319" s="6">
        <f t="shared" si="476"/>
        <v>0.49878676536905164</v>
      </c>
      <c r="V2319" s="1">
        <f t="shared" si="482"/>
        <v>209504.07868443432</v>
      </c>
      <c r="W2319" s="7">
        <f t="shared" si="483"/>
        <v>-2.6001178225521014E-4</v>
      </c>
      <c r="X2319" s="7">
        <f t="shared" si="484"/>
        <v>-1.7129333886624918E-4</v>
      </c>
      <c r="Y2319">
        <f>LN(B2319/B2318)</f>
        <v>-7.6349654216810036E-4</v>
      </c>
      <c r="Z2319">
        <f>LN(C2319/C2318)</f>
        <v>2.4617778020544228E-4</v>
      </c>
    </row>
    <row r="2320" spans="1:26" x14ac:dyDescent="0.3">
      <c r="A2320" s="11">
        <v>43605</v>
      </c>
      <c r="B2320" s="12">
        <v>38337.629999999997</v>
      </c>
      <c r="C2320" s="12">
        <v>54.952541400000001</v>
      </c>
      <c r="D2320" s="16">
        <f t="shared" si="473"/>
        <v>2.134024427898229E-2</v>
      </c>
      <c r="E2320" s="15">
        <f t="shared" si="485"/>
        <v>2.462184687463953E-4</v>
      </c>
      <c r="G2320" s="25" t="str">
        <f>IF(VLOOKUP(A2320,Aux!B:C,2,FALSE)=0,"",VLOOKUP(A2320,Aux!B:C,2,FALSE))</f>
        <v/>
      </c>
      <c r="H2320" s="25" t="str">
        <f t="shared" si="474"/>
        <v/>
      </c>
      <c r="L2320" s="13">
        <f t="shared" si="477"/>
        <v>214234.32601624733</v>
      </c>
      <c r="M2320" s="14">
        <f t="shared" si="478"/>
        <v>2266.9276172426853</v>
      </c>
      <c r="N2320" s="14">
        <f t="shared" si="479"/>
        <v>26.028628474633546</v>
      </c>
      <c r="O2320" s="1">
        <f t="shared" si="480"/>
        <v>2.8299805468424584</v>
      </c>
      <c r="P2320" s="1">
        <f t="shared" si="481"/>
        <v>1924.1981573613521</v>
      </c>
      <c r="S2320" s="6">
        <f t="shared" si="475"/>
        <v>0.50643026787320577</v>
      </c>
      <c r="T2320" s="6">
        <f t="shared" si="476"/>
        <v>0.49356973212679384</v>
      </c>
      <c r="V2320" s="1">
        <f t="shared" si="482"/>
        <v>211382.36767577028</v>
      </c>
      <c r="W2320" s="7">
        <f t="shared" si="483"/>
        <v>1.0760718614627195E-2</v>
      </c>
      <c r="X2320" s="7">
        <f t="shared" si="484"/>
        <v>8.9254547246980995E-3</v>
      </c>
      <c r="Y2320">
        <f>LN(B2320/B2319)</f>
        <v>2.1115729779034739E-2</v>
      </c>
      <c r="Z2320">
        <f>LN(C2320/C2319)</f>
        <v>2.4618816195384535E-4</v>
      </c>
    </row>
    <row r="2321" spans="1:26" x14ac:dyDescent="0.3">
      <c r="A2321" s="9">
        <v>43606</v>
      </c>
      <c r="B2321" s="1">
        <v>39394.81</v>
      </c>
      <c r="C2321" s="1">
        <v>54.966072099999998</v>
      </c>
      <c r="D2321" s="6">
        <f t="shared" si="473"/>
        <v>2.7575517839782959E-2</v>
      </c>
      <c r="E2321" s="5">
        <f t="shared" si="485"/>
        <v>2.4622519096073603E-4</v>
      </c>
      <c r="G2321" s="25" t="str">
        <f>IF(VLOOKUP(A2321,Aux!B:C,2,FALSE)=0,"",VLOOKUP(A2321,Aux!B:C,2,FALSE))</f>
        <v/>
      </c>
      <c r="H2321" s="25" t="str">
        <f t="shared" si="474"/>
        <v/>
      </c>
      <c r="L2321" s="13">
        <f t="shared" si="477"/>
        <v>217252.16059876603</v>
      </c>
      <c r="M2321" s="14">
        <f t="shared" si="478"/>
        <v>2991.7988345109111</v>
      </c>
      <c r="N2321" s="14">
        <f t="shared" si="479"/>
        <v>26.035748007803278</v>
      </c>
      <c r="O2321" s="1">
        <f t="shared" si="480"/>
        <v>2.8299805468424584</v>
      </c>
      <c r="P2321" s="1">
        <f t="shared" si="481"/>
        <v>1924.1981573613521</v>
      </c>
      <c r="S2321" s="6">
        <f t="shared" si="475"/>
        <v>0.51316656938779359</v>
      </c>
      <c r="T2321" s="6">
        <f t="shared" si="476"/>
        <v>0.48683343061220613</v>
      </c>
      <c r="V2321" s="1">
        <f t="shared" si="482"/>
        <v>213851.58888432151</v>
      </c>
      <c r="W2321" s="7">
        <f t="shared" si="483"/>
        <v>1.3988311963432486E-2</v>
      </c>
      <c r="X2321" s="7">
        <f t="shared" si="484"/>
        <v>1.1613601988118658E-2</v>
      </c>
      <c r="Y2321">
        <f>LN(B2321/B2320)</f>
        <v>2.720216136855786E-2</v>
      </c>
      <c r="Z2321">
        <f>LN(C2321/C2320)</f>
        <v>2.4619488251343763E-4</v>
      </c>
    </row>
    <row r="2322" spans="1:26" x14ac:dyDescent="0.3">
      <c r="A2322" s="11">
        <v>43607</v>
      </c>
      <c r="B2322" s="12">
        <v>39359.39</v>
      </c>
      <c r="C2322" s="12">
        <v>54.979602800000002</v>
      </c>
      <c r="D2322" s="16">
        <f t="shared" si="473"/>
        <v>-8.9910320674213562E-4</v>
      </c>
      <c r="E2322" s="15">
        <f t="shared" si="485"/>
        <v>2.4616457904036437E-4</v>
      </c>
      <c r="G2322" s="25" t="str">
        <f>IF(VLOOKUP(A2322,Aux!B:C,2,FALSE)=0,"",VLOOKUP(A2322,Aux!B:C,2,FALSE))</f>
        <v/>
      </c>
      <c r="H2322" s="25" t="str">
        <f t="shared" si="474"/>
        <v/>
      </c>
      <c r="L2322" s="13">
        <f t="shared" si="477"/>
        <v>217177.9584358047</v>
      </c>
      <c r="M2322" s="14">
        <f t="shared" si="478"/>
        <v>-100.23791096915494</v>
      </c>
      <c r="N2322" s="14">
        <f t="shared" si="479"/>
        <v>26.035748007816949</v>
      </c>
      <c r="O2322" s="1">
        <f t="shared" si="480"/>
        <v>2.8299805468424584</v>
      </c>
      <c r="P2322" s="1">
        <f t="shared" si="481"/>
        <v>1924.1981573613521</v>
      </c>
      <c r="S2322" s="6">
        <f t="shared" si="475"/>
        <v>0.51288035322659187</v>
      </c>
      <c r="T2322" s="6">
        <f t="shared" si="476"/>
        <v>0.48711964677340786</v>
      </c>
      <c r="V2322" s="1">
        <f t="shared" si="482"/>
        <v>213800.14367352022</v>
      </c>
      <c r="W2322" s="7">
        <f t="shared" si="483"/>
        <v>-3.4160690261448109E-4</v>
      </c>
      <c r="X2322" s="7">
        <f t="shared" si="484"/>
        <v>-2.4059395593585455E-4</v>
      </c>
      <c r="Y2322">
        <f>LN(B2322/B2321)</f>
        <v>-8.9950764246813351E-4</v>
      </c>
      <c r="Z2322">
        <f>LN(C2322/C2321)</f>
        <v>2.461342855117378E-4</v>
      </c>
    </row>
    <row r="2323" spans="1:26" x14ac:dyDescent="0.3">
      <c r="A2323" s="9">
        <v>43608</v>
      </c>
      <c r="B2323" s="1">
        <v>39167.870000000003</v>
      </c>
      <c r="C2323" s="1">
        <v>54.993141199999997</v>
      </c>
      <c r="D2323" s="6">
        <f t="shared" si="473"/>
        <v>-4.8659290705469482E-3</v>
      </c>
      <c r="E2323" s="5">
        <f t="shared" si="485"/>
        <v>2.4624404889284079E-4</v>
      </c>
      <c r="G2323" s="25" t="str">
        <f>IF(VLOOKUP(A2323,Aux!B:C,2,FALSE)=0,"",VLOOKUP(A2323,Aux!B:C,2,FALSE))</f>
        <v/>
      </c>
      <c r="H2323" s="25" t="str">
        <f t="shared" si="474"/>
        <v/>
      </c>
      <c r="L2323" s="13">
        <f t="shared" si="477"/>
        <v>216662.01112580707</v>
      </c>
      <c r="M2323" s="14">
        <f t="shared" si="478"/>
        <v>-541.99787433125857</v>
      </c>
      <c r="N2323" s="14">
        <f t="shared" si="479"/>
        <v>26.050564333610367</v>
      </c>
      <c r="O2323" s="1">
        <f t="shared" si="480"/>
        <v>2.8299805468424584</v>
      </c>
      <c r="P2323" s="1">
        <f t="shared" si="481"/>
        <v>1924.1981573613521</v>
      </c>
      <c r="S2323" s="6">
        <f t="shared" si="475"/>
        <v>0.51160011663000493</v>
      </c>
      <c r="T2323" s="6">
        <f t="shared" si="476"/>
        <v>0.48839988336999457</v>
      </c>
      <c r="V2323" s="1">
        <f t="shared" si="482"/>
        <v>213388.58752823161</v>
      </c>
      <c r="W2323" s="7">
        <f t="shared" si="483"/>
        <v>-2.3785155330873927E-3</v>
      </c>
      <c r="X2323" s="7">
        <f t="shared" si="484"/>
        <v>-1.9268124019079019E-3</v>
      </c>
      <c r="Y2323">
        <f>LN(B2323/B2322)</f>
        <v>-4.8778062480729677E-3</v>
      </c>
      <c r="Z2323">
        <f>LN(C2323/C2322)</f>
        <v>2.4621373580320977E-4</v>
      </c>
    </row>
    <row r="2324" spans="1:26" x14ac:dyDescent="0.3">
      <c r="A2324" s="11">
        <v>43609</v>
      </c>
      <c r="B2324" s="12">
        <v>39036.83</v>
      </c>
      <c r="C2324" s="12">
        <v>55.006679499999997</v>
      </c>
      <c r="D2324" s="16">
        <f t="shared" si="473"/>
        <v>-3.3455993394586603E-3</v>
      </c>
      <c r="E2324" s="15">
        <f t="shared" si="485"/>
        <v>2.4618160928047139E-4</v>
      </c>
      <c r="G2324" s="25" t="str">
        <f>IF(VLOOKUP(A2324,Aux!B:C,2,FALSE)=0,"",VLOOKUP(A2324,Aux!B:C,2,FALSE))</f>
        <v/>
      </c>
      <c r="H2324" s="25" t="str">
        <f t="shared" si="474"/>
        <v/>
      </c>
      <c r="L2324" s="13">
        <f t="shared" si="477"/>
        <v>216317.22084686262</v>
      </c>
      <c r="M2324" s="14">
        <f t="shared" si="478"/>
        <v>-370.84065085823823</v>
      </c>
      <c r="N2324" s="14">
        <f t="shared" si="479"/>
        <v>26.050371913806053</v>
      </c>
      <c r="O2324" s="1">
        <f t="shared" si="480"/>
        <v>2.8299805468424584</v>
      </c>
      <c r="P2324" s="1">
        <f t="shared" si="481"/>
        <v>1924.1981573613521</v>
      </c>
      <c r="S2324" s="6">
        <f t="shared" si="475"/>
        <v>0.51070122423865427</v>
      </c>
      <c r="T2324" s="6">
        <f t="shared" si="476"/>
        <v>0.48929877576134534</v>
      </c>
      <c r="V2324" s="1">
        <f t="shared" si="482"/>
        <v>213116.56063483155</v>
      </c>
      <c r="W2324" s="7">
        <f t="shared" si="483"/>
        <v>-1.5926415234921152E-3</v>
      </c>
      <c r="X2324" s="7">
        <f t="shared" si="484"/>
        <v>-1.2756091290246953E-3</v>
      </c>
      <c r="Y2324">
        <f>LN(B2324/B2323)</f>
        <v>-3.3512083708039262E-3</v>
      </c>
      <c r="Z2324">
        <f>LN(C2324/C2323)</f>
        <v>2.4615131156048976E-4</v>
      </c>
    </row>
    <row r="2325" spans="1:26" x14ac:dyDescent="0.3">
      <c r="A2325" s="9">
        <v>43612</v>
      </c>
      <c r="B2325" s="1">
        <v>39531.49</v>
      </c>
      <c r="C2325" s="1">
        <v>55.0202217</v>
      </c>
      <c r="D2325" s="6">
        <f t="shared" si="473"/>
        <v>1.2671623182517466E-2</v>
      </c>
      <c r="E2325" s="5">
        <f t="shared" si="485"/>
        <v>2.4619191929242668E-4</v>
      </c>
      <c r="G2325" s="25" t="str">
        <f>IF(VLOOKUP(A2325,Aux!B:C,2,FALSE)=0,"",VLOOKUP(A2325,Aux!B:C,2,FALSE))</f>
        <v/>
      </c>
      <c r="H2325" s="25" t="str">
        <f t="shared" si="474"/>
        <v/>
      </c>
      <c r="L2325" s="13">
        <f t="shared" si="477"/>
        <v>217743.15690045033</v>
      </c>
      <c r="M2325" s="14">
        <f t="shared" si="478"/>
        <v>1399.8781773010799</v>
      </c>
      <c r="N2325" s="14">
        <f t="shared" si="479"/>
        <v>26.057876286625426</v>
      </c>
      <c r="O2325" s="1">
        <f t="shared" si="480"/>
        <v>2.8299805468424584</v>
      </c>
      <c r="P2325" s="1">
        <f t="shared" si="481"/>
        <v>1924.1981573613521</v>
      </c>
      <c r="S2325" s="6">
        <f t="shared" si="475"/>
        <v>0.51378582583352728</v>
      </c>
      <c r="T2325" s="6">
        <f t="shared" si="476"/>
        <v>0.48621417416647239</v>
      </c>
      <c r="V2325" s="1">
        <f t="shared" si="482"/>
        <v>214288.05425335118</v>
      </c>
      <c r="W2325" s="7">
        <f t="shared" si="483"/>
        <v>6.5702434788611026E-3</v>
      </c>
      <c r="X2325" s="7">
        <f t="shared" si="484"/>
        <v>5.4819087649258889E-3</v>
      </c>
      <c r="Y2325">
        <f>LN(B2325/B2324)</f>
        <v>1.2592010012108315E-2</v>
      </c>
      <c r="Z2325">
        <f>LN(C2325/C2324)</f>
        <v>2.4616161903488125E-4</v>
      </c>
    </row>
    <row r="2326" spans="1:26" x14ac:dyDescent="0.3">
      <c r="A2326" s="11">
        <v>43613</v>
      </c>
      <c r="B2326" s="12">
        <v>40172.71</v>
      </c>
      <c r="C2326" s="12">
        <v>55.033767699999999</v>
      </c>
      <c r="D2326" s="16">
        <f t="shared" si="473"/>
        <v>1.6220486503291554E-2</v>
      </c>
      <c r="E2326" s="15">
        <f t="shared" si="485"/>
        <v>2.4620038926514987E-4</v>
      </c>
      <c r="G2326" s="25" t="str">
        <f>IF(VLOOKUP(A2326,Aux!B:C,2,FALSE)=0,"",VLOOKUP(A2326,Aux!B:C,2,FALSE))</f>
        <v/>
      </c>
      <c r="H2326" s="25" t="str">
        <f t="shared" si="474"/>
        <v/>
      </c>
      <c r="L2326" s="13">
        <f t="shared" si="477"/>
        <v>219583.86221493626</v>
      </c>
      <c r="M2326" s="14">
        <f t="shared" si="478"/>
        <v>1814.6401262463244</v>
      </c>
      <c r="N2326" s="14">
        <f t="shared" si="479"/>
        <v>26.065188239613143</v>
      </c>
      <c r="O2326" s="1">
        <f t="shared" si="480"/>
        <v>2.8299805468424584</v>
      </c>
      <c r="P2326" s="1">
        <f t="shared" si="481"/>
        <v>1924.1981573613521</v>
      </c>
      <c r="S2326" s="6">
        <f t="shared" si="475"/>
        <v>0.51774291000793926</v>
      </c>
      <c r="T2326" s="6">
        <f t="shared" si="476"/>
        <v>0.48225708999206029</v>
      </c>
      <c r="V2326" s="1">
        <f t="shared" si="482"/>
        <v>215797.67541967036</v>
      </c>
      <c r="W2326" s="7">
        <f t="shared" si="483"/>
        <v>8.4180309191004745E-3</v>
      </c>
      <c r="X2326" s="7">
        <f t="shared" si="484"/>
        <v>7.0201230217069137E-3</v>
      </c>
      <c r="Y2326">
        <f>LN(B2326/B2325)</f>
        <v>1.6090339886991878E-2</v>
      </c>
      <c r="Z2326">
        <f>LN(C2326/C2325)</f>
        <v>2.4617008692284298E-4</v>
      </c>
    </row>
    <row r="2327" spans="1:26" x14ac:dyDescent="0.3">
      <c r="A2327" s="9">
        <v>43614</v>
      </c>
      <c r="B2327" s="1">
        <v>40263.120000000003</v>
      </c>
      <c r="C2327" s="1">
        <v>55.047317499999998</v>
      </c>
      <c r="D2327" s="6">
        <f t="shared" si="473"/>
        <v>2.2505327621662463E-3</v>
      </c>
      <c r="E2327" s="5">
        <f t="shared" si="485"/>
        <v>2.4620883806947269E-4</v>
      </c>
      <c r="G2327" s="25" t="str">
        <f>IF(VLOOKUP(A2327,Aux!B:C,2,FALSE)=0,"",VLOOKUP(A2327,Aux!B:C,2,FALSE))</f>
        <v/>
      </c>
      <c r="H2327" s="25" t="str">
        <f t="shared" si="474"/>
        <v/>
      </c>
      <c r="L2327" s="13">
        <f t="shared" si="477"/>
        <v>219865.79325636892</v>
      </c>
      <c r="M2327" s="14">
        <f t="shared" si="478"/>
        <v>255.85854124003654</v>
      </c>
      <c r="N2327" s="14">
        <f t="shared" si="479"/>
        <v>26.07250019261453</v>
      </c>
      <c r="O2327" s="1">
        <f t="shared" si="480"/>
        <v>2.8299805468424584</v>
      </c>
      <c r="P2327" s="1">
        <f t="shared" si="481"/>
        <v>1924.1981573613521</v>
      </c>
      <c r="S2327" s="6">
        <f t="shared" si="475"/>
        <v>0.51824271828552337</v>
      </c>
      <c r="T2327" s="6">
        <f t="shared" si="476"/>
        <v>0.48175728171447618</v>
      </c>
      <c r="V2327" s="1">
        <f t="shared" si="482"/>
        <v>216036.56714965604</v>
      </c>
      <c r="W2327" s="7">
        <f t="shared" si="483"/>
        <v>1.2831098015564355E-3</v>
      </c>
      <c r="X2327" s="7">
        <f t="shared" si="484"/>
        <v>1.1064048693032067E-3</v>
      </c>
      <c r="Y2327">
        <f>LN(B2327/B2326)</f>
        <v>2.2480041064804296E-3</v>
      </c>
      <c r="Z2327">
        <f>LN(C2327/C2326)</f>
        <v>2.4617853364754326E-4</v>
      </c>
    </row>
    <row r="2328" spans="1:26" x14ac:dyDescent="0.3">
      <c r="A2328" s="11">
        <v>43615</v>
      </c>
      <c r="B2328" s="12">
        <v>40647.769999999997</v>
      </c>
      <c r="C2328" s="12">
        <v>55.0608711</v>
      </c>
      <c r="D2328" s="16">
        <f t="shared" si="473"/>
        <v>9.5534076842529458E-3</v>
      </c>
      <c r="E2328" s="15">
        <f t="shared" si="485"/>
        <v>2.4621726571871783E-4</v>
      </c>
      <c r="G2328" s="25" t="str">
        <f>IF(VLOOKUP(A2328,Aux!B:C,2,FALSE)=0,"",VLOOKUP(A2328,Aux!B:C,2,FALSE))</f>
        <v/>
      </c>
      <c r="H2328" s="25" t="str">
        <f t="shared" si="474"/>
        <v/>
      </c>
      <c r="L2328" s="13">
        <f t="shared" si="477"/>
        <v>220980.42508585748</v>
      </c>
      <c r="M2328" s="14">
        <f t="shared" si="478"/>
        <v>1088.5520173429352</v>
      </c>
      <c r="N2328" s="14">
        <f t="shared" si="479"/>
        <v>26.079812145615918</v>
      </c>
      <c r="O2328" s="1">
        <f t="shared" si="480"/>
        <v>2.8299805468424584</v>
      </c>
      <c r="P2328" s="1">
        <f t="shared" si="481"/>
        <v>1924.1981573613521</v>
      </c>
      <c r="S2328" s="6">
        <f t="shared" si="475"/>
        <v>0.52055469767438878</v>
      </c>
      <c r="T2328" s="6">
        <f t="shared" si="476"/>
        <v>0.47944530232561078</v>
      </c>
      <c r="V2328" s="1">
        <f t="shared" si="482"/>
        <v>216954.28935331531</v>
      </c>
      <c r="W2328" s="7">
        <f t="shared" si="483"/>
        <v>5.0567937675942863E-3</v>
      </c>
      <c r="X2328" s="7">
        <f t="shared" si="484"/>
        <v>4.2389974942703603E-3</v>
      </c>
      <c r="Y2328">
        <f>LN(B2328/B2327)</f>
        <v>9.5080624572669824E-3</v>
      </c>
      <c r="Z2328">
        <f>LN(C2328/C2327)</f>
        <v>2.4618695922230187E-4</v>
      </c>
    </row>
    <row r="2329" spans="1:26" x14ac:dyDescent="0.3">
      <c r="A2329" s="9">
        <v>43616</v>
      </c>
      <c r="B2329" s="1">
        <v>40519.550000000003</v>
      </c>
      <c r="C2329" s="1">
        <v>55.074424700000002</v>
      </c>
      <c r="D2329" s="6">
        <f t="shared" si="473"/>
        <v>-3.1544165891509435E-3</v>
      </c>
      <c r="E2329" s="5">
        <f t="shared" si="485"/>
        <v>2.4615665769944783E-4</v>
      </c>
      <c r="G2329" s="25" t="str">
        <f>IF(VLOOKUP(A2329,Aux!B:C,2,FALSE)=0,"",VLOOKUP(A2329,Aux!B:C,2,FALSE))</f>
        <v/>
      </c>
      <c r="H2329" s="25" t="str">
        <f t="shared" si="474"/>
        <v/>
      </c>
      <c r="L2329" s="13">
        <f t="shared" si="477"/>
        <v>220643.64479228697</v>
      </c>
      <c r="M2329" s="14">
        <f t="shared" si="478"/>
        <v>-362.86010571612269</v>
      </c>
      <c r="N2329" s="14">
        <f t="shared" si="479"/>
        <v>26.079812145615918</v>
      </c>
      <c r="O2329" s="1">
        <f t="shared" si="480"/>
        <v>2.8299805468424584</v>
      </c>
      <c r="P2329" s="1">
        <f t="shared" si="481"/>
        <v>1924.1981573613521</v>
      </c>
      <c r="S2329" s="6">
        <f t="shared" si="475"/>
        <v>0.51970469566327082</v>
      </c>
      <c r="T2329" s="6">
        <f t="shared" si="476"/>
        <v>0.48029530433672873</v>
      </c>
      <c r="V2329" s="1">
        <f t="shared" si="482"/>
        <v>216688.80252668602</v>
      </c>
      <c r="W2329" s="7">
        <f t="shared" si="483"/>
        <v>-1.5251902322644549E-3</v>
      </c>
      <c r="X2329" s="7">
        <f t="shared" si="484"/>
        <v>-1.2244486988048225E-3</v>
      </c>
      <c r="Y2329">
        <f>LN(B2329/B2328)</f>
        <v>-3.1594022484849426E-3</v>
      </c>
      <c r="Z2329">
        <f>LN(C2329/C2328)</f>
        <v>2.461263661202636E-4</v>
      </c>
    </row>
    <row r="2330" spans="1:26" x14ac:dyDescent="0.3">
      <c r="A2330" s="11">
        <v>43619</v>
      </c>
      <c r="B2330" s="12">
        <v>40517.57</v>
      </c>
      <c r="C2330" s="12">
        <v>55.087986000000001</v>
      </c>
      <c r="D2330" s="16">
        <f t="shared" si="473"/>
        <v>-4.8865300824041391E-5</v>
      </c>
      <c r="E2330" s="15">
        <f t="shared" si="485"/>
        <v>2.4623589032235493E-4</v>
      </c>
      <c r="G2330" s="25" t="str">
        <f>IF(VLOOKUP(A2330,Aux!B:C,2,FALSE)=0,"",VLOOKUP(A2330,Aux!B:C,2,FALSE))</f>
        <v/>
      </c>
      <c r="H2330" s="25" t="str">
        <f t="shared" si="474"/>
        <v/>
      </c>
      <c r="L2330" s="13">
        <f t="shared" si="477"/>
        <v>220664.13605927562</v>
      </c>
      <c r="M2330" s="14">
        <f t="shared" si="478"/>
        <v>-5.6033614827571272</v>
      </c>
      <c r="N2330" s="14">
        <f t="shared" si="479"/>
        <v>26.094628471423004</v>
      </c>
      <c r="O2330" s="1">
        <f t="shared" si="480"/>
        <v>2.8299805468424584</v>
      </c>
      <c r="P2330" s="1">
        <f t="shared" si="481"/>
        <v>1924.1981573613521</v>
      </c>
      <c r="S2330" s="6">
        <f t="shared" si="475"/>
        <v>0.5196310417861747</v>
      </c>
      <c r="T2330" s="6">
        <f t="shared" si="476"/>
        <v>0.48036895821382497</v>
      </c>
      <c r="V2330" s="1">
        <f t="shared" si="482"/>
        <v>216714.57302187552</v>
      </c>
      <c r="W2330" s="7">
        <f t="shared" si="483"/>
        <v>9.2866103397744524E-5</v>
      </c>
      <c r="X2330" s="7">
        <f t="shared" si="484"/>
        <v>1.1892152518320957E-4</v>
      </c>
      <c r="Y2330">
        <f>LN(B2330/B2329)</f>
        <v>-4.8866494771748937E-5</v>
      </c>
      <c r="Z2330">
        <f>LN(C2330/C2329)</f>
        <v>2.4620557924119547E-4</v>
      </c>
    </row>
    <row r="2331" spans="1:26" x14ac:dyDescent="0.3">
      <c r="A2331" s="9">
        <v>43620</v>
      </c>
      <c r="B2331" s="1">
        <v>40667.47</v>
      </c>
      <c r="C2331" s="1">
        <v>55.101547199999999</v>
      </c>
      <c r="D2331" s="6">
        <f t="shared" ref="D2331:D2394" si="486">B2331/B2330-1</f>
        <v>3.6996295681108737E-3</v>
      </c>
      <c r="E2331" s="5">
        <f t="shared" si="485"/>
        <v>2.4617345785693523E-4</v>
      </c>
      <c r="G2331" s="25" t="str">
        <f>IF(VLOOKUP(A2331,Aux!B:C,2,FALSE)=0,"",VLOOKUP(A2331,Aux!B:C,2,FALSE))</f>
        <v/>
      </c>
      <c r="H2331" s="25" t="str">
        <f t="shared" si="474"/>
        <v/>
      </c>
      <c r="L2331" s="13">
        <f t="shared" si="477"/>
        <v>221114.44457929893</v>
      </c>
      <c r="M2331" s="14">
        <f t="shared" si="478"/>
        <v>424.21408397168864</v>
      </c>
      <c r="N2331" s="14">
        <f t="shared" si="479"/>
        <v>26.094436051605019</v>
      </c>
      <c r="O2331" s="1">
        <f t="shared" si="480"/>
        <v>2.8299805468424584</v>
      </c>
      <c r="P2331" s="1">
        <f t="shared" si="481"/>
        <v>1924.1981573613521</v>
      </c>
      <c r="S2331" s="6">
        <f t="shared" si="475"/>
        <v>0.52049131936301374</v>
      </c>
      <c r="T2331" s="6">
        <f t="shared" si="476"/>
        <v>0.47950868063698593</v>
      </c>
      <c r="V2331" s="1">
        <f t="shared" si="482"/>
        <v>217090.73576614255</v>
      </c>
      <c r="W2331" s="7">
        <f t="shared" si="483"/>
        <v>2.0386170616407281E-3</v>
      </c>
      <c r="X2331" s="7">
        <f t="shared" si="484"/>
        <v>1.7342472806398286E-3</v>
      </c>
      <c r="Y2331">
        <f>LN(B2331/B2330)</f>
        <v>3.6928027712058104E-3</v>
      </c>
      <c r="Z2331">
        <f>LN(C2331/C2330)</f>
        <v>2.4614316214315702E-4</v>
      </c>
    </row>
    <row r="2332" spans="1:26" x14ac:dyDescent="0.3">
      <c r="A2332" s="11">
        <v>43621</v>
      </c>
      <c r="B2332" s="12">
        <v>40131.53</v>
      </c>
      <c r="C2332" s="12">
        <v>55.1151123</v>
      </c>
      <c r="D2332" s="16">
        <f t="shared" si="486"/>
        <v>-1.3178592127811251E-2</v>
      </c>
      <c r="E2332" s="15">
        <f t="shared" si="485"/>
        <v>2.4618364981221497E-4</v>
      </c>
      <c r="G2332" s="25" t="str">
        <f>IF(VLOOKUP(A2332,Aux!B:C,2,FALSE)=0,"",VLOOKUP(A2332,Aux!B:C,2,FALSE))</f>
        <v/>
      </c>
      <c r="H2332" s="25" t="str">
        <f t="shared" si="474"/>
        <v/>
      </c>
      <c r="L2332" s="13">
        <f t="shared" si="477"/>
        <v>219623.84674544859</v>
      </c>
      <c r="M2332" s="14">
        <f t="shared" si="478"/>
        <v>-1516.6997742747537</v>
      </c>
      <c r="N2332" s="14">
        <f t="shared" si="479"/>
        <v>26.101940424424392</v>
      </c>
      <c r="O2332" s="1">
        <f t="shared" si="480"/>
        <v>2.8299805468424584</v>
      </c>
      <c r="P2332" s="1">
        <f t="shared" si="481"/>
        <v>1924.1981573613521</v>
      </c>
      <c r="S2332" s="6">
        <f t="shared" si="475"/>
        <v>0.51711802200904733</v>
      </c>
      <c r="T2332" s="6">
        <f t="shared" si="476"/>
        <v>0.48288197799095228</v>
      </c>
      <c r="V2332" s="1">
        <f t="shared" si="482"/>
        <v>215884.65036441464</v>
      </c>
      <c r="W2332" s="7">
        <f t="shared" si="483"/>
        <v>-6.7641207787210817E-3</v>
      </c>
      <c r="X2332" s="7">
        <f t="shared" si="484"/>
        <v>-5.5711643658639303E-3</v>
      </c>
      <c r="Y2332">
        <f>LN(B2332/B2331)</f>
        <v>-1.3266200326146615E-2</v>
      </c>
      <c r="Z2332">
        <f>LN(C2332/C2331)</f>
        <v>2.4615335159001349E-4</v>
      </c>
    </row>
    <row r="2333" spans="1:26" x14ac:dyDescent="0.3">
      <c r="A2333" s="9">
        <v>43622</v>
      </c>
      <c r="B2333" s="1">
        <v>40609.08</v>
      </c>
      <c r="C2333" s="1">
        <v>55.128681200000003</v>
      </c>
      <c r="D2333" s="6">
        <f t="shared" si="486"/>
        <v>1.1899621071013389E-2</v>
      </c>
      <c r="E2333" s="5">
        <f t="shared" si="485"/>
        <v>2.4619200494679916E-4</v>
      </c>
      <c r="G2333" s="25" t="str">
        <f>IF(VLOOKUP(A2333,Aux!B:C,2,FALSE)=0,"",VLOOKUP(A2333,Aux!B:C,2,FALSE))</f>
        <v/>
      </c>
      <c r="H2333" s="25" t="str">
        <f t="shared" si="474"/>
        <v/>
      </c>
      <c r="L2333" s="13">
        <f t="shared" si="477"/>
        <v>221001.41320797062</v>
      </c>
      <c r="M2333" s="14">
        <f t="shared" si="478"/>
        <v>1351.4572101446242</v>
      </c>
      <c r="N2333" s="14">
        <f t="shared" si="479"/>
        <v>26.109252377425779</v>
      </c>
      <c r="O2333" s="1">
        <f t="shared" si="480"/>
        <v>2.8299805468424584</v>
      </c>
      <c r="P2333" s="1">
        <f t="shared" si="481"/>
        <v>1924.1981573613521</v>
      </c>
      <c r="S2333" s="6">
        <f t="shared" si="475"/>
        <v>0.52000982598705092</v>
      </c>
      <c r="T2333" s="6">
        <f t="shared" si="476"/>
        <v>0.4799901740129488</v>
      </c>
      <c r="V2333" s="1">
        <f t="shared" si="482"/>
        <v>217016.73034586001</v>
      </c>
      <c r="W2333" s="7">
        <f t="shared" si="483"/>
        <v>6.2528006267742213E-3</v>
      </c>
      <c r="X2333" s="7">
        <f t="shared" si="484"/>
        <v>5.2302099857778868E-3</v>
      </c>
      <c r="Y2333">
        <f>LN(B2333/B2332)</f>
        <v>1.1829377280746326E-2</v>
      </c>
      <c r="Z2333">
        <f>LN(C2333/C2332)</f>
        <v>2.4616170466817153E-4</v>
      </c>
    </row>
    <row r="2334" spans="1:26" x14ac:dyDescent="0.3">
      <c r="A2334" s="11">
        <v>43623</v>
      </c>
      <c r="B2334" s="12">
        <v>40871.43</v>
      </c>
      <c r="C2334" s="12">
        <v>55.1422539</v>
      </c>
      <c r="D2334" s="16">
        <f t="shared" si="486"/>
        <v>6.4603778268308432E-3</v>
      </c>
      <c r="E2334" s="15">
        <f t="shared" si="485"/>
        <v>2.4620033899891425E-4</v>
      </c>
      <c r="G2334" s="25" t="str">
        <f>IF(VLOOKUP(A2334,Aux!B:C,2,FALSE)=0,"",VLOOKUP(A2334,Aux!B:C,2,FALSE))</f>
        <v/>
      </c>
      <c r="H2334" s="25" t="str">
        <f t="shared" si="474"/>
        <v/>
      </c>
      <c r="L2334" s="13">
        <f t="shared" si="477"/>
        <v>221769.97516876514</v>
      </c>
      <c r="M2334" s="14">
        <f t="shared" si="478"/>
        <v>742.44539646411488</v>
      </c>
      <c r="N2334" s="14">
        <f t="shared" si="479"/>
        <v>26.116564330413496</v>
      </c>
      <c r="O2334" s="1">
        <f t="shared" si="480"/>
        <v>2.8299805468424584</v>
      </c>
      <c r="P2334" s="1">
        <f t="shared" si="481"/>
        <v>1924.1981573613521</v>
      </c>
      <c r="S2334" s="6">
        <f t="shared" si="475"/>
        <v>0.52155550693286079</v>
      </c>
      <c r="T2334" s="6">
        <f t="shared" si="476"/>
        <v>0.47844449306713893</v>
      </c>
      <c r="V2334" s="1">
        <f t="shared" si="482"/>
        <v>217652.34490067238</v>
      </c>
      <c r="W2334" s="7">
        <f t="shared" si="483"/>
        <v>3.4716007080095412E-3</v>
      </c>
      <c r="X2334" s="7">
        <f t="shared" si="484"/>
        <v>2.92459272608211E-3</v>
      </c>
      <c r="Y2334">
        <f>LN(B2334/B2333)</f>
        <v>6.4395990305668978E-3</v>
      </c>
      <c r="Z2334">
        <f>LN(C2334/C2333)</f>
        <v>2.461700366689799E-4</v>
      </c>
    </row>
    <row r="2335" spans="1:26" x14ac:dyDescent="0.3">
      <c r="A2335" s="9">
        <v>43626</v>
      </c>
      <c r="B2335" s="1">
        <v>40723.97</v>
      </c>
      <c r="C2335" s="1">
        <v>55.155830399999999</v>
      </c>
      <c r="D2335" s="6">
        <f t="shared" si="486"/>
        <v>-3.6078992097903217E-3</v>
      </c>
      <c r="E2335" s="5">
        <f t="shared" si="485"/>
        <v>2.4620865198254904E-4</v>
      </c>
      <c r="G2335" s="25" t="str">
        <f>IF(VLOOKUP(A2335,Aux!B:C,2,FALSE)=0,"",VLOOKUP(A2335,Aux!B:C,2,FALSE))</f>
        <v/>
      </c>
      <c r="H2335" s="25" t="str">
        <f t="shared" si="474"/>
        <v/>
      </c>
      <c r="L2335" s="13">
        <f t="shared" si="477"/>
        <v>221378.79011361118</v>
      </c>
      <c r="M2335" s="14">
        <f t="shared" si="478"/>
        <v>-417.30893143738643</v>
      </c>
      <c r="N2335" s="14">
        <f t="shared" si="479"/>
        <v>26.123876283414884</v>
      </c>
      <c r="O2335" s="1">
        <f t="shared" si="480"/>
        <v>2.8299805468424584</v>
      </c>
      <c r="P2335" s="1">
        <f t="shared" si="481"/>
        <v>1924.1981573613521</v>
      </c>
      <c r="S2335" s="6">
        <f t="shared" si="475"/>
        <v>0.52059207131383634</v>
      </c>
      <c r="T2335" s="6">
        <f t="shared" si="476"/>
        <v>0.47940792868616339</v>
      </c>
      <c r="V2335" s="1">
        <f t="shared" si="482"/>
        <v>217342.52195135766</v>
      </c>
      <c r="W2335" s="7">
        <f t="shared" si="483"/>
        <v>-1.7654800708398408E-3</v>
      </c>
      <c r="X2335" s="7">
        <f t="shared" si="484"/>
        <v>-1.4244903805289298E-3</v>
      </c>
      <c r="Y2335">
        <f>LN(B2335/B2334)</f>
        <v>-3.6144233752256729E-3</v>
      </c>
      <c r="Z2335">
        <f>LN(C2335/C2334)</f>
        <v>2.4617834760642455E-4</v>
      </c>
    </row>
    <row r="2336" spans="1:26" x14ac:dyDescent="0.3">
      <c r="A2336" s="11">
        <v>43627</v>
      </c>
      <c r="B2336" s="12">
        <v>41295.26</v>
      </c>
      <c r="C2336" s="12">
        <v>55.1694107</v>
      </c>
      <c r="D2336" s="16">
        <f t="shared" si="486"/>
        <v>1.4028347432728294E-2</v>
      </c>
      <c r="E2336" s="15">
        <f t="shared" si="485"/>
        <v>2.4621694391169235E-4</v>
      </c>
      <c r="G2336" s="25" t="str">
        <f>IF(VLOOKUP(A2336,Aux!B:C,2,FALSE)=0,"",VLOOKUP(A2336,Aux!B:C,2,FALSE))</f>
        <v/>
      </c>
      <c r="H2336" s="25" t="str">
        <f t="shared" si="474"/>
        <v/>
      </c>
      <c r="L2336" s="13">
        <f t="shared" si="477"/>
        <v>223021.66088845322</v>
      </c>
      <c r="M2336" s="14">
        <f t="shared" si="478"/>
        <v>1616.7395866056306</v>
      </c>
      <c r="N2336" s="14">
        <f t="shared" si="479"/>
        <v>26.131188236416271</v>
      </c>
      <c r="O2336" s="1">
        <f t="shared" si="480"/>
        <v>2.8299805468424584</v>
      </c>
      <c r="P2336" s="1">
        <f t="shared" si="481"/>
        <v>1924.1981573613521</v>
      </c>
      <c r="S2336" s="6">
        <f t="shared" si="475"/>
        <v>0.52400642166884737</v>
      </c>
      <c r="T2336" s="6">
        <f t="shared" si="476"/>
        <v>0.47599357833115241</v>
      </c>
      <c r="V2336" s="1">
        <f t="shared" si="482"/>
        <v>218690.8888951558</v>
      </c>
      <c r="W2336" s="7">
        <f t="shared" si="483"/>
        <v>7.393684031173786E-3</v>
      </c>
      <c r="X2336" s="7">
        <f t="shared" si="484"/>
        <v>6.18471524544987E-3</v>
      </c>
      <c r="Y2336">
        <f>LN(B2336/B2335)</f>
        <v>1.3930860826283909E-2</v>
      </c>
      <c r="Z2336">
        <f>LN(C2336/C2335)</f>
        <v>2.461866374944913E-4</v>
      </c>
    </row>
    <row r="2337" spans="1:26" x14ac:dyDescent="0.3">
      <c r="A2337" s="9">
        <v>43628</v>
      </c>
      <c r="B2337" s="1">
        <v>41038.57</v>
      </c>
      <c r="C2337" s="1">
        <v>55.182994800000003</v>
      </c>
      <c r="D2337" s="6">
        <f t="shared" si="486"/>
        <v>-6.2159676437441025E-3</v>
      </c>
      <c r="E2337" s="5">
        <f t="shared" si="485"/>
        <v>2.4622521480011095E-4</v>
      </c>
      <c r="G2337" s="25" t="str">
        <f>IF(VLOOKUP(A2337,Aux!B:C,2,FALSE)=0,"",VLOOKUP(A2337,Aux!B:C,2,FALSE))</f>
        <v/>
      </c>
      <c r="H2337" s="25" t="str">
        <f t="shared" si="474"/>
        <v/>
      </c>
      <c r="L2337" s="13">
        <f t="shared" si="477"/>
        <v>222321.37168207363</v>
      </c>
      <c r="M2337" s="14">
        <f t="shared" si="478"/>
        <v>-726.42770656899722</v>
      </c>
      <c r="N2337" s="14">
        <f t="shared" si="479"/>
        <v>26.138500189417659</v>
      </c>
      <c r="O2337" s="1">
        <f t="shared" si="480"/>
        <v>2.8299805468424584</v>
      </c>
      <c r="P2337" s="1">
        <f t="shared" si="481"/>
        <v>1924.1981573613521</v>
      </c>
      <c r="S2337" s="6">
        <f t="shared" si="475"/>
        <v>0.52238952059145216</v>
      </c>
      <c r="T2337" s="6">
        <f t="shared" si="476"/>
        <v>0.47761047940854762</v>
      </c>
      <c r="V2337" s="1">
        <f t="shared" si="482"/>
        <v>218129.08551716193</v>
      </c>
      <c r="W2337" s="7">
        <f t="shared" si="483"/>
        <v>-3.1449455020424975E-3</v>
      </c>
      <c r="X2337" s="7">
        <f t="shared" si="484"/>
        <v>-2.5722435816313565E-3</v>
      </c>
      <c r="Y2337">
        <f>LN(B2337/B2336)</f>
        <v>-6.2353672037574861E-3</v>
      </c>
      <c r="Z2337">
        <f>LN(C2337/C2336)</f>
        <v>2.4619490634694415E-4</v>
      </c>
    </row>
    <row r="2338" spans="1:26" x14ac:dyDescent="0.3">
      <c r="A2338" s="11">
        <v>43629</v>
      </c>
      <c r="B2338" s="12">
        <v>41244.800000000003</v>
      </c>
      <c r="C2338" s="12">
        <v>55.196579</v>
      </c>
      <c r="D2338" s="16">
        <f t="shared" si="486"/>
        <v>5.025272566758554E-3</v>
      </c>
      <c r="E2338" s="15">
        <f t="shared" si="485"/>
        <v>2.46166415020177E-4</v>
      </c>
      <c r="G2338" s="25" t="str">
        <f>IF(VLOOKUP(A2338,Aux!B:C,2,FALSE)=0,"",VLOOKUP(A2338,Aux!B:C,2,FALSE))</f>
        <v/>
      </c>
      <c r="H2338" s="25" t="str">
        <f t="shared" si="474"/>
        <v/>
      </c>
      <c r="L2338" s="13">
        <f t="shared" si="477"/>
        <v>222931.13726285816</v>
      </c>
      <c r="M2338" s="14">
        <f t="shared" si="478"/>
        <v>583.62688817532921</v>
      </c>
      <c r="N2338" s="14">
        <f t="shared" si="479"/>
        <v>26.138692609221973</v>
      </c>
      <c r="O2338" s="1">
        <f t="shared" si="480"/>
        <v>2.8299805468424584</v>
      </c>
      <c r="P2338" s="1">
        <f t="shared" si="481"/>
        <v>1924.1981573613521</v>
      </c>
      <c r="S2338" s="6">
        <f t="shared" si="475"/>
        <v>0.52357863998505028</v>
      </c>
      <c r="T2338" s="6">
        <f t="shared" si="476"/>
        <v>0.47642136001494961</v>
      </c>
      <c r="V2338" s="1">
        <f t="shared" si="482"/>
        <v>218635.25499590958</v>
      </c>
      <c r="W2338" s="7">
        <f t="shared" si="483"/>
        <v>2.7389669894570205E-3</v>
      </c>
      <c r="X2338" s="7">
        <f t="shared" si="484"/>
        <v>2.3178160779320227E-3</v>
      </c>
      <c r="Y2338">
        <f>LN(B2338/B2337)</f>
        <v>5.0126880274583554E-3</v>
      </c>
      <c r="Z2338">
        <f>LN(C2338/C2337)</f>
        <v>2.4613612103970678E-4</v>
      </c>
    </row>
    <row r="2339" spans="1:26" x14ac:dyDescent="0.3">
      <c r="A2339" s="9">
        <v>43630</v>
      </c>
      <c r="B2339" s="1">
        <v>40943.29</v>
      </c>
      <c r="C2339" s="1">
        <v>55.210166899999997</v>
      </c>
      <c r="D2339" s="6">
        <f t="shared" si="486"/>
        <v>-7.3102548684925717E-3</v>
      </c>
      <c r="E2339" s="5">
        <f t="shared" si="485"/>
        <v>2.461728651697026E-4</v>
      </c>
      <c r="G2339" s="25" t="str">
        <f>IF(VLOOKUP(A2339,Aux!B:C,2,FALSE)=0,"",VLOOKUP(A2339,Aux!B:C,2,FALSE))</f>
        <v/>
      </c>
      <c r="H2339" s="25" t="str">
        <f t="shared" si="474"/>
        <v/>
      </c>
      <c r="L2339" s="13">
        <f t="shared" si="477"/>
        <v>222104.01564032209</v>
      </c>
      <c r="M2339" s="14">
        <f t="shared" si="478"/>
        <v>-853.26743467847541</v>
      </c>
      <c r="N2339" s="14">
        <f t="shared" si="479"/>
        <v>26.145812142405376</v>
      </c>
      <c r="O2339" s="1">
        <f t="shared" si="480"/>
        <v>2.8299805468424584</v>
      </c>
      <c r="P2339" s="1">
        <f t="shared" si="481"/>
        <v>1924.1981573613521</v>
      </c>
      <c r="S2339" s="6">
        <f t="shared" si="475"/>
        <v>0.52168671462189387</v>
      </c>
      <c r="T2339" s="6">
        <f t="shared" si="476"/>
        <v>0.47831328537810602</v>
      </c>
      <c r="V2339" s="1">
        <f t="shared" si="482"/>
        <v>217970.05881120701</v>
      </c>
      <c r="W2339" s="7">
        <f t="shared" si="483"/>
        <v>-3.7171111967041169E-3</v>
      </c>
      <c r="X2339" s="7">
        <f t="shared" si="484"/>
        <v>-3.047130570161434E-3</v>
      </c>
      <c r="Y2339">
        <f>LN(B2339/B2338)</f>
        <v>-7.3371057193517518E-3</v>
      </c>
      <c r="Z2339">
        <f>LN(C2339/C2338)</f>
        <v>2.4614256960179219E-4</v>
      </c>
    </row>
    <row r="2340" spans="1:26" x14ac:dyDescent="0.3">
      <c r="A2340" s="11">
        <v>43633</v>
      </c>
      <c r="B2340" s="12">
        <v>40794.18</v>
      </c>
      <c r="C2340" s="12">
        <v>55.223762499999999</v>
      </c>
      <c r="D2340" s="16">
        <f t="shared" si="486"/>
        <v>-3.6418665915709525E-3</v>
      </c>
      <c r="E2340" s="15">
        <f t="shared" si="485"/>
        <v>2.4625174607106892E-4</v>
      </c>
      <c r="G2340" s="25" t="str">
        <f>IF(VLOOKUP(A2340,Aux!B:C,2,FALSE)=0,"",VLOOKUP(A2340,Aux!B:C,2,FALSE))</f>
        <v/>
      </c>
      <c r="H2340" s="25" t="str">
        <f t="shared" si="474"/>
        <v/>
      </c>
      <c r="L2340" s="13">
        <f t="shared" si="477"/>
        <v>221708.19786945064</v>
      </c>
      <c r="M2340" s="14">
        <f t="shared" si="478"/>
        <v>-421.97839933968061</v>
      </c>
      <c r="N2340" s="14">
        <f t="shared" si="479"/>
        <v>26.160628468226136</v>
      </c>
      <c r="O2340" s="1">
        <f t="shared" si="480"/>
        <v>2.8299805468424584</v>
      </c>
      <c r="P2340" s="1">
        <f t="shared" si="481"/>
        <v>1924.1981573613521</v>
      </c>
      <c r="S2340" s="6">
        <f t="shared" si="475"/>
        <v>0.52071478156332607</v>
      </c>
      <c r="T2340" s="6">
        <f t="shared" si="476"/>
        <v>0.47928521843667377</v>
      </c>
      <c r="V2340" s="1">
        <f t="shared" si="482"/>
        <v>217656.471983405</v>
      </c>
      <c r="W2340" s="7">
        <f t="shared" si="483"/>
        <v>-1.7837178147367472E-3</v>
      </c>
      <c r="X2340" s="7">
        <f t="shared" si="484"/>
        <v>-1.4397051593511452E-3</v>
      </c>
      <c r="Y2340">
        <f>LN(B2340/B2339)</f>
        <v>-3.6485143327385497E-3</v>
      </c>
      <c r="Z2340">
        <f>LN(C2340/C2339)</f>
        <v>2.4622143108649053E-4</v>
      </c>
    </row>
    <row r="2341" spans="1:26" x14ac:dyDescent="0.3">
      <c r="A2341" s="9">
        <v>43634</v>
      </c>
      <c r="B2341" s="1">
        <v>41505.879999999997</v>
      </c>
      <c r="C2341" s="1">
        <v>55.237358100000002</v>
      </c>
      <c r="D2341" s="6">
        <f t="shared" si="486"/>
        <v>1.7446116088128294E-2</v>
      </c>
      <c r="E2341" s="5">
        <f t="shared" si="485"/>
        <v>2.4619112107759911E-4</v>
      </c>
      <c r="G2341" s="25" t="str">
        <f>IF(VLOOKUP(A2341,Aux!B:C,2,FALSE)=0,"",VLOOKUP(A2341,Aux!B:C,2,FALSE))</f>
        <v/>
      </c>
      <c r="H2341" s="25" t="str">
        <f t="shared" si="474"/>
        <v/>
      </c>
      <c r="L2341" s="13">
        <f t="shared" si="477"/>
        <v>223748.45565310665</v>
      </c>
      <c r="M2341" s="14">
        <f t="shared" si="478"/>
        <v>2014.0971551877694</v>
      </c>
      <c r="N2341" s="14">
        <f t="shared" si="479"/>
        <v>26.160628468226136</v>
      </c>
      <c r="O2341" s="1">
        <f t="shared" si="480"/>
        <v>2.8299805468424584</v>
      </c>
      <c r="P2341" s="1">
        <f t="shared" si="481"/>
        <v>1924.1981573613521</v>
      </c>
      <c r="S2341" s="6">
        <f t="shared" si="475"/>
        <v>0.52496824005652776</v>
      </c>
      <c r="T2341" s="6">
        <f t="shared" si="476"/>
        <v>0.47503175994347202</v>
      </c>
      <c r="V2341" s="1">
        <f t="shared" si="482"/>
        <v>219328.80393689789</v>
      </c>
      <c r="W2341" s="7">
        <f t="shared" si="483"/>
        <v>9.1603617742980308E-3</v>
      </c>
      <c r="X2341" s="7">
        <f t="shared" si="484"/>
        <v>7.6539884060085623E-3</v>
      </c>
      <c r="Y2341">
        <f>LN(B2341/B2340)</f>
        <v>1.7295679770788341E-2</v>
      </c>
      <c r="Z2341">
        <f>LN(C2341/C2340)</f>
        <v>2.4616082101651903E-4</v>
      </c>
    </row>
    <row r="2342" spans="1:26" x14ac:dyDescent="0.3">
      <c r="A2342" s="11">
        <v>43635</v>
      </c>
      <c r="B2342" s="12">
        <v>41874.370000000003</v>
      </c>
      <c r="C2342" s="12">
        <v>55.250957499999998</v>
      </c>
      <c r="D2342" s="16">
        <f t="shared" si="486"/>
        <v>8.8780192107722478E-3</v>
      </c>
      <c r="E2342" s="15">
        <f t="shared" si="485"/>
        <v>2.4619931994895872E-4</v>
      </c>
      <c r="G2342" s="25" t="str">
        <f>IF(VLOOKUP(A2342,Aux!B:C,2,FALSE)=0,"",VLOOKUP(A2342,Aux!B:C,2,FALSE))</f>
        <v/>
      </c>
      <c r="H2342" s="25" t="str">
        <f t="shared" si="474"/>
        <v/>
      </c>
      <c r="L2342" s="13">
        <f t="shared" si="477"/>
        <v>224817.44312523384</v>
      </c>
      <c r="M2342" s="14">
        <f t="shared" si="478"/>
        <v>1042.8195317059924</v>
      </c>
      <c r="N2342" s="14">
        <f t="shared" si="479"/>
        <v>26.167940421213853</v>
      </c>
      <c r="O2342" s="1">
        <f t="shared" si="480"/>
        <v>2.8299805468424584</v>
      </c>
      <c r="P2342" s="1">
        <f t="shared" si="481"/>
        <v>1924.1981573613521</v>
      </c>
      <c r="S2342" s="6">
        <f t="shared" si="475"/>
        <v>0.5271105785384782</v>
      </c>
      <c r="T2342" s="6">
        <f t="shared" si="476"/>
        <v>0.47288942146152163</v>
      </c>
      <c r="V2342" s="1">
        <f t="shared" si="482"/>
        <v>220209.3469159441</v>
      </c>
      <c r="W2342" s="7">
        <f t="shared" si="483"/>
        <v>4.7662539606149528E-3</v>
      </c>
      <c r="X2342" s="7">
        <f t="shared" si="484"/>
        <v>4.0066790803881145E-3</v>
      </c>
      <c r="Y2342">
        <f>LN(B2342/B2341)</f>
        <v>8.838841308916049E-3</v>
      </c>
      <c r="Z2342">
        <f>LN(C2342/C2341)</f>
        <v>2.4616901786985254E-4</v>
      </c>
    </row>
    <row r="2343" spans="1:26" x14ac:dyDescent="0.3">
      <c r="A2343" s="9">
        <v>43637</v>
      </c>
      <c r="B2343" s="1">
        <v>42537.45</v>
      </c>
      <c r="C2343" s="1">
        <v>55.264560699999997</v>
      </c>
      <c r="D2343" s="6">
        <f t="shared" si="486"/>
        <v>1.5834984502453242E-2</v>
      </c>
      <c r="E2343" s="5">
        <f t="shared" si="485"/>
        <v>2.4620749785198015E-4</v>
      </c>
      <c r="G2343" s="25" t="str">
        <f>IF(VLOOKUP(A2343,Aux!B:C,2,FALSE)=0,"",VLOOKUP(A2343,Aux!B:C,2,FALSE))</f>
        <v/>
      </c>
      <c r="H2343" s="25" t="str">
        <f t="shared" si="474"/>
        <v/>
      </c>
      <c r="L2343" s="13">
        <f t="shared" si="477"/>
        <v>226720.12187860833</v>
      </c>
      <c r="M2343" s="14">
        <f t="shared" si="478"/>
        <v>1876.5035010002816</v>
      </c>
      <c r="N2343" s="14">
        <f t="shared" si="479"/>
        <v>26.175252374215241</v>
      </c>
      <c r="O2343" s="1">
        <f t="shared" si="480"/>
        <v>2.8299805468424584</v>
      </c>
      <c r="P2343" s="1">
        <f t="shared" si="481"/>
        <v>1924.1981573613521</v>
      </c>
      <c r="S2343" s="6">
        <f t="shared" si="475"/>
        <v>0.53096370544798088</v>
      </c>
      <c r="T2343" s="6">
        <f t="shared" si="476"/>
        <v>0.46903629455201906</v>
      </c>
      <c r="V2343" s="1">
        <f t="shared" si="482"/>
        <v>221769.52783090697</v>
      </c>
      <c r="W2343" s="7">
        <f t="shared" si="483"/>
        <v>8.427604532741096E-3</v>
      </c>
      <c r="X2343" s="7">
        <f t="shared" si="484"/>
        <v>7.0600089033075021E-3</v>
      </c>
      <c r="Y2343">
        <f>LN(B2343/B2342)</f>
        <v>1.5710919136954722E-2</v>
      </c>
      <c r="Z2343">
        <f>LN(C2343/C2342)</f>
        <v>2.4617719375994194E-4</v>
      </c>
    </row>
    <row r="2344" spans="1:26" x14ac:dyDescent="0.3">
      <c r="A2344" s="11">
        <v>43640</v>
      </c>
      <c r="B2344" s="12">
        <v>42567.72</v>
      </c>
      <c r="C2344" s="12">
        <v>55.278167699999997</v>
      </c>
      <c r="D2344" s="16">
        <f t="shared" si="486"/>
        <v>7.1160824167892933E-4</v>
      </c>
      <c r="E2344" s="15">
        <f t="shared" si="485"/>
        <v>2.4621565480020813E-4</v>
      </c>
      <c r="G2344" s="25" t="str">
        <f>IF(VLOOKUP(A2344,Aux!B:C,2,FALSE)=0,"",VLOOKUP(A2344,Aux!B:C,2,FALSE))</f>
        <v/>
      </c>
      <c r="H2344" s="25" t="str">
        <f t="shared" si="474"/>
        <v/>
      </c>
      <c r="L2344" s="13">
        <f t="shared" si="477"/>
        <v>226831.96795408847</v>
      </c>
      <c r="M2344" s="14">
        <f t="shared" si="478"/>
        <v>85.663511152932742</v>
      </c>
      <c r="N2344" s="14">
        <f t="shared" si="479"/>
        <v>26.182564327216628</v>
      </c>
      <c r="O2344" s="1">
        <f t="shared" si="480"/>
        <v>2.8299805468424584</v>
      </c>
      <c r="P2344" s="1">
        <f t="shared" si="481"/>
        <v>1924.1981573613521</v>
      </c>
      <c r="S2344" s="6">
        <f t="shared" si="475"/>
        <v>0.531079550250251</v>
      </c>
      <c r="T2344" s="6">
        <f t="shared" si="476"/>
        <v>0.46892044974974895</v>
      </c>
      <c r="V2344" s="1">
        <f t="shared" si="482"/>
        <v>221869.80244116101</v>
      </c>
      <c r="W2344" s="7">
        <f t="shared" si="483"/>
        <v>4.9320058381189396E-4</v>
      </c>
      <c r="X2344" s="7">
        <f t="shared" si="484"/>
        <v>4.5205465394674205E-4</v>
      </c>
      <c r="Y2344">
        <f>LN(B2344/B2343)</f>
        <v>7.1135516858626539E-4</v>
      </c>
      <c r="Z2344">
        <f>LN(C2344/C2343)</f>
        <v>2.4618534870032919E-4</v>
      </c>
    </row>
    <row r="2345" spans="1:26" x14ac:dyDescent="0.3">
      <c r="A2345" s="9">
        <v>43641</v>
      </c>
      <c r="B2345" s="1">
        <v>41766.78</v>
      </c>
      <c r="C2345" s="1">
        <v>55.291774699999998</v>
      </c>
      <c r="D2345" s="6">
        <f t="shared" si="486"/>
        <v>-1.8815665955329575E-2</v>
      </c>
      <c r="E2345" s="5">
        <f t="shared" si="485"/>
        <v>2.4615504757408146E-4</v>
      </c>
      <c r="G2345" s="25" t="str">
        <f>IF(VLOOKUP(A2345,Aux!B:C,2,FALSE)=0,"",VLOOKUP(A2345,Aux!B:C,2,FALSE))</f>
        <v/>
      </c>
      <c r="H2345" s="25" t="str">
        <f t="shared" si="474"/>
        <v/>
      </c>
      <c r="L2345" s="13">
        <f t="shared" si="477"/>
        <v>224591.50589922766</v>
      </c>
      <c r="M2345" s="14">
        <f t="shared" si="478"/>
        <v>-2266.644619188005</v>
      </c>
      <c r="N2345" s="14">
        <f t="shared" si="479"/>
        <v>26.182564327216628</v>
      </c>
      <c r="O2345" s="1">
        <f t="shared" si="480"/>
        <v>2.8299805468424584</v>
      </c>
      <c r="P2345" s="1">
        <f t="shared" si="481"/>
        <v>1924.1981573613521</v>
      </c>
      <c r="S2345" s="6">
        <f t="shared" si="475"/>
        <v>0.52628515237474582</v>
      </c>
      <c r="T2345" s="6">
        <f t="shared" si="476"/>
        <v>0.47371484762525429</v>
      </c>
      <c r="V2345" s="1">
        <f t="shared" si="482"/>
        <v>220052.44650553362</v>
      </c>
      <c r="W2345" s="7">
        <f t="shared" si="483"/>
        <v>-9.9262913024952548E-3</v>
      </c>
      <c r="X2345" s="7">
        <f t="shared" si="484"/>
        <v>-8.2248231898064232E-3</v>
      </c>
      <c r="Y2345">
        <f>LN(B2345/B2344)</f>
        <v>-1.8994932843617279E-2</v>
      </c>
      <c r="Z2345">
        <f>LN(C2345/C2344)</f>
        <v>2.4612475639114147E-4</v>
      </c>
    </row>
    <row r="2346" spans="1:26" x14ac:dyDescent="0.3">
      <c r="A2346" s="11">
        <v>43642</v>
      </c>
      <c r="B2346" s="12">
        <v>41988.75</v>
      </c>
      <c r="C2346" s="12">
        <v>55.305389400000003</v>
      </c>
      <c r="D2346" s="16">
        <f t="shared" si="486"/>
        <v>5.3145107188057317E-3</v>
      </c>
      <c r="E2346" s="15">
        <f t="shared" si="485"/>
        <v>2.4623373139820437E-4</v>
      </c>
      <c r="G2346" s="25" t="str">
        <f>IF(VLOOKUP(A2346,Aux!B:C,2,FALSE)=0,"",VLOOKUP(A2346,Aux!B:C,2,FALSE))</f>
        <v/>
      </c>
      <c r="H2346" s="25" t="str">
        <f t="shared" si="474"/>
        <v/>
      </c>
      <c r="L2346" s="13">
        <f t="shared" si="477"/>
        <v>225245.87406186332</v>
      </c>
      <c r="M2346" s="14">
        <f t="shared" si="478"/>
        <v>628.17078198262379</v>
      </c>
      <c r="N2346" s="14">
        <f t="shared" si="479"/>
        <v>26.197380653037388</v>
      </c>
      <c r="O2346" s="1">
        <f t="shared" si="480"/>
        <v>2.8299805468424584</v>
      </c>
      <c r="P2346" s="1">
        <f t="shared" si="481"/>
        <v>1924.1981573613521</v>
      </c>
      <c r="S2346" s="6">
        <f t="shared" si="475"/>
        <v>0.52754504907643984</v>
      </c>
      <c r="T2346" s="6">
        <f t="shared" si="476"/>
        <v>0.47245495092356021</v>
      </c>
      <c r="V2346" s="1">
        <f t="shared" si="482"/>
        <v>220594.99694740947</v>
      </c>
      <c r="W2346" s="7">
        <f t="shared" si="483"/>
        <v>2.9093563734485144E-3</v>
      </c>
      <c r="X2346" s="7">
        <f t="shared" si="484"/>
        <v>2.4625161185210251E-3</v>
      </c>
      <c r="Y2346">
        <f>LN(B2346/B2345)</f>
        <v>5.300438542518271E-3</v>
      </c>
      <c r="Z2346">
        <f>LN(C2346/C2345)</f>
        <v>2.4620342084851632E-4</v>
      </c>
    </row>
    <row r="2347" spans="1:26" x14ac:dyDescent="0.3">
      <c r="A2347" s="9">
        <v>43643</v>
      </c>
      <c r="B2347" s="1">
        <v>42034.64</v>
      </c>
      <c r="C2347" s="1">
        <v>55.319004100000001</v>
      </c>
      <c r="D2347" s="6">
        <f t="shared" si="486"/>
        <v>1.092911791849005E-3</v>
      </c>
      <c r="E2347" s="5">
        <f t="shared" si="485"/>
        <v>2.4617311527319607E-4</v>
      </c>
      <c r="G2347" s="25" t="str">
        <f>IF(VLOOKUP(A2347,Aux!B:C,2,FALSE)=0,"",VLOOKUP(A2347,Aux!B:C,2,FALSE))</f>
        <v/>
      </c>
      <c r="H2347" s="25" t="str">
        <f t="shared" si="474"/>
        <v/>
      </c>
      <c r="L2347" s="13">
        <f t="shared" si="477"/>
        <v>225401.93924981094</v>
      </c>
      <c r="M2347" s="14">
        <f t="shared" si="478"/>
        <v>129.86780729459878</v>
      </c>
      <c r="N2347" s="14">
        <f t="shared" si="479"/>
        <v>26.197380653023714</v>
      </c>
      <c r="O2347" s="1">
        <f t="shared" si="480"/>
        <v>2.8299805468424584</v>
      </c>
      <c r="P2347" s="1">
        <f t="shared" si="481"/>
        <v>1924.1981573613521</v>
      </c>
      <c r="S2347" s="6">
        <f t="shared" si="475"/>
        <v>0.52775594517705837</v>
      </c>
      <c r="T2347" s="6">
        <f t="shared" si="476"/>
        <v>0.47224405482294168</v>
      </c>
      <c r="V2347" s="1">
        <f t="shared" si="482"/>
        <v>220731.32466997392</v>
      </c>
      <c r="W2347" s="7">
        <f t="shared" si="483"/>
        <v>6.9262599119184333E-4</v>
      </c>
      <c r="X2347" s="7">
        <f t="shared" si="484"/>
        <v>6.1780918210837502E-4</v>
      </c>
      <c r="Y2347">
        <f>LN(B2347/B2346)</f>
        <v>1.092314998545337E-3</v>
      </c>
      <c r="Z2347">
        <f>LN(C2347/C2346)</f>
        <v>2.4614281964373209E-4</v>
      </c>
    </row>
    <row r="2348" spans="1:26" x14ac:dyDescent="0.3">
      <c r="A2348" s="11">
        <v>43644</v>
      </c>
      <c r="B2348" s="12">
        <v>42180.160000000003</v>
      </c>
      <c r="C2348" s="12">
        <v>55.332622499999999</v>
      </c>
      <c r="D2348" s="16">
        <f t="shared" si="486"/>
        <v>3.461906656034186E-3</v>
      </c>
      <c r="E2348" s="15">
        <f t="shared" si="485"/>
        <v>2.4617941377580443E-4</v>
      </c>
      <c r="G2348" s="25" t="str">
        <f>IF(VLOOKUP(A2348,Aux!B:C,2,FALSE)=0,"",VLOOKUP(A2348,Aux!B:C,2,FALSE))</f>
        <v/>
      </c>
      <c r="H2348" s="25" t="str">
        <f t="shared" si="474"/>
        <v/>
      </c>
      <c r="L2348" s="13">
        <f t="shared" si="477"/>
        <v>225839.96251917366</v>
      </c>
      <c r="M2348" s="14">
        <f t="shared" si="478"/>
        <v>411.81876917652608</v>
      </c>
      <c r="N2348" s="14">
        <f t="shared" si="479"/>
        <v>26.204500186207117</v>
      </c>
      <c r="O2348" s="1">
        <f t="shared" si="480"/>
        <v>2.8299805468424584</v>
      </c>
      <c r="P2348" s="1">
        <f t="shared" si="481"/>
        <v>1924.1981573613521</v>
      </c>
      <c r="S2348" s="6">
        <f t="shared" si="475"/>
        <v>0.52855584517097165</v>
      </c>
      <c r="T2348" s="6">
        <f t="shared" si="476"/>
        <v>0.47144415482902846</v>
      </c>
      <c r="V2348" s="1">
        <f t="shared" si="482"/>
        <v>221097.5105650046</v>
      </c>
      <c r="W2348" s="7">
        <f t="shared" si="483"/>
        <v>1.9414128219227467E-3</v>
      </c>
      <c r="X2348" s="7">
        <f t="shared" si="484"/>
        <v>1.6575920341669532E-3</v>
      </c>
      <c r="Y2348">
        <f>LN(B2348/B2347)</f>
        <v>3.4559280514605967E-3</v>
      </c>
      <c r="Z2348">
        <f>LN(C2348/C2347)</f>
        <v>2.4614911659618022E-4</v>
      </c>
    </row>
    <row r="2349" spans="1:26" x14ac:dyDescent="0.3">
      <c r="A2349" s="9">
        <v>43647</v>
      </c>
      <c r="B2349" s="1">
        <v>42300.83</v>
      </c>
      <c r="C2349" s="1">
        <v>55.346248600000003</v>
      </c>
      <c r="D2349" s="6">
        <f t="shared" si="486"/>
        <v>2.8608236668612452E-3</v>
      </c>
      <c r="E2349" s="5">
        <f t="shared" si="485"/>
        <v>2.4625798280220046E-4</v>
      </c>
      <c r="G2349" s="25" t="str">
        <f>IF(VLOOKUP(A2349,Aux!B:C,2,FALSE)=0,"",VLOOKUP(A2349,Aux!B:C,2,FALSE))</f>
        <v/>
      </c>
      <c r="H2349" s="25" t="str">
        <f t="shared" si="474"/>
        <v/>
      </c>
      <c r="L2349" s="13">
        <f t="shared" si="477"/>
        <v>226207.67558827315</v>
      </c>
      <c r="M2349" s="14">
        <f t="shared" si="478"/>
        <v>341.49375258747449</v>
      </c>
      <c r="N2349" s="14">
        <f t="shared" si="479"/>
        <v>26.219316512027877</v>
      </c>
      <c r="O2349" s="1">
        <f t="shared" si="480"/>
        <v>2.8299805468424584</v>
      </c>
      <c r="P2349" s="1">
        <f t="shared" si="481"/>
        <v>1924.1981573613521</v>
      </c>
      <c r="S2349" s="6">
        <f t="shared" si="475"/>
        <v>0.52920629551571141</v>
      </c>
      <c r="T2349" s="6">
        <f t="shared" si="476"/>
        <v>0.4707937044842887</v>
      </c>
      <c r="V2349" s="1">
        <f t="shared" si="482"/>
        <v>221406.38386669755</v>
      </c>
      <c r="W2349" s="7">
        <f t="shared" si="483"/>
        <v>1.6268778739431163E-3</v>
      </c>
      <c r="X2349" s="7">
        <f t="shared" si="484"/>
        <v>1.3960254621165223E-3</v>
      </c>
      <c r="Y2349">
        <f>LN(B2349/B2348)</f>
        <v>2.856739298751841E-3</v>
      </c>
      <c r="Z2349">
        <f>LN(C2349/C2348)</f>
        <v>2.4622766628217479E-4</v>
      </c>
    </row>
    <row r="2350" spans="1:26" x14ac:dyDescent="0.3">
      <c r="A2350" s="11">
        <v>43648</v>
      </c>
      <c r="B2350" s="12">
        <v>42018.66</v>
      </c>
      <c r="C2350" s="12">
        <v>55.359874699999999</v>
      </c>
      <c r="D2350" s="16">
        <f t="shared" si="486"/>
        <v>-6.6705546912435576E-3</v>
      </c>
      <c r="E2350" s="15">
        <f t="shared" si="485"/>
        <v>2.461973547380758E-4</v>
      </c>
      <c r="G2350" s="25" t="str">
        <f>IF(VLOOKUP(A2350,Aux!B:C,2,FALSE)=0,"",VLOOKUP(A2350,Aux!B:C,2,FALSE))</f>
        <v/>
      </c>
      <c r="H2350" s="25" t="str">
        <f t="shared" si="474"/>
        <v/>
      </c>
      <c r="L2350" s="13">
        <f t="shared" si="477"/>
        <v>225435.35929388265</v>
      </c>
      <c r="M2350" s="14">
        <f t="shared" si="478"/>
        <v>-798.53561090253152</v>
      </c>
      <c r="N2350" s="14">
        <f t="shared" si="479"/>
        <v>26.219316512014206</v>
      </c>
      <c r="O2350" s="1">
        <f t="shared" si="480"/>
        <v>2.8299805468424584</v>
      </c>
      <c r="P2350" s="1">
        <f t="shared" si="481"/>
        <v>1924.1981573613521</v>
      </c>
      <c r="S2350" s="6">
        <f t="shared" si="475"/>
        <v>0.52747710375536505</v>
      </c>
      <c r="T2350" s="6">
        <f t="shared" si="476"/>
        <v>0.47252289624463506</v>
      </c>
      <c r="V2350" s="1">
        <f t="shared" si="482"/>
        <v>220785.89119697188</v>
      </c>
      <c r="W2350" s="7">
        <f t="shared" si="483"/>
        <v>-3.4200330240146347E-3</v>
      </c>
      <c r="X2350" s="7">
        <f t="shared" si="484"/>
        <v>-2.8064401481992986E-3</v>
      </c>
      <c r="Y2350">
        <f>LN(B2350/B2349)</f>
        <v>-6.6929022771583593E-3</v>
      </c>
      <c r="Z2350">
        <f>LN(C2350/C2349)</f>
        <v>2.4616705314268219E-4</v>
      </c>
    </row>
    <row r="2351" spans="1:26" x14ac:dyDescent="0.3">
      <c r="A2351" s="9">
        <v>43649</v>
      </c>
      <c r="B2351" s="1">
        <v>42600.99</v>
      </c>
      <c r="C2351" s="1">
        <v>55.373504599999997</v>
      </c>
      <c r="D2351" s="6">
        <f t="shared" si="486"/>
        <v>1.3858842714165487E-2</v>
      </c>
      <c r="E2351" s="5">
        <f t="shared" si="485"/>
        <v>2.4620539829367516E-4</v>
      </c>
      <c r="G2351" s="25" t="str">
        <f>IF(VLOOKUP(A2351,Aux!B:C,2,FALSE)=0,"",VLOOKUP(A2351,Aux!B:C,2,FALSE))</f>
        <v/>
      </c>
      <c r="H2351" s="25" t="str">
        <f t="shared" si="474"/>
        <v/>
      </c>
      <c r="L2351" s="13">
        <f t="shared" si="477"/>
        <v>227109.56849419043</v>
      </c>
      <c r="M2351" s="14">
        <f t="shared" si="478"/>
        <v>1647.982571842753</v>
      </c>
      <c r="N2351" s="14">
        <f t="shared" si="479"/>
        <v>26.226628465015594</v>
      </c>
      <c r="O2351" s="1">
        <f t="shared" si="480"/>
        <v>2.8299805468424584</v>
      </c>
      <c r="P2351" s="1">
        <f t="shared" si="481"/>
        <v>1924.1981573613521</v>
      </c>
      <c r="S2351" s="6">
        <f t="shared" si="475"/>
        <v>0.53084497397261388</v>
      </c>
      <c r="T2351" s="6">
        <f t="shared" si="476"/>
        <v>0.46915502602738612</v>
      </c>
      <c r="V2351" s="1">
        <f t="shared" si="482"/>
        <v>222159.83876872135</v>
      </c>
      <c r="W2351" s="7">
        <f t="shared" si="483"/>
        <v>7.3991187864556537E-3</v>
      </c>
      <c r="X2351" s="7">
        <f t="shared" si="484"/>
        <v>6.2037034574175167E-3</v>
      </c>
      <c r="Y2351">
        <f>LN(B2351/B2350)</f>
        <v>1.3763687109934045E-2</v>
      </c>
      <c r="Z2351">
        <f>LN(C2351/C2350)</f>
        <v>2.4617509471843455E-4</v>
      </c>
    </row>
    <row r="2352" spans="1:26" x14ac:dyDescent="0.3">
      <c r="A2352" s="11">
        <v>43650</v>
      </c>
      <c r="B2352" s="12">
        <v>43270.01</v>
      </c>
      <c r="C2352" s="12">
        <v>55.387134600000003</v>
      </c>
      <c r="D2352" s="16">
        <f t="shared" si="486"/>
        <v>1.570432987590209E-2</v>
      </c>
      <c r="E2352" s="15">
        <f t="shared" si="485"/>
        <v>2.4614660203403638E-4</v>
      </c>
      <c r="G2352" s="25" t="str">
        <f>IF(VLOOKUP(A2352,Aux!B:C,2,FALSE)=0,"",VLOOKUP(A2352,Aux!B:C,2,FALSE))</f>
        <v/>
      </c>
      <c r="H2352" s="25" t="str">
        <f t="shared" si="474"/>
        <v/>
      </c>
      <c r="L2352" s="13">
        <f t="shared" si="477"/>
        <v>229029.10890052383</v>
      </c>
      <c r="M2352" s="14">
        <f t="shared" si="478"/>
        <v>1893.3135854485531</v>
      </c>
      <c r="N2352" s="14">
        <f t="shared" si="479"/>
        <v>26.22682088484725</v>
      </c>
      <c r="O2352" s="1">
        <f t="shared" si="480"/>
        <v>2.8299805468424584</v>
      </c>
      <c r="P2352" s="1">
        <f t="shared" si="481"/>
        <v>1924.1981573613521</v>
      </c>
      <c r="S2352" s="6">
        <f t="shared" si="475"/>
        <v>0.53466254638778177</v>
      </c>
      <c r="T2352" s="6">
        <f t="shared" si="476"/>
        <v>0.46533745361221823</v>
      </c>
      <c r="V2352" s="1">
        <f t="shared" si="482"/>
        <v>223733.78342661657</v>
      </c>
      <c r="W2352" s="7">
        <f t="shared" si="483"/>
        <v>8.4165269590329543E-3</v>
      </c>
      <c r="X2352" s="7">
        <f t="shared" si="484"/>
        <v>7.0597609684877067E-3</v>
      </c>
      <c r="Y2352">
        <f>LN(B2352/B2351)</f>
        <v>1.5582292901856467E-2</v>
      </c>
      <c r="Z2352">
        <f>LN(C2352/C2351)</f>
        <v>2.4611631292946142E-4</v>
      </c>
    </row>
    <row r="2353" spans="1:26" x14ac:dyDescent="0.3">
      <c r="A2353" s="9">
        <v>43651</v>
      </c>
      <c r="B2353" s="1">
        <v>43487.65</v>
      </c>
      <c r="C2353" s="1">
        <v>55.400772099999998</v>
      </c>
      <c r="D2353" s="6">
        <f t="shared" si="486"/>
        <v>5.0298116409033256E-3</v>
      </c>
      <c r="E2353" s="5">
        <f t="shared" si="485"/>
        <v>2.4622143930153051E-4</v>
      </c>
      <c r="G2353" s="25" t="str">
        <f>IF(VLOOKUP(A2353,Aux!B:C,2,FALSE)=0,"",VLOOKUP(A2353,Aux!B:C,2,FALSE))</f>
        <v/>
      </c>
      <c r="H2353" s="25" t="str">
        <f t="shared" si="474"/>
        <v/>
      </c>
      <c r="L2353" s="13">
        <f t="shared" si="477"/>
        <v>229671.26711910963</v>
      </c>
      <c r="M2353" s="14">
        <f t="shared" si="478"/>
        <v>615.91696621479105</v>
      </c>
      <c r="N2353" s="14">
        <f t="shared" si="479"/>
        <v>26.241252371004698</v>
      </c>
      <c r="O2353" s="1">
        <f t="shared" si="480"/>
        <v>2.8299805468424584</v>
      </c>
      <c r="P2353" s="1">
        <f t="shared" si="481"/>
        <v>1924.1981573613521</v>
      </c>
      <c r="S2353" s="6">
        <f t="shared" si="475"/>
        <v>0.53584936884625023</v>
      </c>
      <c r="T2353" s="6">
        <f t="shared" si="476"/>
        <v>0.46415063115374977</v>
      </c>
      <c r="V2353" s="1">
        <f t="shared" si="482"/>
        <v>224266.39541364831</v>
      </c>
      <c r="W2353" s="7">
        <f t="shared" si="483"/>
        <v>2.7999045637277327E-3</v>
      </c>
      <c r="X2353" s="7">
        <f t="shared" si="484"/>
        <v>2.377732256010413E-3</v>
      </c>
      <c r="Y2353">
        <f>LN(B2353/B2352)</f>
        <v>5.0172043953732861E-3</v>
      </c>
      <c r="Z2353">
        <f>LN(C2353/C2352)</f>
        <v>2.4619113177775065E-4</v>
      </c>
    </row>
    <row r="2354" spans="1:26" x14ac:dyDescent="0.3">
      <c r="A2354" s="11">
        <v>43654</v>
      </c>
      <c r="B2354" s="12">
        <v>43706.27</v>
      </c>
      <c r="C2354" s="12">
        <v>55.414413500000002</v>
      </c>
      <c r="D2354" s="16">
        <f t="shared" si="486"/>
        <v>5.02717438169209E-3</v>
      </c>
      <c r="E2354" s="15">
        <f t="shared" si="485"/>
        <v>2.4623122535882835E-4</v>
      </c>
      <c r="G2354" s="25" t="str">
        <f>IF(VLOOKUP(A2354,Aux!B:C,2,FALSE)=0,"",VLOOKUP(A2354,Aux!B:C,2,FALSE))</f>
        <v/>
      </c>
      <c r="H2354" s="25" t="str">
        <f t="shared" si="474"/>
        <v/>
      </c>
      <c r="L2354" s="13">
        <f t="shared" si="477"/>
        <v>230316.20622300418</v>
      </c>
      <c r="M2354" s="14">
        <f t="shared" si="478"/>
        <v>618.69034715068506</v>
      </c>
      <c r="N2354" s="14">
        <f t="shared" si="479"/>
        <v>26.248756743837742</v>
      </c>
      <c r="O2354" s="1">
        <f t="shared" si="480"/>
        <v>2.8299805468424584</v>
      </c>
      <c r="P2354" s="1">
        <f t="shared" si="481"/>
        <v>1924.1981573613521</v>
      </c>
      <c r="S2354" s="6">
        <f t="shared" si="475"/>
        <v>0.53703513054258567</v>
      </c>
      <c r="T2354" s="6">
        <f t="shared" si="476"/>
        <v>0.46296486945741427</v>
      </c>
      <c r="V2354" s="1">
        <f t="shared" si="482"/>
        <v>224801.27701977722</v>
      </c>
      <c r="W2354" s="7">
        <f t="shared" si="483"/>
        <v>2.8041612604018272E-3</v>
      </c>
      <c r="X2354" s="7">
        <f t="shared" si="484"/>
        <v>2.382188217543674E-3</v>
      </c>
      <c r="Y2354">
        <f>LN(B2354/B2353)</f>
        <v>5.0145803312501534E-3</v>
      </c>
      <c r="Z2354">
        <f>LN(C2354/C2353)</f>
        <v>2.462009154260567E-4</v>
      </c>
    </row>
    <row r="2355" spans="1:26" x14ac:dyDescent="0.3">
      <c r="A2355" s="9">
        <v>43656</v>
      </c>
      <c r="B2355" s="1">
        <v>44249.18</v>
      </c>
      <c r="C2355" s="1">
        <v>55.441699999999997</v>
      </c>
      <c r="D2355" s="6">
        <f t="shared" si="486"/>
        <v>1.2421787537577611E-2</v>
      </c>
      <c r="E2355" s="5">
        <f t="shared" si="485"/>
        <v>4.9240799056726736E-4</v>
      </c>
      <c r="G2355" s="25" t="str">
        <f>IF(VLOOKUP(A2355,Aux!B:C,2,FALSE)=0,"",VLOOKUP(A2355,Aux!B:C,2,FALSE))</f>
        <v/>
      </c>
      <c r="H2355" s="25" t="str">
        <f t="shared" si="474"/>
        <v/>
      </c>
      <c r="L2355" s="13">
        <f t="shared" si="477"/>
        <v>231905.13559471126</v>
      </c>
      <c r="M2355" s="14">
        <f t="shared" si="478"/>
        <v>1536.4247386862489</v>
      </c>
      <c r="N2355" s="14">
        <f t="shared" si="479"/>
        <v>52.504633020831541</v>
      </c>
      <c r="O2355" s="1">
        <f t="shared" si="480"/>
        <v>2.8299805468424584</v>
      </c>
      <c r="P2355" s="1">
        <f t="shared" si="481"/>
        <v>1924.1981573613521</v>
      </c>
      <c r="S2355" s="6">
        <f t="shared" si="475"/>
        <v>0.53998079125155085</v>
      </c>
      <c r="T2355" s="6">
        <f t="shared" si="476"/>
        <v>0.46001920874844904</v>
      </c>
      <c r="V2355" s="1">
        <f t="shared" si="482"/>
        <v>226114.83289578161</v>
      </c>
      <c r="W2355" s="7">
        <f t="shared" si="483"/>
        <v>6.875215343038605E-3</v>
      </c>
      <c r="X2355" s="7">
        <f t="shared" si="484"/>
        <v>5.82618168999555E-3</v>
      </c>
      <c r="Y2355">
        <f>LN(B2355/B2354)</f>
        <v>1.234527013839698E-2</v>
      </c>
      <c r="Z2355">
        <f>LN(C2355/C2354)</f>
        <v>4.9228679753532628E-4</v>
      </c>
    </row>
    <row r="2356" spans="1:26" x14ac:dyDescent="0.3">
      <c r="A2356" s="11">
        <v>43657</v>
      </c>
      <c r="B2356" s="12">
        <v>43991.98</v>
      </c>
      <c r="C2356" s="12">
        <v>55.455348999999998</v>
      </c>
      <c r="D2356" s="16">
        <f t="shared" si="486"/>
        <v>-5.812537091082759E-3</v>
      </c>
      <c r="E2356" s="15">
        <f t="shared" si="485"/>
        <v>2.4618653468411189E-4</v>
      </c>
      <c r="G2356" s="25" t="str">
        <f>IF(VLOOKUP(A2356,Aux!B:C,2,FALSE)=0,"",VLOOKUP(A2356,Aux!B:C,2,FALSE))</f>
        <v/>
      </c>
      <c r="H2356" s="25" t="str">
        <f t="shared" si="474"/>
        <v/>
      </c>
      <c r="L2356" s="13">
        <f t="shared" si="477"/>
        <v>231203.52797871322</v>
      </c>
      <c r="M2356" s="14">
        <f t="shared" si="478"/>
        <v>-727.87099664787206</v>
      </c>
      <c r="N2356" s="14">
        <f t="shared" si="479"/>
        <v>26.263380649826846</v>
      </c>
      <c r="O2356" s="1">
        <f t="shared" si="480"/>
        <v>2.8299805468424584</v>
      </c>
      <c r="P2356" s="1">
        <f t="shared" si="481"/>
        <v>1924.1981573613521</v>
      </c>
      <c r="S2356" s="6">
        <f t="shared" si="475"/>
        <v>0.53847122795005453</v>
      </c>
      <c r="T2356" s="6">
        <f t="shared" si="476"/>
        <v>0.46152877204994536</v>
      </c>
      <c r="V2356" s="1">
        <f t="shared" si="482"/>
        <v>225551.99811984459</v>
      </c>
      <c r="W2356" s="7">
        <f t="shared" si="483"/>
        <v>-3.0299936406476208E-3</v>
      </c>
      <c r="X2356" s="7">
        <f t="shared" si="484"/>
        <v>-2.4922576935819335E-3</v>
      </c>
      <c r="Y2356">
        <f>LN(B2356/B2355)</f>
        <v>-5.8294956314936374E-3</v>
      </c>
      <c r="Z2356">
        <f>LN(C2356/C2355)</f>
        <v>2.4615623575187276E-4</v>
      </c>
    </row>
    <row r="2357" spans="1:26" x14ac:dyDescent="0.3">
      <c r="A2357" s="9">
        <v>43658</v>
      </c>
      <c r="B2357" s="1">
        <v>43475.61</v>
      </c>
      <c r="C2357" s="1">
        <v>55.469005600000003</v>
      </c>
      <c r="D2357" s="6">
        <f t="shared" si="486"/>
        <v>-1.1737821302883034E-2</v>
      </c>
      <c r="E2357" s="5">
        <f t="shared" si="485"/>
        <v>2.4626298898611232E-4</v>
      </c>
      <c r="G2357" s="25" t="str">
        <f>IF(VLOOKUP(A2357,Aux!B:C,2,FALSE)=0,"",VLOOKUP(A2357,Aux!B:C,2,FALSE))</f>
        <v/>
      </c>
      <c r="H2357" s="25" t="str">
        <f t="shared" si="474"/>
        <v/>
      </c>
      <c r="L2357" s="13">
        <f t="shared" si="477"/>
        <v>229768.48892829599</v>
      </c>
      <c r="M2357" s="14">
        <f t="shared" si="478"/>
        <v>-1461.3170549730476</v>
      </c>
      <c r="N2357" s="14">
        <f t="shared" si="479"/>
        <v>26.278004555829622</v>
      </c>
      <c r="O2357" s="1">
        <f t="shared" si="480"/>
        <v>2.8299805468424584</v>
      </c>
      <c r="P2357" s="1">
        <f t="shared" si="481"/>
        <v>1924.1981573613521</v>
      </c>
      <c r="S2357" s="6">
        <f t="shared" si="475"/>
        <v>0.53547434261320792</v>
      </c>
      <c r="T2357" s="6">
        <f t="shared" si="476"/>
        <v>0.46452565738679197</v>
      </c>
      <c r="V2357" s="1">
        <f t="shared" si="482"/>
        <v>224391.26609029915</v>
      </c>
      <c r="W2357" s="7">
        <f t="shared" si="483"/>
        <v>-6.2261639907391607E-3</v>
      </c>
      <c r="X2357" s="7">
        <f t="shared" si="484"/>
        <v>-5.1594709679055771E-3</v>
      </c>
      <c r="Y2357">
        <f>LN(B2357/B2356)</f>
        <v>-1.1807253383054777E-2</v>
      </c>
      <c r="Z2357">
        <f>LN(C2357/C2356)</f>
        <v>2.4623267123356492E-4</v>
      </c>
    </row>
    <row r="2358" spans="1:26" x14ac:dyDescent="0.3">
      <c r="A2358" s="11">
        <v>43661</v>
      </c>
      <c r="B2358" s="12">
        <v>43413.93</v>
      </c>
      <c r="C2358" s="12">
        <v>55.4826622</v>
      </c>
      <c r="D2358" s="16">
        <f t="shared" si="486"/>
        <v>-1.4187264997547189E-3</v>
      </c>
      <c r="E2358" s="15">
        <f t="shared" si="485"/>
        <v>2.4620235845729255E-4</v>
      </c>
      <c r="G2358" s="25" t="str">
        <f>IF(VLOOKUP(A2358,Aux!B:C,2,FALSE)=0,"",VLOOKUP(A2358,Aux!B:C,2,FALSE))</f>
        <v/>
      </c>
      <c r="H2358" s="25" t="str">
        <f t="shared" si="474"/>
        <v/>
      </c>
      <c r="L2358" s="13">
        <f t="shared" si="477"/>
        <v>229620.21373272256</v>
      </c>
      <c r="M2358" s="14">
        <f t="shared" si="478"/>
        <v>-174.55320012924366</v>
      </c>
      <c r="N2358" s="14">
        <f t="shared" si="479"/>
        <v>26.278004555815951</v>
      </c>
      <c r="O2358" s="1">
        <f t="shared" si="480"/>
        <v>2.8299805468424584</v>
      </c>
      <c r="P2358" s="1">
        <f t="shared" si="481"/>
        <v>1924.1981573613521</v>
      </c>
      <c r="S2358" s="6">
        <f t="shared" si="475"/>
        <v>0.53505993816811637</v>
      </c>
      <c r="T2358" s="6">
        <f t="shared" si="476"/>
        <v>0.46494006183188352</v>
      </c>
      <c r="V2358" s="1">
        <f t="shared" si="482"/>
        <v>224279.51979589503</v>
      </c>
      <c r="W2358" s="7">
        <f t="shared" si="483"/>
        <v>-6.4553263875901702E-4</v>
      </c>
      <c r="X2358" s="7">
        <f t="shared" si="484"/>
        <v>-4.981215636493412E-4</v>
      </c>
      <c r="Y2358">
        <f>LN(B2358/B2357)</f>
        <v>-1.4197338450729984E-3</v>
      </c>
      <c r="Z2358">
        <f>LN(C2358/C2357)</f>
        <v>2.4617205563028717E-4</v>
      </c>
    </row>
    <row r="2359" spans="1:26" x14ac:dyDescent="0.3">
      <c r="A2359" s="9">
        <v>43662</v>
      </c>
      <c r="B2359" s="1">
        <v>43408.77</v>
      </c>
      <c r="C2359" s="1">
        <v>55.496318799999997</v>
      </c>
      <c r="D2359" s="6">
        <f t="shared" si="486"/>
        <v>-1.1885586031956663E-4</v>
      </c>
      <c r="E2359" s="5">
        <f t="shared" si="485"/>
        <v>2.4614175777593061E-4</v>
      </c>
      <c r="G2359" s="25" t="str">
        <f>IF(VLOOKUP(A2359,Aux!B:C,2,FALSE)=0,"",VLOOKUP(A2359,Aux!B:C,2,FALSE))</f>
        <v/>
      </c>
      <c r="H2359" s="25" t="str">
        <f t="shared" si="474"/>
        <v/>
      </c>
      <c r="L2359" s="13">
        <f t="shared" si="477"/>
        <v>229631.88903765666</v>
      </c>
      <c r="M2359" s="14">
        <f t="shared" si="478"/>
        <v>-14.602699621716969</v>
      </c>
      <c r="N2359" s="14">
        <f t="shared" si="479"/>
        <v>26.278004555815951</v>
      </c>
      <c r="O2359" s="1">
        <f t="shared" si="480"/>
        <v>2.8299805468424584</v>
      </c>
      <c r="P2359" s="1">
        <f t="shared" si="481"/>
        <v>1924.1981573613521</v>
      </c>
      <c r="S2359" s="6">
        <f t="shared" si="475"/>
        <v>0.53496914203503043</v>
      </c>
      <c r="T2359" s="6">
        <f t="shared" si="476"/>
        <v>0.46503085796496957</v>
      </c>
      <c r="V2359" s="1">
        <f t="shared" si="482"/>
        <v>224298.16711857106</v>
      </c>
      <c r="W2359" s="7">
        <f t="shared" si="483"/>
        <v>5.0844862184414795E-5</v>
      </c>
      <c r="X2359" s="7">
        <f t="shared" si="484"/>
        <v>8.3139769233833591E-5</v>
      </c>
      <c r="Y2359">
        <f>LN(B2359/B2358)</f>
        <v>-1.1886292423706366E-4</v>
      </c>
      <c r="Z2359">
        <f>LN(C2359/C2358)</f>
        <v>2.461114698634482E-4</v>
      </c>
    </row>
    <row r="2360" spans="1:26" x14ac:dyDescent="0.3">
      <c r="A2360" s="11">
        <v>43663</v>
      </c>
      <c r="B2360" s="12">
        <v>43458.720000000001</v>
      </c>
      <c r="C2360" s="12">
        <v>55.509983099999999</v>
      </c>
      <c r="D2360" s="16">
        <f t="shared" si="486"/>
        <v>1.1506891349375437E-3</v>
      </c>
      <c r="E2360" s="15">
        <f t="shared" si="485"/>
        <v>2.4621993486162452E-4</v>
      </c>
      <c r="G2360" s="25" t="str">
        <f>IF(VLOOKUP(A2360,Aux!B:C,2,FALSE)=0,"",VLOOKUP(A2360,Aux!B:C,2,FALSE))</f>
        <v/>
      </c>
      <c r="H2360" s="25" t="str">
        <f t="shared" si="474"/>
        <v/>
      </c>
      <c r="L2360" s="13">
        <f t="shared" si="477"/>
        <v>229799.53938685308</v>
      </c>
      <c r="M2360" s="14">
        <f t="shared" si="478"/>
        <v>141.35752831479314</v>
      </c>
      <c r="N2360" s="14">
        <f t="shared" si="479"/>
        <v>26.292820881636711</v>
      </c>
      <c r="O2360" s="1">
        <f t="shared" si="480"/>
        <v>2.8299805468424584</v>
      </c>
      <c r="P2360" s="1">
        <f t="shared" si="481"/>
        <v>1924.1981573613521</v>
      </c>
      <c r="S2360" s="6">
        <f t="shared" si="475"/>
        <v>0.53519398915605243</v>
      </c>
      <c r="T2360" s="6">
        <f t="shared" si="476"/>
        <v>0.46480601084394757</v>
      </c>
      <c r="V2360" s="1">
        <f t="shared" si="482"/>
        <v>224443.97236492523</v>
      </c>
      <c r="W2360" s="7">
        <f t="shared" si="483"/>
        <v>7.2981666584129366E-4</v>
      </c>
      <c r="X2360" s="7">
        <f t="shared" si="484"/>
        <v>6.4983980177578816E-4</v>
      </c>
      <c r="Y2360">
        <f>LN(B2360/B2359)</f>
        <v>1.150027599627275E-3</v>
      </c>
      <c r="Z2360">
        <f>LN(C2360/C2359)</f>
        <v>2.4618962770817771E-4</v>
      </c>
    </row>
    <row r="2361" spans="1:26" x14ac:dyDescent="0.3">
      <c r="A2361" s="9">
        <v>43664</v>
      </c>
      <c r="B2361" s="1">
        <v>43818.41</v>
      </c>
      <c r="C2361" s="1">
        <v>55.523651100000002</v>
      </c>
      <c r="D2361" s="6">
        <f t="shared" si="486"/>
        <v>8.2765898305334762E-3</v>
      </c>
      <c r="E2361" s="5">
        <f t="shared" si="485"/>
        <v>2.4622598020584974E-4</v>
      </c>
      <c r="G2361" s="25" t="str">
        <f>IF(VLOOKUP(A2361,Aux!B:C,2,FALSE)=0,"",VLOOKUP(A2361,Aux!B:C,2,FALSE))</f>
        <v/>
      </c>
      <c r="H2361" s="25" t="str">
        <f t="shared" si="474"/>
        <v/>
      </c>
      <c r="L2361" s="13">
        <f t="shared" si="477"/>
        <v>230843.75503016167</v>
      </c>
      <c r="M2361" s="14">
        <f t="shared" si="478"/>
        <v>1017.9157028937705</v>
      </c>
      <c r="N2361" s="14">
        <f t="shared" si="479"/>
        <v>26.299940414820114</v>
      </c>
      <c r="O2361" s="1">
        <f t="shared" si="480"/>
        <v>2.8299805468424584</v>
      </c>
      <c r="P2361" s="1">
        <f t="shared" si="481"/>
        <v>1924.1981573613521</v>
      </c>
      <c r="S2361" s="6">
        <f t="shared" si="475"/>
        <v>0.53718259728258499</v>
      </c>
      <c r="T2361" s="6">
        <f t="shared" si="476"/>
        <v>0.46281740271741489</v>
      </c>
      <c r="V2361" s="1">
        <f t="shared" si="482"/>
        <v>225304.36690343264</v>
      </c>
      <c r="W2361" s="7">
        <f t="shared" si="483"/>
        <v>4.5337355155157574E-3</v>
      </c>
      <c r="X2361" s="7">
        <f t="shared" si="484"/>
        <v>3.8261201343421486E-3</v>
      </c>
      <c r="Y2361">
        <f>LN(B2361/B2360)</f>
        <v>8.2425266829920345E-3</v>
      </c>
      <c r="Z2361">
        <f>LN(C2361/C2360)</f>
        <v>2.4619567156426681E-4</v>
      </c>
    </row>
    <row r="2362" spans="1:26" x14ac:dyDescent="0.3">
      <c r="A2362" s="11">
        <v>43665</v>
      </c>
      <c r="B2362" s="12">
        <v>43303.22</v>
      </c>
      <c r="C2362" s="12">
        <v>55.537319199999999</v>
      </c>
      <c r="D2362" s="16">
        <f t="shared" si="486"/>
        <v>-1.1757386906553702E-2</v>
      </c>
      <c r="E2362" s="15">
        <f t="shared" si="485"/>
        <v>2.4616716893088864E-4</v>
      </c>
      <c r="G2362" s="25" t="str">
        <f>IF(VLOOKUP(A2362,Aux!B:C,2,FALSE)=0,"",VLOOKUP(A2362,Aux!B:C,2,FALSE))</f>
        <v/>
      </c>
      <c r="H2362" s="25" t="str">
        <f t="shared" si="474"/>
        <v/>
      </c>
      <c r="L2362" s="13">
        <f t="shared" si="477"/>
        <v>229412.07748506853</v>
      </c>
      <c r="M2362" s="14">
        <f t="shared" si="478"/>
        <v>-1457.9776779277727</v>
      </c>
      <c r="N2362" s="14">
        <f t="shared" si="479"/>
        <v>26.300132834624424</v>
      </c>
      <c r="O2362" s="1">
        <f t="shared" si="480"/>
        <v>2.8299805468424584</v>
      </c>
      <c r="P2362" s="1">
        <f t="shared" si="481"/>
        <v>1924.1981573613521</v>
      </c>
      <c r="S2362" s="6">
        <f t="shared" si="475"/>
        <v>0.53417968033359253</v>
      </c>
      <c r="T2362" s="6">
        <f t="shared" si="476"/>
        <v>0.46582031966640736</v>
      </c>
      <c r="V2362" s="1">
        <f t="shared" si="482"/>
        <v>224146.38290218715</v>
      </c>
      <c r="W2362" s="7">
        <f t="shared" si="483"/>
        <v>-6.2212450622969213E-3</v>
      </c>
      <c r="X2362" s="7">
        <f t="shared" si="484"/>
        <v>-5.1528963474225566E-3</v>
      </c>
      <c r="Y2362">
        <f>LN(B2362/B2361)</f>
        <v>-1.1827051567964394E-2</v>
      </c>
      <c r="Z2362">
        <f>LN(C2362/C2361)</f>
        <v>2.461368747648763E-4</v>
      </c>
    </row>
    <row r="2363" spans="1:26" x14ac:dyDescent="0.3">
      <c r="A2363" s="9">
        <v>43668</v>
      </c>
      <c r="B2363" s="1">
        <v>43490.66</v>
      </c>
      <c r="C2363" s="1">
        <v>55.550994899999999</v>
      </c>
      <c r="D2363" s="6">
        <f t="shared" si="486"/>
        <v>4.3285464683688879E-3</v>
      </c>
      <c r="E2363" s="5">
        <f t="shared" si="485"/>
        <v>2.4624343048951225E-4</v>
      </c>
      <c r="G2363" s="25" t="str">
        <f>IF(VLOOKUP(A2363,Aux!B:C,2,FALSE)=0,"",VLOOKUP(A2363,Aux!B:C,2,FALSE))</f>
        <v/>
      </c>
      <c r="H2363" s="25" t="str">
        <f t="shared" si="474"/>
        <v/>
      </c>
      <c r="L2363" s="13">
        <f t="shared" si="477"/>
        <v>229968.84379550931</v>
      </c>
      <c r="M2363" s="14">
        <f t="shared" si="478"/>
        <v>530.45155370015698</v>
      </c>
      <c r="N2363" s="14">
        <f t="shared" si="479"/>
        <v>26.3147567406272</v>
      </c>
      <c r="O2363" s="1">
        <f t="shared" si="480"/>
        <v>2.8299805468424584</v>
      </c>
      <c r="P2363" s="1">
        <f t="shared" si="481"/>
        <v>1924.1981573613521</v>
      </c>
      <c r="S2363" s="6">
        <f t="shared" si="475"/>
        <v>0.53519302762065202</v>
      </c>
      <c r="T2363" s="6">
        <f t="shared" si="476"/>
        <v>0.46480697237934787</v>
      </c>
      <c r="V2363" s="1">
        <f t="shared" si="482"/>
        <v>224609.40789127728</v>
      </c>
      <c r="W2363" s="7">
        <f t="shared" si="483"/>
        <v>2.423986531722609E-3</v>
      </c>
      <c r="X2363" s="7">
        <f t="shared" si="484"/>
        <v>2.0635952244072819E-3</v>
      </c>
      <c r="Y2363">
        <f>LN(B2363/B2362)</f>
        <v>4.3192052573142788E-3</v>
      </c>
      <c r="Z2363">
        <f>LN(C2363/C2362)</f>
        <v>2.4621311755212164E-4</v>
      </c>
    </row>
    <row r="2364" spans="1:26" x14ac:dyDescent="0.3">
      <c r="A2364" s="11">
        <v>43669</v>
      </c>
      <c r="B2364" s="12">
        <v>43399.41</v>
      </c>
      <c r="C2364" s="12">
        <v>55.564670599999999</v>
      </c>
      <c r="D2364" s="16">
        <f t="shared" si="486"/>
        <v>-2.0981516491127561E-3</v>
      </c>
      <c r="E2364" s="15">
        <f t="shared" si="485"/>
        <v>2.4618280958987881E-4</v>
      </c>
      <c r="G2364" s="25" t="str">
        <f>IF(VLOOKUP(A2364,Aux!B:C,2,FALSE)=0,"",VLOOKUP(A2364,Aux!B:C,2,FALSE))</f>
        <v/>
      </c>
      <c r="H2364" s="25" t="str">
        <f t="shared" si="474"/>
        <v/>
      </c>
      <c r="L2364" s="13">
        <f t="shared" si="477"/>
        <v>229736.92282735059</v>
      </c>
      <c r="M2364" s="14">
        <f t="shared" si="478"/>
        <v>-258.2357248993743</v>
      </c>
      <c r="N2364" s="14">
        <f t="shared" si="479"/>
        <v>26.3147567406272</v>
      </c>
      <c r="O2364" s="1">
        <f t="shared" si="480"/>
        <v>2.8299805468424584</v>
      </c>
      <c r="P2364" s="1">
        <f t="shared" si="481"/>
        <v>1924.1981573613521</v>
      </c>
      <c r="S2364" s="6">
        <f t="shared" si="475"/>
        <v>0.53460925885535626</v>
      </c>
      <c r="T2364" s="6">
        <f t="shared" si="476"/>
        <v>0.46539074114464363</v>
      </c>
      <c r="V2364" s="1">
        <f t="shared" si="482"/>
        <v>224429.48530173904</v>
      </c>
      <c r="W2364" s="7">
        <f t="shared" si="483"/>
        <v>-1.0089975139471749E-3</v>
      </c>
      <c r="X2364" s="7">
        <f t="shared" si="484"/>
        <v>-8.0136755142775306E-4</v>
      </c>
      <c r="Y2364">
        <f>LN(B2364/B2363)</f>
        <v>-2.1003558529931149E-3</v>
      </c>
      <c r="Z2364">
        <f>LN(C2364/C2363)</f>
        <v>2.4615251157447508E-4</v>
      </c>
    </row>
    <row r="2365" spans="1:26" x14ac:dyDescent="0.3">
      <c r="A2365" s="9">
        <v>43670</v>
      </c>
      <c r="B2365" s="1">
        <v>43547.67</v>
      </c>
      <c r="C2365" s="1">
        <v>55.578350100000002</v>
      </c>
      <c r="D2365" s="6">
        <f t="shared" si="486"/>
        <v>3.4161754733530447E-3</v>
      </c>
      <c r="E2365" s="5">
        <f t="shared" si="485"/>
        <v>2.461906073101261E-4</v>
      </c>
      <c r="G2365" s="25" t="str">
        <f>IF(VLOOKUP(A2365,Aux!B:C,2,FALSE)=0,"",VLOOKUP(A2365,Aux!B:C,2,FALSE))</f>
        <v/>
      </c>
      <c r="H2365" s="25" t="str">
        <f t="shared" si="474"/>
        <v/>
      </c>
      <c r="L2365" s="13">
        <f t="shared" si="477"/>
        <v>230182.81781191909</v>
      </c>
      <c r="M2365" s="14">
        <f t="shared" si="478"/>
        <v>419.57291587484804</v>
      </c>
      <c r="N2365" s="14">
        <f t="shared" si="479"/>
        <v>26.322068693628587</v>
      </c>
      <c r="O2365" s="1">
        <f t="shared" si="480"/>
        <v>2.8299805468424584</v>
      </c>
      <c r="P2365" s="1">
        <f t="shared" si="481"/>
        <v>1924.1981573613521</v>
      </c>
      <c r="S2365" s="6">
        <f t="shared" si="475"/>
        <v>0.53539643024533989</v>
      </c>
      <c r="T2365" s="6">
        <f t="shared" si="476"/>
        <v>0.46460356975465988</v>
      </c>
      <c r="V2365" s="1">
        <f t="shared" si="482"/>
        <v>224802.12916140878</v>
      </c>
      <c r="W2365" s="7">
        <f t="shared" si="483"/>
        <v>1.9390127662445912E-3</v>
      </c>
      <c r="X2365" s="7">
        <f t="shared" si="484"/>
        <v>1.6590281411352995E-3</v>
      </c>
      <c r="Y2365">
        <f>LN(B2365/B2364)</f>
        <v>3.4103536011775644E-3</v>
      </c>
      <c r="Z2365">
        <f>LN(C2365/C2364)</f>
        <v>2.4616030737549977E-4</v>
      </c>
    </row>
    <row r="2366" spans="1:26" x14ac:dyDescent="0.3">
      <c r="A2366" s="11">
        <v>43671</v>
      </c>
      <c r="B2366" s="12">
        <v>42951.64</v>
      </c>
      <c r="C2366" s="12">
        <v>55.592033399999998</v>
      </c>
      <c r="D2366" s="16">
        <f t="shared" si="486"/>
        <v>-1.3686840191449945E-2</v>
      </c>
      <c r="E2366" s="15">
        <f t="shared" si="485"/>
        <v>2.4619838435957497E-4</v>
      </c>
      <c r="G2366" s="25" t="str">
        <f>IF(VLOOKUP(A2366,Aux!B:C,2,FALSE)=0,"",VLOOKUP(A2366,Aux!B:C,2,FALSE))</f>
        <v/>
      </c>
      <c r="H2366" s="25" t="str">
        <f t="shared" si="474"/>
        <v/>
      </c>
      <c r="L2366" s="13">
        <f t="shared" si="477"/>
        <v>228522.39388723118</v>
      </c>
      <c r="M2366" s="14">
        <f t="shared" si="478"/>
        <v>-1686.7533053345071</v>
      </c>
      <c r="N2366" s="14">
        <f t="shared" si="479"/>
        <v>26.329380646616304</v>
      </c>
      <c r="O2366" s="1">
        <f t="shared" si="480"/>
        <v>2.8299805468424584</v>
      </c>
      <c r="P2366" s="1">
        <f t="shared" si="481"/>
        <v>1924.1981573613521</v>
      </c>
      <c r="S2366" s="6">
        <f t="shared" si="475"/>
        <v>0.53190544518347183</v>
      </c>
      <c r="T2366" s="6">
        <f t="shared" si="476"/>
        <v>0.46809455481652801</v>
      </c>
      <c r="V2366" s="1">
        <f t="shared" si="482"/>
        <v>223457.67845677835</v>
      </c>
      <c r="W2366" s="7">
        <f t="shared" si="483"/>
        <v>-7.2396438260225061E-3</v>
      </c>
      <c r="X2366" s="7">
        <f t="shared" si="484"/>
        <v>-5.9985513453746512E-3</v>
      </c>
      <c r="Y2366">
        <f>LN(B2366/B2365)</f>
        <v>-1.3781368509000741E-2</v>
      </c>
      <c r="Z2366">
        <f>LN(C2366/C2365)</f>
        <v>2.4616808251075312E-4</v>
      </c>
    </row>
    <row r="2367" spans="1:26" x14ac:dyDescent="0.3">
      <c r="A2367" s="9">
        <v>43672</v>
      </c>
      <c r="B2367" s="1">
        <v>43006.6</v>
      </c>
      <c r="C2367" s="1">
        <v>55.605720499999997</v>
      </c>
      <c r="D2367" s="6">
        <f t="shared" si="486"/>
        <v>1.2795786144603749E-3</v>
      </c>
      <c r="E2367" s="5">
        <f t="shared" si="485"/>
        <v>2.462061407524363E-4</v>
      </c>
      <c r="G2367" s="25" t="str">
        <f>IF(VLOOKUP(A2367,Aux!B:C,2,FALSE)=0,"",VLOOKUP(A2367,Aux!B:C,2,FALSE))</f>
        <v/>
      </c>
      <c r="H2367" s="25" t="str">
        <f t="shared" si="474"/>
        <v/>
      </c>
      <c r="L2367" s="13">
        <f t="shared" si="477"/>
        <v>228704.26631068526</v>
      </c>
      <c r="M2367" s="14">
        <f t="shared" si="478"/>
        <v>155.53573085445905</v>
      </c>
      <c r="N2367" s="14">
        <f t="shared" si="479"/>
        <v>26.336692599617692</v>
      </c>
      <c r="O2367" s="1">
        <f t="shared" si="480"/>
        <v>2.8299805468424584</v>
      </c>
      <c r="P2367" s="1">
        <f t="shared" si="481"/>
        <v>1924.1981573613521</v>
      </c>
      <c r="S2367" s="6">
        <f t="shared" si="475"/>
        <v>0.53216253176711537</v>
      </c>
      <c r="T2367" s="6">
        <f t="shared" si="476"/>
        <v>0.46783746823288441</v>
      </c>
      <c r="V2367" s="1">
        <f t="shared" si="482"/>
        <v>223615.09295500335</v>
      </c>
      <c r="W2367" s="7">
        <f t="shared" si="483"/>
        <v>7.9554605572431964E-4</v>
      </c>
      <c r="X2367" s="7">
        <f t="shared" si="484"/>
        <v>7.0420081380957245E-4</v>
      </c>
      <c r="Y2367">
        <f>LN(B2367/B2366)</f>
        <v>1.2787606514360586E-3</v>
      </c>
      <c r="Z2367">
        <f>LN(C2367/C2366)</f>
        <v>2.46175836994443E-4</v>
      </c>
    </row>
    <row r="2368" spans="1:26" x14ac:dyDescent="0.3">
      <c r="A2368" s="11">
        <v>43675</v>
      </c>
      <c r="B2368" s="12">
        <v>43292.46</v>
      </c>
      <c r="C2368" s="12">
        <v>55.619411499999998</v>
      </c>
      <c r="D2368" s="16">
        <f t="shared" si="486"/>
        <v>6.6468867569164924E-3</v>
      </c>
      <c r="E2368" s="15">
        <f t="shared" si="485"/>
        <v>2.4621567487836948E-4</v>
      </c>
      <c r="G2368" s="25" t="str">
        <f>IF(VLOOKUP(A2368,Aux!B:C,2,FALSE)=0,"",VLOOKUP(A2368,Aux!B:C,2,FALSE))</f>
        <v/>
      </c>
      <c r="H2368" s="25" t="str">
        <f t="shared" si="474"/>
        <v/>
      </c>
      <c r="L2368" s="13">
        <f t="shared" si="477"/>
        <v>229539.58874677808</v>
      </c>
      <c r="M2368" s="14">
        <f t="shared" si="478"/>
        <v>808.97823912038677</v>
      </c>
      <c r="N2368" s="14">
        <f t="shared" si="479"/>
        <v>26.344196972437064</v>
      </c>
      <c r="O2368" s="1">
        <f t="shared" si="480"/>
        <v>2.8299805468424584</v>
      </c>
      <c r="P2368" s="1">
        <f t="shared" si="481"/>
        <v>1924.1981573613521</v>
      </c>
      <c r="S2368" s="6">
        <f t="shared" si="475"/>
        <v>0.53375027939129283</v>
      </c>
      <c r="T2368" s="6">
        <f t="shared" si="476"/>
        <v>0.46624972060870701</v>
      </c>
      <c r="V2368" s="1">
        <f t="shared" si="482"/>
        <v>224305.21055497017</v>
      </c>
      <c r="W2368" s="7">
        <f t="shared" si="483"/>
        <v>3.6457591393824675E-3</v>
      </c>
      <c r="X2368" s="7">
        <f t="shared" si="484"/>
        <v>3.0814327487613314E-3</v>
      </c>
      <c r="Y2368">
        <f>LN(B2368/B2367)</f>
        <v>6.6248936086557089E-3</v>
      </c>
      <c r="Z2368">
        <f>LN(C2368/C2367)</f>
        <v>2.4618536877354821E-4</v>
      </c>
    </row>
    <row r="2369" spans="1:26" x14ac:dyDescent="0.3">
      <c r="A2369" s="9">
        <v>43676</v>
      </c>
      <c r="B2369" s="1">
        <v>43111.22</v>
      </c>
      <c r="C2369" s="1">
        <v>55.633102399999999</v>
      </c>
      <c r="D2369" s="6">
        <f t="shared" si="486"/>
        <v>-4.1864102894590971E-3</v>
      </c>
      <c r="E2369" s="5">
        <f t="shared" si="485"/>
        <v>2.4615326970867102E-4</v>
      </c>
      <c r="G2369" s="25" t="str">
        <f>IF(VLOOKUP(A2369,Aux!B:C,2,FALSE)=0,"",VLOOKUP(A2369,Aux!B:C,2,FALSE))</f>
        <v/>
      </c>
      <c r="H2369" s="25" t="str">
        <f t="shared" si="474"/>
        <v/>
      </c>
      <c r="L2369" s="13">
        <f t="shared" si="477"/>
        <v>229053.02707702096</v>
      </c>
      <c r="M2369" s="14">
        <f t="shared" si="478"/>
        <v>-512.90567430972135</v>
      </c>
      <c r="N2369" s="14">
        <f t="shared" si="479"/>
        <v>26.344004552619079</v>
      </c>
      <c r="O2369" s="1">
        <f t="shared" si="480"/>
        <v>2.8299805468424584</v>
      </c>
      <c r="P2369" s="1">
        <f t="shared" si="481"/>
        <v>1924.1981573613521</v>
      </c>
      <c r="S2369" s="6">
        <f t="shared" si="475"/>
        <v>0.53264484432952164</v>
      </c>
      <c r="T2369" s="6">
        <f t="shared" si="476"/>
        <v>0.46735515567047825</v>
      </c>
      <c r="V2369" s="1">
        <f t="shared" si="482"/>
        <v>223917.71189197831</v>
      </c>
      <c r="W2369" s="7">
        <f t="shared" si="483"/>
        <v>-2.1219785733224534E-3</v>
      </c>
      <c r="X2369" s="7">
        <f t="shared" si="484"/>
        <v>-1.7290448128583062E-3</v>
      </c>
      <c r="Y2369">
        <f>LN(B2369/B2368)</f>
        <v>-4.1951978391157911E-3</v>
      </c>
      <c r="Z2369">
        <f>LN(C2369/C2368)</f>
        <v>2.461229789632523E-4</v>
      </c>
    </row>
    <row r="2370" spans="1:26" x14ac:dyDescent="0.3">
      <c r="A2370" s="11">
        <v>43677</v>
      </c>
      <c r="B2370" s="12">
        <v>42672.69</v>
      </c>
      <c r="C2370" s="12">
        <v>55.646800999999996</v>
      </c>
      <c r="D2370" s="16">
        <f t="shared" si="486"/>
        <v>-1.0172061936544519E-2</v>
      </c>
      <c r="E2370" s="15">
        <f t="shared" si="485"/>
        <v>2.4623109999333259E-4</v>
      </c>
      <c r="G2370" s="25" t="str">
        <f>IF(VLOOKUP(A2370,Aux!B:C,2,FALSE)=0,"",VLOOKUP(A2370,Aux!B:C,2,FALSE))</f>
        <v/>
      </c>
      <c r="H2370" s="25" t="str">
        <f t="shared" si="474"/>
        <v/>
      </c>
      <c r="L2370" s="13">
        <f t="shared" si="477"/>
        <v>227838.35452869258</v>
      </c>
      <c r="M2370" s="14">
        <f t="shared" si="478"/>
        <v>-1241.03136920682</v>
      </c>
      <c r="N2370" s="14">
        <f t="shared" si="479"/>
        <v>26.358820878426169</v>
      </c>
      <c r="O2370" s="1">
        <f t="shared" si="480"/>
        <v>2.8299805468424584</v>
      </c>
      <c r="P2370" s="1">
        <f t="shared" si="481"/>
        <v>1924.1981573613521</v>
      </c>
      <c r="S2370" s="6">
        <f t="shared" si="475"/>
        <v>0.53003754715157303</v>
      </c>
      <c r="T2370" s="6">
        <f t="shared" si="476"/>
        <v>0.4699624528484268</v>
      </c>
      <c r="V2370" s="1">
        <f t="shared" si="482"/>
        <v>222936.65342485404</v>
      </c>
      <c r="W2370" s="7">
        <f t="shared" si="483"/>
        <v>-5.3171298868169709E-3</v>
      </c>
      <c r="X2370" s="7">
        <f t="shared" si="484"/>
        <v>-4.3909609910875976E-3</v>
      </c>
      <c r="Y2370">
        <f>LN(B2370/B2369)</f>
        <v>-1.0224150894364041E-2</v>
      </c>
      <c r="Z2370">
        <f>LN(C2370/C2369)</f>
        <v>2.4620079009142221E-4</v>
      </c>
    </row>
    <row r="2371" spans="1:26" x14ac:dyDescent="0.3">
      <c r="A2371" s="9">
        <v>43678</v>
      </c>
      <c r="B2371" s="1">
        <v>42812.74</v>
      </c>
      <c r="C2371" s="1">
        <v>55.660499600000001</v>
      </c>
      <c r="D2371" s="6">
        <f t="shared" si="486"/>
        <v>3.2819585547569918E-3</v>
      </c>
      <c r="E2371" s="5">
        <f t="shared" si="485"/>
        <v>2.4617048516417661E-4</v>
      </c>
      <c r="G2371" s="25" t="str">
        <f>IF(VLOOKUP(A2371,Aux!B:C,2,FALSE)=0,"",VLOOKUP(A2371,Aux!B:C,2,FALSE))</f>
        <v/>
      </c>
      <c r="H2371" s="25" t="str">
        <f t="shared" ref="H2371:H2434" si="487">IF(ISNUMBER(G2371),1-G2371,"")</f>
        <v/>
      </c>
      <c r="L2371" s="13">
        <f t="shared" si="477"/>
        <v>228261.05212515627</v>
      </c>
      <c r="M2371" s="14">
        <f t="shared" si="478"/>
        <v>396.33877558527394</v>
      </c>
      <c r="N2371" s="14">
        <f t="shared" si="479"/>
        <v>26.35882087843984</v>
      </c>
      <c r="O2371" s="1">
        <f t="shared" si="480"/>
        <v>2.8299805468424584</v>
      </c>
      <c r="P2371" s="1">
        <f t="shared" si="481"/>
        <v>1924.1981573613521</v>
      </c>
      <c r="S2371" s="6">
        <f t="shared" ref="S2371:S2434" si="488">O2371*B2371/L2371</f>
        <v>0.53079235475788478</v>
      </c>
      <c r="T2371" s="6">
        <f t="shared" ref="T2371:T2434" si="489">P2371*C2371/L2371</f>
        <v>0.46920764524211511</v>
      </c>
      <c r="V2371" s="1">
        <f t="shared" si="482"/>
        <v>223290.39925656648</v>
      </c>
      <c r="W2371" s="7">
        <f t="shared" si="483"/>
        <v>1.8535332925889373E-3</v>
      </c>
      <c r="X2371" s="7">
        <f t="shared" si="484"/>
        <v>1.5854973547240016E-3</v>
      </c>
      <c r="Y2371">
        <f>LN(B2371/B2370)</f>
        <v>3.2765846834512335E-3</v>
      </c>
      <c r="Z2371">
        <f>LN(C2371/C2370)</f>
        <v>2.4614019018201196E-4</v>
      </c>
    </row>
    <row r="2372" spans="1:26" x14ac:dyDescent="0.3">
      <c r="A2372" s="11">
        <v>43679</v>
      </c>
      <c r="B2372" s="12">
        <v>43027.06</v>
      </c>
      <c r="C2372" s="12">
        <v>55.673164399999997</v>
      </c>
      <c r="D2372" s="16">
        <f t="shared" si="486"/>
        <v>5.0059865357834354E-3</v>
      </c>
      <c r="E2372" s="15">
        <f t="shared" si="485"/>
        <v>2.2753658502905338E-4</v>
      </c>
      <c r="G2372" s="25" t="str">
        <f>IF(VLOOKUP(A2372,Aux!B:C,2,FALSE)=0,"",VLOOKUP(A2372,Aux!B:C,2,FALSE))</f>
        <v/>
      </c>
      <c r="H2372" s="25" t="str">
        <f t="shared" si="487"/>
        <v/>
      </c>
      <c r="L2372" s="13">
        <f t="shared" ref="L2372:L2435" si="490">L2371+M2372+N2372</f>
        <v>228891.94314077889</v>
      </c>
      <c r="M2372" s="14">
        <f t="shared" ref="M2372:M2435" si="491">O2371*(B2372-B2371)</f>
        <v>606.52143079927487</v>
      </c>
      <c r="N2372" s="14">
        <f t="shared" ref="N2372:N2435" si="492">P2371*(C2372-C2371)</f>
        <v>24.369584823342421</v>
      </c>
      <c r="O2372" s="1">
        <f t="shared" ref="O2372:O2435" si="493">IF(ISNUMBER(G2372),L2372*G2372/B2372,O2371)</f>
        <v>2.8299805468424584</v>
      </c>
      <c r="P2372" s="1">
        <f t="shared" ref="P2372:P2435" si="494">IF(ISNUMBER(H2372),L2372*H2372/C2372,P2371)</f>
        <v>1924.1981573613521</v>
      </c>
      <c r="S2372" s="6">
        <f t="shared" si="488"/>
        <v>0.53197915626471748</v>
      </c>
      <c r="T2372" s="6">
        <f t="shared" si="489"/>
        <v>0.46802084373528241</v>
      </c>
      <c r="V2372" s="1">
        <f t="shared" ref="V2372:V2435" si="495">$O$2*B2372+$P$2*C2372</f>
        <v>223813.17582871867</v>
      </c>
      <c r="W2372" s="7">
        <f t="shared" ref="W2372:W2435" si="496">LN(L2372/L2371)</f>
        <v>2.7600887347174153E-3</v>
      </c>
      <c r="X2372" s="7">
        <f t="shared" ref="X2372:X2435" si="497">LN(V2372/V2371)</f>
        <v>2.3385042729329791E-3</v>
      </c>
      <c r="Y2372">
        <f>LN(B2372/B2371)</f>
        <v>4.993498245321016E-3</v>
      </c>
      <c r="Z2372">
        <f>LN(C2372/C2371)</f>
        <v>2.2751070250636281E-4</v>
      </c>
    </row>
    <row r="2373" spans="1:26" x14ac:dyDescent="0.3">
      <c r="A2373" s="9">
        <v>43682</v>
      </c>
      <c r="B2373" s="1">
        <v>41982.27</v>
      </c>
      <c r="C2373" s="1">
        <v>55.685829200000001</v>
      </c>
      <c r="D2373" s="6">
        <f t="shared" si="486"/>
        <v>-2.4282161040052541E-2</v>
      </c>
      <c r="E2373" s="5">
        <f t="shared" ref="E2373:E2436" si="498">C2373/C2372-1</f>
        <v>2.2748482390921865E-4</v>
      </c>
      <c r="G2373" s="25" t="str">
        <f>IF(VLOOKUP(A2373,Aux!B:C,2,FALSE)=0,"",VLOOKUP(A2373,Aux!B:C,2,FALSE))</f>
        <v/>
      </c>
      <c r="H2373" s="25" t="str">
        <f t="shared" si="487"/>
        <v/>
      </c>
      <c r="L2373" s="13">
        <f t="shared" si="490"/>
        <v>225959.57735006671</v>
      </c>
      <c r="M2373" s="14">
        <f t="shared" si="491"/>
        <v>-2956.7353755355343</v>
      </c>
      <c r="N2373" s="14">
        <f t="shared" si="492"/>
        <v>24.369584823356092</v>
      </c>
      <c r="O2373" s="1">
        <f t="shared" si="493"/>
        <v>2.8299805468424584</v>
      </c>
      <c r="P2373" s="1">
        <f t="shared" si="494"/>
        <v>1924.1981573613521</v>
      </c>
      <c r="S2373" s="6">
        <f t="shared" si="488"/>
        <v>0.52579761745714138</v>
      </c>
      <c r="T2373" s="6">
        <f t="shared" si="489"/>
        <v>0.47420238254285857</v>
      </c>
      <c r="V2373" s="1">
        <f t="shared" si="495"/>
        <v>221431.14158696739</v>
      </c>
      <c r="W2373" s="7">
        <f t="shared" si="496"/>
        <v>-1.2893906185507993E-2</v>
      </c>
      <c r="X2373" s="7">
        <f t="shared" si="497"/>
        <v>-1.0699999416604402E-2</v>
      </c>
      <c r="Y2373">
        <f>LN(B2373/B2372)</f>
        <v>-2.4581833792622954E-2</v>
      </c>
      <c r="Z2373">
        <f>LN(C2373/C2372)</f>
        <v>2.2745895316005833E-4</v>
      </c>
    </row>
    <row r="2374" spans="1:26" x14ac:dyDescent="0.3">
      <c r="A2374" s="11">
        <v>43683</v>
      </c>
      <c r="B2374" s="12">
        <v>42860.5</v>
      </c>
      <c r="C2374" s="12">
        <v>55.698497799999998</v>
      </c>
      <c r="D2374" s="16">
        <f t="shared" si="486"/>
        <v>2.091906893076545E-2</v>
      </c>
      <c r="E2374" s="15">
        <f t="shared" si="498"/>
        <v>2.2750132631577102E-4</v>
      </c>
      <c r="G2374" s="25" t="str">
        <f>IF(VLOOKUP(A2374,Aux!B:C,2,FALSE)=0,"",VLOOKUP(A2374,Aux!B:C,2,FALSE))</f>
        <v/>
      </c>
      <c r="H2374" s="25" t="str">
        <f t="shared" si="487"/>
        <v/>
      </c>
      <c r="L2374" s="13">
        <f t="shared" si="490"/>
        <v>228469.32806249653</v>
      </c>
      <c r="M2374" s="14">
        <f t="shared" si="491"/>
        <v>2485.3738156534614</v>
      </c>
      <c r="N2374" s="14">
        <f t="shared" si="492"/>
        <v>24.376896776343809</v>
      </c>
      <c r="O2374" s="1">
        <f t="shared" si="493"/>
        <v>2.8299805468424584</v>
      </c>
      <c r="P2374" s="1">
        <f t="shared" si="494"/>
        <v>1924.1981573613521</v>
      </c>
      <c r="S2374" s="6">
        <f t="shared" si="488"/>
        <v>0.53090006547733093</v>
      </c>
      <c r="T2374" s="6">
        <f t="shared" si="489"/>
        <v>0.46909993452266907</v>
      </c>
      <c r="V2374" s="1">
        <f t="shared" si="495"/>
        <v>223485.59025391907</v>
      </c>
      <c r="W2374" s="7">
        <f t="shared" si="496"/>
        <v>1.1045847658597837E-2</v>
      </c>
      <c r="X2374" s="7">
        <f t="shared" si="497"/>
        <v>9.2352708807482854E-3</v>
      </c>
      <c r="Y2374">
        <f>LN(B2374/B2373)</f>
        <v>2.0703269567480236E-2</v>
      </c>
      <c r="Z2374">
        <f>LN(C2374/C2373)</f>
        <v>2.2747545181328133E-4</v>
      </c>
    </row>
    <row r="2375" spans="1:26" x14ac:dyDescent="0.3">
      <c r="A2375" s="9">
        <v>43684</v>
      </c>
      <c r="B2375" s="1">
        <v>43134.8</v>
      </c>
      <c r="C2375" s="1">
        <v>55.711170199999998</v>
      </c>
      <c r="D2375" s="6">
        <f t="shared" si="486"/>
        <v>6.3998320131590791E-3</v>
      </c>
      <c r="E2375" s="5">
        <f t="shared" si="498"/>
        <v>2.2751780569563174E-4</v>
      </c>
      <c r="G2375" s="25" t="str">
        <f>IF(VLOOKUP(A2375,Aux!B:C,2,FALSE)=0,"",VLOOKUP(A2375,Aux!B:C,2,FALSE))</f>
        <v/>
      </c>
      <c r="H2375" s="25" t="str">
        <f t="shared" si="487"/>
        <v/>
      </c>
      <c r="L2375" s="13">
        <f t="shared" si="490"/>
        <v>229269.97593522476</v>
      </c>
      <c r="M2375" s="14">
        <f t="shared" si="491"/>
        <v>776.26366399889457</v>
      </c>
      <c r="N2375" s="14">
        <f t="shared" si="492"/>
        <v>24.384208729345197</v>
      </c>
      <c r="O2375" s="1">
        <f t="shared" si="493"/>
        <v>2.8299805468424584</v>
      </c>
      <c r="P2375" s="1">
        <f t="shared" si="494"/>
        <v>1924.1981573613521</v>
      </c>
      <c r="S2375" s="6">
        <f t="shared" si="488"/>
        <v>0.53243188251752815</v>
      </c>
      <c r="T2375" s="6">
        <f t="shared" si="489"/>
        <v>0.46756811748247185</v>
      </c>
      <c r="V2375" s="1">
        <f t="shared" si="495"/>
        <v>224146.75978638962</v>
      </c>
      <c r="W2375" s="7">
        <f t="shared" si="496"/>
        <v>3.4982737215593328E-3</v>
      </c>
      <c r="X2375" s="7">
        <f t="shared" si="497"/>
        <v>2.9540760993818594E-3</v>
      </c>
      <c r="Y2375">
        <f>LN(B2375/B2374)</f>
        <v>6.379440045462972E-3</v>
      </c>
      <c r="Z2375">
        <f>LN(C2375/C2374)</f>
        <v>2.2749192744477828E-4</v>
      </c>
    </row>
    <row r="2376" spans="1:26" x14ac:dyDescent="0.3">
      <c r="A2376" s="11">
        <v>43685</v>
      </c>
      <c r="B2376" s="12">
        <v>43719.53</v>
      </c>
      <c r="C2376" s="12">
        <v>55.723846399999999</v>
      </c>
      <c r="D2376" s="16">
        <f t="shared" si="486"/>
        <v>1.3555875998033873E-2</v>
      </c>
      <c r="E2376" s="15">
        <f t="shared" si="498"/>
        <v>2.2753426206079119E-4</v>
      </c>
      <c r="G2376" s="25" t="str">
        <f>IF(VLOOKUP(A2376,Aux!B:C,2,FALSE)=0,"",VLOOKUP(A2376,Aux!B:C,2,FALSE))</f>
        <v/>
      </c>
      <c r="H2376" s="25" t="str">
        <f t="shared" si="487"/>
        <v/>
      </c>
      <c r="L2376" s="13">
        <f t="shared" si="490"/>
        <v>230949.14198106228</v>
      </c>
      <c r="M2376" s="14">
        <f t="shared" si="491"/>
        <v>1654.7745251551792</v>
      </c>
      <c r="N2376" s="14">
        <f t="shared" si="492"/>
        <v>24.391520682346584</v>
      </c>
      <c r="O2376" s="1">
        <f t="shared" si="493"/>
        <v>2.8299805468424584</v>
      </c>
      <c r="P2376" s="1">
        <f t="shared" si="494"/>
        <v>1924.1981573613521</v>
      </c>
      <c r="S2376" s="6">
        <f t="shared" si="488"/>
        <v>0.53572582411776482</v>
      </c>
      <c r="T2376" s="6">
        <f t="shared" si="489"/>
        <v>0.46427417588223518</v>
      </c>
      <c r="V2376" s="1">
        <f t="shared" si="495"/>
        <v>225524.11068886303</v>
      </c>
      <c r="W2376" s="7">
        <f t="shared" si="496"/>
        <v>7.2972783259020743E-3</v>
      </c>
      <c r="X2376" s="7">
        <f t="shared" si="497"/>
        <v>6.1260593043064434E-3</v>
      </c>
      <c r="Y2376">
        <f>LN(B2376/B2375)</f>
        <v>1.3464817110036617E-2</v>
      </c>
      <c r="Z2376">
        <f>LN(C2376/C2375)</f>
        <v>2.2750838006653797E-4</v>
      </c>
    </row>
    <row r="2377" spans="1:26" x14ac:dyDescent="0.3">
      <c r="A2377" s="9">
        <v>43686</v>
      </c>
      <c r="B2377" s="1">
        <v>43696.04</v>
      </c>
      <c r="C2377" s="1">
        <v>55.736522700000002</v>
      </c>
      <c r="D2377" s="6">
        <f t="shared" si="486"/>
        <v>-5.3728848411682684E-4</v>
      </c>
      <c r="E2377" s="5">
        <f t="shared" si="498"/>
        <v>2.274842965614976E-4</v>
      </c>
      <c r="G2377" s="25" t="str">
        <f>IF(VLOOKUP(A2377,Aux!B:C,2,FALSE)=0,"",VLOOKUP(A2377,Aux!B:C,2,FALSE))</f>
        <v/>
      </c>
      <c r="H2377" s="25" t="str">
        <f t="shared" si="487"/>
        <v/>
      </c>
      <c r="L2377" s="13">
        <f t="shared" si="490"/>
        <v>230907.05745111912</v>
      </c>
      <c r="M2377" s="14">
        <f t="shared" si="491"/>
        <v>-66.476243045323585</v>
      </c>
      <c r="N2377" s="14">
        <f t="shared" si="492"/>
        <v>24.391713102164569</v>
      </c>
      <c r="O2377" s="1">
        <f t="shared" si="493"/>
        <v>2.8299805468424584</v>
      </c>
      <c r="P2377" s="1">
        <f t="shared" si="494"/>
        <v>1924.1981573613521</v>
      </c>
      <c r="S2377" s="6">
        <f t="shared" si="488"/>
        <v>0.53553557236000637</v>
      </c>
      <c r="T2377" s="6">
        <f t="shared" si="489"/>
        <v>0.46446442763999368</v>
      </c>
      <c r="V2377" s="1">
        <f t="shared" si="495"/>
        <v>225498.27699940026</v>
      </c>
      <c r="W2377" s="7">
        <f t="shared" si="496"/>
        <v>-1.8224083648269967E-4</v>
      </c>
      <c r="X2377" s="7">
        <f t="shared" si="497"/>
        <v>-1.145561293461911E-4</v>
      </c>
      <c r="Y2377">
        <f>LN(B2377/B2376)</f>
        <v>-5.3743287529653752E-4</v>
      </c>
      <c r="Z2377">
        <f>LN(C2377/C2376)</f>
        <v>2.2745842593227346E-4</v>
      </c>
    </row>
    <row r="2378" spans="1:26" x14ac:dyDescent="0.3">
      <c r="A2378" s="11">
        <v>43689</v>
      </c>
      <c r="B2378" s="12">
        <v>42845.3</v>
      </c>
      <c r="C2378" s="12">
        <v>55.749202699999998</v>
      </c>
      <c r="D2378" s="16">
        <f t="shared" si="486"/>
        <v>-1.9469498837880961E-2</v>
      </c>
      <c r="E2378" s="15">
        <f t="shared" si="498"/>
        <v>2.2749894298645934E-4</v>
      </c>
      <c r="G2378" s="25" t="str">
        <f>IF(VLOOKUP(A2378,Aux!B:C,2,FALSE)=0,"",VLOOKUP(A2378,Aux!B:C,2,FALSE))</f>
        <v/>
      </c>
      <c r="H2378" s="25" t="str">
        <f t="shared" si="487"/>
        <v/>
      </c>
      <c r="L2378" s="13">
        <f t="shared" si="490"/>
        <v>228523.87863333372</v>
      </c>
      <c r="M2378" s="14">
        <f t="shared" si="491"/>
        <v>-2407.5776504207474</v>
      </c>
      <c r="N2378" s="14">
        <f t="shared" si="492"/>
        <v>24.398832635334301</v>
      </c>
      <c r="O2378" s="1">
        <f t="shared" si="493"/>
        <v>2.8299805468424584</v>
      </c>
      <c r="P2378" s="1">
        <f t="shared" si="494"/>
        <v>1924.1981573613521</v>
      </c>
      <c r="S2378" s="6">
        <f t="shared" si="488"/>
        <v>0.53058510230424039</v>
      </c>
      <c r="T2378" s="6">
        <f t="shared" si="489"/>
        <v>0.4694148976957595</v>
      </c>
      <c r="V2378" s="1">
        <f t="shared" si="495"/>
        <v>223563.95689996774</v>
      </c>
      <c r="W2378" s="7">
        <f t="shared" si="496"/>
        <v>-1.0374574309436155E-2</v>
      </c>
      <c r="X2378" s="7">
        <f t="shared" si="497"/>
        <v>-8.6149843689214359E-3</v>
      </c>
      <c r="Y2378">
        <f>LN(B2378/B2377)</f>
        <v>-1.966152606606509E-2</v>
      </c>
      <c r="Z2378">
        <f>LN(C2378/C2377)</f>
        <v>2.2747306902605406E-4</v>
      </c>
    </row>
    <row r="2379" spans="1:26" x14ac:dyDescent="0.3">
      <c r="A2379" s="9">
        <v>43690</v>
      </c>
      <c r="B2379" s="1">
        <v>43383.29</v>
      </c>
      <c r="C2379" s="1">
        <v>55.761886599999997</v>
      </c>
      <c r="D2379" s="6">
        <f t="shared" si="486"/>
        <v>1.255656979878772E-2</v>
      </c>
      <c r="E2379" s="5">
        <f t="shared" si="498"/>
        <v>2.2751715514668369E-4</v>
      </c>
      <c r="G2379" s="25" t="str">
        <f>IF(VLOOKUP(A2379,Aux!B:C,2,FALSE)=0,"",VLOOKUP(A2379,Aux!B:C,2,FALSE))</f>
        <v/>
      </c>
      <c r="H2379" s="25" t="str">
        <f t="shared" si="487"/>
        <v/>
      </c>
      <c r="L2379" s="13">
        <f t="shared" si="490"/>
        <v>230070.78620473764</v>
      </c>
      <c r="M2379" s="14">
        <f t="shared" si="491"/>
        <v>1522.5012343957685</v>
      </c>
      <c r="N2379" s="14">
        <f t="shared" si="492"/>
        <v>24.406337008153674</v>
      </c>
      <c r="O2379" s="1">
        <f t="shared" si="493"/>
        <v>2.8299805468424584</v>
      </c>
      <c r="P2379" s="1">
        <f t="shared" si="494"/>
        <v>1924.1981573613521</v>
      </c>
      <c r="S2379" s="6">
        <f t="shared" si="488"/>
        <v>0.53363518586305758</v>
      </c>
      <c r="T2379" s="6">
        <f t="shared" si="489"/>
        <v>0.46636481413694231</v>
      </c>
      <c r="V2379" s="1">
        <f t="shared" si="495"/>
        <v>224833.49421338714</v>
      </c>
      <c r="W2379" s="7">
        <f t="shared" si="496"/>
        <v>6.7463211285280975E-3</v>
      </c>
      <c r="X2379" s="7">
        <f t="shared" si="497"/>
        <v>5.6625687882102755E-3</v>
      </c>
      <c r="Y2379">
        <f>LN(B2379/B2378)</f>
        <v>1.2478389844018365E-2</v>
      </c>
      <c r="Z2379">
        <f>LN(C2379/C2378)</f>
        <v>2.2749127704380784E-4</v>
      </c>
    </row>
    <row r="2380" spans="1:26" x14ac:dyDescent="0.3">
      <c r="A2380" s="11">
        <v>43691</v>
      </c>
      <c r="B2380" s="12">
        <v>42154.38</v>
      </c>
      <c r="C2380" s="12">
        <v>55.774574299999998</v>
      </c>
      <c r="D2380" s="16">
        <f t="shared" si="486"/>
        <v>-2.8326805090162721E-2</v>
      </c>
      <c r="E2380" s="15">
        <f t="shared" si="498"/>
        <v>2.2753354977056439E-4</v>
      </c>
      <c r="G2380" s="25" t="str">
        <f>IF(VLOOKUP(A2380,Aux!B:C,2,FALSE)=0,"",VLOOKUP(A2380,Aux!B:C,2,FALSE))</f>
        <v/>
      </c>
      <c r="H2380" s="25" t="str">
        <f t="shared" si="487"/>
        <v/>
      </c>
      <c r="L2380" s="13">
        <f t="shared" si="490"/>
        <v>226617.40845987861</v>
      </c>
      <c r="M2380" s="14">
        <f t="shared" si="491"/>
        <v>-3477.7913938201755</v>
      </c>
      <c r="N2380" s="14">
        <f t="shared" si="492"/>
        <v>24.413648961155062</v>
      </c>
      <c r="O2380" s="1">
        <f t="shared" si="493"/>
        <v>2.8299805468424584</v>
      </c>
      <c r="P2380" s="1">
        <f t="shared" si="494"/>
        <v>1924.1981573613521</v>
      </c>
      <c r="S2380" s="6">
        <f t="shared" si="488"/>
        <v>0.52642061426329256</v>
      </c>
      <c r="T2380" s="6">
        <f t="shared" si="489"/>
        <v>0.47357938573670733</v>
      </c>
      <c r="V2380" s="1">
        <f t="shared" si="495"/>
        <v>222026.7399214172</v>
      </c>
      <c r="W2380" s="7">
        <f t="shared" si="496"/>
        <v>-1.5123857413077245E-2</v>
      </c>
      <c r="X2380" s="7">
        <f t="shared" si="497"/>
        <v>-1.2562277816722162E-2</v>
      </c>
      <c r="Y2380">
        <f>LN(B2380/B2379)</f>
        <v>-2.8735750284617587E-2</v>
      </c>
      <c r="Z2380">
        <f>LN(C2380/C2379)</f>
        <v>2.2750766793834447E-4</v>
      </c>
    </row>
    <row r="2381" spans="1:26" x14ac:dyDescent="0.3">
      <c r="A2381" s="9">
        <v>43692</v>
      </c>
      <c r="B2381" s="1">
        <v>41638.22</v>
      </c>
      <c r="C2381" s="1">
        <v>55.787261999999998</v>
      </c>
      <c r="D2381" s="6">
        <f t="shared" si="486"/>
        <v>-1.2244516465430122E-2</v>
      </c>
      <c r="E2381" s="5">
        <f t="shared" si="498"/>
        <v>2.2748179003140301E-4</v>
      </c>
      <c r="G2381" s="25" t="str">
        <f>IF(VLOOKUP(A2381,Aux!B:C,2,FALSE)=0,"",VLOOKUP(A2381,Aux!B:C,2,FALSE))</f>
        <v/>
      </c>
      <c r="H2381" s="25" t="str">
        <f t="shared" si="487"/>
        <v/>
      </c>
      <c r="L2381" s="13">
        <f t="shared" si="490"/>
        <v>225181.09934978155</v>
      </c>
      <c r="M2381" s="14">
        <f t="shared" si="491"/>
        <v>-1460.7227590581927</v>
      </c>
      <c r="N2381" s="14">
        <f t="shared" si="492"/>
        <v>24.413648961155062</v>
      </c>
      <c r="O2381" s="1">
        <f t="shared" si="493"/>
        <v>2.8299805468424584</v>
      </c>
      <c r="P2381" s="1">
        <f t="shared" si="494"/>
        <v>1924.1981573613521</v>
      </c>
      <c r="S2381" s="6">
        <f t="shared" si="488"/>
        <v>0.52329148825279015</v>
      </c>
      <c r="T2381" s="6">
        <f t="shared" si="489"/>
        <v>0.47670851174720991</v>
      </c>
      <c r="V2381" s="1">
        <f t="shared" si="495"/>
        <v>220864.32481157564</v>
      </c>
      <c r="W2381" s="7">
        <f t="shared" si="496"/>
        <v>-6.3582058109781002E-3</v>
      </c>
      <c r="X2381" s="7">
        <f t="shared" si="497"/>
        <v>-5.2492266001200353E-3</v>
      </c>
      <c r="Y2381">
        <f>LN(B2381/B2380)</f>
        <v>-1.2320098165100213E-2</v>
      </c>
      <c r="Z2381">
        <f>LN(C2381/C2380)</f>
        <v>2.2745591997224226E-4</v>
      </c>
    </row>
    <row r="2382" spans="1:26" x14ac:dyDescent="0.3">
      <c r="A2382" s="11">
        <v>43693</v>
      </c>
      <c r="B2382" s="12">
        <v>41970.21</v>
      </c>
      <c r="C2382" s="12">
        <v>55.799957300000003</v>
      </c>
      <c r="D2382" s="16">
        <f t="shared" si="486"/>
        <v>7.9732034654698136E-3</v>
      </c>
      <c r="E2382" s="15">
        <f t="shared" si="498"/>
        <v>2.2756628565145931E-4</v>
      </c>
      <c r="G2382" s="25" t="str">
        <f>IF(VLOOKUP(A2382,Aux!B:C,2,FALSE)=0,"",VLOOKUP(A2382,Aux!B:C,2,FALSE))</f>
        <v/>
      </c>
      <c r="H2382" s="25" t="str">
        <f t="shared" si="487"/>
        <v/>
      </c>
      <c r="L2382" s="13">
        <f t="shared" si="490"/>
        <v>226145.05286439494</v>
      </c>
      <c r="M2382" s="14">
        <f t="shared" si="491"/>
        <v>939.52524174622204</v>
      </c>
      <c r="N2382" s="14">
        <f t="shared" si="492"/>
        <v>24.428272867157837</v>
      </c>
      <c r="O2382" s="1">
        <f t="shared" si="493"/>
        <v>2.8299805468424584</v>
      </c>
      <c r="P2382" s="1">
        <f t="shared" si="494"/>
        <v>1924.1981573613521</v>
      </c>
      <c r="S2382" s="6">
        <f t="shared" si="488"/>
        <v>0.52521545946934634</v>
      </c>
      <c r="T2382" s="6">
        <f t="shared" si="489"/>
        <v>0.47478454053065366</v>
      </c>
      <c r="V2382" s="1">
        <f t="shared" si="495"/>
        <v>221658.6384223866</v>
      </c>
      <c r="W2382" s="7">
        <f t="shared" si="496"/>
        <v>4.2716557667174995E-3</v>
      </c>
      <c r="X2382" s="7">
        <f t="shared" si="497"/>
        <v>3.5899355733981916E-3</v>
      </c>
      <c r="Y2382">
        <f>LN(B2382/B2381)</f>
        <v>7.9415854321984915E-3</v>
      </c>
      <c r="Z2382">
        <f>LN(C2382/C2381)</f>
        <v>2.2754039637188703E-4</v>
      </c>
    </row>
    <row r="2383" spans="1:26" x14ac:dyDescent="0.3">
      <c r="A2383" s="9">
        <v>43696</v>
      </c>
      <c r="B2383" s="1">
        <v>41837.22</v>
      </c>
      <c r="C2383" s="1">
        <v>55.8126526</v>
      </c>
      <c r="D2383" s="6">
        <f t="shared" si="486"/>
        <v>-3.1686760680967874E-3</v>
      </c>
      <c r="E2383" s="5">
        <f t="shared" si="498"/>
        <v>2.2751451101910014E-4</v>
      </c>
      <c r="G2383" s="25" t="str">
        <f>IF(VLOOKUP(A2383,Aux!B:C,2,FALSE)=0,"",VLOOKUP(A2383,Aux!B:C,2,FALSE))</f>
        <v/>
      </c>
      <c r="H2383" s="25" t="str">
        <f t="shared" si="487"/>
        <v/>
      </c>
      <c r="L2383" s="13">
        <f t="shared" si="490"/>
        <v>225793.1220243375</v>
      </c>
      <c r="M2383" s="14">
        <f t="shared" si="491"/>
        <v>-376.3591129245728</v>
      </c>
      <c r="N2383" s="14">
        <f t="shared" si="492"/>
        <v>24.428272867144166</v>
      </c>
      <c r="O2383" s="1">
        <f t="shared" si="493"/>
        <v>2.8299805468424584</v>
      </c>
      <c r="P2383" s="1">
        <f t="shared" si="494"/>
        <v>1924.1981573613521</v>
      </c>
      <c r="S2383" s="6">
        <f t="shared" si="488"/>
        <v>0.52436725119202898</v>
      </c>
      <c r="T2383" s="6">
        <f t="shared" si="489"/>
        <v>0.47563274880797102</v>
      </c>
      <c r="V2383" s="1">
        <f t="shared" si="495"/>
        <v>221380.22690811008</v>
      </c>
      <c r="W2383" s="7">
        <f t="shared" si="496"/>
        <v>-1.557429448311777E-3</v>
      </c>
      <c r="X2383" s="7">
        <f t="shared" si="497"/>
        <v>-1.2568267604124899E-3</v>
      </c>
      <c r="Y2383">
        <f>LN(B2383/B2382)</f>
        <v>-3.1737069524152223E-3</v>
      </c>
      <c r="Z2383">
        <f>LN(C2383/C2382)</f>
        <v>2.2748863351766834E-4</v>
      </c>
    </row>
    <row r="2384" spans="1:26" x14ac:dyDescent="0.3">
      <c r="A2384" s="11">
        <v>43697</v>
      </c>
      <c r="B2384" s="12">
        <v>41747.78</v>
      </c>
      <c r="C2384" s="12">
        <v>55.825347899999997</v>
      </c>
      <c r="D2384" s="16">
        <f t="shared" si="486"/>
        <v>-2.1378093477530946E-3</v>
      </c>
      <c r="E2384" s="15">
        <f t="shared" si="498"/>
        <v>2.2746275994056653E-4</v>
      </c>
      <c r="G2384" s="25" t="str">
        <f>IF(VLOOKUP(A2384,Aux!B:C,2,FALSE)=0,"",VLOOKUP(A2384,Aux!B:C,2,FALSE))</f>
        <v/>
      </c>
      <c r="H2384" s="25" t="str">
        <f t="shared" si="487"/>
        <v/>
      </c>
      <c r="L2384" s="13">
        <f t="shared" si="490"/>
        <v>225564.43683709504</v>
      </c>
      <c r="M2384" s="14">
        <f t="shared" si="491"/>
        <v>-253.11346010959608</v>
      </c>
      <c r="N2384" s="14">
        <f t="shared" si="492"/>
        <v>24.428272867144166</v>
      </c>
      <c r="O2384" s="1">
        <f t="shared" si="493"/>
        <v>2.8299805468424584</v>
      </c>
      <c r="P2384" s="1">
        <f t="shared" si="494"/>
        <v>1924.1981573613521</v>
      </c>
      <c r="S2384" s="6">
        <f t="shared" si="488"/>
        <v>0.52377673950075954</v>
      </c>
      <c r="T2384" s="6">
        <f t="shared" si="489"/>
        <v>0.47622326049924063</v>
      </c>
      <c r="V2384" s="1">
        <f t="shared" si="495"/>
        <v>221202.28676722071</v>
      </c>
      <c r="W2384" s="7">
        <f t="shared" si="496"/>
        <v>-1.0133217105637669E-3</v>
      </c>
      <c r="X2384" s="7">
        <f t="shared" si="497"/>
        <v>-8.0409932601882941E-4</v>
      </c>
      <c r="Y2384">
        <f>LN(B2384/B2383)</f>
        <v>-2.1400977241467479E-3</v>
      </c>
      <c r="Z2384">
        <f>LN(C2384/C2383)</f>
        <v>2.2743689420923939E-4</v>
      </c>
    </row>
    <row r="2385" spans="1:26" x14ac:dyDescent="0.3">
      <c r="A2385" s="9">
        <v>43698</v>
      </c>
      <c r="B2385" s="1">
        <v>42549.02</v>
      </c>
      <c r="C2385" s="1">
        <v>55.838050799999998</v>
      </c>
      <c r="D2385" s="6">
        <f t="shared" si="486"/>
        <v>1.9192397775402714E-2</v>
      </c>
      <c r="E2385" s="5">
        <f t="shared" si="498"/>
        <v>2.2754717127337898E-4</v>
      </c>
      <c r="G2385" s="25" t="str">
        <f>IF(VLOOKUP(A2385,Aux!B:C,2,FALSE)=0,"",VLOOKUP(A2385,Aux!B:C,2,FALSE))</f>
        <v/>
      </c>
      <c r="H2385" s="25" t="str">
        <f t="shared" si="487"/>
        <v/>
      </c>
      <c r="L2385" s="13">
        <f t="shared" si="490"/>
        <v>227856.37334722021</v>
      </c>
      <c r="M2385" s="14">
        <f t="shared" si="491"/>
        <v>2267.4936133520455</v>
      </c>
      <c r="N2385" s="14">
        <f t="shared" si="492"/>
        <v>24.442896773146941</v>
      </c>
      <c r="O2385" s="1">
        <f t="shared" si="493"/>
        <v>2.8299805468424584</v>
      </c>
      <c r="P2385" s="1">
        <f t="shared" si="494"/>
        <v>1924.1981573613521</v>
      </c>
      <c r="S2385" s="6">
        <f t="shared" si="488"/>
        <v>0.52845964814738278</v>
      </c>
      <c r="T2385" s="6">
        <f t="shared" si="489"/>
        <v>0.47154035185261739</v>
      </c>
      <c r="V2385" s="1">
        <f t="shared" si="495"/>
        <v>223079.19354469117</v>
      </c>
      <c r="W2385" s="7">
        <f t="shared" si="496"/>
        <v>1.0109619934130535E-2</v>
      </c>
      <c r="X2385" s="7">
        <f t="shared" si="497"/>
        <v>8.449228818124193E-3</v>
      </c>
      <c r="Y2385">
        <f>LN(B2385/B2384)</f>
        <v>1.9010546796368238E-2</v>
      </c>
      <c r="Z2385">
        <f>LN(C2385/C2384)</f>
        <v>2.2752128634242249E-4</v>
      </c>
    </row>
    <row r="2386" spans="1:26" x14ac:dyDescent="0.3">
      <c r="A2386" s="11">
        <v>43699</v>
      </c>
      <c r="B2386" s="12">
        <v>42101.68</v>
      </c>
      <c r="C2386" s="12">
        <v>55.8507538</v>
      </c>
      <c r="D2386" s="16">
        <f t="shared" si="486"/>
        <v>-1.051352064042832E-2</v>
      </c>
      <c r="E2386" s="15">
        <f t="shared" si="498"/>
        <v>2.2749719623105236E-4</v>
      </c>
      <c r="G2386" s="25" t="str">
        <f>IF(VLOOKUP(A2386,Aux!B:C,2,FALSE)=0,"",VLOOKUP(A2386,Aux!B:C,2,FALSE))</f>
        <v/>
      </c>
      <c r="H2386" s="25" t="str">
        <f t="shared" si="487"/>
        <v/>
      </c>
      <c r="L2386" s="13">
        <f t="shared" si="490"/>
        <v>226614.85293858868</v>
      </c>
      <c r="M2386" s="14">
        <f t="shared" si="491"/>
        <v>-1265.9634978244953</v>
      </c>
      <c r="N2386" s="14">
        <f t="shared" si="492"/>
        <v>24.443089192964926</v>
      </c>
      <c r="O2386" s="1">
        <f t="shared" si="493"/>
        <v>2.8299805468424584</v>
      </c>
      <c r="P2386" s="1">
        <f t="shared" si="494"/>
        <v>1924.1981573613521</v>
      </c>
      <c r="S2386" s="6">
        <f t="shared" si="488"/>
        <v>0.52576842975810745</v>
      </c>
      <c r="T2386" s="6">
        <f t="shared" si="489"/>
        <v>0.47423157024189277</v>
      </c>
      <c r="V2386" s="1">
        <f t="shared" si="495"/>
        <v>222075.5828103128</v>
      </c>
      <c r="W2386" s="7">
        <f t="shared" si="496"/>
        <v>-5.4635956038368788E-3</v>
      </c>
      <c r="X2386" s="7">
        <f t="shared" si="497"/>
        <v>-4.5090493828103522E-3</v>
      </c>
      <c r="Y2386">
        <f>LN(B2386/B2385)</f>
        <v>-1.0569178146492829E-2</v>
      </c>
      <c r="Z2386">
        <f>LN(C2386/C2385)</f>
        <v>2.274713226679402E-4</v>
      </c>
    </row>
    <row r="2387" spans="1:26" x14ac:dyDescent="0.3">
      <c r="A2387" s="9">
        <v>43700</v>
      </c>
      <c r="B2387" s="1">
        <v>41112.32</v>
      </c>
      <c r="C2387" s="1">
        <v>55.863460500000002</v>
      </c>
      <c r="D2387" s="6">
        <f t="shared" si="486"/>
        <v>-2.3499299790412209E-2</v>
      </c>
      <c r="E2387" s="5">
        <f t="shared" si="498"/>
        <v>2.2751170101487084E-4</v>
      </c>
      <c r="G2387" s="25" t="str">
        <f>IF(VLOOKUP(A2387,Aux!B:C,2,FALSE)=0,"",VLOOKUP(A2387,Aux!B:C,2,FALSE))</f>
        <v/>
      </c>
      <c r="H2387" s="25" t="str">
        <f t="shared" si="487"/>
        <v/>
      </c>
      <c r="L2387" s="13">
        <f t="shared" si="490"/>
        <v>223839.43359349077</v>
      </c>
      <c r="M2387" s="14">
        <f t="shared" si="491"/>
        <v>-2799.8695538240563</v>
      </c>
      <c r="N2387" s="14">
        <f t="shared" si="492"/>
        <v>24.450208726148329</v>
      </c>
      <c r="O2387" s="1">
        <f t="shared" si="493"/>
        <v>2.8299805468424584</v>
      </c>
      <c r="P2387" s="1">
        <f t="shared" si="494"/>
        <v>1924.1981573613521</v>
      </c>
      <c r="S2387" s="6">
        <f t="shared" si="488"/>
        <v>0.51977912902896795</v>
      </c>
      <c r="T2387" s="6">
        <f t="shared" si="489"/>
        <v>0.48022087097103228</v>
      </c>
      <c r="V2387" s="1">
        <f t="shared" si="495"/>
        <v>219821.52125336343</v>
      </c>
      <c r="W2387" s="7">
        <f t="shared" si="496"/>
        <v>-1.2322912888509402E-2</v>
      </c>
      <c r="X2387" s="7">
        <f t="shared" si="497"/>
        <v>-1.0201836970373458E-2</v>
      </c>
      <c r="Y2387">
        <f>LN(B2387/B2386)</f>
        <v>-2.3779811605150743E-2</v>
      </c>
      <c r="Z2387">
        <f>LN(C2387/C2386)</f>
        <v>2.2748582415260638E-4</v>
      </c>
    </row>
    <row r="2388" spans="1:26" x14ac:dyDescent="0.3">
      <c r="A2388" s="11">
        <v>43703</v>
      </c>
      <c r="B2388" s="12">
        <v>40555.199999999997</v>
      </c>
      <c r="C2388" s="12">
        <v>55.876171100000001</v>
      </c>
      <c r="D2388" s="16">
        <f t="shared" si="486"/>
        <v>-1.3551169089946802E-2</v>
      </c>
      <c r="E2388" s="15">
        <f t="shared" si="498"/>
        <v>2.2752976429019078E-4</v>
      </c>
      <c r="G2388" s="25" t="str">
        <f>IF(VLOOKUP(A2388,Aux!B:C,2,FALSE)=0,"",VLOOKUP(A2388,Aux!B:C,2,FALSE))</f>
        <v/>
      </c>
      <c r="H2388" s="25" t="str">
        <f t="shared" si="487"/>
        <v/>
      </c>
      <c r="L2388" s="13">
        <f t="shared" si="490"/>
        <v>222287.25254433285</v>
      </c>
      <c r="M2388" s="14">
        <f t="shared" si="491"/>
        <v>-1576.6387622568777</v>
      </c>
      <c r="N2388" s="14">
        <f t="shared" si="492"/>
        <v>24.457713098954027</v>
      </c>
      <c r="O2388" s="1">
        <f t="shared" si="493"/>
        <v>2.8299805468424584</v>
      </c>
      <c r="P2388" s="1">
        <f t="shared" si="494"/>
        <v>1924.1981573613521</v>
      </c>
      <c r="S2388" s="6">
        <f t="shared" si="488"/>
        <v>0.51631582899885586</v>
      </c>
      <c r="T2388" s="6">
        <f t="shared" si="489"/>
        <v>0.4836841710011443</v>
      </c>
      <c r="V2388" s="1">
        <f t="shared" si="495"/>
        <v>218564.66122106678</v>
      </c>
      <c r="W2388" s="7">
        <f t="shared" si="496"/>
        <v>-6.95850466038107E-3</v>
      </c>
      <c r="X2388" s="7">
        <f t="shared" si="497"/>
        <v>-5.7340469488481281E-3</v>
      </c>
      <c r="Y2388">
        <f>LN(B2388/B2387)</f>
        <v>-1.3643824190572735E-2</v>
      </c>
      <c r="Z2388">
        <f>LN(C2388/C2387)</f>
        <v>2.2750388331909156E-4</v>
      </c>
    </row>
    <row r="2389" spans="1:26" x14ac:dyDescent="0.3">
      <c r="A2389" s="9">
        <v>43704</v>
      </c>
      <c r="B2389" s="1">
        <v>40932</v>
      </c>
      <c r="C2389" s="1">
        <v>55.888881699999999</v>
      </c>
      <c r="D2389" s="6">
        <f t="shared" si="486"/>
        <v>9.2910403598058799E-3</v>
      </c>
      <c r="E2389" s="5">
        <f t="shared" si="498"/>
        <v>2.2747800627298531E-4</v>
      </c>
      <c r="G2389" s="25" t="str">
        <f>IF(VLOOKUP(A2389,Aux!B:C,2,FALSE)=0,"",VLOOKUP(A2389,Aux!B:C,2,FALSE))</f>
        <v/>
      </c>
      <c r="H2389" s="25" t="str">
        <f t="shared" si="487"/>
        <v/>
      </c>
      <c r="L2389" s="13">
        <f t="shared" si="490"/>
        <v>223378.04692748206</v>
      </c>
      <c r="M2389" s="14">
        <f t="shared" si="491"/>
        <v>1066.3366700502465</v>
      </c>
      <c r="N2389" s="14">
        <f t="shared" si="492"/>
        <v>24.457713098954027</v>
      </c>
      <c r="O2389" s="1">
        <f t="shared" si="493"/>
        <v>2.8299805468424584</v>
      </c>
      <c r="P2389" s="1">
        <f t="shared" si="494"/>
        <v>1924.1981573613521</v>
      </c>
      <c r="S2389" s="6">
        <f t="shared" si="488"/>
        <v>0.51856825384887084</v>
      </c>
      <c r="T2389" s="6">
        <f t="shared" si="489"/>
        <v>0.48143174615112927</v>
      </c>
      <c r="V2389" s="1">
        <f t="shared" si="495"/>
        <v>219462.38729746657</v>
      </c>
      <c r="W2389" s="7">
        <f t="shared" si="496"/>
        <v>4.8951379549174627E-3</v>
      </c>
      <c r="X2389" s="7">
        <f t="shared" si="497"/>
        <v>4.0989584381213064E-3</v>
      </c>
      <c r="Y2389">
        <f>LN(B2389/B2388)</f>
        <v>9.2481441399559754E-3</v>
      </c>
      <c r="Z2389">
        <f>LN(C2389/C2388)</f>
        <v>2.2745213707435781E-4</v>
      </c>
    </row>
    <row r="2390" spans="1:26" x14ac:dyDescent="0.3">
      <c r="A2390" s="11">
        <v>43705</v>
      </c>
      <c r="B2390" s="12">
        <v>41302.1</v>
      </c>
      <c r="C2390" s="12">
        <v>55.901596099999999</v>
      </c>
      <c r="D2390" s="16">
        <f t="shared" si="486"/>
        <v>9.0418254666275732E-3</v>
      </c>
      <c r="E2390" s="15">
        <f t="shared" si="498"/>
        <v>2.2749426385471061E-4</v>
      </c>
      <c r="G2390" s="25" t="str">
        <f>IF(VLOOKUP(A2390,Aux!B:C,2,FALSE)=0,"",VLOOKUP(A2390,Aux!B:C,2,FALSE))</f>
        <v/>
      </c>
      <c r="H2390" s="25" t="str">
        <f t="shared" si="487"/>
        <v/>
      </c>
      <c r="L2390" s="13">
        <f t="shared" si="490"/>
        <v>224449.88775292042</v>
      </c>
      <c r="M2390" s="14">
        <f t="shared" si="491"/>
        <v>1047.3758003863898</v>
      </c>
      <c r="N2390" s="14">
        <f t="shared" si="492"/>
        <v>24.465025051955415</v>
      </c>
      <c r="O2390" s="1">
        <f t="shared" si="493"/>
        <v>2.8299805468424584</v>
      </c>
      <c r="P2390" s="1">
        <f t="shared" si="494"/>
        <v>1924.1981573613521</v>
      </c>
      <c r="S2390" s="6">
        <f t="shared" si="488"/>
        <v>0.52075828913940303</v>
      </c>
      <c r="T2390" s="6">
        <f t="shared" si="489"/>
        <v>0.47924171086059703</v>
      </c>
      <c r="V2390" s="1">
        <f t="shared" si="495"/>
        <v>220344.66474060243</v>
      </c>
      <c r="W2390" s="7">
        <f t="shared" si="496"/>
        <v>4.7868513288600112E-3</v>
      </c>
      <c r="X2390" s="7">
        <f t="shared" si="497"/>
        <v>4.0121167796409703E-3</v>
      </c>
      <c r="Y2390">
        <f>LN(B2390/B2389)</f>
        <v>9.0011929074170442E-3</v>
      </c>
      <c r="Z2390">
        <f>LN(C2390/C2389)</f>
        <v>2.2746839095854981E-4</v>
      </c>
    </row>
    <row r="2391" spans="1:26" x14ac:dyDescent="0.3">
      <c r="A2391" s="9">
        <v>43706</v>
      </c>
      <c r="B2391" s="1">
        <v>42270.96</v>
      </c>
      <c r="C2391" s="1">
        <v>55.914314300000001</v>
      </c>
      <c r="D2391" s="6">
        <f t="shared" si="486"/>
        <v>2.3457887129225918E-2</v>
      </c>
      <c r="E2391" s="5">
        <f t="shared" si="498"/>
        <v>2.2751049857783201E-4</v>
      </c>
      <c r="G2391" s="25" t="str">
        <f>IF(VLOOKUP(A2391,Aux!B:C,2,FALSE)=0,"",VLOOKUP(A2391,Aux!B:C,2,FALSE))</f>
        <v/>
      </c>
      <c r="H2391" s="25" t="str">
        <f t="shared" si="487"/>
        <v/>
      </c>
      <c r="L2391" s="13">
        <f t="shared" si="490"/>
        <v>227216.21504253917</v>
      </c>
      <c r="M2391" s="14">
        <f t="shared" si="491"/>
        <v>2741.8549526137858</v>
      </c>
      <c r="N2391" s="14">
        <f t="shared" si="492"/>
        <v>24.472337004956803</v>
      </c>
      <c r="O2391" s="1">
        <f t="shared" si="493"/>
        <v>2.8299805468424584</v>
      </c>
      <c r="P2391" s="1">
        <f t="shared" si="494"/>
        <v>1924.1981573613521</v>
      </c>
      <c r="S2391" s="6">
        <f t="shared" si="488"/>
        <v>0.52648528835831299</v>
      </c>
      <c r="T2391" s="6">
        <f t="shared" si="489"/>
        <v>0.47351471164168707</v>
      </c>
      <c r="V2391" s="1">
        <f t="shared" si="495"/>
        <v>222608.31094957853</v>
      </c>
      <c r="W2391" s="7">
        <f t="shared" si="496"/>
        <v>1.2249588196164942E-2</v>
      </c>
      <c r="X2391" s="7">
        <f t="shared" si="497"/>
        <v>1.0220795610796028E-2</v>
      </c>
      <c r="Y2391">
        <f>LN(B2391/B2390)</f>
        <v>2.3186979331532815E-2</v>
      </c>
      <c r="Z2391">
        <f>LN(C2391/C2390)</f>
        <v>2.2748462198907311E-4</v>
      </c>
    </row>
    <row r="2392" spans="1:26" x14ac:dyDescent="0.3">
      <c r="A2392" s="11">
        <v>43707</v>
      </c>
      <c r="B2392" s="12">
        <v>42602.77</v>
      </c>
      <c r="C2392" s="12">
        <v>55.927036299999997</v>
      </c>
      <c r="D2392" s="16">
        <f t="shared" si="486"/>
        <v>7.8495969810006283E-3</v>
      </c>
      <c r="E2392" s="15">
        <f t="shared" si="498"/>
        <v>2.2752671045456196E-4</v>
      </c>
      <c r="G2392" s="25" t="str">
        <f>IF(VLOOKUP(A2392,Aux!B:C,2,FALSE)=0,"",VLOOKUP(A2392,Aux!B:C,2,FALSE))</f>
        <v/>
      </c>
      <c r="H2392" s="25" t="str">
        <f t="shared" si="487"/>
        <v/>
      </c>
      <c r="L2392" s="13">
        <f t="shared" si="490"/>
        <v>228179.71053674488</v>
      </c>
      <c r="M2392" s="14">
        <f t="shared" si="491"/>
        <v>939.01584524778957</v>
      </c>
      <c r="N2392" s="14">
        <f t="shared" si="492"/>
        <v>24.479648957944519</v>
      </c>
      <c r="O2392" s="1">
        <f t="shared" si="493"/>
        <v>2.8299805468424584</v>
      </c>
      <c r="P2392" s="1">
        <f t="shared" si="494"/>
        <v>1924.1981573613521</v>
      </c>
      <c r="S2392" s="6">
        <f t="shared" si="488"/>
        <v>0.52837743574132678</v>
      </c>
      <c r="T2392" s="6">
        <f t="shared" si="489"/>
        <v>0.47162256425867333</v>
      </c>
      <c r="V2392" s="1">
        <f t="shared" si="495"/>
        <v>223402.26902552973</v>
      </c>
      <c r="W2392" s="7">
        <f t="shared" si="496"/>
        <v>4.2314692676352714E-3</v>
      </c>
      <c r="X2392" s="7">
        <f t="shared" si="497"/>
        <v>3.5602694207292462E-3</v>
      </c>
      <c r="Y2392">
        <f>LN(B2392/B2391)</f>
        <v>7.818949172109832E-3</v>
      </c>
      <c r="Z2392">
        <f>LN(C2392/C2391)</f>
        <v>2.275008301781385E-4</v>
      </c>
    </row>
    <row r="2393" spans="1:26" x14ac:dyDescent="0.3">
      <c r="A2393" s="9">
        <v>43710</v>
      </c>
      <c r="B2393" s="1">
        <v>42424.78</v>
      </c>
      <c r="C2393" s="1">
        <v>55.939762100000003</v>
      </c>
      <c r="D2393" s="6">
        <f t="shared" si="486"/>
        <v>-4.1778973526838126E-3</v>
      </c>
      <c r="E2393" s="5">
        <f t="shared" si="498"/>
        <v>2.2754289949755702E-4</v>
      </c>
      <c r="G2393" s="25" t="str">
        <f>IF(VLOOKUP(A2393,Aux!B:C,2,FALSE)=0,"",VLOOKUP(A2393,Aux!B:C,2,FALSE))</f>
        <v/>
      </c>
      <c r="H2393" s="25" t="str">
        <f t="shared" si="487"/>
        <v/>
      </c>
      <c r="L2393" s="13">
        <f t="shared" si="490"/>
        <v>227700.48926012334</v>
      </c>
      <c r="M2393" s="14">
        <f t="shared" si="491"/>
        <v>-503.70823753248339</v>
      </c>
      <c r="N2393" s="14">
        <f t="shared" si="492"/>
        <v>24.486960910959581</v>
      </c>
      <c r="O2393" s="1">
        <f t="shared" si="493"/>
        <v>2.8299805468424584</v>
      </c>
      <c r="P2393" s="1">
        <f t="shared" si="494"/>
        <v>1924.1981573613521</v>
      </c>
      <c r="S2393" s="6">
        <f t="shared" si="488"/>
        <v>0.52727731281645973</v>
      </c>
      <c r="T2393" s="6">
        <f t="shared" si="489"/>
        <v>0.47272268718354044</v>
      </c>
      <c r="V2393" s="1">
        <f t="shared" si="495"/>
        <v>223020.10916968487</v>
      </c>
      <c r="W2393" s="7">
        <f t="shared" si="496"/>
        <v>-2.1024008208813936E-3</v>
      </c>
      <c r="X2393" s="7">
        <f t="shared" si="497"/>
        <v>-1.7121003240990976E-3</v>
      </c>
      <c r="Y2393">
        <f>LN(B2393/B2392)</f>
        <v>-4.1866491504093158E-3</v>
      </c>
      <c r="Z2393">
        <f>LN(C2393/C2392)</f>
        <v>2.2751701553840078E-4</v>
      </c>
    </row>
    <row r="2394" spans="1:26" x14ac:dyDescent="0.3">
      <c r="A2394" s="11">
        <v>43711</v>
      </c>
      <c r="B2394" s="12">
        <v>42010.85</v>
      </c>
      <c r="C2394" s="12">
        <v>55.952487900000001</v>
      </c>
      <c r="D2394" s="16">
        <f t="shared" si="486"/>
        <v>-9.7567977960050234E-3</v>
      </c>
      <c r="E2394" s="15">
        <f t="shared" si="498"/>
        <v>2.2749113550490918E-4</v>
      </c>
      <c r="G2394" s="25" t="str">
        <f>IF(VLOOKUP(A2394,Aux!B:C,2,FALSE)=0,"",VLOOKUP(A2394,Aux!B:C,2,FALSE))</f>
        <v/>
      </c>
      <c r="H2394" s="25" t="str">
        <f t="shared" si="487"/>
        <v/>
      </c>
      <c r="L2394" s="13">
        <f t="shared" si="490"/>
        <v>226553.5623732798</v>
      </c>
      <c r="M2394" s="14">
        <f t="shared" si="491"/>
        <v>-1171.4138477544996</v>
      </c>
      <c r="N2394" s="14">
        <f t="shared" si="492"/>
        <v>24.486960910945907</v>
      </c>
      <c r="O2394" s="1">
        <f t="shared" si="493"/>
        <v>2.8299805468424584</v>
      </c>
      <c r="P2394" s="1">
        <f t="shared" si="494"/>
        <v>1924.1981573613521</v>
      </c>
      <c r="S2394" s="6">
        <f t="shared" si="488"/>
        <v>0.52477607066018306</v>
      </c>
      <c r="T2394" s="6">
        <f t="shared" si="489"/>
        <v>0.475223929339817</v>
      </c>
      <c r="V2394" s="1">
        <f t="shared" si="495"/>
        <v>222093.62748061467</v>
      </c>
      <c r="W2394" s="7">
        <f t="shared" si="496"/>
        <v>-5.0497263366735493E-3</v>
      </c>
      <c r="X2394" s="7">
        <f t="shared" si="497"/>
        <v>-4.1629046724942376E-3</v>
      </c>
      <c r="Y2394">
        <f>LN(B2394/B2393)</f>
        <v>-9.8047072307675641E-3</v>
      </c>
      <c r="Z2394">
        <f>LN(C2394/C2393)</f>
        <v>2.2746526332026326E-4</v>
      </c>
    </row>
    <row r="2395" spans="1:26" x14ac:dyDescent="0.3">
      <c r="A2395" s="9">
        <v>43712</v>
      </c>
      <c r="B2395" s="1">
        <v>42595.23</v>
      </c>
      <c r="C2395" s="1">
        <v>55.965217600000003</v>
      </c>
      <c r="D2395" s="6">
        <f t="shared" ref="D2395:D2458" si="499">B2395/B2394-1</f>
        <v>1.3910216051329805E-2</v>
      </c>
      <c r="E2395" s="5">
        <f t="shared" si="498"/>
        <v>2.2750909705315792E-4</v>
      </c>
      <c r="G2395" s="25" t="str">
        <f>IF(VLOOKUP(A2395,Aux!B:C,2,FALSE)=0,"",VLOOKUP(A2395,Aux!B:C,2,FALSE))</f>
        <v/>
      </c>
      <c r="H2395" s="25" t="str">
        <f t="shared" si="487"/>
        <v/>
      </c>
      <c r="L2395" s="13">
        <f t="shared" si="490"/>
        <v>228231.84087052738</v>
      </c>
      <c r="M2395" s="14">
        <f t="shared" si="491"/>
        <v>1653.784031963809</v>
      </c>
      <c r="N2395" s="14">
        <f t="shared" si="492"/>
        <v>24.49446528376528</v>
      </c>
      <c r="O2395" s="1">
        <f t="shared" si="493"/>
        <v>2.8299805468424584</v>
      </c>
      <c r="P2395" s="1">
        <f t="shared" si="494"/>
        <v>1924.1981573613521</v>
      </c>
      <c r="S2395" s="6">
        <f t="shared" si="488"/>
        <v>0.52816325639971939</v>
      </c>
      <c r="T2395" s="6">
        <f t="shared" si="489"/>
        <v>0.47183674360028083</v>
      </c>
      <c r="V2395" s="1">
        <f t="shared" si="495"/>
        <v>223470.29060743173</v>
      </c>
      <c r="W2395" s="7">
        <f t="shared" si="496"/>
        <v>7.3805628044987196E-3</v>
      </c>
      <c r="X2395" s="7">
        <f t="shared" si="497"/>
        <v>6.1794389161127158E-3</v>
      </c>
      <c r="Y2395">
        <f>LN(B2395/B2394)</f>
        <v>1.3814356920633873E-2</v>
      </c>
      <c r="Z2395">
        <f>LN(C2395/C2394)</f>
        <v>2.2748322078318709E-4</v>
      </c>
    </row>
    <row r="2396" spans="1:26" x14ac:dyDescent="0.3">
      <c r="A2396" s="11">
        <v>43713</v>
      </c>
      <c r="B2396" s="12">
        <v>43005.18</v>
      </c>
      <c r="C2396" s="12">
        <v>55.977950999999997</v>
      </c>
      <c r="D2396" s="16">
        <f t="shared" si="499"/>
        <v>9.6243170890260021E-3</v>
      </c>
      <c r="E2396" s="15">
        <f t="shared" si="498"/>
        <v>2.2752346092902442E-4</v>
      </c>
      <c r="G2396" s="25" t="str">
        <f>IF(VLOOKUP(A2396,Aux!B:C,2,FALSE)=0,"",VLOOKUP(A2396,Aux!B:C,2,FALSE))</f>
        <v/>
      </c>
      <c r="H2396" s="25" t="str">
        <f t="shared" si="487"/>
        <v/>
      </c>
      <c r="L2396" s="13">
        <f t="shared" si="490"/>
        <v>229416.49298052237</v>
      </c>
      <c r="M2396" s="14">
        <f t="shared" si="491"/>
        <v>1160.1505251780575</v>
      </c>
      <c r="N2396" s="14">
        <f t="shared" si="492"/>
        <v>24.501584816935011</v>
      </c>
      <c r="O2396" s="1">
        <f t="shared" si="493"/>
        <v>2.8299805468424584</v>
      </c>
      <c r="P2396" s="1">
        <f t="shared" si="494"/>
        <v>1924.1981573613521</v>
      </c>
      <c r="S2396" s="6">
        <f t="shared" si="488"/>
        <v>0.53049290934715443</v>
      </c>
      <c r="T2396" s="6">
        <f t="shared" si="489"/>
        <v>0.46950709065284568</v>
      </c>
      <c r="V2396" s="1">
        <f t="shared" si="495"/>
        <v>224444.54590004479</v>
      </c>
      <c r="W2396" s="7">
        <f t="shared" si="496"/>
        <v>5.1771400368596397E-3</v>
      </c>
      <c r="X2396" s="7">
        <f t="shared" si="497"/>
        <v>4.350187801862658E-3</v>
      </c>
      <c r="Y2396">
        <f>LN(B2396/B2395)</f>
        <v>9.5782983794765221E-3</v>
      </c>
      <c r="Z2396">
        <f>LN(C2396/C2395)</f>
        <v>2.2749758139178138E-4</v>
      </c>
    </row>
    <row r="2397" spans="1:26" x14ac:dyDescent="0.3">
      <c r="A2397" s="9">
        <v>43714</v>
      </c>
      <c r="B2397" s="1">
        <v>43246.32</v>
      </c>
      <c r="C2397" s="1">
        <v>55.9906845</v>
      </c>
      <c r="D2397" s="6">
        <f t="shared" si="499"/>
        <v>5.6072315009494389E-3</v>
      </c>
      <c r="E2397" s="5">
        <f t="shared" si="498"/>
        <v>2.2747349219698343E-4</v>
      </c>
      <c r="G2397" s="25" t="str">
        <f>IF(VLOOKUP(A2397,Aux!B:C,2,FALSE)=0,"",VLOOKUP(A2397,Aux!B:C,2,FALSE))</f>
        <v/>
      </c>
      <c r="H2397" s="25" t="str">
        <f t="shared" si="487"/>
        <v/>
      </c>
      <c r="L2397" s="13">
        <f t="shared" si="490"/>
        <v>230123.4162668247</v>
      </c>
      <c r="M2397" s="14">
        <f t="shared" si="491"/>
        <v>682.42150906558879</v>
      </c>
      <c r="N2397" s="14">
        <f t="shared" si="492"/>
        <v>24.501777236766667</v>
      </c>
      <c r="O2397" s="1">
        <f t="shared" si="493"/>
        <v>2.8299805468424584</v>
      </c>
      <c r="P2397" s="1">
        <f t="shared" si="494"/>
        <v>1924.1981573613521</v>
      </c>
      <c r="S2397" s="6">
        <f t="shared" si="488"/>
        <v>0.53182873046095791</v>
      </c>
      <c r="T2397" s="6">
        <f t="shared" si="489"/>
        <v>0.46817126953904231</v>
      </c>
      <c r="V2397" s="1">
        <f t="shared" si="495"/>
        <v>225029.35084136575</v>
      </c>
      <c r="W2397" s="7">
        <f t="shared" si="496"/>
        <v>3.076659196346193E-3</v>
      </c>
      <c r="X2397" s="7">
        <f t="shared" si="497"/>
        <v>2.602176791811964E-3</v>
      </c>
      <c r="Y2397">
        <f>LN(B2397/B2396)</f>
        <v>5.5915694981049403E-3</v>
      </c>
      <c r="Z2397">
        <f>LN(C2397/C2396)</f>
        <v>2.2744762402496523E-4</v>
      </c>
    </row>
    <row r="2398" spans="1:26" x14ac:dyDescent="0.3">
      <c r="A2398" s="11">
        <v>43717</v>
      </c>
      <c r="B2398" s="12">
        <v>43241.11</v>
      </c>
      <c r="C2398" s="12">
        <v>56.003421799999998</v>
      </c>
      <c r="D2398" s="16">
        <f t="shared" si="499"/>
        <v>-1.2047267836889919E-4</v>
      </c>
      <c r="E2398" s="15">
        <f t="shared" si="498"/>
        <v>2.2748962820773322E-4</v>
      </c>
      <c r="G2398" s="25" t="str">
        <f>IF(VLOOKUP(A2398,Aux!B:C,2,FALSE)=0,"",VLOOKUP(A2398,Aux!B:C,2,FALSE))</f>
        <v/>
      </c>
      <c r="H2398" s="25" t="str">
        <f t="shared" si="487"/>
        <v/>
      </c>
      <c r="L2398" s="13">
        <f t="shared" si="490"/>
        <v>230133.18115736541</v>
      </c>
      <c r="M2398" s="14">
        <f t="shared" si="491"/>
        <v>-14.744198649046737</v>
      </c>
      <c r="N2398" s="14">
        <f t="shared" si="492"/>
        <v>24.509089189754384</v>
      </c>
      <c r="O2398" s="1">
        <f t="shared" si="493"/>
        <v>2.8299805468424584</v>
      </c>
      <c r="P2398" s="1">
        <f t="shared" si="494"/>
        <v>1924.1981573613521</v>
      </c>
      <c r="S2398" s="6">
        <f t="shared" si="488"/>
        <v>0.53174209607000167</v>
      </c>
      <c r="T2398" s="6">
        <f t="shared" si="489"/>
        <v>0.46825790392999861</v>
      </c>
      <c r="V2398" s="1">
        <f t="shared" si="495"/>
        <v>225045.82621642094</v>
      </c>
      <c r="W2398" s="7">
        <f t="shared" si="496"/>
        <v>4.2432376186805613E-5</v>
      </c>
      <c r="X2398" s="7">
        <f t="shared" si="497"/>
        <v>7.3211658417883624E-5</v>
      </c>
      <c r="Y2398">
        <f>LN(B2398/B2397)</f>
        <v>-1.2047993578490196E-4</v>
      </c>
      <c r="Z2398">
        <f>LN(C2398/C2397)</f>
        <v>2.2746375636590493E-4</v>
      </c>
    </row>
    <row r="2399" spans="1:26" x14ac:dyDescent="0.3">
      <c r="A2399" s="9">
        <v>43718</v>
      </c>
      <c r="B2399" s="1">
        <v>43189.57</v>
      </c>
      <c r="C2399" s="1">
        <v>56.016166699999999</v>
      </c>
      <c r="D2399" s="6">
        <f t="shared" si="499"/>
        <v>-1.1919212989676131E-3</v>
      </c>
      <c r="E2399" s="5">
        <f t="shared" si="498"/>
        <v>2.2757359444058878E-4</v>
      </c>
      <c r="G2399" s="25" t="str">
        <f>IF(VLOOKUP(A2399,Aux!B:C,2,FALSE)=0,"",VLOOKUP(A2399,Aux!B:C,2,FALSE))</f>
        <v/>
      </c>
      <c r="H2399" s="25" t="str">
        <f t="shared" si="487"/>
        <v/>
      </c>
      <c r="L2399" s="13">
        <f t="shared" si="490"/>
        <v>230011.8476730769</v>
      </c>
      <c r="M2399" s="14">
        <f t="shared" si="491"/>
        <v>-145.85719738426278</v>
      </c>
      <c r="N2399" s="14">
        <f t="shared" si="492"/>
        <v>24.523713095757159</v>
      </c>
      <c r="O2399" s="1">
        <f t="shared" si="493"/>
        <v>2.8299805468424584</v>
      </c>
      <c r="P2399" s="1">
        <f t="shared" si="494"/>
        <v>1924.1981573613521</v>
      </c>
      <c r="S2399" s="6">
        <f t="shared" si="488"/>
        <v>0.53138846612898738</v>
      </c>
      <c r="T2399" s="6">
        <f t="shared" si="489"/>
        <v>0.46861153387101284</v>
      </c>
      <c r="V2399" s="1">
        <f t="shared" si="495"/>
        <v>224955.43366305076</v>
      </c>
      <c r="W2399" s="7">
        <f t="shared" si="496"/>
        <v>-5.2737063098998171E-4</v>
      </c>
      <c r="X2399" s="7">
        <f t="shared" si="497"/>
        <v>-4.0174356227425063E-4</v>
      </c>
      <c r="Y2399">
        <f>LN(B2399/B2398)</f>
        <v>-1.1926322021089547E-3</v>
      </c>
      <c r="Z2399">
        <f>LN(C2399/C2398)</f>
        <v>2.2754770349813421E-4</v>
      </c>
    </row>
    <row r="2400" spans="1:26" x14ac:dyDescent="0.3">
      <c r="A2400" s="11">
        <v>43719</v>
      </c>
      <c r="B2400" s="12">
        <v>43439.35</v>
      </c>
      <c r="C2400" s="12">
        <v>56.028907799999999</v>
      </c>
      <c r="D2400" s="16">
        <f t="shared" si="499"/>
        <v>5.7833407463885322E-3</v>
      </c>
      <c r="E2400" s="15">
        <f t="shared" si="498"/>
        <v>2.2745397892420804E-4</v>
      </c>
      <c r="G2400" s="25" t="str">
        <f>IF(VLOOKUP(A2400,Aux!B:C,2,FALSE)=0,"",VLOOKUP(A2400,Aux!B:C,2,FALSE))</f>
        <v/>
      </c>
      <c r="H2400" s="25" t="str">
        <f t="shared" si="487"/>
        <v/>
      </c>
      <c r="L2400" s="13">
        <f t="shared" si="490"/>
        <v>230743.23661520996</v>
      </c>
      <c r="M2400" s="14">
        <f t="shared" si="491"/>
        <v>706.87254099030599</v>
      </c>
      <c r="N2400" s="14">
        <f t="shared" si="492"/>
        <v>24.516401142755772</v>
      </c>
      <c r="O2400" s="1">
        <f t="shared" si="493"/>
        <v>2.8299805468424584</v>
      </c>
      <c r="P2400" s="1">
        <f t="shared" si="494"/>
        <v>1924.1981573613521</v>
      </c>
      <c r="S2400" s="6">
        <f t="shared" si="488"/>
        <v>0.53276757867657287</v>
      </c>
      <c r="T2400" s="6">
        <f t="shared" si="489"/>
        <v>0.4672324213234274</v>
      </c>
      <c r="V2400" s="1">
        <f t="shared" si="495"/>
        <v>225560.18838880723</v>
      </c>
      <c r="W2400" s="7">
        <f t="shared" si="496"/>
        <v>3.1747432915174923E-3</v>
      </c>
      <c r="X2400" s="7">
        <f t="shared" si="497"/>
        <v>2.6847241667012495E-3</v>
      </c>
      <c r="Y2400">
        <f>LN(B2400/B2399)</f>
        <v>5.7666814314300992E-3</v>
      </c>
      <c r="Z2400">
        <f>LN(C2400/C2399)</f>
        <v>2.2742811518974235E-4</v>
      </c>
    </row>
    <row r="2401" spans="1:26" x14ac:dyDescent="0.3">
      <c r="A2401" s="9">
        <v>43720</v>
      </c>
      <c r="B2401" s="1">
        <v>43802.51</v>
      </c>
      <c r="C2401" s="1">
        <v>56.041656500000002</v>
      </c>
      <c r="D2401" s="6">
        <f t="shared" si="499"/>
        <v>8.3601619269164651E-3</v>
      </c>
      <c r="E2401" s="5">
        <f t="shared" si="498"/>
        <v>2.2753789964125026E-4</v>
      </c>
      <c r="G2401" s="25" t="str">
        <f>IF(VLOOKUP(A2401,Aux!B:C,2,FALSE)=0,"",VLOOKUP(A2401,Aux!B:C,2,FALSE))</f>
        <v/>
      </c>
      <c r="H2401" s="25" t="str">
        <f t="shared" si="487"/>
        <v/>
      </c>
      <c r="L2401" s="13">
        <f t="shared" si="490"/>
        <v>231795.50337565003</v>
      </c>
      <c r="M2401" s="14">
        <f t="shared" si="491"/>
        <v>1027.7357353913171</v>
      </c>
      <c r="N2401" s="14">
        <f t="shared" si="492"/>
        <v>24.531025048758547</v>
      </c>
      <c r="O2401" s="1">
        <f t="shared" si="493"/>
        <v>2.8299805468424584</v>
      </c>
      <c r="P2401" s="1">
        <f t="shared" si="494"/>
        <v>1924.1981573613521</v>
      </c>
      <c r="S2401" s="6">
        <f t="shared" si="488"/>
        <v>0.53478281242574877</v>
      </c>
      <c r="T2401" s="6">
        <f t="shared" si="489"/>
        <v>0.46521718757425151</v>
      </c>
      <c r="V2401" s="1">
        <f t="shared" si="495"/>
        <v>226426.53174282407</v>
      </c>
      <c r="W2401" s="7">
        <f t="shared" si="496"/>
        <v>4.5499694828384897E-3</v>
      </c>
      <c r="X2401" s="7">
        <f t="shared" si="497"/>
        <v>3.8334949961507277E-3</v>
      </c>
      <c r="Y2401">
        <f>LN(B2401/B2400)</f>
        <v>8.3254093304078371E-3</v>
      </c>
      <c r="Z2401">
        <f>LN(C2401/C2400)</f>
        <v>2.275120168195045E-4</v>
      </c>
    </row>
    <row r="2402" spans="1:26" x14ac:dyDescent="0.3">
      <c r="A2402" s="11">
        <v>43721</v>
      </c>
      <c r="B2402" s="12">
        <v>43439.89</v>
      </c>
      <c r="C2402" s="12">
        <v>56.054405199999998</v>
      </c>
      <c r="D2402" s="16">
        <f t="shared" si="499"/>
        <v>-8.2785210253933927E-3</v>
      </c>
      <c r="E2402" s="15">
        <f t="shared" si="498"/>
        <v>2.2748613792300532E-4</v>
      </c>
      <c r="G2402" s="25" t="str">
        <f>IF(VLOOKUP(A2402,Aux!B:C,2,FALSE)=0,"",VLOOKUP(A2402,Aux!B:C,2,FALSE))</f>
        <v/>
      </c>
      <c r="H2402" s="25" t="str">
        <f t="shared" si="487"/>
        <v/>
      </c>
      <c r="L2402" s="13">
        <f t="shared" si="490"/>
        <v>230793.82685480276</v>
      </c>
      <c r="M2402" s="14">
        <f t="shared" si="491"/>
        <v>-1026.2075458960196</v>
      </c>
      <c r="N2402" s="14">
        <f t="shared" si="492"/>
        <v>24.531025048744876</v>
      </c>
      <c r="O2402" s="1">
        <f t="shared" si="493"/>
        <v>2.8299805468424584</v>
      </c>
      <c r="P2402" s="1">
        <f t="shared" si="494"/>
        <v>1924.1981573613521</v>
      </c>
      <c r="S2402" s="6">
        <f t="shared" si="488"/>
        <v>0.53265741693479796</v>
      </c>
      <c r="T2402" s="6">
        <f t="shared" si="489"/>
        <v>0.46734258306520238</v>
      </c>
      <c r="V2402" s="1">
        <f t="shared" si="495"/>
        <v>225618.47524892061</v>
      </c>
      <c r="W2402" s="7">
        <f t="shared" si="496"/>
        <v>-4.330744446326527E-3</v>
      </c>
      <c r="X2402" s="7">
        <f t="shared" si="497"/>
        <v>-3.5751190349840437E-3</v>
      </c>
      <c r="Y2402">
        <f>LN(B2402/B2401)</f>
        <v>-8.3129782824382329E-3</v>
      </c>
      <c r="Z2402">
        <f>LN(C2402/C2401)</f>
        <v>2.2746026687499391E-4</v>
      </c>
    </row>
    <row r="2403" spans="1:26" x14ac:dyDescent="0.3">
      <c r="A2403" s="9">
        <v>43724</v>
      </c>
      <c r="B2403" s="1">
        <v>43494.239999999998</v>
      </c>
      <c r="C2403" s="1">
        <v>56.067157700000003</v>
      </c>
      <c r="D2403" s="6">
        <f t="shared" si="499"/>
        <v>1.2511541810993343E-3</v>
      </c>
      <c r="E2403" s="5">
        <f t="shared" si="498"/>
        <v>2.2750219103206959E-4</v>
      </c>
      <c r="G2403" s="25" t="str">
        <f>IF(VLOOKUP(A2403,Aux!B:C,2,FALSE)=0,"",VLOOKUP(A2403,Aux!B:C,2,FALSE))</f>
        <v/>
      </c>
      <c r="H2403" s="25" t="str">
        <f t="shared" si="487"/>
        <v/>
      </c>
      <c r="L2403" s="13">
        <f t="shared" si="490"/>
        <v>230972.17463452538</v>
      </c>
      <c r="M2403" s="14">
        <f t="shared" si="491"/>
        <v>153.80944272088348</v>
      </c>
      <c r="N2403" s="14">
        <f t="shared" si="492"/>
        <v>24.538337001759935</v>
      </c>
      <c r="O2403" s="1">
        <f t="shared" si="493"/>
        <v>2.8299805468424584</v>
      </c>
      <c r="P2403" s="1">
        <f t="shared" si="494"/>
        <v>1924.1981573613521</v>
      </c>
      <c r="S2403" s="6">
        <f t="shared" si="488"/>
        <v>0.53291204143729842</v>
      </c>
      <c r="T2403" s="6">
        <f t="shared" si="489"/>
        <v>0.46708795856270191</v>
      </c>
      <c r="V2403" s="1">
        <f t="shared" si="495"/>
        <v>225772.39163180915</v>
      </c>
      <c r="W2403" s="7">
        <f t="shared" si="496"/>
        <v>7.724595921554709E-4</v>
      </c>
      <c r="X2403" s="7">
        <f t="shared" si="497"/>
        <v>6.8196501146516354E-4</v>
      </c>
      <c r="Y2403">
        <f>LN(B2403/B2402)</f>
        <v>1.2503721399416371E-3</v>
      </c>
      <c r="Z2403">
        <f>LN(C2403/C2402)</f>
        <v>2.2747631633290017E-4</v>
      </c>
    </row>
    <row r="2404" spans="1:26" x14ac:dyDescent="0.3">
      <c r="A2404" s="11">
        <v>43725</v>
      </c>
      <c r="B2404" s="12">
        <v>43904.75</v>
      </c>
      <c r="C2404" s="12">
        <v>56.079914100000003</v>
      </c>
      <c r="D2404" s="16">
        <f t="shared" si="499"/>
        <v>9.4382612502252883E-3</v>
      </c>
      <c r="E2404" s="15">
        <f t="shared" si="498"/>
        <v>2.2752000499570713E-4</v>
      </c>
      <c r="G2404" s="25" t="str">
        <f>IF(VLOOKUP(A2404,Aux!B:C,2,FALSE)=0,"",VLOOKUP(A2404,Aux!B:C,2,FALSE))</f>
        <v/>
      </c>
      <c r="H2404" s="25" t="str">
        <f t="shared" si="487"/>
        <v/>
      </c>
      <c r="L2404" s="13">
        <f t="shared" si="490"/>
        <v>232158.45579018426</v>
      </c>
      <c r="M2404" s="14">
        <f t="shared" si="491"/>
        <v>1161.7353142843033</v>
      </c>
      <c r="N2404" s="14">
        <f t="shared" si="492"/>
        <v>24.545841374565637</v>
      </c>
      <c r="O2404" s="1">
        <f t="shared" si="493"/>
        <v>2.8299805468424584</v>
      </c>
      <c r="P2404" s="1">
        <f t="shared" si="494"/>
        <v>1924.1981573613521</v>
      </c>
      <c r="S2404" s="6">
        <f t="shared" si="488"/>
        <v>0.5351930343914475</v>
      </c>
      <c r="T2404" s="6">
        <f t="shared" si="489"/>
        <v>0.46480696560855284</v>
      </c>
      <c r="V2404" s="1">
        <f t="shared" si="495"/>
        <v>226747.99031805777</v>
      </c>
      <c r="W2404" s="7">
        <f t="shared" si="496"/>
        <v>5.1228904854229464E-3</v>
      </c>
      <c r="X2404" s="7">
        <f t="shared" si="497"/>
        <v>4.3118508544372006E-3</v>
      </c>
      <c r="Y2404">
        <f>LN(B2404/B2403)</f>
        <v>9.3939991494047283E-3</v>
      </c>
      <c r="Z2404">
        <f>LN(C2404/C2403)</f>
        <v>2.2749412624458514E-4</v>
      </c>
    </row>
    <row r="2405" spans="1:26" x14ac:dyDescent="0.3">
      <c r="A2405" s="9">
        <v>43726</v>
      </c>
      <c r="B2405" s="1">
        <v>43887.68</v>
      </c>
      <c r="C2405" s="1">
        <v>56.092674299999999</v>
      </c>
      <c r="D2405" s="6">
        <f t="shared" si="499"/>
        <v>-3.887962008666257E-4</v>
      </c>
      <c r="E2405" s="5">
        <f t="shared" si="498"/>
        <v>2.2753601186420447E-4</v>
      </c>
      <c r="G2405" s="25" t="str">
        <f>IF(VLOOKUP(A2405,Aux!B:C,2,FALSE)=0,"",VLOOKUP(A2405,Aux!B:C,2,FALSE))</f>
        <v/>
      </c>
      <c r="H2405" s="25" t="str">
        <f t="shared" si="487"/>
        <v/>
      </c>
      <c r="L2405" s="13">
        <f t="shared" si="490"/>
        <v>232134.70117557721</v>
      </c>
      <c r="M2405" s="14">
        <f t="shared" si="491"/>
        <v>-48.307767934599944</v>
      </c>
      <c r="N2405" s="14">
        <f t="shared" si="492"/>
        <v>24.55315332755335</v>
      </c>
      <c r="O2405" s="1">
        <f t="shared" si="493"/>
        <v>2.8299805468424584</v>
      </c>
      <c r="P2405" s="1">
        <f t="shared" si="494"/>
        <v>1924.1981573613521</v>
      </c>
      <c r="S2405" s="6">
        <f t="shared" si="488"/>
        <v>0.53503969900694015</v>
      </c>
      <c r="T2405" s="6">
        <f t="shared" si="489"/>
        <v>0.46496030099306024</v>
      </c>
      <c r="V2405" s="1">
        <f t="shared" si="495"/>
        <v>226737.15548858131</v>
      </c>
      <c r="W2405" s="7">
        <f t="shared" si="496"/>
        <v>-1.0232593037995463E-4</v>
      </c>
      <c r="X2405" s="7">
        <f t="shared" si="497"/>
        <v>-4.7784716120041205E-5</v>
      </c>
      <c r="Y2405">
        <f>LN(B2405/B2404)</f>
        <v>-3.8887180170571088E-4</v>
      </c>
      <c r="Z2405">
        <f>LN(C2405/C2404)</f>
        <v>2.2751012947190005E-4</v>
      </c>
    </row>
    <row r="2406" spans="1:26" x14ac:dyDescent="0.3">
      <c r="A2406" s="11">
        <v>43727</v>
      </c>
      <c r="B2406" s="12">
        <v>43853.1</v>
      </c>
      <c r="C2406" s="12">
        <v>56.1054344</v>
      </c>
      <c r="D2406" s="16">
        <f t="shared" si="499"/>
        <v>-7.879204368971271E-4</v>
      </c>
      <c r="E2406" s="15">
        <f t="shared" si="498"/>
        <v>2.2748246824089158E-4</v>
      </c>
      <c r="G2406" s="25" t="str">
        <f>IF(VLOOKUP(A2406,Aux!B:C,2,FALSE)=0,"",VLOOKUP(A2406,Aux!B:C,2,FALSE))</f>
        <v/>
      </c>
      <c r="H2406" s="25" t="str">
        <f t="shared" si="487"/>
        <v/>
      </c>
      <c r="L2406" s="13">
        <f t="shared" si="490"/>
        <v>232061.39340917513</v>
      </c>
      <c r="M2406" s="14">
        <f t="shared" si="491"/>
        <v>-97.86072730981715</v>
      </c>
      <c r="N2406" s="14">
        <f t="shared" si="492"/>
        <v>24.552960907749039</v>
      </c>
      <c r="O2406" s="1">
        <f t="shared" si="493"/>
        <v>2.8299805468424584</v>
      </c>
      <c r="P2406" s="1">
        <f t="shared" si="494"/>
        <v>1924.1981573613521</v>
      </c>
      <c r="S2406" s="6">
        <f t="shared" si="488"/>
        <v>0.53478701517540006</v>
      </c>
      <c r="T2406" s="6">
        <f t="shared" si="489"/>
        <v>0.46521298482460044</v>
      </c>
      <c r="V2406" s="1">
        <f t="shared" si="495"/>
        <v>226685.92425288854</v>
      </c>
      <c r="W2406" s="7">
        <f t="shared" si="496"/>
        <v>-3.1584827130913009E-4</v>
      </c>
      <c r="X2406" s="7">
        <f t="shared" si="497"/>
        <v>-2.2597542207156816E-4</v>
      </c>
      <c r="Y2406">
        <f>LN(B2406/B2405)</f>
        <v>-7.8823100935287332E-4</v>
      </c>
      <c r="Z2406">
        <f>LN(C2406/C2405)</f>
        <v>2.274565980274854E-4</v>
      </c>
    </row>
    <row r="2407" spans="1:26" x14ac:dyDescent="0.3">
      <c r="A2407" s="9">
        <v>43728</v>
      </c>
      <c r="B2407" s="1">
        <v>44021.54</v>
      </c>
      <c r="C2407" s="1">
        <v>56.117145499999999</v>
      </c>
      <c r="D2407" s="6">
        <f t="shared" si="499"/>
        <v>3.8410055389470621E-3</v>
      </c>
      <c r="E2407" s="5">
        <f t="shared" si="498"/>
        <v>2.0873379067887221E-4</v>
      </c>
      <c r="G2407" s="25" t="str">
        <f>IF(VLOOKUP(A2407,Aux!B:C,2,FALSE)=0,"",VLOOKUP(A2407,Aux!B:C,2,FALSE))</f>
        <v/>
      </c>
      <c r="H2407" s="25" t="str">
        <f t="shared" si="487"/>
        <v/>
      </c>
      <c r="L2407" s="13">
        <f t="shared" si="490"/>
        <v>232560.60980952595</v>
      </c>
      <c r="M2407" s="14">
        <f t="shared" si="491"/>
        <v>476.6819233101503</v>
      </c>
      <c r="N2407" s="14">
        <f t="shared" si="492"/>
        <v>22.534477040673412</v>
      </c>
      <c r="O2407" s="1">
        <f t="shared" si="493"/>
        <v>2.8299805468424584</v>
      </c>
      <c r="P2407" s="1">
        <f t="shared" si="494"/>
        <v>1924.1981573613521</v>
      </c>
      <c r="S2407" s="6">
        <f t="shared" si="488"/>
        <v>0.53568874773798514</v>
      </c>
      <c r="T2407" s="6">
        <f t="shared" si="489"/>
        <v>0.46431125226201519</v>
      </c>
      <c r="V2407" s="1">
        <f t="shared" si="495"/>
        <v>227100.72050692124</v>
      </c>
      <c r="W2407" s="7">
        <f t="shared" si="496"/>
        <v>2.148914984657223E-3</v>
      </c>
      <c r="X2407" s="7">
        <f t="shared" si="497"/>
        <v>1.8281559157753609E-3</v>
      </c>
      <c r="Y2407">
        <f>LN(B2407/B2406)</f>
        <v>3.8336477121226438E-3</v>
      </c>
      <c r="Z2407">
        <f>LN(C2407/C2406)</f>
        <v>2.0871200881220832E-4</v>
      </c>
    </row>
    <row r="2408" spans="1:26" x14ac:dyDescent="0.3">
      <c r="A2408" s="11">
        <v>43731</v>
      </c>
      <c r="B2408" s="12">
        <v>43933.11</v>
      </c>
      <c r="C2408" s="12">
        <v>56.128860500000002</v>
      </c>
      <c r="D2408" s="16">
        <f t="shared" si="499"/>
        <v>-2.0087893335853924E-3</v>
      </c>
      <c r="E2408" s="15">
        <f t="shared" si="498"/>
        <v>2.0875972745271199E-4</v>
      </c>
      <c r="G2408" s="25" t="str">
        <f>IF(VLOOKUP(A2408,Aux!B:C,2,FALSE)=0,"",VLOOKUP(A2408,Aux!B:C,2,FALSE))</f>
        <v/>
      </c>
      <c r="H2408" s="25" t="str">
        <f t="shared" si="487"/>
        <v/>
      </c>
      <c r="L2408" s="13">
        <f t="shared" si="490"/>
        <v>232332.89661118216</v>
      </c>
      <c r="M2408" s="14">
        <f t="shared" si="491"/>
        <v>-250.25517975727942</v>
      </c>
      <c r="N2408" s="14">
        <f t="shared" si="492"/>
        <v>22.541981413492785</v>
      </c>
      <c r="O2408" s="1">
        <f t="shared" si="493"/>
        <v>2.8299805468424584</v>
      </c>
      <c r="P2408" s="1">
        <f t="shared" si="494"/>
        <v>1924.1981573613521</v>
      </c>
      <c r="S2408" s="6">
        <f t="shared" si="488"/>
        <v>0.53513664433995567</v>
      </c>
      <c r="T2408" s="6">
        <f t="shared" si="489"/>
        <v>0.46486335566004477</v>
      </c>
      <c r="V2408" s="1">
        <f t="shared" si="495"/>
        <v>226922.91741040983</v>
      </c>
      <c r="W2408" s="7">
        <f t="shared" si="496"/>
        <v>-9.7963603883436312E-4</v>
      </c>
      <c r="X2408" s="7">
        <f t="shared" si="497"/>
        <v>-7.8323281323638614E-4</v>
      </c>
      <c r="Y2408">
        <f>LN(B2408/B2407)</f>
        <v>-2.01080965693482E-3</v>
      </c>
      <c r="Z2408">
        <f>LN(C2408/C2407)</f>
        <v>2.0873794017296055E-4</v>
      </c>
    </row>
    <row r="2409" spans="1:26" x14ac:dyDescent="0.3">
      <c r="A2409" s="9">
        <v>43732</v>
      </c>
      <c r="B2409" s="1">
        <v>43617.04</v>
      </c>
      <c r="C2409" s="1">
        <v>56.140575400000003</v>
      </c>
      <c r="D2409" s="6">
        <f t="shared" si="499"/>
        <v>-7.1943461321085644E-3</v>
      </c>
      <c r="E2409" s="5">
        <f t="shared" si="498"/>
        <v>2.0871437431013717E-4</v>
      </c>
      <c r="G2409" s="25" t="str">
        <f>IF(VLOOKUP(A2409,Aux!B:C,2,FALSE)=0,"",VLOOKUP(A2409,Aux!B:C,2,FALSE))</f>
        <v/>
      </c>
      <c r="H2409" s="25" t="str">
        <f t="shared" si="487"/>
        <v/>
      </c>
      <c r="L2409" s="13">
        <f t="shared" si="490"/>
        <v>231460.96644873533</v>
      </c>
      <c r="M2409" s="14">
        <f t="shared" si="491"/>
        <v>-894.47195144049499</v>
      </c>
      <c r="N2409" s="14">
        <f t="shared" si="492"/>
        <v>22.5417889936748</v>
      </c>
      <c r="O2409" s="1">
        <f t="shared" si="493"/>
        <v>2.8299805468424584</v>
      </c>
      <c r="P2409" s="1">
        <f t="shared" si="494"/>
        <v>1924.1981573613521</v>
      </c>
      <c r="S2409" s="6">
        <f t="shared" si="488"/>
        <v>0.53328808137586436</v>
      </c>
      <c r="T2409" s="6">
        <f t="shared" si="489"/>
        <v>0.46671191862413614</v>
      </c>
      <c r="V2409" s="1">
        <f t="shared" si="495"/>
        <v>226219.94064729539</v>
      </c>
      <c r="W2409" s="7">
        <f t="shared" si="496"/>
        <v>-3.7599945111000252E-3</v>
      </c>
      <c r="X2409" s="7">
        <f t="shared" si="497"/>
        <v>-3.1026741988892177E-3</v>
      </c>
      <c r="Y2409">
        <f>LN(B2409/B2408)</f>
        <v>-7.2203502369929499E-3</v>
      </c>
      <c r="Z2409">
        <f>LN(C2409/C2408)</f>
        <v>2.086925964952913E-4</v>
      </c>
    </row>
    <row r="2410" spans="1:26" x14ac:dyDescent="0.3">
      <c r="A2410" s="11">
        <v>43733</v>
      </c>
      <c r="B2410" s="12">
        <v>43822.79</v>
      </c>
      <c r="C2410" s="12">
        <v>56.152290299999997</v>
      </c>
      <c r="D2410" s="16">
        <f t="shared" si="499"/>
        <v>4.7171930970097975E-3</v>
      </c>
      <c r="E2410" s="15">
        <f t="shared" si="498"/>
        <v>2.0867082171016627E-4</v>
      </c>
      <c r="G2410" s="25" t="str">
        <f>IF(VLOOKUP(A2410,Aux!B:C,2,FALSE)=0,"",VLOOKUP(A2410,Aux!B:C,2,FALSE))</f>
        <v/>
      </c>
      <c r="H2410" s="25" t="str">
        <f t="shared" si="487"/>
        <v/>
      </c>
      <c r="L2410" s="13">
        <f t="shared" si="490"/>
        <v>232065.77673524182</v>
      </c>
      <c r="M2410" s="14">
        <f t="shared" si="491"/>
        <v>582.26849751283578</v>
      </c>
      <c r="N2410" s="14">
        <f t="shared" si="492"/>
        <v>22.541788993661129</v>
      </c>
      <c r="O2410" s="1">
        <f t="shared" si="493"/>
        <v>2.8299805468424584</v>
      </c>
      <c r="P2410" s="1">
        <f t="shared" si="494"/>
        <v>1924.1981573613521</v>
      </c>
      <c r="S2410" s="6">
        <f t="shared" si="488"/>
        <v>0.53440729155790567</v>
      </c>
      <c r="T2410" s="6">
        <f t="shared" si="489"/>
        <v>0.46559270844209483</v>
      </c>
      <c r="V2410" s="1">
        <f t="shared" si="495"/>
        <v>226720.8208775422</v>
      </c>
      <c r="W2410" s="7">
        <f t="shared" si="496"/>
        <v>2.609604035286157E-3</v>
      </c>
      <c r="X2410" s="7">
        <f t="shared" si="497"/>
        <v>2.2116818664471411E-3</v>
      </c>
      <c r="Y2410">
        <f>LN(B2410/B2409)</f>
        <v>4.7061020071841944E-3</v>
      </c>
      <c r="Z2410">
        <f>LN(C2410/C2409)</f>
        <v>2.0864905298252921E-4</v>
      </c>
    </row>
    <row r="2411" spans="1:26" x14ac:dyDescent="0.3">
      <c r="A2411" s="9">
        <v>43734</v>
      </c>
      <c r="B2411" s="1">
        <v>44171.53</v>
      </c>
      <c r="C2411" s="1">
        <v>56.164012900000003</v>
      </c>
      <c r="D2411" s="6">
        <f t="shared" si="499"/>
        <v>7.9579597738983487E-3</v>
      </c>
      <c r="E2411" s="5">
        <f t="shared" si="498"/>
        <v>2.0876441436978865E-4</v>
      </c>
      <c r="G2411" s="25" t="str">
        <f>IF(VLOOKUP(A2411,Aux!B:C,2,FALSE)=0,"",VLOOKUP(A2411,Aux!B:C,2,FALSE))</f>
        <v/>
      </c>
      <c r="H2411" s="25" t="str">
        <f t="shared" si="487"/>
        <v/>
      </c>
      <c r="L2411" s="13">
        <f t="shared" si="490"/>
        <v>233075.26075646715</v>
      </c>
      <c r="M2411" s="14">
        <f t="shared" si="491"/>
        <v>986.92741590583319</v>
      </c>
      <c r="N2411" s="14">
        <f t="shared" si="492"/>
        <v>22.55660531949556</v>
      </c>
      <c r="O2411" s="1">
        <f t="shared" si="493"/>
        <v>2.8299805468424584</v>
      </c>
      <c r="P2411" s="1">
        <f t="shared" si="494"/>
        <v>1924.1981573613521</v>
      </c>
      <c r="S2411" s="6">
        <f t="shared" si="488"/>
        <v>0.53632706542322095</v>
      </c>
      <c r="T2411" s="6">
        <f t="shared" si="489"/>
        <v>0.46367293457677949</v>
      </c>
      <c r="V2411" s="1">
        <f t="shared" si="495"/>
        <v>227551.60126552597</v>
      </c>
      <c r="W2411" s="7">
        <f t="shared" si="496"/>
        <v>4.3405570559633174E-3</v>
      </c>
      <c r="X2411" s="7">
        <f t="shared" si="497"/>
        <v>3.6576348186236497E-3</v>
      </c>
      <c r="Y2411">
        <f>LN(B2411/B2410)</f>
        <v>7.9264622059200106E-3</v>
      </c>
      <c r="Z2411">
        <f>LN(C2411/C2410)</f>
        <v>2.0874262611179093E-4</v>
      </c>
    </row>
    <row r="2412" spans="1:26" x14ac:dyDescent="0.3">
      <c r="A2412" s="11">
        <v>43735</v>
      </c>
      <c r="B2412" s="12">
        <v>44077.14</v>
      </c>
      <c r="C2412" s="12">
        <v>56.175735500000002</v>
      </c>
      <c r="D2412" s="16">
        <f t="shared" si="499"/>
        <v>-2.136896774913577E-3</v>
      </c>
      <c r="E2412" s="15">
        <f t="shared" si="498"/>
        <v>2.0872084088563447E-4</v>
      </c>
      <c r="G2412" s="25" t="str">
        <f>IF(VLOOKUP(A2412,Aux!B:C,2,FALSE)=0,"",VLOOKUP(A2412,Aux!B:C,2,FALSE))</f>
        <v/>
      </c>
      <c r="H2412" s="25" t="str">
        <f t="shared" si="487"/>
        <v/>
      </c>
      <c r="L2412" s="13">
        <f t="shared" si="490"/>
        <v>232830.69549797018</v>
      </c>
      <c r="M2412" s="14">
        <f t="shared" si="491"/>
        <v>-267.12186381645802</v>
      </c>
      <c r="N2412" s="14">
        <f t="shared" si="492"/>
        <v>22.556605319481889</v>
      </c>
      <c r="O2412" s="1">
        <f t="shared" si="493"/>
        <v>2.8299805468424584</v>
      </c>
      <c r="P2412" s="1">
        <f t="shared" si="494"/>
        <v>1924.1981573613521</v>
      </c>
      <c r="S2412" s="6">
        <f t="shared" si="488"/>
        <v>0.53574314371937715</v>
      </c>
      <c r="T2412" s="6">
        <f t="shared" si="489"/>
        <v>0.46425685628062324</v>
      </c>
      <c r="V2412" s="1">
        <f t="shared" si="495"/>
        <v>227360.06524273939</v>
      </c>
      <c r="W2412" s="7">
        <f t="shared" si="496"/>
        <v>-1.0498482694921902E-3</v>
      </c>
      <c r="X2412" s="7">
        <f t="shared" si="497"/>
        <v>-8.4208011447543156E-4</v>
      </c>
      <c r="Y2412">
        <f>LN(B2412/B2411)</f>
        <v>-2.1391831966390616E-3</v>
      </c>
      <c r="Z2412">
        <f>LN(C2412/C2411)</f>
        <v>2.0869906172138209E-4</v>
      </c>
    </row>
    <row r="2413" spans="1:26" x14ac:dyDescent="0.3">
      <c r="A2413" s="9">
        <v>43738</v>
      </c>
      <c r="B2413" s="1">
        <v>43971.65</v>
      </c>
      <c r="C2413" s="1">
        <v>56.187457999999999</v>
      </c>
      <c r="D2413" s="6">
        <f t="shared" si="499"/>
        <v>-2.3933041027616175E-3</v>
      </c>
      <c r="E2413" s="5">
        <f t="shared" si="498"/>
        <v>2.0867550545911051E-4</v>
      </c>
      <c r="G2413" s="25" t="str">
        <f>IF(VLOOKUP(A2413,Aux!B:C,2,FALSE)=0,"",VLOOKUP(A2413,Aux!B:C,2,FALSE))</f>
        <v/>
      </c>
      <c r="H2413" s="25" t="str">
        <f t="shared" si="487"/>
        <v/>
      </c>
      <c r="L2413" s="13">
        <f t="shared" si="490"/>
        <v>232554.71726298344</v>
      </c>
      <c r="M2413" s="14">
        <f t="shared" si="491"/>
        <v>-298.5346478864052</v>
      </c>
      <c r="N2413" s="14">
        <f t="shared" si="492"/>
        <v>22.556412899663904</v>
      </c>
      <c r="O2413" s="1">
        <f t="shared" si="493"/>
        <v>2.8299805468424584</v>
      </c>
      <c r="P2413" s="1">
        <f t="shared" si="494"/>
        <v>1924.1981573613521</v>
      </c>
      <c r="S2413" s="6">
        <f t="shared" si="488"/>
        <v>0.53509520502155206</v>
      </c>
      <c r="T2413" s="6">
        <f t="shared" si="489"/>
        <v>0.46490479497844844</v>
      </c>
      <c r="V2413" s="1">
        <f t="shared" si="495"/>
        <v>227142.92090795946</v>
      </c>
      <c r="W2413" s="7">
        <f t="shared" si="496"/>
        <v>-1.1860202738187765E-3</v>
      </c>
      <c r="X2413" s="7">
        <f t="shared" si="497"/>
        <v>-9.5552442082080184E-4</v>
      </c>
      <c r="Y2413">
        <f>LN(B2413/B2412)</f>
        <v>-2.3961726327828598E-3</v>
      </c>
      <c r="Z2413">
        <f>LN(C2413/C2412)</f>
        <v>2.0865373575430465E-4</v>
      </c>
    </row>
    <row r="2414" spans="1:26" x14ac:dyDescent="0.3">
      <c r="A2414" s="11">
        <v>43739</v>
      </c>
      <c r="B2414" s="12">
        <v>43674.26</v>
      </c>
      <c r="C2414" s="12">
        <v>56.199188200000002</v>
      </c>
      <c r="D2414" s="16">
        <f t="shared" si="499"/>
        <v>-6.7632213028167021E-3</v>
      </c>
      <c r="E2414" s="15">
        <f t="shared" si="498"/>
        <v>2.0876901033672901E-4</v>
      </c>
      <c r="G2414" s="25" t="str">
        <f>IF(VLOOKUP(A2414,Aux!B:C,2,FALSE)=0,"",VLOOKUP(A2414,Aux!B:C,2,FALSE))</f>
        <v/>
      </c>
      <c r="H2414" s="25" t="str">
        <f t="shared" si="487"/>
        <v/>
      </c>
      <c r="L2414" s="13">
        <f t="shared" si="490"/>
        <v>231735.68057738346</v>
      </c>
      <c r="M2414" s="14">
        <f t="shared" si="491"/>
        <v>-841.607914825477</v>
      </c>
      <c r="N2414" s="14">
        <f t="shared" si="492"/>
        <v>22.571229225484664</v>
      </c>
      <c r="O2414" s="1">
        <f t="shared" si="493"/>
        <v>2.8299805468424584</v>
      </c>
      <c r="P2414" s="1">
        <f t="shared" si="494"/>
        <v>1924.1981573613521</v>
      </c>
      <c r="S2414" s="6">
        <f t="shared" si="488"/>
        <v>0.53335466463252246</v>
      </c>
      <c r="T2414" s="6">
        <f t="shared" si="489"/>
        <v>0.46664533536747793</v>
      </c>
      <c r="V2414" s="1">
        <f t="shared" si="495"/>
        <v>226483.0737864016</v>
      </c>
      <c r="W2414" s="7">
        <f t="shared" si="496"/>
        <v>-3.5281260995329963E-3</v>
      </c>
      <c r="X2414" s="7">
        <f t="shared" si="497"/>
        <v>-2.9092141749440408E-3</v>
      </c>
      <c r="Y2414">
        <f>LN(B2414/B2413)</f>
        <v>-6.7861955291230406E-3</v>
      </c>
      <c r="Z2414">
        <f>LN(C2414/C2413)</f>
        <v>2.0874722111944666E-4</v>
      </c>
    </row>
    <row r="2415" spans="1:26" x14ac:dyDescent="0.3">
      <c r="A2415" s="9">
        <v>43740</v>
      </c>
      <c r="B2415" s="1">
        <v>42445.72</v>
      </c>
      <c r="C2415" s="1">
        <v>56.210914600000002</v>
      </c>
      <c r="D2415" s="6">
        <f t="shared" si="499"/>
        <v>-2.8129612270476945E-2</v>
      </c>
      <c r="E2415" s="5">
        <f t="shared" si="498"/>
        <v>2.0865781829915164E-4</v>
      </c>
      <c r="G2415" s="25" t="str">
        <f>IF(VLOOKUP(A2415,Aux!B:C,2,FALSE)=0,"",VLOOKUP(A2415,Aux!B:C,2,FALSE))</f>
        <v/>
      </c>
      <c r="H2415" s="25" t="str">
        <f t="shared" si="487"/>
        <v/>
      </c>
      <c r="L2415" s="13">
        <f t="shared" si="490"/>
        <v>228281.50019363812</v>
      </c>
      <c r="M2415" s="14">
        <f t="shared" si="491"/>
        <v>-3476.7443010178363</v>
      </c>
      <c r="N2415" s="14">
        <f t="shared" si="492"/>
        <v>22.563917272483277</v>
      </c>
      <c r="O2415" s="1">
        <f t="shared" si="493"/>
        <v>2.8299805468424584</v>
      </c>
      <c r="P2415" s="1">
        <f t="shared" si="494"/>
        <v>1924.1981573613521</v>
      </c>
      <c r="S2415" s="6">
        <f t="shared" si="488"/>
        <v>0.52619490319991102</v>
      </c>
      <c r="T2415" s="6">
        <f t="shared" si="489"/>
        <v>0.47380509680008936</v>
      </c>
      <c r="V2415" s="1">
        <f t="shared" si="495"/>
        <v>223675.02254193905</v>
      </c>
      <c r="W2415" s="7">
        <f t="shared" si="496"/>
        <v>-1.501789693260683E-2</v>
      </c>
      <c r="X2415" s="7">
        <f t="shared" si="497"/>
        <v>-1.2476006497314104E-2</v>
      </c>
      <c r="Y2415">
        <f>LN(B2415/B2414)</f>
        <v>-2.8532829370341371E-2</v>
      </c>
      <c r="Z2415">
        <f>LN(C2415/C2414)</f>
        <v>2.0863605228429644E-4</v>
      </c>
    </row>
    <row r="2416" spans="1:26" x14ac:dyDescent="0.3">
      <c r="A2416" s="11">
        <v>43741</v>
      </c>
      <c r="B2416" s="12">
        <v>42654.99</v>
      </c>
      <c r="C2416" s="12">
        <v>56.222648599999999</v>
      </c>
      <c r="D2416" s="16">
        <f t="shared" si="499"/>
        <v>4.9302968591413698E-3</v>
      </c>
      <c r="E2416" s="15">
        <f t="shared" si="498"/>
        <v>2.0874949435523149E-4</v>
      </c>
      <c r="G2416" s="25" t="str">
        <f>IF(VLOOKUP(A2416,Aux!B:C,2,FALSE)=0,"",VLOOKUP(A2416,Aux!B:C,2,FALSE))</f>
        <v/>
      </c>
      <c r="H2416" s="25" t="str">
        <f t="shared" si="487"/>
        <v/>
      </c>
      <c r="L2416" s="13">
        <f t="shared" si="490"/>
        <v>228896.30876385429</v>
      </c>
      <c r="M2416" s="14">
        <f t="shared" si="491"/>
        <v>592.23002903771226</v>
      </c>
      <c r="N2416" s="14">
        <f t="shared" si="492"/>
        <v>22.578541178472381</v>
      </c>
      <c r="O2416" s="1">
        <f t="shared" si="493"/>
        <v>2.8299805468424584</v>
      </c>
      <c r="P2416" s="1">
        <f t="shared" si="494"/>
        <v>1924.1981573613521</v>
      </c>
      <c r="S2416" s="6">
        <f t="shared" si="488"/>
        <v>0.52736888846161123</v>
      </c>
      <c r="T2416" s="6">
        <f t="shared" si="489"/>
        <v>0.47263111153838927</v>
      </c>
      <c r="V2416" s="1">
        <f t="shared" si="495"/>
        <v>224184.06626454613</v>
      </c>
      <c r="W2416" s="7">
        <f t="shared" si="496"/>
        <v>2.6895834784192818E-3</v>
      </c>
      <c r="X2416" s="7">
        <f t="shared" si="497"/>
        <v>2.2732326061496457E-3</v>
      </c>
      <c r="Y2416">
        <f>LN(B2416/B2415)</f>
        <v>4.9181827467122746E-3</v>
      </c>
      <c r="Z2416">
        <f>LN(C2416/C2415)</f>
        <v>2.0872770921124051E-4</v>
      </c>
    </row>
    <row r="2417" spans="1:26" x14ac:dyDescent="0.3">
      <c r="A2417" s="9">
        <v>43742</v>
      </c>
      <c r="B2417" s="1">
        <v>43074.34</v>
      </c>
      <c r="C2417" s="1">
        <v>56.234382600000004</v>
      </c>
      <c r="D2417" s="6">
        <f t="shared" si="499"/>
        <v>9.8312061496204084E-3</v>
      </c>
      <c r="E2417" s="5">
        <f t="shared" si="498"/>
        <v>2.087059270985403E-4</v>
      </c>
      <c r="G2417" s="25" t="str">
        <f>IF(VLOOKUP(A2417,Aux!B:C,2,FALSE)=0,"",VLOOKUP(A2417,Aux!B:C,2,FALSE))</f>
        <v/>
      </c>
      <c r="H2417" s="25" t="str">
        <f t="shared" si="487"/>
        <v/>
      </c>
      <c r="L2417" s="13">
        <f t="shared" si="490"/>
        <v>230105.63964735117</v>
      </c>
      <c r="M2417" s="14">
        <f t="shared" si="491"/>
        <v>1186.7523423183809</v>
      </c>
      <c r="N2417" s="14">
        <f t="shared" si="492"/>
        <v>22.578541178486052</v>
      </c>
      <c r="O2417" s="1">
        <f t="shared" si="493"/>
        <v>2.8299805468424584</v>
      </c>
      <c r="P2417" s="1">
        <f t="shared" si="494"/>
        <v>1924.1981573613521</v>
      </c>
      <c r="S2417" s="6">
        <f t="shared" si="488"/>
        <v>0.52975470073178277</v>
      </c>
      <c r="T2417" s="6">
        <f t="shared" si="489"/>
        <v>0.47024529926821762</v>
      </c>
      <c r="V2417" s="1">
        <f t="shared" si="495"/>
        <v>225177.77189579097</v>
      </c>
      <c r="W2417" s="7">
        <f t="shared" si="496"/>
        <v>5.2694054390642455E-3</v>
      </c>
      <c r="X2417" s="7">
        <f t="shared" si="497"/>
        <v>4.4227487367915503E-3</v>
      </c>
      <c r="Y2417">
        <f>LN(B2417/B2416)</f>
        <v>9.7831942624880194E-3</v>
      </c>
      <c r="Z2417">
        <f>LN(C2417/C2416)</f>
        <v>2.0868415104634535E-4</v>
      </c>
    </row>
    <row r="2418" spans="1:26" x14ac:dyDescent="0.3">
      <c r="A2418" s="11">
        <v>43745</v>
      </c>
      <c r="B2418" s="12">
        <v>42255.88</v>
      </c>
      <c r="C2418" s="12">
        <v>56.246120500000004</v>
      </c>
      <c r="D2418" s="16">
        <f t="shared" si="499"/>
        <v>-1.900110367332386E-2</v>
      </c>
      <c r="E2418" s="15">
        <f t="shared" si="498"/>
        <v>2.0873173061208838E-4</v>
      </c>
      <c r="G2418" s="25" t="str">
        <f>IF(VLOOKUP(A2418,Aux!B:C,2,FALSE)=0,"",VLOOKUP(A2418,Aux!B:C,2,FALSE))</f>
        <v/>
      </c>
      <c r="H2418" s="25" t="str">
        <f t="shared" si="487"/>
        <v/>
      </c>
      <c r="L2418" s="13">
        <f t="shared" si="490"/>
        <v>227811.99981453377</v>
      </c>
      <c r="M2418" s="14">
        <f t="shared" si="491"/>
        <v>-2316.2258783686761</v>
      </c>
      <c r="N2418" s="14">
        <f t="shared" si="492"/>
        <v>22.586045551291754</v>
      </c>
      <c r="O2418" s="1">
        <f t="shared" si="493"/>
        <v>2.8299805468424584</v>
      </c>
      <c r="P2418" s="1">
        <f t="shared" si="494"/>
        <v>1924.1981573613521</v>
      </c>
      <c r="S2418" s="6">
        <f t="shared" si="488"/>
        <v>0.52492106863143484</v>
      </c>
      <c r="T2418" s="6">
        <f t="shared" si="489"/>
        <v>0.47507893136856566</v>
      </c>
      <c r="V2418" s="1">
        <f t="shared" si="495"/>
        <v>223315.8152830269</v>
      </c>
      <c r="W2418" s="7">
        <f t="shared" si="496"/>
        <v>-1.0017779691445704E-2</v>
      </c>
      <c r="X2418" s="7">
        <f t="shared" si="497"/>
        <v>-8.3032059472956197E-3</v>
      </c>
      <c r="Y2418">
        <f>LN(B2418/B2417)</f>
        <v>-1.9183944466666634E-2</v>
      </c>
      <c r="Z2418">
        <f>LN(C2418/C2417)</f>
        <v>2.0870994917533816E-4</v>
      </c>
    </row>
    <row r="2419" spans="1:26" x14ac:dyDescent="0.3">
      <c r="A2419" s="9">
        <v>43746</v>
      </c>
      <c r="B2419" s="1">
        <v>42000.52</v>
      </c>
      <c r="C2419" s="1">
        <v>56.257862099999997</v>
      </c>
      <c r="D2419" s="6">
        <f t="shared" si="499"/>
        <v>-6.0431826292577373E-3</v>
      </c>
      <c r="E2419" s="5">
        <f t="shared" si="498"/>
        <v>2.0875395308372902E-4</v>
      </c>
      <c r="G2419" s="25" t="str">
        <f>IF(VLOOKUP(A2419,Aux!B:C,2,FALSE)=0,"",VLOOKUP(A2419,Aux!B:C,2,FALSE))</f>
        <v/>
      </c>
      <c r="H2419" s="25" t="str">
        <f t="shared" si="487"/>
        <v/>
      </c>
      <c r="L2419" s="13">
        <f t="shared" si="490"/>
        <v>227111.92914717653</v>
      </c>
      <c r="M2419" s="14">
        <f t="shared" si="491"/>
        <v>-722.66383244169185</v>
      </c>
      <c r="N2419" s="14">
        <f t="shared" si="492"/>
        <v>22.593165084461482</v>
      </c>
      <c r="O2419" s="1">
        <f t="shared" si="493"/>
        <v>2.8299805468424584</v>
      </c>
      <c r="P2419" s="1">
        <f t="shared" si="494"/>
        <v>1924.1981573613521</v>
      </c>
      <c r="S2419" s="6">
        <f t="shared" si="488"/>
        <v>0.52335716139437882</v>
      </c>
      <c r="T2419" s="6">
        <f t="shared" si="489"/>
        <v>0.47664283860562162</v>
      </c>
      <c r="V2419" s="1">
        <f t="shared" si="495"/>
        <v>222752.95834499632</v>
      </c>
      <c r="W2419" s="7">
        <f t="shared" si="496"/>
        <v>-3.0777506981271383E-3</v>
      </c>
      <c r="X2419" s="7">
        <f t="shared" si="497"/>
        <v>-2.5236343363661254E-3</v>
      </c>
      <c r="Y2419">
        <f>LN(B2419/B2418)</f>
        <v>-6.0615165582417144E-3</v>
      </c>
      <c r="Z2419">
        <f>LN(C2419/C2418)</f>
        <v>2.0873216700916504E-4</v>
      </c>
    </row>
    <row r="2420" spans="1:26" x14ac:dyDescent="0.3">
      <c r="A2420" s="11">
        <v>43747</v>
      </c>
      <c r="B2420" s="12">
        <v>42537.27</v>
      </c>
      <c r="C2420" s="12">
        <v>56.269603699999998</v>
      </c>
      <c r="D2420" s="16">
        <f t="shared" si="499"/>
        <v>1.2779603681097207E-2</v>
      </c>
      <c r="E2420" s="15">
        <f t="shared" si="498"/>
        <v>2.0871038396608199E-4</v>
      </c>
      <c r="G2420" s="25" t="str">
        <f>IF(VLOOKUP(A2420,Aux!B:C,2,FALSE)=0,"",VLOOKUP(A2420,Aux!B:C,2,FALSE))</f>
        <v/>
      </c>
      <c r="H2420" s="25" t="str">
        <f t="shared" si="487"/>
        <v/>
      </c>
      <c r="L2420" s="13">
        <f t="shared" si="490"/>
        <v>228653.51437077872</v>
      </c>
      <c r="M2420" s="14">
        <f t="shared" si="491"/>
        <v>1518.9920585176894</v>
      </c>
      <c r="N2420" s="14">
        <f t="shared" si="492"/>
        <v>22.593165084475157</v>
      </c>
      <c r="O2420" s="1">
        <f t="shared" si="493"/>
        <v>2.8299805468424584</v>
      </c>
      <c r="P2420" s="1">
        <f t="shared" si="494"/>
        <v>1924.1981573613521</v>
      </c>
      <c r="S2420" s="6">
        <f t="shared" si="488"/>
        <v>0.52647188453259774</v>
      </c>
      <c r="T2420" s="6">
        <f t="shared" si="489"/>
        <v>0.47352811546740259</v>
      </c>
      <c r="V2420" s="1">
        <f t="shared" si="495"/>
        <v>224017.52688512183</v>
      </c>
      <c r="W2420" s="7">
        <f t="shared" si="496"/>
        <v>6.7648441736925724E-3</v>
      </c>
      <c r="X2420" s="7">
        <f t="shared" si="497"/>
        <v>5.6609465441116811E-3</v>
      </c>
      <c r="Y2420">
        <f>LN(B2420/B2419)</f>
        <v>1.2698633659471324E-2</v>
      </c>
      <c r="Z2420">
        <f>LN(C2420/C2419)</f>
        <v>2.0868860698389653E-4</v>
      </c>
    </row>
    <row r="2421" spans="1:26" x14ac:dyDescent="0.3">
      <c r="A2421" s="9">
        <v>43748</v>
      </c>
      <c r="B2421" s="1">
        <v>42738.21</v>
      </c>
      <c r="C2421" s="1">
        <v>56.281345399999999</v>
      </c>
      <c r="D2421" s="6">
        <f t="shared" si="499"/>
        <v>4.7238574548860157E-3</v>
      </c>
      <c r="E2421" s="5">
        <f t="shared" si="498"/>
        <v>2.08668610189644E-4</v>
      </c>
      <c r="G2421" s="25" t="str">
        <f>IF(VLOOKUP(A2421,Aux!B:C,2,FALSE)=0,"",VLOOKUP(A2421,Aux!B:C,2,FALSE))</f>
        <v/>
      </c>
      <c r="H2421" s="25" t="str">
        <f t="shared" si="487"/>
        <v/>
      </c>
      <c r="L2421" s="13">
        <f t="shared" si="490"/>
        <v>229244.76401936554</v>
      </c>
      <c r="M2421" s="14">
        <f t="shared" si="491"/>
        <v>568.65629108253017</v>
      </c>
      <c r="N2421" s="14">
        <f t="shared" si="492"/>
        <v>22.593357504293142</v>
      </c>
      <c r="O2421" s="1">
        <f t="shared" si="493"/>
        <v>2.8299805468424584</v>
      </c>
      <c r="P2421" s="1">
        <f t="shared" si="494"/>
        <v>1924.1981573613521</v>
      </c>
      <c r="S2421" s="6">
        <f t="shared" si="488"/>
        <v>0.52759461453457956</v>
      </c>
      <c r="T2421" s="6">
        <f t="shared" si="489"/>
        <v>0.47240538546542082</v>
      </c>
      <c r="V2421" s="1">
        <f t="shared" si="495"/>
        <v>224507.37023226393</v>
      </c>
      <c r="W2421" s="7">
        <f t="shared" si="496"/>
        <v>2.5824511909288746E-3</v>
      </c>
      <c r="X2421" s="7">
        <f t="shared" si="497"/>
        <v>2.1842423688865453E-3</v>
      </c>
      <c r="Y2421">
        <f>LN(B2421/B2420)</f>
        <v>4.7127350535971883E-3</v>
      </c>
      <c r="Z2421">
        <f>LN(C2421/C2420)</f>
        <v>2.0864684192338802E-4</v>
      </c>
    </row>
    <row r="2422" spans="1:26" x14ac:dyDescent="0.3">
      <c r="A2422" s="11">
        <v>43749</v>
      </c>
      <c r="B2422" s="12">
        <v>43572.75</v>
      </c>
      <c r="C2422" s="12">
        <v>56.293094600000003</v>
      </c>
      <c r="D2422" s="16">
        <f t="shared" si="499"/>
        <v>1.9526788791575544E-2</v>
      </c>
      <c r="E2422" s="15">
        <f t="shared" si="498"/>
        <v>2.0875833575950686E-4</v>
      </c>
      <c r="G2422" s="25" t="str">
        <f>IF(VLOOKUP(A2422,Aux!B:C,2,FALSE)=0,"",VLOOKUP(A2422,Aux!B:C,2,FALSE))</f>
        <v/>
      </c>
      <c r="H2422" s="25" t="str">
        <f t="shared" si="487"/>
        <v/>
      </c>
      <c r="L2422" s="13">
        <f t="shared" si="490"/>
        <v>231629.10377391794</v>
      </c>
      <c r="M2422" s="14">
        <f t="shared" si="491"/>
        <v>2361.7319655619076</v>
      </c>
      <c r="N2422" s="14">
        <f t="shared" si="492"/>
        <v>22.607788990477932</v>
      </c>
      <c r="O2422" s="1">
        <f t="shared" si="493"/>
        <v>2.8299805468424584</v>
      </c>
      <c r="P2422" s="1">
        <f t="shared" si="494"/>
        <v>1924.1981573613521</v>
      </c>
      <c r="S2422" s="6">
        <f t="shared" si="488"/>
        <v>0.53235984970518524</v>
      </c>
      <c r="T2422" s="6">
        <f t="shared" si="489"/>
        <v>0.46764015029481498</v>
      </c>
      <c r="V2422" s="1">
        <f t="shared" si="495"/>
        <v>226458.96772134613</v>
      </c>
      <c r="W2422" s="7">
        <f t="shared" si="496"/>
        <v>1.0347130501598719E-2</v>
      </c>
      <c r="X2422" s="7">
        <f t="shared" si="497"/>
        <v>8.6552343630414905E-3</v>
      </c>
      <c r="Y2422">
        <f>LN(B2422/B2421)</f>
        <v>1.9338587088895801E-2</v>
      </c>
      <c r="Z2422">
        <f>LN(C2422/C2421)</f>
        <v>2.0873654877022333E-4</v>
      </c>
    </row>
    <row r="2423" spans="1:26" x14ac:dyDescent="0.3">
      <c r="A2423" s="9">
        <v>43752</v>
      </c>
      <c r="B2423" s="1">
        <v>43769.599999999999</v>
      </c>
      <c r="C2423" s="1">
        <v>56.304843900000002</v>
      </c>
      <c r="D2423" s="6">
        <f t="shared" si="499"/>
        <v>4.5177318392801702E-3</v>
      </c>
      <c r="E2423" s="5">
        <f t="shared" si="498"/>
        <v>2.0871654122922578E-4</v>
      </c>
      <c r="G2423" s="25" t="str">
        <f>IF(VLOOKUP(A2423,Aux!B:C,2,FALSE)=0,"",VLOOKUP(A2423,Aux!B:C,2,FALSE))</f>
        <v/>
      </c>
      <c r="H2423" s="25" t="str">
        <f t="shared" si="487"/>
        <v/>
      </c>
      <c r="L2423" s="13">
        <f t="shared" si="490"/>
        <v>232208.79342597417</v>
      </c>
      <c r="M2423" s="14">
        <f t="shared" si="491"/>
        <v>557.08167064593385</v>
      </c>
      <c r="N2423" s="14">
        <f t="shared" si="492"/>
        <v>22.607981410282243</v>
      </c>
      <c r="O2423" s="1">
        <f t="shared" si="493"/>
        <v>2.8299805468424584</v>
      </c>
      <c r="P2423" s="1">
        <f t="shared" si="494"/>
        <v>1924.1981573613521</v>
      </c>
      <c r="S2423" s="6">
        <f t="shared" si="488"/>
        <v>0.53342991329294021</v>
      </c>
      <c r="T2423" s="6">
        <f t="shared" si="489"/>
        <v>0.46657008670706007</v>
      </c>
      <c r="V2423" s="1">
        <f t="shared" si="495"/>
        <v>226939.39229762595</v>
      </c>
      <c r="W2423" s="7">
        <f t="shared" si="496"/>
        <v>2.4995368311451394E-3</v>
      </c>
      <c r="X2423" s="7">
        <f t="shared" si="497"/>
        <v>2.1192169996460345E-3</v>
      </c>
      <c r="Y2423">
        <f>LN(B2423/B2422)</f>
        <v>4.5075575205147916E-3</v>
      </c>
      <c r="Z2423">
        <f>LN(C2423/C2422)</f>
        <v>2.0869476296220477E-4</v>
      </c>
    </row>
    <row r="2424" spans="1:26" x14ac:dyDescent="0.3">
      <c r="A2424" s="11">
        <v>43753</v>
      </c>
      <c r="B2424" s="12">
        <v>43802.54</v>
      </c>
      <c r="C2424" s="12">
        <v>56.316597000000002</v>
      </c>
      <c r="D2424" s="16">
        <f t="shared" si="499"/>
        <v>7.5257713115961522E-4</v>
      </c>
      <c r="E2424" s="15">
        <f t="shared" si="498"/>
        <v>2.0874047747776459E-4</v>
      </c>
      <c r="G2424" s="25" t="str">
        <f>IF(VLOOKUP(A2424,Aux!B:C,2,FALSE)=0,"",VLOOKUP(A2424,Aux!B:C,2,FALSE))</f>
        <v/>
      </c>
      <c r="H2424" s="25" t="str">
        <f t="shared" si="487"/>
        <v/>
      </c>
      <c r="L2424" s="13">
        <f t="shared" si="490"/>
        <v>232324.62827855046</v>
      </c>
      <c r="M2424" s="14">
        <f t="shared" si="491"/>
        <v>93.219559212997169</v>
      </c>
      <c r="N2424" s="14">
        <f t="shared" si="492"/>
        <v>22.61529336328363</v>
      </c>
      <c r="O2424" s="1">
        <f t="shared" si="493"/>
        <v>2.8299805468424584</v>
      </c>
      <c r="P2424" s="1">
        <f t="shared" si="494"/>
        <v>1924.1981573613521</v>
      </c>
      <c r="S2424" s="6">
        <f t="shared" si="488"/>
        <v>0.5335651972018387</v>
      </c>
      <c r="T2424" s="6">
        <f t="shared" si="489"/>
        <v>0.46643480279816146</v>
      </c>
      <c r="V2424" s="1">
        <f t="shared" si="495"/>
        <v>227041.67927140667</v>
      </c>
      <c r="W2424" s="7">
        <f t="shared" si="496"/>
        <v>4.9871483757656131E-4</v>
      </c>
      <c r="X2424" s="7">
        <f t="shared" si="497"/>
        <v>4.5062220395260721E-4</v>
      </c>
      <c r="Y2424">
        <f>LN(B2424/B2423)</f>
        <v>7.5229408698992007E-4</v>
      </c>
      <c r="Z2424">
        <f>LN(C2424/C2423)</f>
        <v>2.0871869421560873E-4</v>
      </c>
    </row>
    <row r="2425" spans="1:26" x14ac:dyDescent="0.3">
      <c r="A2425" s="9">
        <v>43754</v>
      </c>
      <c r="B2425" s="1">
        <v>44183.26</v>
      </c>
      <c r="C2425" s="1">
        <v>56.328350100000002</v>
      </c>
      <c r="D2425" s="6">
        <f t="shared" si="499"/>
        <v>8.6917334017617698E-3</v>
      </c>
      <c r="E2425" s="5">
        <f t="shared" si="498"/>
        <v>2.0869691398428536E-4</v>
      </c>
      <c r="G2425" s="25" t="str">
        <f>IF(VLOOKUP(A2425,Aux!B:C,2,FALSE)=0,"",VLOOKUP(A2425,Aux!B:C,2,FALSE))</f>
        <v/>
      </c>
      <c r="H2425" s="25" t="str">
        <f t="shared" si="487"/>
        <v/>
      </c>
      <c r="L2425" s="13">
        <f t="shared" si="490"/>
        <v>233424.67376570762</v>
      </c>
      <c r="M2425" s="14">
        <f t="shared" si="491"/>
        <v>1077.430193793864</v>
      </c>
      <c r="N2425" s="14">
        <f t="shared" si="492"/>
        <v>22.61529336328363</v>
      </c>
      <c r="O2425" s="1">
        <f t="shared" si="493"/>
        <v>2.8299805468424584</v>
      </c>
      <c r="P2425" s="1">
        <f t="shared" si="494"/>
        <v>1924.1981573613521</v>
      </c>
      <c r="S2425" s="6">
        <f t="shared" si="488"/>
        <v>0.53566644981834732</v>
      </c>
      <c r="T2425" s="6">
        <f t="shared" si="489"/>
        <v>0.46433355018165279</v>
      </c>
      <c r="V2425" s="1">
        <f t="shared" si="495"/>
        <v>227946.30687059689</v>
      </c>
      <c r="W2425" s="7">
        <f t="shared" si="496"/>
        <v>4.7237753352181557E-3</v>
      </c>
      <c r="X2425" s="7">
        <f t="shared" si="497"/>
        <v>3.976495286818503E-3</v>
      </c>
      <c r="Y2425">
        <f>LN(B2425/B2424)</f>
        <v>8.6541777459352605E-3</v>
      </c>
      <c r="Z2425">
        <f>LN(C2425/C2424)</f>
        <v>2.0867513981274766E-4</v>
      </c>
    </row>
    <row r="2426" spans="1:26" x14ac:dyDescent="0.3">
      <c r="A2426" s="11">
        <v>43755</v>
      </c>
      <c r="B2426" s="12">
        <v>44041.55</v>
      </c>
      <c r="C2426" s="12">
        <v>56.340107000000003</v>
      </c>
      <c r="D2426" s="16">
        <f t="shared" si="499"/>
        <v>-3.2073233165682558E-3</v>
      </c>
      <c r="E2426" s="15">
        <f t="shared" si="498"/>
        <v>2.0872083025924582E-4</v>
      </c>
      <c r="G2426" s="25" t="str">
        <f>IF(VLOOKUP(A2426,Aux!B:C,2,FALSE)=0,"",VLOOKUP(A2426,Aux!B:C,2,FALSE))</f>
        <v/>
      </c>
      <c r="H2426" s="25" t="str">
        <f t="shared" si="487"/>
        <v/>
      </c>
      <c r="L2426" s="13">
        <f t="shared" si="490"/>
        <v>233046.25982773086</v>
      </c>
      <c r="M2426" s="14">
        <f t="shared" si="491"/>
        <v>-401.03654329304231</v>
      </c>
      <c r="N2426" s="14">
        <f t="shared" si="492"/>
        <v>22.622605316285018</v>
      </c>
      <c r="O2426" s="1">
        <f t="shared" si="493"/>
        <v>2.8299805468424584</v>
      </c>
      <c r="P2426" s="1">
        <f t="shared" si="494"/>
        <v>1924.1981573613521</v>
      </c>
      <c r="S2426" s="6">
        <f t="shared" si="488"/>
        <v>0.5348154046536584</v>
      </c>
      <c r="T2426" s="6">
        <f t="shared" si="489"/>
        <v>0.46518459534634182</v>
      </c>
      <c r="V2426" s="1">
        <f t="shared" si="495"/>
        <v>227645.67868619127</v>
      </c>
      <c r="W2426" s="7">
        <f t="shared" si="496"/>
        <v>-1.6224548786857632E-3</v>
      </c>
      <c r="X2426" s="7">
        <f t="shared" si="497"/>
        <v>-1.3197257088325761E-3</v>
      </c>
      <c r="Y2426">
        <f>LN(B2426/B2425)</f>
        <v>-3.2124778023491928E-3</v>
      </c>
      <c r="Z2426">
        <f>LN(C2426/C2425)</f>
        <v>2.0869905109721092E-4</v>
      </c>
    </row>
    <row r="2427" spans="1:26" x14ac:dyDescent="0.3">
      <c r="A2427" s="9">
        <v>43756</v>
      </c>
      <c r="B2427" s="1">
        <v>43947.39</v>
      </c>
      <c r="C2427" s="1">
        <v>56.3518677</v>
      </c>
      <c r="D2427" s="6">
        <f t="shared" si="499"/>
        <v>-2.1379810656074749E-3</v>
      </c>
      <c r="E2427" s="5">
        <f t="shared" si="498"/>
        <v>2.0874472247633946E-4</v>
      </c>
      <c r="G2427" s="25" t="str">
        <f>IF(VLOOKUP(A2427,Aux!B:C,2,FALSE)=0,"",VLOOKUP(A2427,Aux!B:C,2,FALSE))</f>
        <v/>
      </c>
      <c r="H2427" s="25" t="str">
        <f t="shared" si="487"/>
        <v/>
      </c>
      <c r="L2427" s="13">
        <f t="shared" si="490"/>
        <v>232802.41877670944</v>
      </c>
      <c r="M2427" s="14">
        <f t="shared" si="491"/>
        <v>-266.47096829069574</v>
      </c>
      <c r="N2427" s="14">
        <f t="shared" si="492"/>
        <v>22.629917269272735</v>
      </c>
      <c r="O2427" s="1">
        <f t="shared" si="493"/>
        <v>2.8299805468424584</v>
      </c>
      <c r="P2427" s="1">
        <f t="shared" si="494"/>
        <v>1924.1981573613521</v>
      </c>
      <c r="S2427" s="6">
        <f t="shared" si="488"/>
        <v>0.53423095618172045</v>
      </c>
      <c r="T2427" s="6">
        <f t="shared" si="489"/>
        <v>0.46576904381827977</v>
      </c>
      <c r="V2427" s="1">
        <f t="shared" si="495"/>
        <v>227454.75851619689</v>
      </c>
      <c r="W2427" s="7">
        <f t="shared" si="496"/>
        <v>-1.0468681547895053E-3</v>
      </c>
      <c r="X2427" s="7">
        <f t="shared" si="497"/>
        <v>-8.3902438049963534E-4</v>
      </c>
      <c r="Y2427">
        <f>LN(B2427/B2426)</f>
        <v>-2.14026980990244E-3</v>
      </c>
      <c r="Z2427">
        <f>LN(C2427/C2426)</f>
        <v>2.0872293832825651E-4</v>
      </c>
    </row>
    <row r="2428" spans="1:26" x14ac:dyDescent="0.3">
      <c r="A2428" s="11">
        <v>43759</v>
      </c>
      <c r="B2428" s="12">
        <v>44459.99</v>
      </c>
      <c r="C2428" s="12">
        <v>56.363628400000003</v>
      </c>
      <c r="D2428" s="16">
        <f t="shared" si="499"/>
        <v>1.1663946368601241E-2</v>
      </c>
      <c r="E2428" s="15">
        <f t="shared" si="498"/>
        <v>2.0870115721116633E-4</v>
      </c>
      <c r="G2428" s="25" t="str">
        <f>IF(VLOOKUP(A2428,Aux!B:C,2,FALSE)=0,"",VLOOKUP(A2428,Aux!B:C,2,FALSE))</f>
        <v/>
      </c>
      <c r="H2428" s="25" t="str">
        <f t="shared" si="487"/>
        <v/>
      </c>
      <c r="L2428" s="13">
        <f t="shared" si="490"/>
        <v>234275.69672229016</v>
      </c>
      <c r="M2428" s="14">
        <f t="shared" si="491"/>
        <v>1450.6480283114399</v>
      </c>
      <c r="N2428" s="14">
        <f t="shared" si="492"/>
        <v>22.629917269286405</v>
      </c>
      <c r="O2428" s="1">
        <f t="shared" si="493"/>
        <v>2.8299805468424584</v>
      </c>
      <c r="P2428" s="1">
        <f t="shared" si="494"/>
        <v>1924.1981573613521</v>
      </c>
      <c r="S2428" s="6">
        <f t="shared" si="488"/>
        <v>0.53706341960838566</v>
      </c>
      <c r="T2428" s="6">
        <f t="shared" si="489"/>
        <v>0.46293658039161451</v>
      </c>
      <c r="V2428" s="1">
        <f t="shared" si="495"/>
        <v>228663.65489078092</v>
      </c>
      <c r="W2428" s="7">
        <f t="shared" si="496"/>
        <v>6.3085072184953525E-3</v>
      </c>
      <c r="X2428" s="7">
        <f t="shared" si="497"/>
        <v>5.3008129895304144E-3</v>
      </c>
      <c r="Y2428">
        <f>LN(B2428/B2427)</f>
        <v>1.1596446912489185E-2</v>
      </c>
      <c r="Z2428">
        <f>LN(C2428/C2427)</f>
        <v>2.0867938215425605E-4</v>
      </c>
    </row>
    <row r="2429" spans="1:26" x14ac:dyDescent="0.3">
      <c r="A2429" s="9">
        <v>43760</v>
      </c>
      <c r="B2429" s="1">
        <v>44980.09</v>
      </c>
      <c r="C2429" s="1">
        <v>56.375392900000001</v>
      </c>
      <c r="D2429" s="6">
        <f t="shared" si="499"/>
        <v>1.1698158276688631E-2</v>
      </c>
      <c r="E2429" s="5">
        <f t="shared" si="498"/>
        <v>2.087250294908749E-4</v>
      </c>
      <c r="G2429" s="25" t="str">
        <f>IF(VLOOKUP(A2429,Aux!B:C,2,FALSE)=0,"",VLOOKUP(A2429,Aux!B:C,2,FALSE))</f>
        <v/>
      </c>
      <c r="H2429" s="25" t="str">
        <f t="shared" si="487"/>
        <v/>
      </c>
      <c r="L2429" s="13">
        <f t="shared" si="490"/>
        <v>235770.20683392519</v>
      </c>
      <c r="M2429" s="14">
        <f t="shared" si="491"/>
        <v>1471.8728824127584</v>
      </c>
      <c r="N2429" s="14">
        <f t="shared" si="492"/>
        <v>22.637229222274122</v>
      </c>
      <c r="O2429" s="1">
        <f t="shared" si="493"/>
        <v>2.8299805468424584</v>
      </c>
      <c r="P2429" s="1">
        <f t="shared" si="494"/>
        <v>1924.1981573613521</v>
      </c>
      <c r="S2429" s="6">
        <f t="shared" si="488"/>
        <v>0.53990188753953583</v>
      </c>
      <c r="T2429" s="6">
        <f t="shared" si="489"/>
        <v>0.46009811246046434</v>
      </c>
      <c r="V2429" s="1">
        <f t="shared" si="495"/>
        <v>229889.86252881965</v>
      </c>
      <c r="W2429" s="7">
        <f t="shared" si="496"/>
        <v>6.3590178595901159E-3</v>
      </c>
      <c r="X2429" s="7">
        <f t="shared" si="497"/>
        <v>5.3481677239996467E-3</v>
      </c>
      <c r="Y2429">
        <f>LN(B2429/B2428)</f>
        <v>1.1630263803704162E-2</v>
      </c>
      <c r="Z2429">
        <f>LN(C2429/C2428)</f>
        <v>2.0870324945254697E-4</v>
      </c>
    </row>
    <row r="2430" spans="1:26" x14ac:dyDescent="0.3">
      <c r="A2430" s="11">
        <v>43761</v>
      </c>
      <c r="B2430" s="12">
        <v>45025.39</v>
      </c>
      <c r="C2430" s="12">
        <v>56.3871574</v>
      </c>
      <c r="D2430" s="16">
        <f t="shared" si="499"/>
        <v>1.0071122578900749E-3</v>
      </c>
      <c r="E2430" s="15">
        <f t="shared" si="498"/>
        <v>2.0868147244423874E-4</v>
      </c>
      <c r="G2430" s="25" t="str">
        <f>IF(VLOOKUP(A2430,Aux!B:C,2,FALSE)=0,"",VLOOKUP(A2430,Aux!B:C,2,FALSE))</f>
        <v/>
      </c>
      <c r="H2430" s="25" t="str">
        <f t="shared" si="487"/>
        <v/>
      </c>
      <c r="L2430" s="13">
        <f t="shared" si="490"/>
        <v>235921.04218191945</v>
      </c>
      <c r="M2430" s="14">
        <f t="shared" si="491"/>
        <v>128.19811877197159</v>
      </c>
      <c r="N2430" s="14">
        <f t="shared" si="492"/>
        <v>22.637229222274122</v>
      </c>
      <c r="O2430" s="1">
        <f t="shared" si="493"/>
        <v>2.8299805468424584</v>
      </c>
      <c r="P2430" s="1">
        <f t="shared" si="494"/>
        <v>1924.1981573613521</v>
      </c>
      <c r="S2430" s="6">
        <f t="shared" si="488"/>
        <v>0.54010009720006336</v>
      </c>
      <c r="T2430" s="6">
        <f t="shared" si="489"/>
        <v>0.45989990279993676</v>
      </c>
      <c r="V2430" s="1">
        <f t="shared" si="495"/>
        <v>230020.68995826555</v>
      </c>
      <c r="W2430" s="7">
        <f t="shared" si="496"/>
        <v>6.3955120409905539E-4</v>
      </c>
      <c r="X2430" s="7">
        <f t="shared" si="497"/>
        <v>5.6892555418544143E-4</v>
      </c>
      <c r="Y2430">
        <f>LN(B2430/B2429)</f>
        <v>1.0066054605793926E-3</v>
      </c>
      <c r="Z2430">
        <f>LN(C2430/C2429)</f>
        <v>2.0865970149451122E-4</v>
      </c>
    </row>
    <row r="2431" spans="1:26" x14ac:dyDescent="0.3">
      <c r="A2431" s="9">
        <v>43762</v>
      </c>
      <c r="B2431" s="1">
        <v>44813.23</v>
      </c>
      <c r="C2431" s="1">
        <v>56.398929600000002</v>
      </c>
      <c r="D2431" s="6">
        <f t="shared" si="499"/>
        <v>-4.7120080470152148E-3</v>
      </c>
      <c r="E2431" s="5">
        <f t="shared" si="498"/>
        <v>2.0877448949052635E-4</v>
      </c>
      <c r="G2431" s="25" t="str">
        <f>IF(VLOOKUP(A2431,Aux!B:C,2,FALSE)=0,"",VLOOKUP(A2431,Aux!B:C,2,FALSE))</f>
        <v/>
      </c>
      <c r="H2431" s="25" t="str">
        <f t="shared" si="487"/>
        <v/>
      </c>
      <c r="L2431" s="13">
        <f t="shared" si="490"/>
        <v>235343.28555464945</v>
      </c>
      <c r="M2431" s="14">
        <f t="shared" si="491"/>
        <v>-600.40867281808528</v>
      </c>
      <c r="N2431" s="14">
        <f t="shared" si="492"/>
        <v>22.652045548094883</v>
      </c>
      <c r="O2431" s="1">
        <f t="shared" si="493"/>
        <v>2.8299805468424584</v>
      </c>
      <c r="P2431" s="1">
        <f t="shared" si="494"/>
        <v>1924.1981573613521</v>
      </c>
      <c r="S2431" s="6">
        <f t="shared" si="488"/>
        <v>0.53887481362508494</v>
      </c>
      <c r="T2431" s="6">
        <f t="shared" si="489"/>
        <v>0.46112518637491523</v>
      </c>
      <c r="V2431" s="1">
        <f t="shared" si="495"/>
        <v>229557.56538763241</v>
      </c>
      <c r="W2431" s="7">
        <f t="shared" si="496"/>
        <v>-2.4519441965929873E-3</v>
      </c>
      <c r="X2431" s="7">
        <f t="shared" si="497"/>
        <v>-2.015433593789855E-3</v>
      </c>
      <c r="Y2431">
        <f>LN(B2431/B2430)</f>
        <v>-4.7231445542454268E-3</v>
      </c>
      <c r="Z2431">
        <f>LN(C2431/C2430)</f>
        <v>2.0875269912959022E-4</v>
      </c>
    </row>
    <row r="2432" spans="1:26" x14ac:dyDescent="0.3">
      <c r="A2432" s="11">
        <v>43763</v>
      </c>
      <c r="B2432" s="12">
        <v>44935.46</v>
      </c>
      <c r="C2432" s="12">
        <v>56.410697900000002</v>
      </c>
      <c r="D2432" s="16">
        <f t="shared" si="499"/>
        <v>2.7275427368211869E-3</v>
      </c>
      <c r="E2432" s="15">
        <f t="shared" si="498"/>
        <v>2.0866176155220906E-4</v>
      </c>
      <c r="G2432" s="25" t="str">
        <f>IF(VLOOKUP(A2432,Aux!B:C,2,FALSE)=0,"",VLOOKUP(A2432,Aux!B:C,2,FALSE))</f>
        <v/>
      </c>
      <c r="H2432" s="25" t="str">
        <f t="shared" si="487"/>
        <v/>
      </c>
      <c r="L2432" s="13">
        <f t="shared" si="490"/>
        <v>235711.83861806529</v>
      </c>
      <c r="M2432" s="14">
        <f t="shared" si="491"/>
        <v>345.90852224054214</v>
      </c>
      <c r="N2432" s="14">
        <f t="shared" si="492"/>
        <v>22.64454117527551</v>
      </c>
      <c r="O2432" s="1">
        <f t="shared" si="493"/>
        <v>2.8299805468424584</v>
      </c>
      <c r="P2432" s="1">
        <f t="shared" si="494"/>
        <v>1924.1981573613521</v>
      </c>
      <c r="S2432" s="6">
        <f t="shared" si="488"/>
        <v>0.53949974854453997</v>
      </c>
      <c r="T2432" s="6">
        <f t="shared" si="489"/>
        <v>0.46050025145546009</v>
      </c>
      <c r="V2432" s="1">
        <f t="shared" si="495"/>
        <v>229865.88151920744</v>
      </c>
      <c r="W2432" s="7">
        <f t="shared" si="496"/>
        <v>1.5647983418763485E-3</v>
      </c>
      <c r="X2432" s="7">
        <f t="shared" si="497"/>
        <v>1.3421873869780389E-3</v>
      </c>
      <c r="Y2432">
        <f>LN(B2432/B2431)</f>
        <v>2.723829742165959E-3</v>
      </c>
      <c r="Z2432">
        <f>LN(C2432/C2431)</f>
        <v>2.0863999471472714E-4</v>
      </c>
    </row>
    <row r="2433" spans="1:26" x14ac:dyDescent="0.3">
      <c r="A2433" s="9">
        <v>43766</v>
      </c>
      <c r="B2433" s="1">
        <v>45266.46</v>
      </c>
      <c r="C2433" s="1">
        <v>56.4224739</v>
      </c>
      <c r="D2433" s="6">
        <f t="shared" si="499"/>
        <v>7.366120208850635E-3</v>
      </c>
      <c r="E2433" s="5">
        <f t="shared" si="498"/>
        <v>2.0875472983639121E-4</v>
      </c>
      <c r="G2433" s="25" t="str">
        <f>IF(VLOOKUP(A2433,Aux!B:C,2,FALSE)=0,"",VLOOKUP(A2433,Aux!B:C,2,FALSE))</f>
        <v/>
      </c>
      <c r="H2433" s="25" t="str">
        <f t="shared" si="487"/>
        <v/>
      </c>
      <c r="L2433" s="13">
        <f t="shared" si="490"/>
        <v>236671.22153657122</v>
      </c>
      <c r="M2433" s="14">
        <f t="shared" si="491"/>
        <v>936.72356100485376</v>
      </c>
      <c r="N2433" s="14">
        <f t="shared" si="492"/>
        <v>22.659357501082599</v>
      </c>
      <c r="O2433" s="1">
        <f t="shared" si="493"/>
        <v>2.8299805468424584</v>
      </c>
      <c r="P2433" s="1">
        <f t="shared" si="494"/>
        <v>1924.1981573613521</v>
      </c>
      <c r="S2433" s="6">
        <f t="shared" si="488"/>
        <v>0.54127071467633991</v>
      </c>
      <c r="T2433" s="6">
        <f t="shared" si="489"/>
        <v>0.4587292853236602</v>
      </c>
      <c r="V2433" s="1">
        <f t="shared" si="495"/>
        <v>230655.85456951612</v>
      </c>
      <c r="W2433" s="7">
        <f t="shared" si="496"/>
        <v>4.0618909461305969E-3</v>
      </c>
      <c r="X2433" s="7">
        <f t="shared" si="497"/>
        <v>3.4307775865924052E-3</v>
      </c>
      <c r="Y2433">
        <f>LN(B2433/B2432)</f>
        <v>7.3391228415567705E-3</v>
      </c>
      <c r="Z2433">
        <f>LN(C2433/C2432)</f>
        <v>2.0873294359971057E-4</v>
      </c>
    </row>
    <row r="2434" spans="1:26" x14ac:dyDescent="0.3">
      <c r="A2434" s="11">
        <v>43767</v>
      </c>
      <c r="B2434" s="12">
        <v>45036.06</v>
      </c>
      <c r="C2434" s="12">
        <v>56.434249899999998</v>
      </c>
      <c r="D2434" s="16">
        <f t="shared" si="499"/>
        <v>-5.0898612350070982E-3</v>
      </c>
      <c r="E2434" s="15">
        <f t="shared" si="498"/>
        <v>2.0871116039455906E-4</v>
      </c>
      <c r="G2434" s="25" t="str">
        <f>IF(VLOOKUP(A2434,Aux!B:C,2,FALSE)=0,"",VLOOKUP(A2434,Aux!B:C,2,FALSE))</f>
        <v/>
      </c>
      <c r="H2434" s="25" t="str">
        <f t="shared" si="487"/>
        <v/>
      </c>
      <c r="L2434" s="13">
        <f t="shared" si="490"/>
        <v>236041.85337607979</v>
      </c>
      <c r="M2434" s="14">
        <f t="shared" si="491"/>
        <v>-652.02751799250655</v>
      </c>
      <c r="N2434" s="14">
        <f t="shared" si="492"/>
        <v>22.659357501082599</v>
      </c>
      <c r="O2434" s="1">
        <f t="shared" si="493"/>
        <v>2.8299805468424584</v>
      </c>
      <c r="P2434" s="1">
        <f t="shared" si="494"/>
        <v>1924.1981573613521</v>
      </c>
      <c r="S2434" s="6">
        <f t="shared" si="488"/>
        <v>0.53995158859969161</v>
      </c>
      <c r="T2434" s="6">
        <f t="shared" si="489"/>
        <v>0.46004841140030855</v>
      </c>
      <c r="V2434" s="1">
        <f t="shared" si="495"/>
        <v>230150.65818194771</v>
      </c>
      <c r="W2434" s="7">
        <f t="shared" si="496"/>
        <v>-2.6627929954501496E-3</v>
      </c>
      <c r="X2434" s="7">
        <f t="shared" si="497"/>
        <v>-2.1926625427122876E-3</v>
      </c>
      <c r="Y2434">
        <f>LN(B2434/B2433)</f>
        <v>-5.1028587009927821E-3</v>
      </c>
      <c r="Z2434">
        <f>LN(C2434/C2433)</f>
        <v>2.0868938325035844E-4</v>
      </c>
    </row>
    <row r="2435" spans="1:26" x14ac:dyDescent="0.3">
      <c r="A2435" s="9">
        <v>43768</v>
      </c>
      <c r="B2435" s="1">
        <v>45403.3</v>
      </c>
      <c r="C2435" s="1">
        <v>56.446029699999997</v>
      </c>
      <c r="D2435" s="6">
        <f t="shared" si="499"/>
        <v>8.1543545327900091E-3</v>
      </c>
      <c r="E2435" s="5">
        <f t="shared" si="498"/>
        <v>2.0873494413176097E-4</v>
      </c>
      <c r="G2435" s="25" t="str">
        <f>IF(VLOOKUP(A2435,Aux!B:C,2,FALSE)=0,"",VLOOKUP(A2435,Aux!B:C,2,FALSE))</f>
        <v/>
      </c>
      <c r="H2435" s="25" t="str">
        <f t="shared" ref="H2435:H2474" si="500">IF(ISNUMBER(G2435),1-G2435,"")</f>
        <v/>
      </c>
      <c r="L2435" s="13">
        <f t="shared" si="490"/>
        <v>237103.8021015563</v>
      </c>
      <c r="M2435" s="14">
        <f t="shared" si="491"/>
        <v>1039.2820560224393</v>
      </c>
      <c r="N2435" s="14">
        <f t="shared" si="492"/>
        <v>22.666669454083987</v>
      </c>
      <c r="O2435" s="1">
        <f t="shared" si="493"/>
        <v>2.8299805468424584</v>
      </c>
      <c r="P2435" s="1">
        <f t="shared" si="494"/>
        <v>1924.1981573613521</v>
      </c>
      <c r="S2435" s="6">
        <f t="shared" ref="S2435:S2474" si="501">O2435*B2435/L2435</f>
        <v>0.54191647128213138</v>
      </c>
      <c r="T2435" s="6">
        <f t="shared" ref="T2435:T2474" si="502">P2435*C2435/L2435</f>
        <v>0.45808352871786878</v>
      </c>
      <c r="V2435" s="1">
        <f t="shared" si="495"/>
        <v>231024.24668104172</v>
      </c>
      <c r="W2435" s="7">
        <f t="shared" si="496"/>
        <v>4.4888946834282109E-3</v>
      </c>
      <c r="X2435" s="7">
        <f t="shared" si="497"/>
        <v>3.7885389459339875E-3</v>
      </c>
      <c r="Y2435">
        <f>LN(B2435/B2434)</f>
        <v>8.1212874228677161E-3</v>
      </c>
      <c r="Z2435">
        <f>LN(C2435/C2434)</f>
        <v>2.0871316202438205E-4</v>
      </c>
    </row>
    <row r="2436" spans="1:26" x14ac:dyDescent="0.3">
      <c r="A2436" s="11">
        <v>43769</v>
      </c>
      <c r="B2436" s="12">
        <v>44939.87</v>
      </c>
      <c r="C2436" s="12">
        <v>56.457809400000002</v>
      </c>
      <c r="D2436" s="16">
        <f t="shared" si="499"/>
        <v>-1.0206967334973505E-2</v>
      </c>
      <c r="E2436" s="15">
        <f t="shared" si="498"/>
        <v>2.0868961134401509E-4</v>
      </c>
      <c r="G2436" s="25" t="str">
        <f>IF(VLOOKUP(A2436,Aux!B:C,2,FALSE)=0,"",VLOOKUP(A2436,Aux!B:C,2,FALSE))</f>
        <v/>
      </c>
      <c r="H2436" s="25" t="str">
        <f t="shared" si="500"/>
        <v/>
      </c>
      <c r="L2436" s="13">
        <f t="shared" ref="L2436:L2474" si="503">L2435+M2436+N2436</f>
        <v>235814.97069376736</v>
      </c>
      <c r="M2436" s="14">
        <f t="shared" ref="M2436:M2474" si="504">O2435*(B2436-B2435)</f>
        <v>-1311.4978848232013</v>
      </c>
      <c r="N2436" s="14">
        <f t="shared" ref="N2436:N2474" si="505">P2435*(C2436-C2435)</f>
        <v>22.666477034279673</v>
      </c>
      <c r="O2436" s="1">
        <f t="shared" ref="O2436:O2474" si="506">IF(ISNUMBER(G2436),L2436*G2436/B2436,O2435)</f>
        <v>2.8299805468424584</v>
      </c>
      <c r="P2436" s="1">
        <f t="shared" ref="P2436:P2474" si="507">IF(ISNUMBER(H2436),L2436*H2436/C2436,P2435)</f>
        <v>1924.1981573613521</v>
      </c>
      <c r="S2436" s="6">
        <f t="shared" si="501"/>
        <v>0.5393167257509931</v>
      </c>
      <c r="T2436" s="6">
        <f t="shared" si="502"/>
        <v>0.46068327424900718</v>
      </c>
      <c r="V2436" s="1">
        <f t="shared" ref="V2436:V2474" si="508">$O$2*B2436+$P$2*C2436</f>
        <v>229981.45020943042</v>
      </c>
      <c r="W2436" s="7">
        <f t="shared" ref="W2436:W2474" si="509">LN(L2436/L2435)</f>
        <v>-5.4505537639958487E-3</v>
      </c>
      <c r="X2436" s="7">
        <f t="shared" ref="X2436:X2474" si="510">LN(V2436/V2435)</f>
        <v>-4.524014593291925E-3</v>
      </c>
      <c r="Y2436">
        <f>LN(B2436/B2435)</f>
        <v>-1.0259415623267936E-2</v>
      </c>
      <c r="Z2436">
        <f>LN(C2436/C2435)</f>
        <v>2.0866783869617124E-4</v>
      </c>
    </row>
    <row r="2437" spans="1:26" x14ac:dyDescent="0.3">
      <c r="A2437" s="9">
        <v>43770</v>
      </c>
      <c r="B2437" s="1">
        <v>45358.68</v>
      </c>
      <c r="C2437" s="1">
        <v>56.4685287</v>
      </c>
      <c r="D2437" s="6">
        <f t="shared" si="499"/>
        <v>9.3193416002315121E-3</v>
      </c>
      <c r="E2437" s="5">
        <f t="shared" ref="E2437:E2474" si="511">C2437/C2436-1</f>
        <v>1.8986390215847138E-4</v>
      </c>
      <c r="G2437" s="25" t="str">
        <f>IF(VLOOKUP(A2437,Aux!B:C,2,FALSE)=0,"",VLOOKUP(A2437,Aux!B:C,2,FALSE))</f>
        <v/>
      </c>
      <c r="H2437" s="25" t="str">
        <f t="shared" si="500"/>
        <v/>
      </c>
      <c r="L2437" s="13">
        <f t="shared" si="503"/>
        <v>237020.82090389865</v>
      </c>
      <c r="M2437" s="14">
        <f t="shared" si="504"/>
        <v>1185.2241528230834</v>
      </c>
      <c r="N2437" s="14">
        <f t="shared" si="505"/>
        <v>20.626057308199886</v>
      </c>
      <c r="O2437" s="1">
        <f t="shared" si="506"/>
        <v>2.8299805468424584</v>
      </c>
      <c r="P2437" s="1">
        <f t="shared" si="507"/>
        <v>1924.1981573613521</v>
      </c>
      <c r="S2437" s="6">
        <f t="shared" si="501"/>
        <v>0.54157344296135912</v>
      </c>
      <c r="T2437" s="6">
        <f t="shared" si="502"/>
        <v>0.4584265570386411</v>
      </c>
      <c r="V2437" s="1">
        <f t="shared" si="508"/>
        <v>230971.64002347726</v>
      </c>
      <c r="W2437" s="7">
        <f t="shared" si="509"/>
        <v>5.1005141563545886E-3</v>
      </c>
      <c r="X2437" s="7">
        <f t="shared" si="510"/>
        <v>4.2962781163849023E-3</v>
      </c>
      <c r="Y2437">
        <f>LN(B2437/B2436)</f>
        <v>9.2761844598516913E-3</v>
      </c>
      <c r="Z2437">
        <f>LN(C2437/C2436)</f>
        <v>1.8984588028889886E-4</v>
      </c>
    </row>
    <row r="2438" spans="1:26" x14ac:dyDescent="0.3">
      <c r="A2438" s="11">
        <v>43773</v>
      </c>
      <c r="B2438" s="12">
        <v>45563.59</v>
      </c>
      <c r="C2438" s="12">
        <v>56.479247999999998</v>
      </c>
      <c r="D2438" s="16">
        <f t="shared" si="499"/>
        <v>4.5175476887775456E-3</v>
      </c>
      <c r="E2438" s="15">
        <f t="shared" si="511"/>
        <v>1.8982786069998703E-4</v>
      </c>
      <c r="G2438" s="25" t="str">
        <f>IF(VLOOKUP(A2438,Aux!B:C,2,FALSE)=0,"",VLOOKUP(A2438,Aux!B:C,2,FALSE))</f>
        <v/>
      </c>
      <c r="H2438" s="25" t="str">
        <f t="shared" si="500"/>
        <v/>
      </c>
      <c r="L2438" s="13">
        <f t="shared" si="503"/>
        <v>237621.33827506032</v>
      </c>
      <c r="M2438" s="14">
        <f t="shared" si="504"/>
        <v>579.89131385347741</v>
      </c>
      <c r="N2438" s="14">
        <f t="shared" si="505"/>
        <v>20.626057308199886</v>
      </c>
      <c r="O2438" s="1">
        <f t="shared" si="506"/>
        <v>2.8299805468424584</v>
      </c>
      <c r="P2438" s="1">
        <f t="shared" si="507"/>
        <v>1924.1981573613521</v>
      </c>
      <c r="S2438" s="6">
        <f t="shared" si="501"/>
        <v>0.5426451777451291</v>
      </c>
      <c r="T2438" s="6">
        <f t="shared" si="502"/>
        <v>0.45735482225487117</v>
      </c>
      <c r="V2438" s="1">
        <f t="shared" si="508"/>
        <v>231468.35505526201</v>
      </c>
      <c r="W2438" s="7">
        <f t="shared" si="509"/>
        <v>2.5304018194386101E-3</v>
      </c>
      <c r="X2438" s="7">
        <f t="shared" si="510"/>
        <v>2.1482364332487168E-3</v>
      </c>
      <c r="Y2438">
        <f>LN(B2438/B2437)</f>
        <v>4.5073741981963627E-3</v>
      </c>
      <c r="Z2438">
        <f>LN(C2438/C2437)</f>
        <v>1.8980984567143822E-4</v>
      </c>
    </row>
    <row r="2439" spans="1:26" x14ac:dyDescent="0.3">
      <c r="A2439" s="9">
        <v>43774</v>
      </c>
      <c r="B2439" s="1">
        <v>45485.47</v>
      </c>
      <c r="C2439" s="1">
        <v>56.489971199999999</v>
      </c>
      <c r="D2439" s="6">
        <f t="shared" si="499"/>
        <v>-1.7145268842949646E-3</v>
      </c>
      <c r="E2439" s="5">
        <f t="shared" si="511"/>
        <v>1.898608848334149E-4</v>
      </c>
      <c r="G2439" s="25" t="str">
        <f>IF(VLOOKUP(A2439,Aux!B:C,2,FALSE)=0,"",VLOOKUP(A2439,Aux!B:C,2,FALSE))</f>
        <v/>
      </c>
      <c r="H2439" s="25" t="str">
        <f t="shared" si="500"/>
        <v/>
      </c>
      <c r="L2439" s="13">
        <f t="shared" si="503"/>
        <v>237420.89375642201</v>
      </c>
      <c r="M2439" s="14">
        <f t="shared" si="504"/>
        <v>-221.07808031931967</v>
      </c>
      <c r="N2439" s="14">
        <f t="shared" si="505"/>
        <v>20.633561681019259</v>
      </c>
      <c r="O2439" s="1">
        <f t="shared" si="506"/>
        <v>2.8299805468424584</v>
      </c>
      <c r="P2439" s="1">
        <f t="shared" si="507"/>
        <v>1924.1981573613521</v>
      </c>
      <c r="S2439" s="6">
        <f t="shared" si="501"/>
        <v>0.54217214511898615</v>
      </c>
      <c r="T2439" s="6">
        <f t="shared" si="502"/>
        <v>0.45782785488101407</v>
      </c>
      <c r="V2439" s="1">
        <f t="shared" si="508"/>
        <v>231312.11870142104</v>
      </c>
      <c r="W2439" s="7">
        <f t="shared" si="509"/>
        <v>-8.4390193973704489E-4</v>
      </c>
      <c r="X2439" s="7">
        <f t="shared" si="510"/>
        <v>-6.7520722518143127E-4</v>
      </c>
      <c r="Y2439">
        <f>LN(B2439/B2438)</f>
        <v>-1.7159983676858686E-3</v>
      </c>
      <c r="Z2439">
        <f>LN(C2439/C2438)</f>
        <v>1.8984286353661018E-4</v>
      </c>
    </row>
    <row r="2440" spans="1:26" x14ac:dyDescent="0.3">
      <c r="A2440" s="11">
        <v>43775</v>
      </c>
      <c r="B2440" s="12">
        <v>45379.43</v>
      </c>
      <c r="C2440" s="12">
        <v>56.500698100000001</v>
      </c>
      <c r="D2440" s="16">
        <f t="shared" si="499"/>
        <v>-2.3312939274894307E-3</v>
      </c>
      <c r="E2440" s="15">
        <f t="shared" si="511"/>
        <v>1.8989034287208995E-4</v>
      </c>
      <c r="G2440" s="25" t="str">
        <f>IF(VLOOKUP(A2440,Aux!B:C,2,FALSE)=0,"",VLOOKUP(A2440,Aux!B:C,2,FALSE))</f>
        <v/>
      </c>
      <c r="H2440" s="25" t="str">
        <f t="shared" si="500"/>
        <v/>
      </c>
      <c r="L2440" s="13">
        <f t="shared" si="503"/>
        <v>237141.44330044903</v>
      </c>
      <c r="M2440" s="14">
        <f t="shared" si="504"/>
        <v>-300.09113718717674</v>
      </c>
      <c r="N2440" s="14">
        <f t="shared" si="505"/>
        <v>20.640681214202662</v>
      </c>
      <c r="O2440" s="1">
        <f t="shared" si="506"/>
        <v>2.8299805468424584</v>
      </c>
      <c r="P2440" s="1">
        <f t="shared" si="507"/>
        <v>1924.1981573613521</v>
      </c>
      <c r="S2440" s="6">
        <f t="shared" si="501"/>
        <v>0.54154559548704528</v>
      </c>
      <c r="T2440" s="6">
        <f t="shared" si="502"/>
        <v>0.45845440451295505</v>
      </c>
      <c r="V2440" s="1">
        <f t="shared" si="508"/>
        <v>231091.47820832336</v>
      </c>
      <c r="W2440" s="7">
        <f t="shared" si="509"/>
        <v>-1.1777187798188745E-3</v>
      </c>
      <c r="X2440" s="7">
        <f t="shared" si="510"/>
        <v>-9.5432004126909322E-4</v>
      </c>
      <c r="Y2440">
        <f>LN(B2440/B2439)</f>
        <v>-2.3340156240501957E-3</v>
      </c>
      <c r="Z2440">
        <f>LN(C2440/C2439)</f>
        <v>1.8987231598298389E-4</v>
      </c>
    </row>
    <row r="2441" spans="1:26" x14ac:dyDescent="0.3">
      <c r="A2441" s="9">
        <v>43776</v>
      </c>
      <c r="B2441" s="1">
        <v>45853.88</v>
      </c>
      <c r="C2441" s="1">
        <v>56.511425000000003</v>
      </c>
      <c r="D2441" s="6">
        <f t="shared" si="499"/>
        <v>1.045517759918968E-2</v>
      </c>
      <c r="E2441" s="5">
        <f t="shared" si="511"/>
        <v>1.8985429137563514E-4</v>
      </c>
      <c r="G2441" s="25" t="str">
        <f>IF(VLOOKUP(A2441,Aux!B:C,2,FALSE)=0,"",VLOOKUP(A2441,Aux!B:C,2,FALSE))</f>
        <v/>
      </c>
      <c r="H2441" s="25" t="str">
        <f t="shared" si="500"/>
        <v/>
      </c>
      <c r="L2441" s="13">
        <f t="shared" si="503"/>
        <v>238504.76825211261</v>
      </c>
      <c r="M2441" s="14">
        <f t="shared" si="504"/>
        <v>1342.6842704493961</v>
      </c>
      <c r="N2441" s="14">
        <f t="shared" si="505"/>
        <v>20.640681214202662</v>
      </c>
      <c r="O2441" s="1">
        <f t="shared" si="506"/>
        <v>2.8299805468424584</v>
      </c>
      <c r="P2441" s="1">
        <f t="shared" si="507"/>
        <v>1924.1981573613521</v>
      </c>
      <c r="S2441" s="6">
        <f t="shared" si="501"/>
        <v>0.54407963978346596</v>
      </c>
      <c r="T2441" s="6">
        <f t="shared" si="502"/>
        <v>0.45592036021653448</v>
      </c>
      <c r="V2441" s="1">
        <f t="shared" si="508"/>
        <v>232210.04845087451</v>
      </c>
      <c r="W2441" s="7">
        <f t="shared" si="509"/>
        <v>5.7325325084321881E-3</v>
      </c>
      <c r="X2441" s="7">
        <f t="shared" si="510"/>
        <v>4.8287016191448512E-3</v>
      </c>
      <c r="Y2441">
        <f>LN(B2441/B2440)</f>
        <v>1.0400900221829967E-2</v>
      </c>
      <c r="Z2441">
        <f>LN(C2441/C2440)</f>
        <v>1.8983627133041081E-4</v>
      </c>
    </row>
    <row r="2442" spans="1:26" x14ac:dyDescent="0.3">
      <c r="A2442" s="11">
        <v>43777</v>
      </c>
      <c r="B2442" s="12">
        <v>45075.43</v>
      </c>
      <c r="C2442" s="12">
        <v>56.522151899999997</v>
      </c>
      <c r="D2442" s="16">
        <f t="shared" si="499"/>
        <v>-1.6976753112277421E-2</v>
      </c>
      <c r="E2442" s="15">
        <f t="shared" si="511"/>
        <v>1.8981825356534365E-4</v>
      </c>
      <c r="G2442" s="25" t="str">
        <f>IF(VLOOKUP(A2442,Aux!B:C,2,FALSE)=0,"",VLOOKUP(A2442,Aux!B:C,2,FALSE))</f>
        <v/>
      </c>
      <c r="H2442" s="25" t="str">
        <f t="shared" si="500"/>
        <v/>
      </c>
      <c r="L2442" s="13">
        <f t="shared" si="503"/>
        <v>236322.41057663731</v>
      </c>
      <c r="M2442" s="14">
        <f t="shared" si="504"/>
        <v>-2202.9983566895035</v>
      </c>
      <c r="N2442" s="14">
        <f t="shared" si="505"/>
        <v>20.640681214188987</v>
      </c>
      <c r="O2442" s="1">
        <f t="shared" si="506"/>
        <v>2.8299805468424584</v>
      </c>
      <c r="P2442" s="1">
        <f t="shared" si="507"/>
        <v>1924.1981573613521</v>
      </c>
      <c r="S2442" s="6">
        <f t="shared" si="501"/>
        <v>0.53978202799006869</v>
      </c>
      <c r="T2442" s="6">
        <f t="shared" si="502"/>
        <v>0.46021797200993159</v>
      </c>
      <c r="V2442" s="1">
        <f t="shared" si="508"/>
        <v>230438.13456674913</v>
      </c>
      <c r="W2442" s="7">
        <f t="shared" si="509"/>
        <v>-9.1922835922012072E-3</v>
      </c>
      <c r="X2442" s="7">
        <f t="shared" si="510"/>
        <v>-7.6599135713587918E-3</v>
      </c>
      <c r="Y2442">
        <f>LN(B2442/B2441)</f>
        <v>-1.712251019525023E-2</v>
      </c>
      <c r="Z2442">
        <f>LN(C2442/C2441)</f>
        <v>1.8980024036010441E-4</v>
      </c>
    </row>
    <row r="2443" spans="1:26" x14ac:dyDescent="0.3">
      <c r="A2443" s="9">
        <v>43780</v>
      </c>
      <c r="B2443" s="1">
        <v>45385</v>
      </c>
      <c r="C2443" s="1">
        <v>56.532882700000002</v>
      </c>
      <c r="D2443" s="6">
        <f t="shared" si="499"/>
        <v>6.867821338587321E-3</v>
      </c>
      <c r="E2443" s="5">
        <f t="shared" si="511"/>
        <v>1.8985122893044881E-4</v>
      </c>
      <c r="G2443" s="25" t="str">
        <f>IF(VLOOKUP(A2443,Aux!B:C,2,FALSE)=0,"",VLOOKUP(A2443,Aux!B:C,2,FALSE))</f>
        <v/>
      </c>
      <c r="H2443" s="25" t="str">
        <f t="shared" si="500"/>
        <v/>
      </c>
      <c r="L2443" s="13">
        <f t="shared" si="503"/>
        <v>237219.13584011036</v>
      </c>
      <c r="M2443" s="14">
        <f t="shared" si="504"/>
        <v>876.07707788601897</v>
      </c>
      <c r="N2443" s="14">
        <f t="shared" si="505"/>
        <v>20.648185587022034</v>
      </c>
      <c r="O2443" s="1">
        <f t="shared" si="506"/>
        <v>2.8299805468424584</v>
      </c>
      <c r="P2443" s="1">
        <f t="shared" si="507"/>
        <v>1924.1981573613521</v>
      </c>
      <c r="S2443" s="6">
        <f t="shared" si="501"/>
        <v>0.54143468090624336</v>
      </c>
      <c r="T2443" s="6">
        <f t="shared" si="502"/>
        <v>0.45856531909375681</v>
      </c>
      <c r="V2443" s="1">
        <f t="shared" si="508"/>
        <v>231176.32960658363</v>
      </c>
      <c r="W2443" s="7">
        <f t="shared" si="509"/>
        <v>3.7873185241190095E-3</v>
      </c>
      <c r="X2443" s="7">
        <f t="shared" si="510"/>
        <v>3.1983212242797736E-3</v>
      </c>
      <c r="Y2443">
        <f>LN(B2443/B2442)</f>
        <v>6.8443452785831339E-3</v>
      </c>
      <c r="Z2443">
        <f>LN(C2443/C2442)</f>
        <v>1.8983320946652779E-4</v>
      </c>
    </row>
    <row r="2444" spans="1:26" x14ac:dyDescent="0.3">
      <c r="A2444" s="11">
        <v>43781</v>
      </c>
      <c r="B2444" s="12">
        <v>44722.16</v>
      </c>
      <c r="C2444" s="12">
        <v>56.5436172</v>
      </c>
      <c r="D2444" s="16">
        <f t="shared" si="499"/>
        <v>-1.4604825382835696E-2</v>
      </c>
      <c r="E2444" s="15">
        <f t="shared" si="511"/>
        <v>1.8988064091773893E-4</v>
      </c>
      <c r="G2444" s="25" t="str">
        <f>IF(VLOOKUP(A2444,Aux!B:C,2,FALSE)=0,"",VLOOKUP(A2444,Aux!B:C,2,FALSE))</f>
        <v/>
      </c>
      <c r="H2444" s="25" t="str">
        <f t="shared" si="500"/>
        <v/>
      </c>
      <c r="L2444" s="13">
        <f t="shared" si="503"/>
        <v>235363.9668395615</v>
      </c>
      <c r="M2444" s="14">
        <f t="shared" si="504"/>
        <v>-1875.8243056690453</v>
      </c>
      <c r="N2444" s="14">
        <f t="shared" si="505"/>
        <v>20.655305120191763</v>
      </c>
      <c r="O2444" s="1">
        <f t="shared" si="506"/>
        <v>2.8299805468424584</v>
      </c>
      <c r="P2444" s="1">
        <f t="shared" si="507"/>
        <v>1924.1981573613521</v>
      </c>
      <c r="S2444" s="6">
        <f t="shared" si="501"/>
        <v>0.53773245119992774</v>
      </c>
      <c r="T2444" s="6">
        <f t="shared" si="502"/>
        <v>0.46226754880007254</v>
      </c>
      <c r="V2444" s="1">
        <f t="shared" si="508"/>
        <v>229671.14903872443</v>
      </c>
      <c r="W2444" s="7">
        <f t="shared" si="509"/>
        <v>-7.8512266717816418E-3</v>
      </c>
      <c r="X2444" s="7">
        <f t="shared" si="510"/>
        <v>-6.5322519480449709E-3</v>
      </c>
      <c r="Y2444">
        <f>LN(B2444/B2443)</f>
        <v>-1.4712525761507535E-2</v>
      </c>
      <c r="Z2444">
        <f>LN(C2444/C2443)</f>
        <v>1.8986261587054351E-4</v>
      </c>
    </row>
    <row r="2445" spans="1:26" x14ac:dyDescent="0.3">
      <c r="A2445" s="9">
        <v>43782</v>
      </c>
      <c r="B2445" s="1">
        <v>44432.55</v>
      </c>
      <c r="C2445" s="1">
        <v>56.554351799999999</v>
      </c>
      <c r="D2445" s="6">
        <f t="shared" si="499"/>
        <v>-6.4757605625488379E-3</v>
      </c>
      <c r="E2445" s="5">
        <f t="shared" si="511"/>
        <v>1.8984636165075841E-4</v>
      </c>
      <c r="G2445" s="25" t="str">
        <f>IF(VLOOKUP(A2445,Aux!B:C,2,FALSE)=0,"",VLOOKUP(A2445,Aux!B:C,2,FALSE))</f>
        <v/>
      </c>
      <c r="H2445" s="25" t="str">
        <f t="shared" si="500"/>
        <v/>
      </c>
      <c r="L2445" s="13">
        <f t="shared" si="503"/>
        <v>234565.03167093048</v>
      </c>
      <c r="M2445" s="14">
        <f t="shared" si="504"/>
        <v>-819.590666171046</v>
      </c>
      <c r="N2445" s="14">
        <f t="shared" si="505"/>
        <v>20.655497540009748</v>
      </c>
      <c r="O2445" s="1">
        <f t="shared" si="506"/>
        <v>2.8299805468424584</v>
      </c>
      <c r="P2445" s="1">
        <f t="shared" si="507"/>
        <v>1924.1981573613521</v>
      </c>
      <c r="S2445" s="6">
        <f t="shared" si="501"/>
        <v>0.53606989605769173</v>
      </c>
      <c r="T2445" s="6">
        <f t="shared" si="502"/>
        <v>0.46393010394230855</v>
      </c>
      <c r="V2445" s="1">
        <f t="shared" si="508"/>
        <v>229027.0233602337</v>
      </c>
      <c r="W2445" s="7">
        <f t="shared" si="509"/>
        <v>-3.4002410615784281E-3</v>
      </c>
      <c r="X2445" s="7">
        <f t="shared" si="510"/>
        <v>-2.8084964825935955E-3</v>
      </c>
      <c r="Y2445">
        <f>LN(B2445/B2444)</f>
        <v>-6.4968192632813403E-3</v>
      </c>
      <c r="Z2445">
        <f>LN(C2445/C2444)</f>
        <v>1.8982834311070916E-4</v>
      </c>
    </row>
    <row r="2446" spans="1:26" x14ac:dyDescent="0.3">
      <c r="A2446" s="11">
        <v>43783</v>
      </c>
      <c r="B2446" s="12">
        <v>44658.15</v>
      </c>
      <c r="C2446" s="12">
        <v>56.565086399999998</v>
      </c>
      <c r="D2446" s="16">
        <f t="shared" si="499"/>
        <v>5.0773588281562976E-3</v>
      </c>
      <c r="E2446" s="15">
        <f t="shared" si="511"/>
        <v>1.8981032685094767E-4</v>
      </c>
      <c r="G2446" s="25" t="str">
        <f>IF(VLOOKUP(A2446,Aux!B:C,2,FALSE)=0,"",VLOOKUP(A2446,Aux!B:C,2,FALSE))</f>
        <v/>
      </c>
      <c r="H2446" s="25" t="str">
        <f t="shared" si="500"/>
        <v/>
      </c>
      <c r="L2446" s="13">
        <f t="shared" si="503"/>
        <v>235224.13077983816</v>
      </c>
      <c r="M2446" s="14">
        <f t="shared" si="504"/>
        <v>638.44361136765451</v>
      </c>
      <c r="N2446" s="14">
        <f t="shared" si="505"/>
        <v>20.655497540009748</v>
      </c>
      <c r="O2446" s="1">
        <f t="shared" si="506"/>
        <v>2.8299805468424584</v>
      </c>
      <c r="P2446" s="1">
        <f t="shared" si="507"/>
        <v>1924.1981573613521</v>
      </c>
      <c r="S2446" s="6">
        <f t="shared" si="501"/>
        <v>0.53728201838382617</v>
      </c>
      <c r="T2446" s="6">
        <f t="shared" si="502"/>
        <v>0.46271798161617406</v>
      </c>
      <c r="V2446" s="1">
        <f t="shared" si="508"/>
        <v>229571.50517388526</v>
      </c>
      <c r="W2446" s="7">
        <f t="shared" si="509"/>
        <v>2.8059376163933631E-3</v>
      </c>
      <c r="X2446" s="7">
        <f t="shared" si="510"/>
        <v>2.3745478260879462E-3</v>
      </c>
      <c r="Y2446">
        <f>LN(B2446/B2445)</f>
        <v>5.0645125070604303E-3</v>
      </c>
      <c r="Z2446">
        <f>LN(C2446/C2445)</f>
        <v>1.8979231515002656E-4</v>
      </c>
    </row>
    <row r="2447" spans="1:26" x14ac:dyDescent="0.3">
      <c r="A2447" s="9">
        <v>43787</v>
      </c>
      <c r="B2447" s="1">
        <v>44541.35</v>
      </c>
      <c r="C2447" s="1">
        <v>56.575824699999998</v>
      </c>
      <c r="D2447" s="6">
        <f t="shared" si="499"/>
        <v>-2.6154240603339929E-3</v>
      </c>
      <c r="E2447" s="5">
        <f t="shared" si="511"/>
        <v>1.8983971710162528E-4</v>
      </c>
      <c r="G2447" s="25" t="str">
        <f>IF(VLOOKUP(A2447,Aux!B:C,2,FALSE)=0,"",VLOOKUP(A2447,Aux!B:C,2,FALSE))</f>
        <v/>
      </c>
      <c r="H2447" s="25" t="str">
        <f t="shared" si="500"/>
        <v/>
      </c>
      <c r="L2447" s="13">
        <f t="shared" si="503"/>
        <v>234914.25166904015</v>
      </c>
      <c r="M2447" s="14">
        <f t="shared" si="504"/>
        <v>-330.5417278712074</v>
      </c>
      <c r="N2447" s="14">
        <f t="shared" si="505"/>
        <v>20.66261707319315</v>
      </c>
      <c r="O2447" s="1">
        <f t="shared" si="506"/>
        <v>2.8299805468424584</v>
      </c>
      <c r="P2447" s="1">
        <f t="shared" si="507"/>
        <v>1924.1981573613521</v>
      </c>
      <c r="S2447" s="6">
        <f t="shared" si="501"/>
        <v>0.5365836816392433</v>
      </c>
      <c r="T2447" s="6">
        <f t="shared" si="502"/>
        <v>0.46341631836075686</v>
      </c>
      <c r="V2447" s="1">
        <f t="shared" si="508"/>
        <v>229326.06648771081</v>
      </c>
      <c r="W2447" s="7">
        <f t="shared" si="509"/>
        <v>-1.3182465726745401E-3</v>
      </c>
      <c r="X2447" s="7">
        <f t="shared" si="510"/>
        <v>-1.0696884217060072E-3</v>
      </c>
      <c r="Y2447">
        <f>LN(B2447/B2446)</f>
        <v>-2.6188502571172063E-3</v>
      </c>
      <c r="Z2447">
        <f>LN(C2447/C2446)</f>
        <v>1.8982169982275802E-4</v>
      </c>
    </row>
    <row r="2448" spans="1:26" x14ac:dyDescent="0.3">
      <c r="A2448" s="11">
        <v>43788</v>
      </c>
      <c r="B2448" s="12">
        <v>44383.24</v>
      </c>
      <c r="C2448" s="12">
        <v>56.586566900000001</v>
      </c>
      <c r="D2448" s="16">
        <f t="shared" si="499"/>
        <v>-3.5497352460129861E-3</v>
      </c>
      <c r="E2448" s="15">
        <f t="shared" si="511"/>
        <v>1.8987261886094231E-4</v>
      </c>
      <c r="G2448" s="25" t="str">
        <f>IF(VLOOKUP(A2448,Aux!B:C,2,FALSE)=0,"",VLOOKUP(A2448,Aux!B:C,2,FALSE))</f>
        <v/>
      </c>
      <c r="H2448" s="25" t="str">
        <f t="shared" si="500"/>
        <v/>
      </c>
      <c r="L2448" s="13">
        <f t="shared" si="503"/>
        <v>234487.47356622491</v>
      </c>
      <c r="M2448" s="14">
        <f t="shared" si="504"/>
        <v>-447.44822426126274</v>
      </c>
      <c r="N2448" s="14">
        <f t="shared" si="505"/>
        <v>20.670121446012523</v>
      </c>
      <c r="O2448" s="1">
        <f t="shared" si="506"/>
        <v>2.8299805468424584</v>
      </c>
      <c r="P2448" s="1">
        <f t="shared" si="507"/>
        <v>1924.1981573613521</v>
      </c>
      <c r="S2448" s="6">
        <f t="shared" si="501"/>
        <v>0.53565209218038057</v>
      </c>
      <c r="T2448" s="6">
        <f t="shared" si="502"/>
        <v>0.46434790781961949</v>
      </c>
      <c r="V2448" s="1">
        <f t="shared" si="508"/>
        <v>228985.3329113214</v>
      </c>
      <c r="W2448" s="7">
        <f t="shared" si="509"/>
        <v>-1.8183922106305031E-3</v>
      </c>
      <c r="X2448" s="7">
        <f t="shared" si="510"/>
        <v>-1.4869088554788504E-3</v>
      </c>
      <c r="Y2448">
        <f>LN(B2448/B2447)</f>
        <v>-3.5560505056003644E-3</v>
      </c>
      <c r="Z2448">
        <f>LN(C2448/C2447)</f>
        <v>1.8985459533665884E-4</v>
      </c>
    </row>
    <row r="2449" spans="1:26" x14ac:dyDescent="0.3">
      <c r="A2449" s="9">
        <v>43790</v>
      </c>
      <c r="B2449" s="1">
        <v>45059.75</v>
      </c>
      <c r="C2449" s="1">
        <v>56.608055100000001</v>
      </c>
      <c r="D2449" s="6">
        <f t="shared" si="499"/>
        <v>1.5242465399101235E-2</v>
      </c>
      <c r="E2449" s="5">
        <f t="shared" si="511"/>
        <v>3.7974030193366204E-4</v>
      </c>
      <c r="G2449" s="25" t="str">
        <f>IF(VLOOKUP(A2449,Aux!B:C,2,FALSE)=0,"",VLOOKUP(A2449,Aux!B:C,2,FALSE))</f>
        <v/>
      </c>
      <c r="H2449" s="25" t="str">
        <f t="shared" si="500"/>
        <v/>
      </c>
      <c r="L2449" s="13">
        <f t="shared" si="503"/>
        <v>236443.33126081433</v>
      </c>
      <c r="M2449" s="14">
        <f t="shared" si="504"/>
        <v>1914.5101397443973</v>
      </c>
      <c r="N2449" s="14">
        <f t="shared" si="505"/>
        <v>41.347554845012766</v>
      </c>
      <c r="O2449" s="1">
        <f t="shared" si="506"/>
        <v>2.8299805468424584</v>
      </c>
      <c r="P2449" s="1">
        <f t="shared" si="507"/>
        <v>1924.1981573613521</v>
      </c>
      <c r="S2449" s="6">
        <f t="shared" si="501"/>
        <v>0.53931830204558628</v>
      </c>
      <c r="T2449" s="6">
        <f t="shared" si="502"/>
        <v>0.46068169795441388</v>
      </c>
      <c r="V2449" s="1">
        <f t="shared" si="508"/>
        <v>230594.13709552723</v>
      </c>
      <c r="W2449" s="7">
        <f t="shared" si="509"/>
        <v>8.3063962692367255E-3</v>
      </c>
      <c r="X2449" s="7">
        <f t="shared" si="510"/>
        <v>7.001229866812105E-3</v>
      </c>
      <c r="Y2449">
        <f>LN(B2449/B2448)</f>
        <v>1.5127466132551195E-2</v>
      </c>
      <c r="Z2449">
        <f>LN(C2449/C2448)</f>
        <v>3.7966821883320058E-4</v>
      </c>
    </row>
    <row r="2450" spans="1:26" x14ac:dyDescent="0.3">
      <c r="A2450" s="11">
        <v>43791</v>
      </c>
      <c r="B2450" s="12">
        <v>45528.67</v>
      </c>
      <c r="C2450" s="12">
        <v>56.618801099999999</v>
      </c>
      <c r="D2450" s="16">
        <f t="shared" si="499"/>
        <v>1.0406626756695347E-2</v>
      </c>
      <c r="E2450" s="15">
        <f t="shared" si="511"/>
        <v>1.8983164111574524E-4</v>
      </c>
      <c r="G2450" s="25" t="str">
        <f>IF(VLOOKUP(A2450,Aux!B:C,2,FALSE)=0,"",VLOOKUP(A2450,Aux!B:C,2,FALSE))</f>
        <v/>
      </c>
      <c r="H2450" s="25" t="str">
        <f t="shared" si="500"/>
        <v/>
      </c>
      <c r="L2450" s="13">
        <f t="shared" si="503"/>
        <v>237791.04317223869</v>
      </c>
      <c r="M2450" s="14">
        <f t="shared" si="504"/>
        <v>1327.0344780253606</v>
      </c>
      <c r="N2450" s="14">
        <f t="shared" si="505"/>
        <v>20.67743339900024</v>
      </c>
      <c r="O2450" s="1">
        <f t="shared" si="506"/>
        <v>2.8299805468424584</v>
      </c>
      <c r="P2450" s="1">
        <f t="shared" si="507"/>
        <v>1924.1981573613521</v>
      </c>
      <c r="S2450" s="6">
        <f t="shared" si="501"/>
        <v>0.54184231964651253</v>
      </c>
      <c r="T2450" s="6">
        <f t="shared" si="502"/>
        <v>0.45815768035348758</v>
      </c>
      <c r="V2450" s="1">
        <f t="shared" si="508"/>
        <v>231699.99216386795</v>
      </c>
      <c r="W2450" s="7">
        <f t="shared" si="509"/>
        <v>5.6837530648927688E-3</v>
      </c>
      <c r="X2450" s="7">
        <f t="shared" si="510"/>
        <v>4.7842146704791758E-3</v>
      </c>
      <c r="Y2450">
        <f>LN(B2450/B2449)</f>
        <v>1.0352850580435367E-2</v>
      </c>
      <c r="Z2450">
        <f>LN(C2450/C2449)</f>
        <v>1.8981362536969726E-4</v>
      </c>
    </row>
    <row r="2451" spans="1:26" x14ac:dyDescent="0.3">
      <c r="A2451" s="9">
        <v>43794</v>
      </c>
      <c r="B2451" s="1">
        <v>45426.94</v>
      </c>
      <c r="C2451" s="1">
        <v>56.629550899999998</v>
      </c>
      <c r="D2451" s="6">
        <f t="shared" si="499"/>
        <v>-2.2344162480475438E-3</v>
      </c>
      <c r="E2451" s="5">
        <f t="shared" si="511"/>
        <v>1.8986272741838839E-4</v>
      </c>
      <c r="G2451" s="25" t="str">
        <f>IF(VLOOKUP(A2451,Aux!B:C,2,FALSE)=0,"",VLOOKUP(A2451,Aux!B:C,2,FALSE))</f>
        <v/>
      </c>
      <c r="H2451" s="25" t="str">
        <f t="shared" si="500"/>
        <v/>
      </c>
      <c r="L2451" s="13">
        <f t="shared" si="503"/>
        <v>237523.8339965604</v>
      </c>
      <c r="M2451" s="14">
        <f t="shared" si="504"/>
        <v>-287.89392103027177</v>
      </c>
      <c r="N2451" s="14">
        <f t="shared" si="505"/>
        <v>20.684745352001627</v>
      </c>
      <c r="O2451" s="1">
        <f t="shared" si="506"/>
        <v>2.8299805468424584</v>
      </c>
      <c r="P2451" s="1">
        <f t="shared" si="507"/>
        <v>1924.1981573613521</v>
      </c>
      <c r="S2451" s="6">
        <f t="shared" si="501"/>
        <v>0.54123981724057724</v>
      </c>
      <c r="T2451" s="6">
        <f t="shared" si="502"/>
        <v>0.45876018275942299</v>
      </c>
      <c r="V2451" s="1">
        <f t="shared" si="508"/>
        <v>231489.34622186824</v>
      </c>
      <c r="W2451" s="7">
        <f t="shared" si="509"/>
        <v>-1.1243460563211045E-3</v>
      </c>
      <c r="X2451" s="7">
        <f t="shared" si="510"/>
        <v>-9.0954579073712269E-4</v>
      </c>
      <c r="Y2451">
        <f>LN(B2451/B2450)</f>
        <v>-2.236916280802441E-3</v>
      </c>
      <c r="Z2451">
        <f>LN(C2451/C2450)</f>
        <v>1.8984470577181357E-4</v>
      </c>
    </row>
    <row r="2452" spans="1:26" x14ac:dyDescent="0.3">
      <c r="A2452" s="11">
        <v>43795</v>
      </c>
      <c r="B2452" s="12">
        <v>44861.32</v>
      </c>
      <c r="C2452" s="12">
        <v>56.640300799999999</v>
      </c>
      <c r="D2452" s="16">
        <f t="shared" si="499"/>
        <v>-1.2451201863916017E-2</v>
      </c>
      <c r="E2452" s="15">
        <f t="shared" si="511"/>
        <v>1.8982845226833689E-4</v>
      </c>
      <c r="G2452" s="25" t="str">
        <f>IF(VLOOKUP(A2452,Aux!B:C,2,FALSE)=0,"",VLOOKUP(A2452,Aux!B:C,2,FALSE))</f>
        <v/>
      </c>
      <c r="H2452" s="25" t="str">
        <f t="shared" si="500"/>
        <v/>
      </c>
      <c r="L2452" s="13">
        <f t="shared" si="503"/>
        <v>235943.82533742717</v>
      </c>
      <c r="M2452" s="14">
        <f t="shared" si="504"/>
        <v>-1600.6935969050387</v>
      </c>
      <c r="N2452" s="14">
        <f t="shared" si="505"/>
        <v>20.684937771819612</v>
      </c>
      <c r="O2452" s="1">
        <f t="shared" si="506"/>
        <v>2.8299805468424584</v>
      </c>
      <c r="P2452" s="1">
        <f t="shared" si="507"/>
        <v>1924.1981573613521</v>
      </c>
      <c r="S2452" s="6">
        <f t="shared" si="501"/>
        <v>0.53808003970483942</v>
      </c>
      <c r="T2452" s="6">
        <f t="shared" si="502"/>
        <v>0.4619199602951608</v>
      </c>
      <c r="V2452" s="1">
        <f t="shared" si="508"/>
        <v>230208.4900466227</v>
      </c>
      <c r="W2452" s="7">
        <f t="shared" si="509"/>
        <v>-6.6742236481774873E-3</v>
      </c>
      <c r="X2452" s="7">
        <f t="shared" si="510"/>
        <v>-5.548475044142024E-3</v>
      </c>
      <c r="Y2452">
        <f>LN(B2452/B2451)</f>
        <v>-1.2529367593773126E-2</v>
      </c>
      <c r="Z2452">
        <f>LN(C2452/C2451)</f>
        <v>1.8981043712751306E-4</v>
      </c>
    </row>
    <row r="2453" spans="1:26" x14ac:dyDescent="0.3">
      <c r="A2453" s="9">
        <v>43796</v>
      </c>
      <c r="B2453" s="1">
        <v>45127.48</v>
      </c>
      <c r="C2453" s="1">
        <v>56.6510544</v>
      </c>
      <c r="D2453" s="6">
        <f t="shared" si="499"/>
        <v>5.9329507022978234E-3</v>
      </c>
      <c r="E2453" s="5">
        <f t="shared" si="511"/>
        <v>1.8985774877799955E-4</v>
      </c>
      <c r="G2453" s="25" t="str">
        <f>IF(VLOOKUP(A2453,Aux!B:C,2,FALSE)=0,"",VLOOKUP(A2453,Aux!B:C,2,FALSE))</f>
        <v/>
      </c>
      <c r="H2453" s="25" t="str">
        <f t="shared" si="500"/>
        <v/>
      </c>
      <c r="L2453" s="13">
        <f t="shared" si="503"/>
        <v>236717.74501707978</v>
      </c>
      <c r="M2453" s="14">
        <f t="shared" si="504"/>
        <v>753.22762234759864</v>
      </c>
      <c r="N2453" s="14">
        <f t="shared" si="505"/>
        <v>20.692057305003015</v>
      </c>
      <c r="O2453" s="1">
        <f t="shared" si="506"/>
        <v>2.8299805468424584</v>
      </c>
      <c r="P2453" s="1">
        <f t="shared" si="507"/>
        <v>1924.1981573613521</v>
      </c>
      <c r="S2453" s="6">
        <f t="shared" si="501"/>
        <v>0.53950281808745482</v>
      </c>
      <c r="T2453" s="6">
        <f t="shared" si="502"/>
        <v>0.46049718191254535</v>
      </c>
      <c r="V2453" s="1">
        <f t="shared" si="508"/>
        <v>230846.58770458741</v>
      </c>
      <c r="W2453" s="7">
        <f t="shared" si="509"/>
        <v>3.2747336352754743E-3</v>
      </c>
      <c r="X2453" s="7">
        <f t="shared" si="510"/>
        <v>2.767990620514145E-3</v>
      </c>
      <c r="Y2453">
        <f>LN(B2453/B2452)</f>
        <v>5.9154200550830139E-3</v>
      </c>
      <c r="Z2453">
        <f>LN(C2453/C2452)</f>
        <v>1.8983972807649116E-4</v>
      </c>
    </row>
    <row r="2454" spans="1:26" x14ac:dyDescent="0.3">
      <c r="A2454" s="11">
        <v>43797</v>
      </c>
      <c r="B2454" s="12">
        <v>45383.23</v>
      </c>
      <c r="C2454" s="12">
        <v>56.661811800000002</v>
      </c>
      <c r="D2454" s="16">
        <f t="shared" si="499"/>
        <v>5.6672785628624212E-3</v>
      </c>
      <c r="E2454" s="15">
        <f t="shared" si="511"/>
        <v>1.8988878695958E-4</v>
      </c>
      <c r="G2454" s="25" t="str">
        <f>IF(VLOOKUP(A2454,Aux!B:C,2,FALSE)=0,"",VLOOKUP(A2454,Aux!B:C,2,FALSE))</f>
        <v/>
      </c>
      <c r="H2454" s="25" t="str">
        <f t="shared" si="500"/>
        <v/>
      </c>
      <c r="L2454" s="13">
        <f t="shared" si="503"/>
        <v>237462.21191119275</v>
      </c>
      <c r="M2454" s="14">
        <f t="shared" si="504"/>
        <v>723.76752485495876</v>
      </c>
      <c r="N2454" s="14">
        <f t="shared" si="505"/>
        <v>20.699369258004403</v>
      </c>
      <c r="O2454" s="1">
        <f t="shared" si="506"/>
        <v>2.8299805468424584</v>
      </c>
      <c r="P2454" s="1">
        <f t="shared" si="507"/>
        <v>1924.1981573613521</v>
      </c>
      <c r="S2454" s="6">
        <f t="shared" si="501"/>
        <v>0.54085935197516521</v>
      </c>
      <c r="T2454" s="6">
        <f t="shared" si="502"/>
        <v>0.45914064802483495</v>
      </c>
      <c r="V2454" s="1">
        <f t="shared" si="508"/>
        <v>231460.67762951172</v>
      </c>
      <c r="W2454" s="7">
        <f t="shared" si="509"/>
        <v>3.1400209769409282E-3</v>
      </c>
      <c r="X2454" s="7">
        <f t="shared" si="510"/>
        <v>2.6566326430200933E-3</v>
      </c>
      <c r="Y2454">
        <f>LN(B2454/B2453)</f>
        <v>5.6512799569511749E-3</v>
      </c>
      <c r="Z2454">
        <f>LN(C2454/C2453)</f>
        <v>1.8987076036586941E-4</v>
      </c>
    </row>
    <row r="2455" spans="1:26" x14ac:dyDescent="0.3">
      <c r="A2455" s="9">
        <v>43798</v>
      </c>
      <c r="B2455" s="1">
        <v>45374.96</v>
      </c>
      <c r="C2455" s="1">
        <v>56.672569299999999</v>
      </c>
      <c r="D2455" s="6">
        <f t="shared" si="499"/>
        <v>-1.822259015059613E-4</v>
      </c>
      <c r="E2455" s="5">
        <f t="shared" si="511"/>
        <v>1.8985450091091316E-4</v>
      </c>
      <c r="G2455" s="25" t="str">
        <f>IF(VLOOKUP(A2455,Aux!B:C,2,FALSE)=0,"",VLOOKUP(A2455,Aux!B:C,2,FALSE))</f>
        <v/>
      </c>
      <c r="H2455" s="25" t="str">
        <f t="shared" si="500"/>
        <v/>
      </c>
      <c r="L2455" s="13">
        <f t="shared" si="503"/>
        <v>237459.50753374817</v>
      </c>
      <c r="M2455" s="14">
        <f t="shared" si="504"/>
        <v>-23.403939122398661</v>
      </c>
      <c r="N2455" s="14">
        <f t="shared" si="505"/>
        <v>20.699561677808717</v>
      </c>
      <c r="O2455" s="1">
        <f t="shared" si="506"/>
        <v>2.8299805468424584</v>
      </c>
      <c r="P2455" s="1">
        <f t="shared" si="507"/>
        <v>1924.1981573613521</v>
      </c>
      <c r="S2455" s="6">
        <f t="shared" si="501"/>
        <v>0.54076695200551095</v>
      </c>
      <c r="T2455" s="6">
        <f t="shared" si="502"/>
        <v>0.45923304799448916</v>
      </c>
      <c r="V2455" s="1">
        <f t="shared" si="508"/>
        <v>231465.66440268024</v>
      </c>
      <c r="W2455" s="7">
        <f t="shared" si="509"/>
        <v>-1.1388729274182184E-5</v>
      </c>
      <c r="X2455" s="7">
        <f t="shared" si="510"/>
        <v>2.1544564290046665E-5</v>
      </c>
      <c r="Y2455">
        <f>LN(B2455/B2454)</f>
        <v>-1.8224250666284156E-4</v>
      </c>
      <c r="Z2455">
        <f>LN(C2455/C2454)</f>
        <v>1.8983648082591517E-4</v>
      </c>
    </row>
    <row r="2456" spans="1:26" x14ac:dyDescent="0.3">
      <c r="A2456" s="11">
        <v>43801</v>
      </c>
      <c r="B2456" s="12">
        <v>45633.74</v>
      </c>
      <c r="C2456" s="12">
        <v>56.683326700000002</v>
      </c>
      <c r="D2456" s="16">
        <f t="shared" si="499"/>
        <v>5.7031455234339834E-3</v>
      </c>
      <c r="E2456" s="15">
        <f t="shared" si="511"/>
        <v>1.8981669849926774E-4</v>
      </c>
      <c r="G2456" s="25" t="str">
        <f>IF(VLOOKUP(A2456,Aux!B:C,2,FALSE)=0,"",VLOOKUP(A2456,Aux!B:C,2,FALSE))</f>
        <v/>
      </c>
      <c r="H2456" s="25" t="str">
        <f t="shared" si="500"/>
        <v/>
      </c>
      <c r="L2456" s="13">
        <f t="shared" si="503"/>
        <v>238212.54926891808</v>
      </c>
      <c r="M2456" s="14">
        <f t="shared" si="504"/>
        <v>732.34236591188812</v>
      </c>
      <c r="N2456" s="14">
        <f t="shared" si="505"/>
        <v>20.699369258004403</v>
      </c>
      <c r="O2456" s="1">
        <f t="shared" si="506"/>
        <v>2.8299805468424584</v>
      </c>
      <c r="P2456" s="1">
        <f t="shared" si="507"/>
        <v>1924.1981573613521</v>
      </c>
      <c r="S2456" s="6">
        <f t="shared" si="501"/>
        <v>0.54213179312344928</v>
      </c>
      <c r="T2456" s="6">
        <f t="shared" si="502"/>
        <v>0.45786820687655078</v>
      </c>
      <c r="V2456" s="1">
        <f t="shared" si="508"/>
        <v>232086.74464359449</v>
      </c>
      <c r="W2456" s="7">
        <f t="shared" si="509"/>
        <v>3.1662249379705385E-3</v>
      </c>
      <c r="X2456" s="7">
        <f t="shared" si="510"/>
        <v>2.6796564981033948E-3</v>
      </c>
      <c r="Y2456">
        <f>LN(B2456/B2455)</f>
        <v>5.68694415897568E-3</v>
      </c>
      <c r="Z2456">
        <f>LN(C2456/C2455)</f>
        <v>1.8979868558915121E-4</v>
      </c>
    </row>
    <row r="2457" spans="1:26" x14ac:dyDescent="0.3">
      <c r="A2457" s="9">
        <v>43802</v>
      </c>
      <c r="B2457" s="1">
        <v>45671.13</v>
      </c>
      <c r="C2457" s="1">
        <v>56.694088000000001</v>
      </c>
      <c r="D2457" s="6">
        <f t="shared" si="499"/>
        <v>8.1934989330267882E-4</v>
      </c>
      <c r="E2457" s="5">
        <f t="shared" si="511"/>
        <v>1.8984947825928522E-4</v>
      </c>
      <c r="G2457" s="25" t="str">
        <f>IF(VLOOKUP(A2457,Aux!B:C,2,FALSE)=0,"",VLOOKUP(A2457,Aux!B:C,2,FALSE))</f>
        <v/>
      </c>
      <c r="H2457" s="25" t="str">
        <f t="shared" si="500"/>
        <v/>
      </c>
      <c r="L2457" s="13">
        <f t="shared" si="503"/>
        <v>238339.06911519534</v>
      </c>
      <c r="M2457" s="14">
        <f t="shared" si="504"/>
        <v>105.81297264643787</v>
      </c>
      <c r="N2457" s="14">
        <f t="shared" si="505"/>
        <v>20.706873630810104</v>
      </c>
      <c r="O2457" s="1">
        <f t="shared" si="506"/>
        <v>2.8299805468424584</v>
      </c>
      <c r="P2457" s="1">
        <f t="shared" si="507"/>
        <v>1924.1981573613521</v>
      </c>
      <c r="S2457" s="6">
        <f t="shared" si="501"/>
        <v>0.54228796786079569</v>
      </c>
      <c r="T2457" s="6">
        <f t="shared" si="502"/>
        <v>0.45771203213920442</v>
      </c>
      <c r="V2457" s="1">
        <f t="shared" si="508"/>
        <v>232197.07913506171</v>
      </c>
      <c r="W2457" s="7">
        <f t="shared" si="509"/>
        <v>5.3098067184765131E-4</v>
      </c>
      <c r="X2457" s="7">
        <f t="shared" si="510"/>
        <v>4.7528898442460979E-4</v>
      </c>
      <c r="Y2457">
        <f>LN(B2457/B2456)</f>
        <v>8.1901440941880069E-4</v>
      </c>
      <c r="Z2457">
        <f>LN(C2457/C2456)</f>
        <v>1.8983145912766664E-4</v>
      </c>
    </row>
    <row r="2458" spans="1:26" x14ac:dyDescent="0.3">
      <c r="A2458" s="11">
        <v>43803</v>
      </c>
      <c r="B2458" s="12">
        <v>46213.98</v>
      </c>
      <c r="C2458" s="12">
        <v>56.704853100000001</v>
      </c>
      <c r="D2458" s="16">
        <f t="shared" si="499"/>
        <v>1.1886064566390298E-2</v>
      </c>
      <c r="E2458" s="15">
        <f t="shared" si="511"/>
        <v>1.8988046866552644E-4</v>
      </c>
      <c r="G2458" s="25" t="str">
        <f>IF(VLOOKUP(A2458,Aux!B:C,2,FALSE)=0,"",VLOOKUP(A2458,Aux!B:C,2,FALSE))</f>
        <v/>
      </c>
      <c r="H2458" s="25" t="str">
        <f t="shared" si="500"/>
        <v/>
      </c>
      <c r="L2458" s="13">
        <f t="shared" si="503"/>
        <v>239896.0382406326</v>
      </c>
      <c r="M2458" s="14">
        <f t="shared" si="504"/>
        <v>1536.254939853445</v>
      </c>
      <c r="N2458" s="14">
        <f t="shared" si="505"/>
        <v>20.714185583811492</v>
      </c>
      <c r="O2458" s="1">
        <f t="shared" si="506"/>
        <v>2.8299805468424584</v>
      </c>
      <c r="P2458" s="1">
        <f t="shared" si="507"/>
        <v>1924.1981573613521</v>
      </c>
      <c r="S2458" s="6">
        <f t="shared" si="501"/>
        <v>0.54517225607944475</v>
      </c>
      <c r="T2458" s="6">
        <f t="shared" si="502"/>
        <v>0.45482774392055519</v>
      </c>
      <c r="V2458" s="1">
        <f t="shared" si="508"/>
        <v>233473.5360287177</v>
      </c>
      <c r="W2458" s="7">
        <f t="shared" si="509"/>
        <v>6.5113355437547956E-3</v>
      </c>
      <c r="X2458" s="7">
        <f t="shared" si="510"/>
        <v>5.4822445268472185E-3</v>
      </c>
      <c r="Y2458">
        <f>LN(B2458/B2457)</f>
        <v>1.181598010660926E-2</v>
      </c>
      <c r="Z2458">
        <f>LN(C2458/C2457)</f>
        <v>1.8986244365103215E-4</v>
      </c>
    </row>
    <row r="2459" spans="1:26" x14ac:dyDescent="0.3">
      <c r="A2459" s="9">
        <v>43804</v>
      </c>
      <c r="B2459" s="1">
        <v>46361.23</v>
      </c>
      <c r="C2459" s="1">
        <v>56.7156181</v>
      </c>
      <c r="D2459" s="6">
        <f t="shared" ref="D2459:D2474" si="512">B2459/B2458-1</f>
        <v>3.1862652816312398E-3</v>
      </c>
      <c r="E2459" s="5">
        <f t="shared" si="511"/>
        <v>1.8984265740029649E-4</v>
      </c>
      <c r="G2459" s="25" t="str">
        <f>IF(VLOOKUP(A2459,Aux!B:C,2,FALSE)=0,"",VLOOKUP(A2459,Aux!B:C,2,FALSE))</f>
        <v/>
      </c>
      <c r="H2459" s="25" t="str">
        <f t="shared" si="500"/>
        <v/>
      </c>
      <c r="L2459" s="13">
        <f t="shared" si="503"/>
        <v>240333.46686931912</v>
      </c>
      <c r="M2459" s="14">
        <f t="shared" si="504"/>
        <v>416.71463552255199</v>
      </c>
      <c r="N2459" s="14">
        <f t="shared" si="505"/>
        <v>20.713993163993507</v>
      </c>
      <c r="O2459" s="1">
        <f t="shared" si="506"/>
        <v>2.8299805468424584</v>
      </c>
      <c r="P2459" s="1">
        <f t="shared" si="507"/>
        <v>1924.1981573613521</v>
      </c>
      <c r="S2459" s="6">
        <f t="shared" si="501"/>
        <v>0.54591389512568178</v>
      </c>
      <c r="T2459" s="6">
        <f t="shared" si="502"/>
        <v>0.45408610487431827</v>
      </c>
      <c r="V2459" s="1">
        <f t="shared" si="508"/>
        <v>233837.32966049842</v>
      </c>
      <c r="W2459" s="7">
        <f t="shared" si="509"/>
        <v>1.8217487472511062E-3</v>
      </c>
      <c r="X2459" s="7">
        <f t="shared" si="510"/>
        <v>1.5569666018139289E-3</v>
      </c>
      <c r="Y2459">
        <f>LN(B2459/B2458)</f>
        <v>3.1811998953329952E-3</v>
      </c>
      <c r="Z2459">
        <f>LN(C2459/C2458)</f>
        <v>1.8982463956334538E-4</v>
      </c>
    </row>
    <row r="2460" spans="1:26" x14ac:dyDescent="0.3">
      <c r="A2460" s="11">
        <v>43805</v>
      </c>
      <c r="B2460" s="12">
        <v>46586.7</v>
      </c>
      <c r="C2460" s="12">
        <v>56.726383200000001</v>
      </c>
      <c r="D2460" s="16">
        <f t="shared" si="512"/>
        <v>4.8633308477794568E-3</v>
      </c>
      <c r="E2460" s="15">
        <f t="shared" si="511"/>
        <v>1.8980838718918314E-4</v>
      </c>
      <c r="G2460" s="25" t="str">
        <f>IF(VLOOKUP(A2460,Aux!B:C,2,FALSE)=0,"",VLOOKUP(A2460,Aux!B:C,2,FALSE))</f>
        <v/>
      </c>
      <c r="H2460" s="25" t="str">
        <f t="shared" si="500"/>
        <v/>
      </c>
      <c r="L2460" s="13">
        <f t="shared" si="503"/>
        <v>240992.25676879947</v>
      </c>
      <c r="M2460" s="14">
        <f t="shared" si="504"/>
        <v>638.07571389655175</v>
      </c>
      <c r="N2460" s="14">
        <f t="shared" si="505"/>
        <v>20.714185583811492</v>
      </c>
      <c r="O2460" s="1">
        <f t="shared" si="506"/>
        <v>2.8299805468424584</v>
      </c>
      <c r="P2460" s="1">
        <f t="shared" si="507"/>
        <v>1924.1981573613521</v>
      </c>
      <c r="S2460" s="6">
        <f t="shared" si="501"/>
        <v>0.5470692565366041</v>
      </c>
      <c r="T2460" s="6">
        <f t="shared" si="502"/>
        <v>0.4529307434633959</v>
      </c>
      <c r="V2460" s="1">
        <f t="shared" si="508"/>
        <v>234381.57979214258</v>
      </c>
      <c r="W2460" s="7">
        <f t="shared" si="509"/>
        <v>2.7373991395250289E-3</v>
      </c>
      <c r="X2460" s="7">
        <f t="shared" si="510"/>
        <v>2.324768888122429E-3</v>
      </c>
      <c r="Y2460">
        <f>LN(B2460/B2459)</f>
        <v>4.8515430574790075E-3</v>
      </c>
      <c r="Z2460">
        <f>LN(C2460/C2459)</f>
        <v>1.8979037585635809E-4</v>
      </c>
    </row>
    <row r="2461" spans="1:26" x14ac:dyDescent="0.3">
      <c r="A2461" s="9">
        <v>43808</v>
      </c>
      <c r="B2461" s="1">
        <v>46521.94</v>
      </c>
      <c r="C2461" s="1">
        <v>56.737155899999998</v>
      </c>
      <c r="D2461" s="6">
        <f t="shared" si="512"/>
        <v>-1.3900963150426104E-3</v>
      </c>
      <c r="E2461" s="5">
        <f t="shared" si="511"/>
        <v>1.8990634326221389E-4</v>
      </c>
      <c r="G2461" s="25" t="str">
        <f>IF(VLOOKUP(A2461,Aux!B:C,2,FALSE)=0,"",VLOOKUP(A2461,Aux!B:C,2,FALSE))</f>
        <v/>
      </c>
      <c r="H2461" s="25" t="str">
        <f t="shared" si="500"/>
        <v/>
      </c>
      <c r="L2461" s="13">
        <f t="shared" si="503"/>
        <v>240829.71603807577</v>
      </c>
      <c r="M2461" s="14">
        <f t="shared" si="504"/>
        <v>-183.26954021350278</v>
      </c>
      <c r="N2461" s="14">
        <f t="shared" si="505"/>
        <v>20.728809489800597</v>
      </c>
      <c r="O2461" s="1">
        <f t="shared" si="506"/>
        <v>2.8299805468424584</v>
      </c>
      <c r="P2461" s="1">
        <f t="shared" si="507"/>
        <v>1924.1981573613521</v>
      </c>
      <c r="S2461" s="6">
        <f t="shared" si="501"/>
        <v>0.54667749216029837</v>
      </c>
      <c r="T2461" s="6">
        <f t="shared" si="502"/>
        <v>0.45332250783970179</v>
      </c>
      <c r="V2461" s="1">
        <f t="shared" si="508"/>
        <v>234256.27616369375</v>
      </c>
      <c r="W2461" s="7">
        <f t="shared" si="509"/>
        <v>-6.7469208987145789E-4</v>
      </c>
      <c r="X2461" s="7">
        <f t="shared" si="510"/>
        <v>-5.3475676299903044E-4</v>
      </c>
      <c r="Y2461">
        <f>LN(B2461/B2460)</f>
        <v>-1.3910633952521451E-3</v>
      </c>
      <c r="Z2461">
        <f>LN(C2461/C2460)</f>
        <v>1.8988831333523716E-4</v>
      </c>
    </row>
    <row r="2462" spans="1:26" x14ac:dyDescent="0.3">
      <c r="A2462" s="11">
        <v>43809</v>
      </c>
      <c r="B2462" s="12">
        <v>46389.46</v>
      </c>
      <c r="C2462" s="12">
        <v>56.7479248</v>
      </c>
      <c r="D2462" s="16">
        <f t="shared" si="512"/>
        <v>-2.8476886389519063E-3</v>
      </c>
      <c r="E2462" s="15">
        <f t="shared" si="511"/>
        <v>1.8980331017970364E-4</v>
      </c>
      <c r="G2462" s="25" t="str">
        <f>IF(VLOOKUP(A2462,Aux!B:C,2,FALSE)=0,"",VLOOKUP(A2462,Aux!B:C,2,FALSE))</f>
        <v/>
      </c>
      <c r="H2462" s="25" t="str">
        <f t="shared" si="500"/>
        <v/>
      </c>
      <c r="L2462" s="13">
        <f t="shared" si="503"/>
        <v>240475.52171276687</v>
      </c>
      <c r="M2462" s="14">
        <f t="shared" si="504"/>
        <v>-374.91582284569796</v>
      </c>
      <c r="N2462" s="14">
        <f t="shared" si="505"/>
        <v>20.72149753681288</v>
      </c>
      <c r="O2462" s="1">
        <f t="shared" si="506"/>
        <v>2.8299805468424584</v>
      </c>
      <c r="P2462" s="1">
        <f t="shared" si="507"/>
        <v>1924.1981573613521</v>
      </c>
      <c r="S2462" s="6">
        <f t="shared" si="501"/>
        <v>0.54592362849859488</v>
      </c>
      <c r="T2462" s="6">
        <f t="shared" si="502"/>
        <v>0.45407637150140523</v>
      </c>
      <c r="V2462" s="1">
        <f t="shared" si="508"/>
        <v>233974.73162528328</v>
      </c>
      <c r="W2462" s="7">
        <f t="shared" si="509"/>
        <v>-1.471807748872952E-3</v>
      </c>
      <c r="X2462" s="7">
        <f t="shared" si="510"/>
        <v>-1.2025883278051228E-3</v>
      </c>
      <c r="Y2462">
        <f>LN(B2462/B2461)</f>
        <v>-2.8517510183381591E-3</v>
      </c>
      <c r="Z2462">
        <f>LN(C2462/C2461)</f>
        <v>1.8978529981034182E-4</v>
      </c>
    </row>
    <row r="2463" spans="1:26" x14ac:dyDescent="0.3">
      <c r="A2463" s="9">
        <v>43810</v>
      </c>
      <c r="B2463" s="1">
        <v>46542.27</v>
      </c>
      <c r="C2463" s="1">
        <v>56.758701299999998</v>
      </c>
      <c r="D2463" s="6">
        <f t="shared" si="512"/>
        <v>3.2940672299266449E-3</v>
      </c>
      <c r="E2463" s="5">
        <f t="shared" si="511"/>
        <v>1.8990121732165299E-4</v>
      </c>
      <c r="G2463" s="25" t="str">
        <f>IF(VLOOKUP(A2463,Aux!B:C,2,FALSE)=0,"",VLOOKUP(A2463,Aux!B:C,2,FALSE))</f>
        <v/>
      </c>
      <c r="H2463" s="25" t="str">
        <f t="shared" si="500"/>
        <v/>
      </c>
      <c r="L2463" s="13">
        <f t="shared" si="503"/>
        <v>240928.70716157267</v>
      </c>
      <c r="M2463" s="14">
        <f t="shared" si="504"/>
        <v>432.44932736298949</v>
      </c>
      <c r="N2463" s="14">
        <f t="shared" si="505"/>
        <v>20.736121442801984</v>
      </c>
      <c r="O2463" s="1">
        <f t="shared" si="506"/>
        <v>2.8299805468424584</v>
      </c>
      <c r="P2463" s="1">
        <f t="shared" si="507"/>
        <v>1924.1981573613521</v>
      </c>
      <c r="S2463" s="6">
        <f t="shared" si="501"/>
        <v>0.54669167596354096</v>
      </c>
      <c r="T2463" s="6">
        <f t="shared" si="502"/>
        <v>0.45330832403645921</v>
      </c>
      <c r="V2463" s="1">
        <f t="shared" si="508"/>
        <v>234351.37809857712</v>
      </c>
      <c r="W2463" s="7">
        <f t="shared" si="509"/>
        <v>1.8827652749817698E-3</v>
      </c>
      <c r="X2463" s="7">
        <f t="shared" si="510"/>
        <v>1.6084798463239043E-3</v>
      </c>
      <c r="Y2463">
        <f>LN(B2463/B2462)</f>
        <v>3.2886536756191877E-3</v>
      </c>
      <c r="Z2463">
        <f>LN(C2463/C2462)</f>
        <v>1.8988318836792693E-4</v>
      </c>
    </row>
    <row r="2464" spans="1:26" x14ac:dyDescent="0.3">
      <c r="A2464" s="11">
        <v>43811</v>
      </c>
      <c r="B2464" s="12">
        <v>47038.13</v>
      </c>
      <c r="C2464" s="12">
        <v>56.769474000000002</v>
      </c>
      <c r="D2464" s="16">
        <f t="shared" si="512"/>
        <v>1.0653971110562432E-2</v>
      </c>
      <c r="E2464" s="15">
        <f t="shared" si="511"/>
        <v>1.8979821160924892E-4</v>
      </c>
      <c r="G2464" s="25" t="str">
        <f>IF(VLOOKUP(A2464,Aux!B:C,2,FALSE)=0,"",VLOOKUP(A2464,Aux!B:C,2,FALSE))</f>
        <v/>
      </c>
      <c r="H2464" s="25" t="str">
        <f t="shared" si="500"/>
        <v/>
      </c>
      <c r="L2464" s="13">
        <f t="shared" si="503"/>
        <v>242352.71012501977</v>
      </c>
      <c r="M2464" s="14">
        <f t="shared" si="504"/>
        <v>1403.274153957303</v>
      </c>
      <c r="N2464" s="14">
        <f t="shared" si="505"/>
        <v>20.728809489814267</v>
      </c>
      <c r="O2464" s="1">
        <f t="shared" si="506"/>
        <v>2.8299805468424584</v>
      </c>
      <c r="P2464" s="1">
        <f t="shared" si="507"/>
        <v>1924.1981573613521</v>
      </c>
      <c r="S2464" s="6">
        <f t="shared" si="501"/>
        <v>0.54926966895141005</v>
      </c>
      <c r="T2464" s="6">
        <f t="shared" si="502"/>
        <v>0.45073033104859028</v>
      </c>
      <c r="V2464" s="1">
        <f t="shared" si="508"/>
        <v>235519.44442072086</v>
      </c>
      <c r="W2464" s="7">
        <f t="shared" si="509"/>
        <v>5.8930760985823546E-3</v>
      </c>
      <c r="X2464" s="7">
        <f t="shared" si="510"/>
        <v>4.9718717244399916E-3</v>
      </c>
      <c r="Y2464">
        <f>LN(B2464/B2463)</f>
        <v>1.0597617467052206E-2</v>
      </c>
      <c r="Z2464">
        <f>LN(C2464/C2463)</f>
        <v>1.8978020220741603E-4</v>
      </c>
    </row>
    <row r="2465" spans="1:26" x14ac:dyDescent="0.3">
      <c r="A2465" s="9">
        <v>43812</v>
      </c>
      <c r="B2465" s="1">
        <v>47212.92</v>
      </c>
      <c r="C2465" s="1">
        <v>56.7791748</v>
      </c>
      <c r="D2465" s="6">
        <f t="shared" si="512"/>
        <v>3.715921530043742E-3</v>
      </c>
      <c r="E2465" s="5">
        <f t="shared" si="511"/>
        <v>1.708805686662096E-4</v>
      </c>
      <c r="G2465" s="25" t="str">
        <f>IF(VLOOKUP(A2465,Aux!B:C,2,FALSE)=0,"",VLOOKUP(A2465,Aux!B:C,2,FALSE))</f>
        <v/>
      </c>
      <c r="H2465" s="25" t="str">
        <f t="shared" si="500"/>
        <v/>
      </c>
      <c r="L2465" s="13">
        <f t="shared" si="503"/>
        <v>242866.02868628729</v>
      </c>
      <c r="M2465" s="14">
        <f t="shared" si="504"/>
        <v>494.65229978259578</v>
      </c>
      <c r="N2465" s="14">
        <f t="shared" si="505"/>
        <v>18.666261484926</v>
      </c>
      <c r="O2465" s="1">
        <f t="shared" si="506"/>
        <v>2.8299805468424584</v>
      </c>
      <c r="P2465" s="1">
        <f t="shared" si="507"/>
        <v>1924.1981573613521</v>
      </c>
      <c r="S2465" s="6">
        <f t="shared" si="501"/>
        <v>0.55014546860407909</v>
      </c>
      <c r="T2465" s="6">
        <f t="shared" si="502"/>
        <v>0.44985453139592119</v>
      </c>
      <c r="V2465" s="1">
        <f t="shared" si="508"/>
        <v>235944.39303949033</v>
      </c>
      <c r="W2465" s="7">
        <f t="shared" si="509"/>
        <v>2.1158241086208797E-3</v>
      </c>
      <c r="X2465" s="7">
        <f t="shared" si="510"/>
        <v>1.8026779578108935E-3</v>
      </c>
      <c r="Y2465">
        <f>LN(B2465/B2464)</f>
        <v>3.7090345493489192E-3</v>
      </c>
      <c r="Z2465">
        <f>LN(C2465/C2464)</f>
        <v>1.7086597024486977E-4</v>
      </c>
    </row>
    <row r="2466" spans="1:26" x14ac:dyDescent="0.3">
      <c r="A2466" s="11">
        <v>43815</v>
      </c>
      <c r="B2466" s="12">
        <v>46985.26</v>
      </c>
      <c r="C2466" s="12">
        <v>56.788879399999999</v>
      </c>
      <c r="D2466" s="16">
        <f t="shared" si="512"/>
        <v>-4.8219851684665471E-3</v>
      </c>
      <c r="E2466" s="15">
        <f t="shared" si="511"/>
        <v>1.709182994324987E-4</v>
      </c>
      <c r="G2466" s="25" t="str">
        <f>IF(VLOOKUP(A2466,Aux!B:C,2,FALSE)=0,"",VLOOKUP(A2466,Aux!B:C,2,FALSE))</f>
        <v/>
      </c>
      <c r="H2466" s="25" t="str">
        <f t="shared" si="500"/>
        <v/>
      </c>
      <c r="L2466" s="13">
        <f t="shared" si="503"/>
        <v>242240.42888843108</v>
      </c>
      <c r="M2466" s="14">
        <f t="shared" si="504"/>
        <v>-644.27337129414332</v>
      </c>
      <c r="N2466" s="14">
        <f t="shared" si="505"/>
        <v>18.673573437927391</v>
      </c>
      <c r="O2466" s="1">
        <f t="shared" si="506"/>
        <v>2.8299805468424584</v>
      </c>
      <c r="P2466" s="1">
        <f t="shared" si="507"/>
        <v>1924.1981573613521</v>
      </c>
      <c r="S2466" s="6">
        <f t="shared" si="501"/>
        <v>0.54890660654161905</v>
      </c>
      <c r="T2466" s="6">
        <f t="shared" si="502"/>
        <v>0.45109339345838118</v>
      </c>
      <c r="V2466" s="1">
        <f t="shared" si="508"/>
        <v>235440.88393158687</v>
      </c>
      <c r="W2466" s="7">
        <f t="shared" si="509"/>
        <v>-2.5792282700027942E-3</v>
      </c>
      <c r="X2466" s="7">
        <f t="shared" si="510"/>
        <v>-2.1362962484958912E-3</v>
      </c>
      <c r="Y2466">
        <f>LN(B2466/B2465)</f>
        <v>-4.8336484474929241E-3</v>
      </c>
      <c r="Z2466">
        <f>LN(C2466/C2465)</f>
        <v>1.7090369456409406E-4</v>
      </c>
    </row>
    <row r="2467" spans="1:26" x14ac:dyDescent="0.3">
      <c r="A2467" s="9">
        <v>43816</v>
      </c>
      <c r="B2467" s="1">
        <v>47258.74</v>
      </c>
      <c r="C2467" s="1">
        <v>56.798583999999998</v>
      </c>
      <c r="D2467" s="6">
        <f t="shared" si="512"/>
        <v>5.8205488274407635E-3</v>
      </c>
      <c r="E2467" s="5">
        <f t="shared" si="511"/>
        <v>1.7088909135964947E-4</v>
      </c>
      <c r="G2467" s="25" t="str">
        <f>IF(VLOOKUP(A2467,Aux!B:C,2,FALSE)=0,"",VLOOKUP(A2467,Aux!B:C,2,FALSE))</f>
        <v/>
      </c>
      <c r="H2467" s="25" t="str">
        <f t="shared" si="500"/>
        <v/>
      </c>
      <c r="L2467" s="13">
        <f t="shared" si="503"/>
        <v>243033.04554181948</v>
      </c>
      <c r="M2467" s="14">
        <f t="shared" si="504"/>
        <v>773.94307995046404</v>
      </c>
      <c r="N2467" s="14">
        <f t="shared" si="505"/>
        <v>18.673573437927391</v>
      </c>
      <c r="O2467" s="1">
        <f t="shared" si="506"/>
        <v>2.8299805468424584</v>
      </c>
      <c r="P2467" s="1">
        <f t="shared" si="507"/>
        <v>1924.1981573613521</v>
      </c>
      <c r="S2467" s="6">
        <f t="shared" si="501"/>
        <v>0.55030094598914225</v>
      </c>
      <c r="T2467" s="6">
        <f t="shared" si="502"/>
        <v>0.44969905401085791</v>
      </c>
      <c r="V2467" s="1">
        <f t="shared" si="508"/>
        <v>236093.5223336544</v>
      </c>
      <c r="W2467" s="7">
        <f t="shared" si="509"/>
        <v>3.2666832209104399E-3</v>
      </c>
      <c r="X2467" s="7">
        <f t="shared" si="510"/>
        <v>2.7681493021121328E-3</v>
      </c>
      <c r="Y2467">
        <f>LN(B2467/B2466)</f>
        <v>5.8036748785489124E-3</v>
      </c>
      <c r="Z2467">
        <f>LN(C2467/C2466)</f>
        <v>1.7087449148215945E-4</v>
      </c>
    </row>
    <row r="2468" spans="1:26" x14ac:dyDescent="0.3">
      <c r="A2468" s="11">
        <v>43817</v>
      </c>
      <c r="B2468" s="12">
        <v>47976.84</v>
      </c>
      <c r="C2468" s="12">
        <v>56.808288599999997</v>
      </c>
      <c r="D2468" s="16">
        <f t="shared" si="512"/>
        <v>1.5195072911381002E-2</v>
      </c>
      <c r="E2468" s="15">
        <f t="shared" si="511"/>
        <v>1.7085989326770523E-4</v>
      </c>
      <c r="G2468" s="25" t="str">
        <f>IF(VLOOKUP(A2468,Aux!B:C,2,FALSE)=0,"",VLOOKUP(A2468,Aux!B:C,2,FALSE))</f>
        <v/>
      </c>
      <c r="H2468" s="25" t="str">
        <f t="shared" si="500"/>
        <v/>
      </c>
      <c r="L2468" s="13">
        <f t="shared" si="503"/>
        <v>245083.92814594498</v>
      </c>
      <c r="M2468" s="14">
        <f t="shared" si="504"/>
        <v>2032.2090306875652</v>
      </c>
      <c r="N2468" s="14">
        <f t="shared" si="505"/>
        <v>18.673573437927391</v>
      </c>
      <c r="O2468" s="1">
        <f t="shared" si="506"/>
        <v>2.8299805468424584</v>
      </c>
      <c r="P2468" s="1">
        <f t="shared" si="507"/>
        <v>1924.1981573613521</v>
      </c>
      <c r="S2468" s="6">
        <f t="shared" si="501"/>
        <v>0.55398787234274038</v>
      </c>
      <c r="T2468" s="6">
        <f t="shared" si="502"/>
        <v>0.44601212765725978</v>
      </c>
      <c r="V2468" s="1">
        <f t="shared" si="508"/>
        <v>237771.91462861278</v>
      </c>
      <c r="W2468" s="7">
        <f t="shared" si="509"/>
        <v>8.4032917653308024E-3</v>
      </c>
      <c r="X2468" s="7">
        <f t="shared" si="510"/>
        <v>7.0838646698875001E-3</v>
      </c>
      <c r="Y2468">
        <f>LN(B2468/B2467)</f>
        <v>1.5080784088080845E-2</v>
      </c>
      <c r="Z2468">
        <f>LN(C2468/C2467)</f>
        <v>1.7084529837857197E-4</v>
      </c>
    </row>
    <row r="2469" spans="1:26" x14ac:dyDescent="0.3">
      <c r="A2469" s="9">
        <v>43818</v>
      </c>
      <c r="B2469" s="1">
        <v>48333.17</v>
      </c>
      <c r="C2469" s="1">
        <v>56.817996999999998</v>
      </c>
      <c r="D2469" s="6">
        <f t="shared" si="512"/>
        <v>7.427125254602096E-3</v>
      </c>
      <c r="E2469" s="5">
        <f t="shared" si="511"/>
        <v>1.7089759679889127E-4</v>
      </c>
      <c r="G2469" s="25" t="str">
        <f>IF(VLOOKUP(A2469,Aux!B:C,2,FALSE)=0,"",VLOOKUP(A2469,Aux!B:C,2,FALSE))</f>
        <v/>
      </c>
      <c r="H2469" s="25" t="str">
        <f t="shared" si="500"/>
        <v/>
      </c>
      <c r="L2469" s="13">
        <f t="shared" si="503"/>
        <v>246111.01599959229</v>
      </c>
      <c r="M2469" s="14">
        <f t="shared" si="504"/>
        <v>1008.4069682563781</v>
      </c>
      <c r="N2469" s="14">
        <f t="shared" si="505"/>
        <v>18.680885390928779</v>
      </c>
      <c r="O2469" s="1">
        <f t="shared" si="506"/>
        <v>2.8299805468424584</v>
      </c>
      <c r="P2469" s="1">
        <f t="shared" si="507"/>
        <v>1924.1981573613521</v>
      </c>
      <c r="S2469" s="6">
        <f t="shared" si="501"/>
        <v>0.55577329731333969</v>
      </c>
      <c r="T2469" s="6">
        <f t="shared" si="502"/>
        <v>0.44422670268666048</v>
      </c>
      <c r="V2469" s="1">
        <f t="shared" si="508"/>
        <v>238615.69937989218</v>
      </c>
      <c r="W2469" s="7">
        <f t="shared" si="509"/>
        <v>4.1820029411794093E-3</v>
      </c>
      <c r="X2469" s="7">
        <f t="shared" si="510"/>
        <v>3.5424331315225929E-3</v>
      </c>
      <c r="Y2469">
        <f>LN(B2469/B2468)</f>
        <v>7.3996799691007148E-3</v>
      </c>
      <c r="Z2469">
        <f>LN(C2469/C2468)</f>
        <v>1.7088299546812665E-4</v>
      </c>
    </row>
    <row r="2470" spans="1:26" x14ac:dyDescent="0.3">
      <c r="A2470" s="11">
        <v>43819</v>
      </c>
      <c r="B2470" s="12">
        <v>48345.59</v>
      </c>
      <c r="C2470" s="12">
        <v>56.827709200000001</v>
      </c>
      <c r="D2470" s="16">
        <f t="shared" si="512"/>
        <v>2.5696638561045759E-4</v>
      </c>
      <c r="E2470" s="15">
        <f t="shared" si="511"/>
        <v>1.7093527601841352E-4</v>
      </c>
      <c r="G2470" s="25" t="str">
        <f>IF(VLOOKUP(A2470,Aux!B:C,2,FALSE)=0,"",VLOOKUP(A2470,Aux!B:C,2,FALSE))</f>
        <v/>
      </c>
      <c r="H2470" s="25" t="str">
        <f t="shared" si="500"/>
        <v/>
      </c>
      <c r="L2470" s="13">
        <f t="shared" si="503"/>
        <v>246164.85255532799</v>
      </c>
      <c r="M2470" s="14">
        <f t="shared" si="504"/>
        <v>35.148358391778395</v>
      </c>
      <c r="N2470" s="14">
        <f t="shared" si="505"/>
        <v>18.688197343930167</v>
      </c>
      <c r="O2470" s="1">
        <f t="shared" si="506"/>
        <v>2.8299805468424584</v>
      </c>
      <c r="P2470" s="1">
        <f t="shared" si="507"/>
        <v>1924.1981573613521</v>
      </c>
      <c r="S2470" s="6">
        <f t="shared" si="501"/>
        <v>0.55579453283189684</v>
      </c>
      <c r="T2470" s="6">
        <f t="shared" si="502"/>
        <v>0.44420546716810339</v>
      </c>
      <c r="V2470" s="1">
        <f t="shared" si="508"/>
        <v>238666.08023223875</v>
      </c>
      <c r="W2470" s="7">
        <f t="shared" si="509"/>
        <v>2.1872514737870149E-4</v>
      </c>
      <c r="X2470" s="7">
        <f t="shared" si="510"/>
        <v>2.1111575880657798E-4</v>
      </c>
      <c r="Y2470">
        <f>LN(B2470/B2469)</f>
        <v>2.5693337540367867E-4</v>
      </c>
      <c r="Z2470">
        <f>LN(C2470/C2469)</f>
        <v>1.709206682487515E-4</v>
      </c>
    </row>
    <row r="2471" spans="1:26" x14ac:dyDescent="0.3">
      <c r="A2471" s="9">
        <v>43822</v>
      </c>
      <c r="B2471" s="1">
        <v>48679.43</v>
      </c>
      <c r="C2471" s="1">
        <v>56.837417600000002</v>
      </c>
      <c r="D2471" s="6">
        <f t="shared" si="512"/>
        <v>6.9052833981342321E-3</v>
      </c>
      <c r="E2471" s="5">
        <f t="shared" si="511"/>
        <v>1.7083919335614262E-4</v>
      </c>
      <c r="G2471" s="25" t="str">
        <f>IF(VLOOKUP(A2471,Aux!B:C,2,FALSE)=0,"",VLOOKUP(A2471,Aux!B:C,2,FALSE))</f>
        <v/>
      </c>
      <c r="H2471" s="25" t="str">
        <f t="shared" si="500"/>
        <v/>
      </c>
      <c r="L2471" s="13">
        <f t="shared" si="503"/>
        <v>247128.29414647681</v>
      </c>
      <c r="M2471" s="14">
        <f t="shared" si="504"/>
        <v>944.76070575789697</v>
      </c>
      <c r="N2471" s="14">
        <f t="shared" si="505"/>
        <v>18.680885390928779</v>
      </c>
      <c r="O2471" s="1">
        <f t="shared" si="506"/>
        <v>2.8299805468424584</v>
      </c>
      <c r="P2471" s="1">
        <f t="shared" si="507"/>
        <v>1924.1981573613521</v>
      </c>
      <c r="S2471" s="6">
        <f t="shared" si="501"/>
        <v>0.55745069744917819</v>
      </c>
      <c r="T2471" s="6">
        <f t="shared" si="502"/>
        <v>0.44254930255082192</v>
      </c>
      <c r="V2471" s="1">
        <f t="shared" si="508"/>
        <v>239457.97976681378</v>
      </c>
      <c r="W2471" s="7">
        <f t="shared" si="509"/>
        <v>3.9061674487785164E-3</v>
      </c>
      <c r="X2471" s="7">
        <f t="shared" si="510"/>
        <v>3.3125304704107543E-3</v>
      </c>
      <c r="Y2471">
        <f>LN(B2471/B2470)</f>
        <v>6.8815511181716318E-3</v>
      </c>
      <c r="Z2471">
        <f>LN(C2471/C2470)</f>
        <v>1.7082460200297568E-4</v>
      </c>
    </row>
    <row r="2472" spans="1:26" x14ac:dyDescent="0.3">
      <c r="A2472" s="11">
        <v>43825</v>
      </c>
      <c r="B2472" s="12">
        <v>49256.14</v>
      </c>
      <c r="C2472" s="12">
        <v>56.856845900000003</v>
      </c>
      <c r="D2472" s="16">
        <f t="shared" si="512"/>
        <v>1.1847098456165162E-2</v>
      </c>
      <c r="E2472" s="15">
        <f t="shared" si="511"/>
        <v>3.4182235612334466E-4</v>
      </c>
      <c r="G2472" s="25" t="str">
        <f>IF(VLOOKUP(A2472,Aux!B:C,2,FALSE)=0,"",VLOOKUP(A2472,Aux!B:C,2,FALSE))</f>
        <v/>
      </c>
      <c r="H2472" s="25" t="str">
        <f t="shared" si="500"/>
        <v/>
      </c>
      <c r="L2472" s="13">
        <f t="shared" si="503"/>
        <v>248797.75612670698</v>
      </c>
      <c r="M2472" s="14">
        <f t="shared" si="504"/>
        <v>1632.0780811695117</v>
      </c>
      <c r="N2472" s="14">
        <f t="shared" si="505"/>
        <v>37.383899060666032</v>
      </c>
      <c r="O2472" s="1">
        <f t="shared" si="506"/>
        <v>2.8299805468424584</v>
      </c>
      <c r="P2472" s="1">
        <f t="shared" si="507"/>
        <v>1924.1981573613521</v>
      </c>
      <c r="S2472" s="6">
        <f t="shared" si="501"/>
        <v>0.56026999673404831</v>
      </c>
      <c r="T2472" s="6">
        <f t="shared" si="502"/>
        <v>0.43973000326595185</v>
      </c>
      <c r="V2472" s="1">
        <f t="shared" si="508"/>
        <v>240831.93359083944</v>
      </c>
      <c r="W2472" s="7">
        <f t="shared" si="509"/>
        <v>6.7327307595622613E-3</v>
      </c>
      <c r="X2472" s="7">
        <f t="shared" si="510"/>
        <v>5.7213675895914362E-3</v>
      </c>
      <c r="Y2472">
        <f>LN(B2472/B2471)</f>
        <v>1.1777470968209063E-2</v>
      </c>
      <c r="Z2472">
        <f>LN(C2472/C2471)</f>
        <v>3.4176394817148856E-4</v>
      </c>
    </row>
    <row r="2473" spans="1:26" x14ac:dyDescent="0.3">
      <c r="A2473" s="9">
        <v>43826</v>
      </c>
      <c r="B2473" s="1">
        <v>49000.07</v>
      </c>
      <c r="C2473" s="1">
        <v>56.866561900000001</v>
      </c>
      <c r="D2473" s="6">
        <f t="shared" si="512"/>
        <v>-5.1987427354234228E-3</v>
      </c>
      <c r="E2473" s="5">
        <f t="shared" si="511"/>
        <v>1.70885314621394E-4</v>
      </c>
      <c r="G2473" s="25" t="str">
        <f>IF(VLOOKUP(A2473,Aux!B:C,2,FALSE)=0,"",VLOOKUP(A2473,Aux!B:C,2,FALSE))</f>
        <v/>
      </c>
      <c r="H2473" s="25" t="str">
        <f t="shared" si="500"/>
        <v/>
      </c>
      <c r="L2473" s="13">
        <f t="shared" si="503"/>
        <v>248091.77851737395</v>
      </c>
      <c r="M2473" s="14">
        <f t="shared" si="504"/>
        <v>-724.67311862994745</v>
      </c>
      <c r="N2473" s="14">
        <f t="shared" si="505"/>
        <v>18.69550929691788</v>
      </c>
      <c r="O2473" s="1">
        <f t="shared" si="506"/>
        <v>2.8299805468424584</v>
      </c>
      <c r="P2473" s="1">
        <f t="shared" si="507"/>
        <v>1924.1981573613521</v>
      </c>
      <c r="S2473" s="6">
        <f t="shared" si="501"/>
        <v>0.55894333025714393</v>
      </c>
      <c r="T2473" s="6">
        <f t="shared" si="502"/>
        <v>0.44105666974285634</v>
      </c>
      <c r="V2473" s="1">
        <f t="shared" si="508"/>
        <v>240262.90712245891</v>
      </c>
      <c r="W2473" s="7">
        <f t="shared" si="509"/>
        <v>-2.8415896699498975E-3</v>
      </c>
      <c r="X2473" s="7">
        <f t="shared" si="510"/>
        <v>-2.3655490999838526E-3</v>
      </c>
      <c r="Y2473">
        <f>LN(B2473/B2472)</f>
        <v>-5.2123032171595765E-3</v>
      </c>
      <c r="Z2473">
        <f>LN(C2473/C2472)</f>
        <v>1.7087071538918994E-4</v>
      </c>
    </row>
    <row r="2474" spans="1:26" x14ac:dyDescent="0.3">
      <c r="A2474" s="11">
        <v>43829</v>
      </c>
      <c r="B2474" s="12">
        <v>48675.42</v>
      </c>
      <c r="C2474" s="12">
        <v>56.8762817</v>
      </c>
      <c r="D2474" s="16">
        <f t="shared" si="512"/>
        <v>-6.6255007390806364E-3</v>
      </c>
      <c r="E2474" s="15">
        <f t="shared" si="511"/>
        <v>1.7092294092080351E-4</v>
      </c>
      <c r="G2474" s="25">
        <f>IF(VLOOKUP(A2474,Aux!B:C,2,FALSE)=0,"",VLOOKUP(A2474,Aux!B:C,2,FALSE))</f>
        <v>0.5</v>
      </c>
      <c r="H2474" s="25">
        <f t="shared" si="500"/>
        <v>0.5</v>
      </c>
      <c r="L2474" s="13">
        <f t="shared" si="503"/>
        <v>247191.72815409148</v>
      </c>
      <c r="M2474" s="14">
        <f t="shared" si="504"/>
        <v>-918.75318453240823</v>
      </c>
      <c r="N2474" s="14">
        <f t="shared" si="505"/>
        <v>18.702821249919268</v>
      </c>
      <c r="O2474" s="1">
        <f t="shared" si="506"/>
        <v>2.5391843373317733</v>
      </c>
      <c r="P2474" s="1">
        <f t="shared" si="507"/>
        <v>2173.065122804006</v>
      </c>
      <c r="S2474" s="6">
        <f t="shared" si="501"/>
        <v>0.5</v>
      </c>
      <c r="T2474" s="6">
        <f t="shared" si="502"/>
        <v>0.5</v>
      </c>
      <c r="V2474" s="1">
        <f t="shared" si="508"/>
        <v>239535.67269624051</v>
      </c>
      <c r="W2474" s="7">
        <f t="shared" si="509"/>
        <v>-3.6344895072318965E-3</v>
      </c>
      <c r="X2474" s="7">
        <f t="shared" si="510"/>
        <v>-3.0314178228823836E-3</v>
      </c>
      <c r="Y2474">
        <f>LN(B2474/B2473)</f>
        <v>-6.6475468005220018E-3</v>
      </c>
      <c r="Z2474">
        <f>LN(C2474/C2473)</f>
        <v>1.7090833525920839E-4</v>
      </c>
    </row>
  </sheetData>
  <conditionalFormatting sqref="M3:N2474">
    <cfRule type="cellIs" dxfId="3" priority="7" operator="lessThan">
      <formula>0</formula>
    </cfRule>
  </conditionalFormatting>
  <conditionalFormatting sqref="G1:H1 G2475:H1048576">
    <cfRule type="cellIs" dxfId="2" priority="4" operator="equal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A5E1B4-2FBA-4669-9885-1703778F1EDE}">
          <x14:formula1>
            <xm:f>Aux!$D$1:$H$1</xm:f>
          </x14:formula1>
          <xm:sqref>AG1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EA73-1053-4D18-BA20-00F5F3E6A059}">
  <dimension ref="A1:H2474"/>
  <sheetViews>
    <sheetView showGridLines="0" topLeftCell="A780" workbookViewId="0">
      <selection activeCell="B930" sqref="B930"/>
    </sheetView>
  </sheetViews>
  <sheetFormatPr defaultRowHeight="14.4" x14ac:dyDescent="0.3"/>
  <cols>
    <col min="2" max="3" width="11.21875" customWidth="1"/>
    <col min="4" max="4" width="8.88671875" style="2"/>
    <col min="7" max="8" width="8.88671875" style="27"/>
  </cols>
  <sheetData>
    <row r="1" spans="1:8" x14ac:dyDescent="0.3">
      <c r="A1" t="str">
        <f>Rebalance!AG1</f>
        <v>Anual</v>
      </c>
      <c r="C1" t="s">
        <v>17</v>
      </c>
      <c r="D1" s="2" t="s">
        <v>11</v>
      </c>
      <c r="E1" s="2" t="s">
        <v>12</v>
      </c>
      <c r="F1" t="s">
        <v>13</v>
      </c>
      <c r="G1" s="27" t="s">
        <v>15</v>
      </c>
      <c r="H1" s="27" t="s">
        <v>16</v>
      </c>
    </row>
    <row r="2" spans="1:8" x14ac:dyDescent="0.3">
      <c r="B2" s="11">
        <v>40177</v>
      </c>
      <c r="C2" s="29">
        <f>INDEX(D2:H2,MATCH($A$1,$D$1:$H$1,0))</f>
        <v>0.5</v>
      </c>
      <c r="D2" s="8">
        <v>0.5</v>
      </c>
      <c r="E2" s="28">
        <v>0.5</v>
      </c>
      <c r="F2" s="7">
        <v>0.5</v>
      </c>
      <c r="G2" s="27">
        <v>0.5</v>
      </c>
      <c r="H2" s="27">
        <v>0.5</v>
      </c>
    </row>
    <row r="3" spans="1:8" x14ac:dyDescent="0.3">
      <c r="B3" s="9">
        <v>40182</v>
      </c>
      <c r="C3" s="29" t="str">
        <f t="shared" ref="C3:C66" si="0">INDEX(D3:H3,MATCH($A$1,$D$1:$H$1,0))</f>
        <v/>
      </c>
      <c r="D3" s="8">
        <v>0.5</v>
      </c>
      <c r="E3" s="28" t="s">
        <v>14</v>
      </c>
      <c r="F3" s="7" t="s">
        <v>14</v>
      </c>
      <c r="G3" s="27" t="s">
        <v>14</v>
      </c>
      <c r="H3" s="27" t="s">
        <v>14</v>
      </c>
    </row>
    <row r="4" spans="1:8" x14ac:dyDescent="0.3">
      <c r="B4" s="11">
        <v>40183</v>
      </c>
      <c r="C4" s="29" t="str">
        <f t="shared" si="0"/>
        <v/>
      </c>
      <c r="D4" s="8">
        <v>0.5</v>
      </c>
      <c r="E4" s="28" t="s">
        <v>14</v>
      </c>
      <c r="F4" s="7" t="s">
        <v>14</v>
      </c>
      <c r="G4" s="27" t="s">
        <v>14</v>
      </c>
      <c r="H4" s="27" t="s">
        <v>14</v>
      </c>
    </row>
    <row r="5" spans="1:8" x14ac:dyDescent="0.3">
      <c r="B5" s="9">
        <v>40184</v>
      </c>
      <c r="C5" s="29" t="str">
        <f t="shared" si="0"/>
        <v/>
      </c>
      <c r="D5" s="8">
        <v>0.5</v>
      </c>
      <c r="E5" s="28" t="s">
        <v>14</v>
      </c>
      <c r="F5" s="7" t="s">
        <v>14</v>
      </c>
      <c r="G5" s="27" t="s">
        <v>14</v>
      </c>
      <c r="H5" s="27" t="s">
        <v>14</v>
      </c>
    </row>
    <row r="6" spans="1:8" x14ac:dyDescent="0.3">
      <c r="B6" s="11">
        <v>40185</v>
      </c>
      <c r="C6" s="29" t="str">
        <f t="shared" si="0"/>
        <v/>
      </c>
      <c r="D6" s="8">
        <v>0.5</v>
      </c>
      <c r="E6" s="28" t="s">
        <v>14</v>
      </c>
      <c r="F6" s="7" t="s">
        <v>14</v>
      </c>
      <c r="G6" s="27" t="s">
        <v>14</v>
      </c>
      <c r="H6" s="27" t="s">
        <v>14</v>
      </c>
    </row>
    <row r="7" spans="1:8" x14ac:dyDescent="0.3">
      <c r="B7" s="9">
        <v>40186</v>
      </c>
      <c r="C7" s="29" t="str">
        <f t="shared" si="0"/>
        <v/>
      </c>
      <c r="D7" s="8">
        <v>0.5</v>
      </c>
      <c r="E7" s="28" t="s">
        <v>14</v>
      </c>
      <c r="F7" s="7" t="s">
        <v>14</v>
      </c>
      <c r="G7" s="27" t="s">
        <v>14</v>
      </c>
      <c r="H7" s="27" t="s">
        <v>14</v>
      </c>
    </row>
    <row r="8" spans="1:8" x14ac:dyDescent="0.3">
      <c r="B8" s="11">
        <v>40189</v>
      </c>
      <c r="C8" s="29" t="str">
        <f t="shared" si="0"/>
        <v/>
      </c>
      <c r="D8" s="8">
        <v>0.5</v>
      </c>
      <c r="E8" s="28" t="s">
        <v>14</v>
      </c>
      <c r="F8" s="7" t="s">
        <v>14</v>
      </c>
      <c r="G8" s="27" t="s">
        <v>14</v>
      </c>
      <c r="H8" s="27" t="s">
        <v>14</v>
      </c>
    </row>
    <row r="9" spans="1:8" x14ac:dyDescent="0.3">
      <c r="B9" s="9">
        <v>40190</v>
      </c>
      <c r="C9" s="29" t="str">
        <f t="shared" si="0"/>
        <v/>
      </c>
      <c r="D9" s="8">
        <v>0.5</v>
      </c>
      <c r="E9" s="28" t="s">
        <v>14</v>
      </c>
      <c r="F9" s="7" t="s">
        <v>14</v>
      </c>
      <c r="G9" s="27" t="s">
        <v>14</v>
      </c>
      <c r="H9" s="27" t="s">
        <v>14</v>
      </c>
    </row>
    <row r="10" spans="1:8" x14ac:dyDescent="0.3">
      <c r="B10" s="11">
        <v>40191</v>
      </c>
      <c r="C10" s="29" t="str">
        <f t="shared" si="0"/>
        <v/>
      </c>
      <c r="D10" s="8">
        <v>0.5</v>
      </c>
      <c r="E10" s="28" t="s">
        <v>14</v>
      </c>
      <c r="F10" s="7" t="s">
        <v>14</v>
      </c>
      <c r="G10" s="27" t="s">
        <v>14</v>
      </c>
      <c r="H10" s="27" t="s">
        <v>14</v>
      </c>
    </row>
    <row r="11" spans="1:8" x14ac:dyDescent="0.3">
      <c r="B11" s="9">
        <v>40192</v>
      </c>
      <c r="C11" s="29" t="str">
        <f t="shared" si="0"/>
        <v/>
      </c>
      <c r="D11" s="8">
        <v>0.5</v>
      </c>
      <c r="E11" s="28" t="s">
        <v>14</v>
      </c>
      <c r="F11" s="7" t="s">
        <v>14</v>
      </c>
      <c r="G11" s="27" t="s">
        <v>14</v>
      </c>
      <c r="H11" s="27" t="s">
        <v>14</v>
      </c>
    </row>
    <row r="12" spans="1:8" x14ac:dyDescent="0.3">
      <c r="B12" s="11">
        <v>40193</v>
      </c>
      <c r="C12" s="29" t="str">
        <f t="shared" si="0"/>
        <v/>
      </c>
      <c r="D12" s="8">
        <v>0.5</v>
      </c>
      <c r="E12" s="28" t="s">
        <v>14</v>
      </c>
      <c r="F12" s="7" t="s">
        <v>14</v>
      </c>
      <c r="G12" s="27" t="s">
        <v>14</v>
      </c>
      <c r="H12" s="27" t="s">
        <v>14</v>
      </c>
    </row>
    <row r="13" spans="1:8" x14ac:dyDescent="0.3">
      <c r="B13" s="9">
        <v>40196</v>
      </c>
      <c r="C13" s="29" t="str">
        <f t="shared" si="0"/>
        <v/>
      </c>
      <c r="D13" s="8">
        <v>0.5</v>
      </c>
      <c r="E13" s="28" t="s">
        <v>14</v>
      </c>
      <c r="F13" s="7" t="s">
        <v>14</v>
      </c>
      <c r="G13" s="27" t="s">
        <v>14</v>
      </c>
      <c r="H13" s="27" t="s">
        <v>14</v>
      </c>
    </row>
    <row r="14" spans="1:8" x14ac:dyDescent="0.3">
      <c r="B14" s="11">
        <v>40197</v>
      </c>
      <c r="C14" s="29" t="str">
        <f t="shared" si="0"/>
        <v/>
      </c>
      <c r="D14" s="8">
        <v>0.5</v>
      </c>
      <c r="E14" s="28" t="s">
        <v>14</v>
      </c>
      <c r="F14" s="7" t="s">
        <v>14</v>
      </c>
      <c r="G14" s="27" t="s">
        <v>14</v>
      </c>
      <c r="H14" s="27" t="s">
        <v>14</v>
      </c>
    </row>
    <row r="15" spans="1:8" x14ac:dyDescent="0.3">
      <c r="B15" s="9">
        <v>40198</v>
      </c>
      <c r="C15" s="29" t="str">
        <f t="shared" si="0"/>
        <v/>
      </c>
      <c r="D15" s="8">
        <v>0.5</v>
      </c>
      <c r="E15" s="28" t="s">
        <v>14</v>
      </c>
      <c r="F15" s="7" t="s">
        <v>14</v>
      </c>
      <c r="G15" s="27" t="s">
        <v>14</v>
      </c>
      <c r="H15" s="27" t="s">
        <v>14</v>
      </c>
    </row>
    <row r="16" spans="1:8" x14ac:dyDescent="0.3">
      <c r="B16" s="11">
        <v>40199</v>
      </c>
      <c r="C16" s="29" t="str">
        <f t="shared" si="0"/>
        <v/>
      </c>
      <c r="D16" s="8">
        <v>0.5</v>
      </c>
      <c r="E16" s="28" t="s">
        <v>14</v>
      </c>
      <c r="F16" s="7" t="s">
        <v>14</v>
      </c>
      <c r="G16" s="27" t="s">
        <v>14</v>
      </c>
      <c r="H16" s="27" t="s">
        <v>14</v>
      </c>
    </row>
    <row r="17" spans="2:8" x14ac:dyDescent="0.3">
      <c r="B17" s="9">
        <v>40200</v>
      </c>
      <c r="C17" s="29" t="str">
        <f t="shared" si="0"/>
        <v/>
      </c>
      <c r="D17" s="8">
        <v>0.5</v>
      </c>
      <c r="E17" s="28" t="s">
        <v>14</v>
      </c>
      <c r="F17" s="7" t="s">
        <v>14</v>
      </c>
      <c r="G17" s="27" t="s">
        <v>14</v>
      </c>
      <c r="H17" s="27" t="s">
        <v>14</v>
      </c>
    </row>
    <row r="18" spans="2:8" x14ac:dyDescent="0.3">
      <c r="B18" s="11">
        <v>40204</v>
      </c>
      <c r="C18" s="29" t="str">
        <f t="shared" si="0"/>
        <v/>
      </c>
      <c r="D18" s="8">
        <v>0.5</v>
      </c>
      <c r="E18" s="28" t="s">
        <v>14</v>
      </c>
      <c r="F18" s="7" t="s">
        <v>14</v>
      </c>
      <c r="G18" s="27" t="s">
        <v>14</v>
      </c>
      <c r="H18" s="27" t="s">
        <v>14</v>
      </c>
    </row>
    <row r="19" spans="2:8" x14ac:dyDescent="0.3">
      <c r="B19" s="9">
        <v>40205</v>
      </c>
      <c r="C19" s="29" t="str">
        <f t="shared" si="0"/>
        <v/>
      </c>
      <c r="D19" s="8">
        <v>0.5</v>
      </c>
      <c r="E19" s="28" t="s">
        <v>14</v>
      </c>
      <c r="F19" s="7" t="s">
        <v>14</v>
      </c>
      <c r="G19" s="27" t="s">
        <v>14</v>
      </c>
      <c r="H19" s="27" t="s">
        <v>14</v>
      </c>
    </row>
    <row r="20" spans="2:8" x14ac:dyDescent="0.3">
      <c r="B20" s="11">
        <v>40206</v>
      </c>
      <c r="C20" s="29" t="str">
        <f t="shared" si="0"/>
        <v/>
      </c>
      <c r="D20" s="8">
        <v>0.5</v>
      </c>
      <c r="E20" s="28" t="s">
        <v>14</v>
      </c>
      <c r="F20" s="7" t="s">
        <v>14</v>
      </c>
      <c r="G20" s="27" t="s">
        <v>14</v>
      </c>
      <c r="H20" s="27" t="s">
        <v>14</v>
      </c>
    </row>
    <row r="21" spans="2:8" x14ac:dyDescent="0.3">
      <c r="B21" s="9">
        <v>40207</v>
      </c>
      <c r="C21" s="29" t="str">
        <f t="shared" si="0"/>
        <v/>
      </c>
      <c r="D21" s="8">
        <v>0.5</v>
      </c>
      <c r="E21" s="28">
        <v>0.5</v>
      </c>
      <c r="F21" s="7" t="s">
        <v>14</v>
      </c>
      <c r="G21" s="27" t="s">
        <v>14</v>
      </c>
      <c r="H21" s="27" t="s">
        <v>14</v>
      </c>
    </row>
    <row r="22" spans="2:8" x14ac:dyDescent="0.3">
      <c r="B22" s="11">
        <v>40210</v>
      </c>
      <c r="C22" s="29" t="str">
        <f t="shared" si="0"/>
        <v/>
      </c>
      <c r="D22" s="8">
        <v>0.5</v>
      </c>
      <c r="E22" s="28" t="s">
        <v>14</v>
      </c>
      <c r="F22" s="7" t="s">
        <v>14</v>
      </c>
      <c r="G22" s="27" t="s">
        <v>14</v>
      </c>
      <c r="H22" s="27" t="s">
        <v>14</v>
      </c>
    </row>
    <row r="23" spans="2:8" x14ac:dyDescent="0.3">
      <c r="B23" s="9">
        <v>40211</v>
      </c>
      <c r="C23" s="29" t="str">
        <f t="shared" si="0"/>
        <v/>
      </c>
      <c r="D23" s="8">
        <v>0.5</v>
      </c>
      <c r="E23" s="28" t="s">
        <v>14</v>
      </c>
      <c r="F23" s="7" t="s">
        <v>14</v>
      </c>
      <c r="G23" s="27" t="s">
        <v>14</v>
      </c>
      <c r="H23" s="27" t="s">
        <v>14</v>
      </c>
    </row>
    <row r="24" spans="2:8" x14ac:dyDescent="0.3">
      <c r="B24" s="11">
        <v>40212</v>
      </c>
      <c r="C24" s="29" t="str">
        <f t="shared" si="0"/>
        <v/>
      </c>
      <c r="D24" s="8">
        <v>0.5</v>
      </c>
      <c r="E24" s="28" t="s">
        <v>14</v>
      </c>
      <c r="F24" s="7" t="s">
        <v>14</v>
      </c>
      <c r="G24" s="27" t="s">
        <v>14</v>
      </c>
      <c r="H24" s="27" t="s">
        <v>14</v>
      </c>
    </row>
    <row r="25" spans="2:8" x14ac:dyDescent="0.3">
      <c r="B25" s="9">
        <v>40213</v>
      </c>
      <c r="C25" s="29" t="str">
        <f t="shared" si="0"/>
        <v/>
      </c>
      <c r="D25" s="8">
        <v>0.5</v>
      </c>
      <c r="E25" s="28" t="s">
        <v>14</v>
      </c>
      <c r="F25" s="7" t="s">
        <v>14</v>
      </c>
      <c r="G25" s="27" t="s">
        <v>14</v>
      </c>
      <c r="H25" s="27" t="s">
        <v>14</v>
      </c>
    </row>
    <row r="26" spans="2:8" x14ac:dyDescent="0.3">
      <c r="B26" s="11">
        <v>40214</v>
      </c>
      <c r="C26" s="29" t="str">
        <f t="shared" si="0"/>
        <v/>
      </c>
      <c r="D26" s="8">
        <v>0.5</v>
      </c>
      <c r="E26" s="28" t="s">
        <v>14</v>
      </c>
      <c r="F26" s="7" t="s">
        <v>14</v>
      </c>
      <c r="G26" s="27" t="s">
        <v>14</v>
      </c>
      <c r="H26" s="27" t="s">
        <v>14</v>
      </c>
    </row>
    <row r="27" spans="2:8" x14ac:dyDescent="0.3">
      <c r="B27" s="9">
        <v>40217</v>
      </c>
      <c r="C27" s="29" t="str">
        <f t="shared" si="0"/>
        <v/>
      </c>
      <c r="D27" s="8">
        <v>0.5</v>
      </c>
      <c r="E27" s="28" t="s">
        <v>14</v>
      </c>
      <c r="F27" s="7" t="s">
        <v>14</v>
      </c>
      <c r="G27" s="27" t="s">
        <v>14</v>
      </c>
      <c r="H27" s="27" t="s">
        <v>14</v>
      </c>
    </row>
    <row r="28" spans="2:8" x14ac:dyDescent="0.3">
      <c r="B28" s="11">
        <v>40218</v>
      </c>
      <c r="C28" s="29" t="str">
        <f t="shared" si="0"/>
        <v/>
      </c>
      <c r="D28" s="8">
        <v>0.5</v>
      </c>
      <c r="E28" s="28" t="s">
        <v>14</v>
      </c>
      <c r="F28" s="7" t="s">
        <v>14</v>
      </c>
      <c r="G28" s="27" t="s">
        <v>14</v>
      </c>
      <c r="H28" s="27" t="s">
        <v>14</v>
      </c>
    </row>
    <row r="29" spans="2:8" x14ac:dyDescent="0.3">
      <c r="B29" s="9">
        <v>40219</v>
      </c>
      <c r="C29" s="29" t="str">
        <f t="shared" si="0"/>
        <v/>
      </c>
      <c r="D29" s="8">
        <v>0.5</v>
      </c>
      <c r="E29" s="28" t="s">
        <v>14</v>
      </c>
      <c r="F29" s="7" t="s">
        <v>14</v>
      </c>
      <c r="G29" s="27" t="s">
        <v>14</v>
      </c>
      <c r="H29" s="27" t="s">
        <v>14</v>
      </c>
    </row>
    <row r="30" spans="2:8" x14ac:dyDescent="0.3">
      <c r="B30" s="11">
        <v>40220</v>
      </c>
      <c r="C30" s="29" t="str">
        <f t="shared" si="0"/>
        <v/>
      </c>
      <c r="D30" s="8">
        <v>0.5</v>
      </c>
      <c r="E30" s="28" t="s">
        <v>14</v>
      </c>
      <c r="F30" s="7" t="s">
        <v>14</v>
      </c>
      <c r="G30" s="27" t="s">
        <v>14</v>
      </c>
      <c r="H30" s="27" t="s">
        <v>14</v>
      </c>
    </row>
    <row r="31" spans="2:8" x14ac:dyDescent="0.3">
      <c r="B31" s="9">
        <v>40221</v>
      </c>
      <c r="C31" s="29" t="str">
        <f t="shared" si="0"/>
        <v/>
      </c>
      <c r="D31" s="8">
        <v>0.5</v>
      </c>
      <c r="E31" s="28" t="s">
        <v>14</v>
      </c>
      <c r="F31" s="7" t="s">
        <v>14</v>
      </c>
      <c r="G31" s="27" t="s">
        <v>14</v>
      </c>
      <c r="H31" s="27" t="s">
        <v>14</v>
      </c>
    </row>
    <row r="32" spans="2:8" x14ac:dyDescent="0.3">
      <c r="B32" s="11">
        <v>40226</v>
      </c>
      <c r="C32" s="29" t="str">
        <f t="shared" si="0"/>
        <v/>
      </c>
      <c r="D32" s="8">
        <v>0.5</v>
      </c>
      <c r="E32" s="28" t="s">
        <v>14</v>
      </c>
      <c r="F32" s="7" t="s">
        <v>14</v>
      </c>
      <c r="G32" s="27" t="s">
        <v>14</v>
      </c>
      <c r="H32" s="27" t="s">
        <v>14</v>
      </c>
    </row>
    <row r="33" spans="2:8" x14ac:dyDescent="0.3">
      <c r="B33" s="9">
        <v>40227</v>
      </c>
      <c r="C33" s="29" t="str">
        <f t="shared" si="0"/>
        <v/>
      </c>
      <c r="D33" s="8">
        <v>0.5</v>
      </c>
      <c r="E33" s="28" t="s">
        <v>14</v>
      </c>
      <c r="F33" s="7" t="s">
        <v>14</v>
      </c>
      <c r="G33" s="27" t="s">
        <v>14</v>
      </c>
      <c r="H33" s="27" t="s">
        <v>14</v>
      </c>
    </row>
    <row r="34" spans="2:8" x14ac:dyDescent="0.3">
      <c r="B34" s="11">
        <v>40228</v>
      </c>
      <c r="C34" s="29" t="str">
        <f t="shared" si="0"/>
        <v/>
      </c>
      <c r="D34" s="8">
        <v>0.5</v>
      </c>
      <c r="E34" s="28" t="s">
        <v>14</v>
      </c>
      <c r="F34" s="7" t="s">
        <v>14</v>
      </c>
      <c r="G34" s="27" t="s">
        <v>14</v>
      </c>
      <c r="H34" s="27" t="s">
        <v>14</v>
      </c>
    </row>
    <row r="35" spans="2:8" x14ac:dyDescent="0.3">
      <c r="B35" s="9">
        <v>40231</v>
      </c>
      <c r="C35" s="29" t="str">
        <f t="shared" si="0"/>
        <v/>
      </c>
      <c r="D35" s="8">
        <v>0.5</v>
      </c>
      <c r="E35" s="28" t="s">
        <v>14</v>
      </c>
      <c r="F35" s="7" t="s">
        <v>14</v>
      </c>
      <c r="G35" s="27" t="s">
        <v>14</v>
      </c>
      <c r="H35" s="27" t="s">
        <v>14</v>
      </c>
    </row>
    <row r="36" spans="2:8" x14ac:dyDescent="0.3">
      <c r="B36" s="11">
        <v>40232</v>
      </c>
      <c r="C36" s="29" t="str">
        <f t="shared" si="0"/>
        <v/>
      </c>
      <c r="D36" s="8">
        <v>0.5</v>
      </c>
      <c r="E36" s="28" t="s">
        <v>14</v>
      </c>
      <c r="F36" s="7" t="s">
        <v>14</v>
      </c>
      <c r="G36" s="27" t="s">
        <v>14</v>
      </c>
      <c r="H36" s="27" t="s">
        <v>14</v>
      </c>
    </row>
    <row r="37" spans="2:8" x14ac:dyDescent="0.3">
      <c r="B37" s="9">
        <v>40233</v>
      </c>
      <c r="C37" s="29" t="str">
        <f t="shared" si="0"/>
        <v/>
      </c>
      <c r="D37" s="8">
        <v>0.5</v>
      </c>
      <c r="E37" s="28" t="s">
        <v>14</v>
      </c>
      <c r="F37" s="7" t="s">
        <v>14</v>
      </c>
      <c r="G37" s="27" t="s">
        <v>14</v>
      </c>
      <c r="H37" s="27" t="s">
        <v>14</v>
      </c>
    </row>
    <row r="38" spans="2:8" x14ac:dyDescent="0.3">
      <c r="B38" s="11">
        <v>40234</v>
      </c>
      <c r="C38" s="29" t="str">
        <f t="shared" si="0"/>
        <v/>
      </c>
      <c r="D38" s="8">
        <v>0.5</v>
      </c>
      <c r="E38" s="28" t="s">
        <v>14</v>
      </c>
      <c r="F38" s="7" t="s">
        <v>14</v>
      </c>
      <c r="G38" s="27" t="s">
        <v>14</v>
      </c>
      <c r="H38" s="27" t="s">
        <v>14</v>
      </c>
    </row>
    <row r="39" spans="2:8" x14ac:dyDescent="0.3">
      <c r="B39" s="9">
        <v>40235</v>
      </c>
      <c r="C39" s="29" t="str">
        <f t="shared" si="0"/>
        <v/>
      </c>
      <c r="D39" s="8">
        <v>0.5</v>
      </c>
      <c r="E39" s="28">
        <v>0.5</v>
      </c>
      <c r="F39" s="7" t="s">
        <v>14</v>
      </c>
      <c r="G39" s="27" t="s">
        <v>14</v>
      </c>
      <c r="H39" s="27" t="s">
        <v>14</v>
      </c>
    </row>
    <row r="40" spans="2:8" x14ac:dyDescent="0.3">
      <c r="B40" s="11">
        <v>40238</v>
      </c>
      <c r="C40" s="29" t="str">
        <f t="shared" si="0"/>
        <v/>
      </c>
      <c r="D40" s="8">
        <v>0.5</v>
      </c>
      <c r="E40" s="28" t="s">
        <v>14</v>
      </c>
      <c r="F40" s="7" t="s">
        <v>14</v>
      </c>
      <c r="G40" s="27" t="s">
        <v>14</v>
      </c>
      <c r="H40" s="27" t="s">
        <v>14</v>
      </c>
    </row>
    <row r="41" spans="2:8" x14ac:dyDescent="0.3">
      <c r="B41" s="9">
        <v>40239</v>
      </c>
      <c r="C41" s="29" t="str">
        <f t="shared" si="0"/>
        <v/>
      </c>
      <c r="D41" s="8">
        <v>0.5</v>
      </c>
      <c r="E41" s="28" t="s">
        <v>14</v>
      </c>
      <c r="F41" s="7" t="s">
        <v>14</v>
      </c>
      <c r="G41" s="27" t="s">
        <v>14</v>
      </c>
      <c r="H41" s="27" t="s">
        <v>14</v>
      </c>
    </row>
    <row r="42" spans="2:8" x14ac:dyDescent="0.3">
      <c r="B42" s="11">
        <v>40240</v>
      </c>
      <c r="C42" s="29" t="str">
        <f t="shared" si="0"/>
        <v/>
      </c>
      <c r="D42" s="8">
        <v>0.5</v>
      </c>
      <c r="E42" s="28" t="s">
        <v>14</v>
      </c>
      <c r="F42" s="7" t="s">
        <v>14</v>
      </c>
      <c r="G42" s="27" t="s">
        <v>14</v>
      </c>
      <c r="H42" s="27" t="s">
        <v>14</v>
      </c>
    </row>
    <row r="43" spans="2:8" x14ac:dyDescent="0.3">
      <c r="B43" s="9">
        <v>40241</v>
      </c>
      <c r="C43" s="29" t="str">
        <f t="shared" si="0"/>
        <v/>
      </c>
      <c r="D43" s="8">
        <v>0.5</v>
      </c>
      <c r="E43" s="28" t="s">
        <v>14</v>
      </c>
      <c r="F43" s="7" t="s">
        <v>14</v>
      </c>
      <c r="G43" s="27" t="s">
        <v>14</v>
      </c>
      <c r="H43" s="27" t="s">
        <v>14</v>
      </c>
    </row>
    <row r="44" spans="2:8" x14ac:dyDescent="0.3">
      <c r="B44" s="11">
        <v>40242</v>
      </c>
      <c r="C44" s="29" t="str">
        <f t="shared" si="0"/>
        <v/>
      </c>
      <c r="D44" s="8">
        <v>0.5</v>
      </c>
      <c r="E44" s="28" t="s">
        <v>14</v>
      </c>
      <c r="F44" s="7" t="s">
        <v>14</v>
      </c>
      <c r="G44" s="27" t="s">
        <v>14</v>
      </c>
      <c r="H44" s="27" t="s">
        <v>14</v>
      </c>
    </row>
    <row r="45" spans="2:8" x14ac:dyDescent="0.3">
      <c r="B45" s="9">
        <v>40245</v>
      </c>
      <c r="C45" s="29" t="str">
        <f t="shared" si="0"/>
        <v/>
      </c>
      <c r="D45" s="8">
        <v>0.5</v>
      </c>
      <c r="E45" s="28" t="s">
        <v>14</v>
      </c>
      <c r="F45" s="7" t="s">
        <v>14</v>
      </c>
      <c r="G45" s="27" t="s">
        <v>14</v>
      </c>
      <c r="H45" s="27" t="s">
        <v>14</v>
      </c>
    </row>
    <row r="46" spans="2:8" x14ac:dyDescent="0.3">
      <c r="B46" s="11">
        <v>40246</v>
      </c>
      <c r="C46" s="29" t="str">
        <f t="shared" si="0"/>
        <v/>
      </c>
      <c r="D46" s="8">
        <v>0.5</v>
      </c>
      <c r="E46" s="28" t="s">
        <v>14</v>
      </c>
      <c r="F46" s="7" t="s">
        <v>14</v>
      </c>
      <c r="G46" s="27" t="s">
        <v>14</v>
      </c>
      <c r="H46" s="27" t="s">
        <v>14</v>
      </c>
    </row>
    <row r="47" spans="2:8" x14ac:dyDescent="0.3">
      <c r="B47" s="9">
        <v>40247</v>
      </c>
      <c r="C47" s="29" t="str">
        <f t="shared" si="0"/>
        <v/>
      </c>
      <c r="D47" s="8">
        <v>0.5</v>
      </c>
      <c r="E47" s="28" t="s">
        <v>14</v>
      </c>
      <c r="F47" s="7" t="s">
        <v>14</v>
      </c>
      <c r="G47" s="27" t="s">
        <v>14</v>
      </c>
      <c r="H47" s="27" t="s">
        <v>14</v>
      </c>
    </row>
    <row r="48" spans="2:8" x14ac:dyDescent="0.3">
      <c r="B48" s="11">
        <v>40248</v>
      </c>
      <c r="C48" s="29" t="str">
        <f t="shared" si="0"/>
        <v/>
      </c>
      <c r="D48" s="8">
        <v>0.5</v>
      </c>
      <c r="E48" s="28" t="s">
        <v>14</v>
      </c>
      <c r="F48" s="7" t="s">
        <v>14</v>
      </c>
      <c r="G48" s="27" t="s">
        <v>14</v>
      </c>
      <c r="H48" s="27" t="s">
        <v>14</v>
      </c>
    </row>
    <row r="49" spans="2:8" x14ac:dyDescent="0.3">
      <c r="B49" s="9">
        <v>40249</v>
      </c>
      <c r="C49" s="29" t="str">
        <f t="shared" si="0"/>
        <v/>
      </c>
      <c r="D49" s="8">
        <v>0.5</v>
      </c>
      <c r="E49" s="28" t="s">
        <v>14</v>
      </c>
      <c r="F49" s="7" t="s">
        <v>14</v>
      </c>
      <c r="G49" s="27" t="s">
        <v>14</v>
      </c>
      <c r="H49" s="27" t="s">
        <v>14</v>
      </c>
    </row>
    <row r="50" spans="2:8" x14ac:dyDescent="0.3">
      <c r="B50" s="11">
        <v>40252</v>
      </c>
      <c r="C50" s="29" t="str">
        <f t="shared" si="0"/>
        <v/>
      </c>
      <c r="D50" s="8">
        <v>0.5</v>
      </c>
      <c r="E50" s="28" t="s">
        <v>14</v>
      </c>
      <c r="F50" s="7" t="s">
        <v>14</v>
      </c>
      <c r="G50" s="27" t="s">
        <v>14</v>
      </c>
      <c r="H50" s="27" t="s">
        <v>14</v>
      </c>
    </row>
    <row r="51" spans="2:8" x14ac:dyDescent="0.3">
      <c r="B51" s="9">
        <v>40253</v>
      </c>
      <c r="C51" s="29" t="str">
        <f t="shared" si="0"/>
        <v/>
      </c>
      <c r="D51" s="8">
        <v>0.5</v>
      </c>
      <c r="E51" s="28" t="s">
        <v>14</v>
      </c>
      <c r="F51" s="7" t="s">
        <v>14</v>
      </c>
      <c r="G51" s="27" t="s">
        <v>14</v>
      </c>
      <c r="H51" s="27" t="s">
        <v>14</v>
      </c>
    </row>
    <row r="52" spans="2:8" x14ac:dyDescent="0.3">
      <c r="B52" s="11">
        <v>40254</v>
      </c>
      <c r="C52" s="29" t="str">
        <f t="shared" si="0"/>
        <v/>
      </c>
      <c r="D52" s="8">
        <v>0.5</v>
      </c>
      <c r="E52" s="28" t="s">
        <v>14</v>
      </c>
      <c r="F52" s="7" t="s">
        <v>14</v>
      </c>
      <c r="G52" s="27" t="s">
        <v>14</v>
      </c>
      <c r="H52" s="27" t="s">
        <v>14</v>
      </c>
    </row>
    <row r="53" spans="2:8" x14ac:dyDescent="0.3">
      <c r="B53" s="9">
        <v>40255</v>
      </c>
      <c r="C53" s="29" t="str">
        <f t="shared" si="0"/>
        <v/>
      </c>
      <c r="D53" s="8">
        <v>0.5</v>
      </c>
      <c r="E53" s="28" t="s">
        <v>14</v>
      </c>
      <c r="F53" s="7" t="s">
        <v>14</v>
      </c>
      <c r="G53" s="27" t="s">
        <v>14</v>
      </c>
      <c r="H53" s="27" t="s">
        <v>14</v>
      </c>
    </row>
    <row r="54" spans="2:8" x14ac:dyDescent="0.3">
      <c r="B54" s="11">
        <v>40256</v>
      </c>
      <c r="C54" s="29" t="str">
        <f t="shared" si="0"/>
        <v/>
      </c>
      <c r="D54" s="8">
        <v>0.5</v>
      </c>
      <c r="E54" s="28" t="s">
        <v>14</v>
      </c>
      <c r="F54" s="7" t="s">
        <v>14</v>
      </c>
      <c r="G54" s="27" t="s">
        <v>14</v>
      </c>
      <c r="H54" s="27" t="s">
        <v>14</v>
      </c>
    </row>
    <row r="55" spans="2:8" x14ac:dyDescent="0.3">
      <c r="B55" s="9">
        <v>40259</v>
      </c>
      <c r="C55" s="29" t="str">
        <f t="shared" si="0"/>
        <v/>
      </c>
      <c r="D55" s="8">
        <v>0.5</v>
      </c>
      <c r="E55" s="28" t="s">
        <v>14</v>
      </c>
      <c r="F55" s="7" t="s">
        <v>14</v>
      </c>
      <c r="G55" s="27" t="s">
        <v>14</v>
      </c>
      <c r="H55" s="27" t="s">
        <v>14</v>
      </c>
    </row>
    <row r="56" spans="2:8" x14ac:dyDescent="0.3">
      <c r="B56" s="11">
        <v>40260</v>
      </c>
      <c r="C56" s="29" t="str">
        <f t="shared" si="0"/>
        <v/>
      </c>
      <c r="D56" s="8">
        <v>0.5</v>
      </c>
      <c r="E56" s="28" t="s">
        <v>14</v>
      </c>
      <c r="F56" s="7" t="s">
        <v>14</v>
      </c>
      <c r="G56" s="27" t="s">
        <v>14</v>
      </c>
      <c r="H56" s="27" t="s">
        <v>14</v>
      </c>
    </row>
    <row r="57" spans="2:8" x14ac:dyDescent="0.3">
      <c r="B57" s="9">
        <v>40261</v>
      </c>
      <c r="C57" s="29" t="str">
        <f t="shared" si="0"/>
        <v/>
      </c>
      <c r="D57" s="8">
        <v>0.5</v>
      </c>
      <c r="E57" s="28" t="s">
        <v>14</v>
      </c>
      <c r="F57" s="7" t="s">
        <v>14</v>
      </c>
      <c r="G57" s="27" t="s">
        <v>14</v>
      </c>
      <c r="H57" s="27" t="s">
        <v>14</v>
      </c>
    </row>
    <row r="58" spans="2:8" x14ac:dyDescent="0.3">
      <c r="B58" s="11">
        <v>40262</v>
      </c>
      <c r="C58" s="29" t="str">
        <f t="shared" si="0"/>
        <v/>
      </c>
      <c r="D58" s="8">
        <v>0.5</v>
      </c>
      <c r="E58" s="28" t="s">
        <v>14</v>
      </c>
      <c r="F58" s="7" t="s">
        <v>14</v>
      </c>
      <c r="G58" s="27" t="s">
        <v>14</v>
      </c>
      <c r="H58" s="27" t="s">
        <v>14</v>
      </c>
    </row>
    <row r="59" spans="2:8" x14ac:dyDescent="0.3">
      <c r="B59" s="9">
        <v>40263</v>
      </c>
      <c r="C59" s="29" t="str">
        <f t="shared" si="0"/>
        <v/>
      </c>
      <c r="D59" s="8">
        <v>0.5</v>
      </c>
      <c r="E59" s="28" t="s">
        <v>14</v>
      </c>
      <c r="F59" s="7" t="s">
        <v>14</v>
      </c>
      <c r="G59" s="27" t="s">
        <v>14</v>
      </c>
      <c r="H59" s="27" t="s">
        <v>14</v>
      </c>
    </row>
    <row r="60" spans="2:8" x14ac:dyDescent="0.3">
      <c r="B60" s="11">
        <v>40266</v>
      </c>
      <c r="C60" s="29" t="str">
        <f t="shared" si="0"/>
        <v/>
      </c>
      <c r="D60" s="8">
        <v>0.5</v>
      </c>
      <c r="E60" s="28" t="s">
        <v>14</v>
      </c>
      <c r="F60" s="7" t="s">
        <v>14</v>
      </c>
      <c r="G60" s="27" t="s">
        <v>14</v>
      </c>
      <c r="H60" s="27" t="s">
        <v>14</v>
      </c>
    </row>
    <row r="61" spans="2:8" x14ac:dyDescent="0.3">
      <c r="B61" s="9">
        <v>40267</v>
      </c>
      <c r="C61" s="29" t="str">
        <f t="shared" si="0"/>
        <v/>
      </c>
      <c r="D61" s="8">
        <v>0.5</v>
      </c>
      <c r="E61" s="28" t="s">
        <v>14</v>
      </c>
      <c r="F61" s="7" t="s">
        <v>14</v>
      </c>
      <c r="G61" s="27" t="str">
        <f>""</f>
        <v/>
      </c>
      <c r="H61" s="27" t="s">
        <v>14</v>
      </c>
    </row>
    <row r="62" spans="2:8" x14ac:dyDescent="0.3">
      <c r="B62" s="11">
        <v>40268</v>
      </c>
      <c r="C62" s="29">
        <f t="shared" si="0"/>
        <v>0</v>
      </c>
      <c r="D62" s="8">
        <v>0.5</v>
      </c>
      <c r="E62" s="28">
        <v>0.5</v>
      </c>
      <c r="F62" s="7">
        <v>0.5</v>
      </c>
    </row>
    <row r="63" spans="2:8" x14ac:dyDescent="0.3">
      <c r="B63" s="9">
        <v>40269</v>
      </c>
      <c r="C63" s="29" t="str">
        <f t="shared" si="0"/>
        <v/>
      </c>
      <c r="D63" s="8">
        <v>0.5</v>
      </c>
      <c r="E63" s="28" t="s">
        <v>14</v>
      </c>
      <c r="F63" s="7" t="s">
        <v>14</v>
      </c>
      <c r="G63" s="27" t="s">
        <v>14</v>
      </c>
      <c r="H63" s="27" t="s">
        <v>14</v>
      </c>
    </row>
    <row r="64" spans="2:8" x14ac:dyDescent="0.3">
      <c r="B64" s="11">
        <v>40273</v>
      </c>
      <c r="C64" s="29" t="str">
        <f t="shared" si="0"/>
        <v/>
      </c>
      <c r="D64" s="8">
        <v>0.5</v>
      </c>
      <c r="E64" s="28" t="s">
        <v>14</v>
      </c>
      <c r="F64" s="7" t="s">
        <v>14</v>
      </c>
      <c r="G64" s="27" t="s">
        <v>14</v>
      </c>
      <c r="H64" s="27" t="s">
        <v>14</v>
      </c>
    </row>
    <row r="65" spans="2:8" x14ac:dyDescent="0.3">
      <c r="B65" s="9">
        <v>40274</v>
      </c>
      <c r="C65" s="29" t="str">
        <f t="shared" si="0"/>
        <v/>
      </c>
      <c r="D65" s="8">
        <v>0.5</v>
      </c>
      <c r="E65" s="28" t="s">
        <v>14</v>
      </c>
      <c r="F65" s="7" t="s">
        <v>14</v>
      </c>
      <c r="G65" s="27" t="s">
        <v>14</v>
      </c>
      <c r="H65" s="27" t="s">
        <v>14</v>
      </c>
    </row>
    <row r="66" spans="2:8" x14ac:dyDescent="0.3">
      <c r="B66" s="11">
        <v>40275</v>
      </c>
      <c r="C66" s="29" t="str">
        <f t="shared" si="0"/>
        <v/>
      </c>
      <c r="D66" s="8">
        <v>0.5</v>
      </c>
      <c r="E66" s="28" t="s">
        <v>14</v>
      </c>
      <c r="F66" s="7" t="s">
        <v>14</v>
      </c>
      <c r="G66" s="27" t="s">
        <v>14</v>
      </c>
      <c r="H66" s="27" t="s">
        <v>14</v>
      </c>
    </row>
    <row r="67" spans="2:8" x14ac:dyDescent="0.3">
      <c r="B67" s="9">
        <v>40276</v>
      </c>
      <c r="C67" s="29" t="str">
        <f t="shared" ref="C67:C130" si="1">INDEX(D67:H67,MATCH($A$1,$D$1:$H$1,0))</f>
        <v/>
      </c>
      <c r="D67" s="8">
        <v>0.5</v>
      </c>
      <c r="E67" s="28" t="s">
        <v>14</v>
      </c>
      <c r="F67" s="7" t="s">
        <v>14</v>
      </c>
      <c r="G67" s="27" t="s">
        <v>14</v>
      </c>
      <c r="H67" s="27" t="s">
        <v>14</v>
      </c>
    </row>
    <row r="68" spans="2:8" x14ac:dyDescent="0.3">
      <c r="B68" s="11">
        <v>40277</v>
      </c>
      <c r="C68" s="29" t="str">
        <f t="shared" si="1"/>
        <v/>
      </c>
      <c r="D68" s="8">
        <v>0.5</v>
      </c>
      <c r="E68" s="28" t="s">
        <v>14</v>
      </c>
      <c r="F68" s="7" t="s">
        <v>14</v>
      </c>
      <c r="G68" s="27" t="s">
        <v>14</v>
      </c>
      <c r="H68" s="27" t="s">
        <v>14</v>
      </c>
    </row>
    <row r="69" spans="2:8" x14ac:dyDescent="0.3">
      <c r="B69" s="9">
        <v>40280</v>
      </c>
      <c r="C69" s="29" t="str">
        <f t="shared" si="1"/>
        <v/>
      </c>
      <c r="D69" s="8">
        <v>0.5</v>
      </c>
      <c r="E69" s="28" t="s">
        <v>14</v>
      </c>
      <c r="F69" s="7" t="s">
        <v>14</v>
      </c>
      <c r="G69" s="27" t="s">
        <v>14</v>
      </c>
      <c r="H69" s="27" t="s">
        <v>14</v>
      </c>
    </row>
    <row r="70" spans="2:8" x14ac:dyDescent="0.3">
      <c r="B70" s="11">
        <v>40281</v>
      </c>
      <c r="C70" s="29" t="str">
        <f t="shared" si="1"/>
        <v/>
      </c>
      <c r="D70" s="8">
        <v>0.5</v>
      </c>
      <c r="E70" s="28" t="s">
        <v>14</v>
      </c>
      <c r="F70" s="7" t="s">
        <v>14</v>
      </c>
      <c r="G70" s="27" t="s">
        <v>14</v>
      </c>
      <c r="H70" s="27" t="s">
        <v>14</v>
      </c>
    </row>
    <row r="71" spans="2:8" x14ac:dyDescent="0.3">
      <c r="B71" s="9">
        <v>40282</v>
      </c>
      <c r="C71" s="29" t="str">
        <f t="shared" si="1"/>
        <v/>
      </c>
      <c r="D71" s="8">
        <v>0.5</v>
      </c>
      <c r="E71" s="28" t="s">
        <v>14</v>
      </c>
      <c r="F71" s="7" t="s">
        <v>14</v>
      </c>
      <c r="G71" s="27" t="s">
        <v>14</v>
      </c>
      <c r="H71" s="27" t="s">
        <v>14</v>
      </c>
    </row>
    <row r="72" spans="2:8" x14ac:dyDescent="0.3">
      <c r="B72" s="11">
        <v>40283</v>
      </c>
      <c r="C72" s="29" t="str">
        <f t="shared" si="1"/>
        <v/>
      </c>
      <c r="D72" s="8">
        <v>0.5</v>
      </c>
      <c r="E72" s="28" t="s">
        <v>14</v>
      </c>
      <c r="F72" s="7" t="s">
        <v>14</v>
      </c>
      <c r="G72" s="27" t="s">
        <v>14</v>
      </c>
      <c r="H72" s="27" t="s">
        <v>14</v>
      </c>
    </row>
    <row r="73" spans="2:8" x14ac:dyDescent="0.3">
      <c r="B73" s="9">
        <v>40284</v>
      </c>
      <c r="C73" s="29" t="str">
        <f t="shared" si="1"/>
        <v/>
      </c>
      <c r="D73" s="8">
        <v>0.5</v>
      </c>
      <c r="E73" s="28" t="s">
        <v>14</v>
      </c>
      <c r="F73" s="7" t="s">
        <v>14</v>
      </c>
      <c r="G73" s="27" t="s">
        <v>14</v>
      </c>
      <c r="H73" s="27" t="s">
        <v>14</v>
      </c>
    </row>
    <row r="74" spans="2:8" x14ac:dyDescent="0.3">
      <c r="B74" s="11">
        <v>40287</v>
      </c>
      <c r="C74" s="29" t="str">
        <f t="shared" si="1"/>
        <v/>
      </c>
      <c r="D74" s="8">
        <v>0.5</v>
      </c>
      <c r="E74" s="28" t="s">
        <v>14</v>
      </c>
      <c r="F74" s="7" t="s">
        <v>14</v>
      </c>
      <c r="G74" s="27" t="s">
        <v>14</v>
      </c>
      <c r="H74" s="27" t="s">
        <v>14</v>
      </c>
    </row>
    <row r="75" spans="2:8" x14ac:dyDescent="0.3">
      <c r="B75" s="9">
        <v>40288</v>
      </c>
      <c r="C75" s="29" t="str">
        <f t="shared" si="1"/>
        <v/>
      </c>
      <c r="D75" s="8">
        <v>0.5</v>
      </c>
      <c r="E75" s="28" t="s">
        <v>14</v>
      </c>
      <c r="F75" s="7" t="s">
        <v>14</v>
      </c>
      <c r="G75" s="27" t="s">
        <v>14</v>
      </c>
      <c r="H75" s="27" t="s">
        <v>14</v>
      </c>
    </row>
    <row r="76" spans="2:8" x14ac:dyDescent="0.3">
      <c r="B76" s="11">
        <v>40290</v>
      </c>
      <c r="C76" s="29" t="str">
        <f t="shared" si="1"/>
        <v/>
      </c>
      <c r="D76" s="8">
        <v>0.5</v>
      </c>
      <c r="E76" s="28" t="s">
        <v>14</v>
      </c>
      <c r="F76" s="7" t="s">
        <v>14</v>
      </c>
      <c r="G76" s="27" t="s">
        <v>14</v>
      </c>
      <c r="H76" s="27" t="s">
        <v>14</v>
      </c>
    </row>
    <row r="77" spans="2:8" x14ac:dyDescent="0.3">
      <c r="B77" s="9">
        <v>40291</v>
      </c>
      <c r="C77" s="29" t="str">
        <f t="shared" si="1"/>
        <v/>
      </c>
      <c r="D77" s="8">
        <v>0.5</v>
      </c>
      <c r="E77" s="28" t="s">
        <v>14</v>
      </c>
      <c r="F77" s="7" t="s">
        <v>14</v>
      </c>
      <c r="G77" s="27" t="s">
        <v>14</v>
      </c>
      <c r="H77" s="27" t="s">
        <v>14</v>
      </c>
    </row>
    <row r="78" spans="2:8" x14ac:dyDescent="0.3">
      <c r="B78" s="11">
        <v>40294</v>
      </c>
      <c r="C78" s="29" t="str">
        <f t="shared" si="1"/>
        <v/>
      </c>
      <c r="D78" s="8">
        <v>0.5</v>
      </c>
      <c r="E78" s="28" t="s">
        <v>14</v>
      </c>
      <c r="F78" s="7" t="s">
        <v>14</v>
      </c>
      <c r="G78" s="27" t="s">
        <v>14</v>
      </c>
      <c r="H78" s="27" t="s">
        <v>14</v>
      </c>
    </row>
    <row r="79" spans="2:8" x14ac:dyDescent="0.3">
      <c r="B79" s="9">
        <v>40295</v>
      </c>
      <c r="C79" s="29" t="str">
        <f t="shared" si="1"/>
        <v/>
      </c>
      <c r="D79" s="8">
        <v>0.5</v>
      </c>
      <c r="E79" s="28" t="s">
        <v>14</v>
      </c>
      <c r="F79" s="7" t="s">
        <v>14</v>
      </c>
      <c r="G79" s="27" t="s">
        <v>14</v>
      </c>
      <c r="H79" s="27" t="s">
        <v>14</v>
      </c>
    </row>
    <row r="80" spans="2:8" x14ac:dyDescent="0.3">
      <c r="B80" s="11">
        <v>40296</v>
      </c>
      <c r="C80" s="29" t="str">
        <f t="shared" si="1"/>
        <v/>
      </c>
      <c r="D80" s="8">
        <v>0.5</v>
      </c>
      <c r="E80" s="28" t="s">
        <v>14</v>
      </c>
      <c r="F80" s="7" t="s">
        <v>14</v>
      </c>
      <c r="G80" s="27" t="s">
        <v>14</v>
      </c>
      <c r="H80" s="27" t="s">
        <v>14</v>
      </c>
    </row>
    <row r="81" spans="2:8" x14ac:dyDescent="0.3">
      <c r="B81" s="9">
        <v>40297</v>
      </c>
      <c r="C81" s="29" t="str">
        <f t="shared" si="1"/>
        <v/>
      </c>
      <c r="D81" s="8">
        <v>0.5</v>
      </c>
      <c r="E81" s="28" t="s">
        <v>14</v>
      </c>
      <c r="F81" s="7" t="s">
        <v>14</v>
      </c>
      <c r="G81" s="27" t="s">
        <v>14</v>
      </c>
      <c r="H81" s="27" t="s">
        <v>14</v>
      </c>
    </row>
    <row r="82" spans="2:8" x14ac:dyDescent="0.3">
      <c r="B82" s="11">
        <v>40298</v>
      </c>
      <c r="C82" s="29" t="str">
        <f t="shared" si="1"/>
        <v/>
      </c>
      <c r="D82" s="8">
        <v>0.5</v>
      </c>
      <c r="E82" s="28">
        <v>0.5</v>
      </c>
      <c r="F82" s="7" t="s">
        <v>14</v>
      </c>
      <c r="G82" s="27" t="s">
        <v>14</v>
      </c>
      <c r="H82" s="27" t="s">
        <v>14</v>
      </c>
    </row>
    <row r="83" spans="2:8" x14ac:dyDescent="0.3">
      <c r="B83" s="9">
        <v>40301</v>
      </c>
      <c r="C83" s="29" t="str">
        <f t="shared" si="1"/>
        <v/>
      </c>
      <c r="D83" s="8">
        <v>0.5</v>
      </c>
      <c r="E83" s="28" t="s">
        <v>14</v>
      </c>
      <c r="F83" s="7" t="s">
        <v>14</v>
      </c>
      <c r="G83" s="27" t="s">
        <v>14</v>
      </c>
      <c r="H83" s="27" t="s">
        <v>14</v>
      </c>
    </row>
    <row r="84" spans="2:8" x14ac:dyDescent="0.3">
      <c r="B84" s="11">
        <v>40302</v>
      </c>
      <c r="C84" s="29" t="str">
        <f t="shared" si="1"/>
        <v/>
      </c>
      <c r="D84" s="8">
        <v>0.5</v>
      </c>
      <c r="E84" s="28" t="s">
        <v>14</v>
      </c>
      <c r="F84" s="7" t="s">
        <v>14</v>
      </c>
      <c r="G84" s="27" t="s">
        <v>14</v>
      </c>
      <c r="H84" s="27" t="s">
        <v>14</v>
      </c>
    </row>
    <row r="85" spans="2:8" x14ac:dyDescent="0.3">
      <c r="B85" s="9">
        <v>40303</v>
      </c>
      <c r="C85" s="29" t="str">
        <f t="shared" si="1"/>
        <v/>
      </c>
      <c r="D85" s="8">
        <v>0.5</v>
      </c>
      <c r="E85" s="28" t="s">
        <v>14</v>
      </c>
      <c r="F85" s="7" t="s">
        <v>14</v>
      </c>
      <c r="G85" s="27" t="s">
        <v>14</v>
      </c>
      <c r="H85" s="27" t="s">
        <v>14</v>
      </c>
    </row>
    <row r="86" spans="2:8" x14ac:dyDescent="0.3">
      <c r="B86" s="11">
        <v>40304</v>
      </c>
      <c r="C86" s="29" t="str">
        <f t="shared" si="1"/>
        <v/>
      </c>
      <c r="D86" s="8">
        <v>0.5</v>
      </c>
      <c r="E86" s="28" t="s">
        <v>14</v>
      </c>
      <c r="F86" s="7" t="s">
        <v>14</v>
      </c>
      <c r="G86" s="27" t="s">
        <v>14</v>
      </c>
      <c r="H86" s="27" t="s">
        <v>14</v>
      </c>
    </row>
    <row r="87" spans="2:8" x14ac:dyDescent="0.3">
      <c r="B87" s="9">
        <v>40305</v>
      </c>
      <c r="C87" s="29" t="str">
        <f t="shared" si="1"/>
        <v/>
      </c>
      <c r="D87" s="8">
        <v>0.5</v>
      </c>
      <c r="E87" s="28" t="s">
        <v>14</v>
      </c>
      <c r="F87" s="7" t="s">
        <v>14</v>
      </c>
      <c r="G87" s="27" t="s">
        <v>14</v>
      </c>
      <c r="H87" s="27" t="s">
        <v>14</v>
      </c>
    </row>
    <row r="88" spans="2:8" x14ac:dyDescent="0.3">
      <c r="B88" s="11">
        <v>40308</v>
      </c>
      <c r="C88" s="29" t="str">
        <f t="shared" si="1"/>
        <v/>
      </c>
      <c r="D88" s="8">
        <v>0.5</v>
      </c>
      <c r="E88" s="28" t="s">
        <v>14</v>
      </c>
      <c r="F88" s="7" t="s">
        <v>14</v>
      </c>
      <c r="G88" s="27" t="s">
        <v>14</v>
      </c>
      <c r="H88" s="27" t="s">
        <v>14</v>
      </c>
    </row>
    <row r="89" spans="2:8" x14ac:dyDescent="0.3">
      <c r="B89" s="9">
        <v>40309</v>
      </c>
      <c r="C89" s="29" t="str">
        <f t="shared" si="1"/>
        <v/>
      </c>
      <c r="D89" s="8">
        <v>0.5</v>
      </c>
      <c r="E89" s="28" t="s">
        <v>14</v>
      </c>
      <c r="F89" s="7" t="s">
        <v>14</v>
      </c>
      <c r="G89" s="27" t="s">
        <v>14</v>
      </c>
      <c r="H89" s="27" t="s">
        <v>14</v>
      </c>
    </row>
    <row r="90" spans="2:8" x14ac:dyDescent="0.3">
      <c r="B90" s="11">
        <v>40310</v>
      </c>
      <c r="C90" s="29" t="str">
        <f t="shared" si="1"/>
        <v/>
      </c>
      <c r="D90" s="8">
        <v>0.5</v>
      </c>
      <c r="E90" s="28" t="s">
        <v>14</v>
      </c>
      <c r="F90" s="7" t="s">
        <v>14</v>
      </c>
      <c r="G90" s="27" t="s">
        <v>14</v>
      </c>
      <c r="H90" s="27" t="s">
        <v>14</v>
      </c>
    </row>
    <row r="91" spans="2:8" x14ac:dyDescent="0.3">
      <c r="B91" s="9">
        <v>40311</v>
      </c>
      <c r="C91" s="29" t="str">
        <f t="shared" si="1"/>
        <v/>
      </c>
      <c r="D91" s="8">
        <v>0.5</v>
      </c>
      <c r="E91" s="28" t="s">
        <v>14</v>
      </c>
      <c r="F91" s="7" t="s">
        <v>14</v>
      </c>
      <c r="G91" s="27" t="s">
        <v>14</v>
      </c>
      <c r="H91" s="27" t="s">
        <v>14</v>
      </c>
    </row>
    <row r="92" spans="2:8" x14ac:dyDescent="0.3">
      <c r="B92" s="11">
        <v>40312</v>
      </c>
      <c r="C92" s="29" t="str">
        <f t="shared" si="1"/>
        <v/>
      </c>
      <c r="D92" s="8">
        <v>0.5</v>
      </c>
      <c r="E92" s="28" t="s">
        <v>14</v>
      </c>
      <c r="F92" s="7" t="s">
        <v>14</v>
      </c>
      <c r="G92" s="27" t="s">
        <v>14</v>
      </c>
      <c r="H92" s="27" t="s">
        <v>14</v>
      </c>
    </row>
    <row r="93" spans="2:8" x14ac:dyDescent="0.3">
      <c r="B93" s="9">
        <v>40315</v>
      </c>
      <c r="C93" s="29" t="str">
        <f t="shared" si="1"/>
        <v/>
      </c>
      <c r="D93" s="8">
        <v>0.5</v>
      </c>
      <c r="E93" s="28" t="s">
        <v>14</v>
      </c>
      <c r="F93" s="7" t="s">
        <v>14</v>
      </c>
      <c r="G93" s="27" t="s">
        <v>14</v>
      </c>
      <c r="H93" s="27" t="s">
        <v>14</v>
      </c>
    </row>
    <row r="94" spans="2:8" x14ac:dyDescent="0.3">
      <c r="B94" s="11">
        <v>40316</v>
      </c>
      <c r="C94" s="29" t="str">
        <f t="shared" si="1"/>
        <v/>
      </c>
      <c r="D94" s="8">
        <v>0.5</v>
      </c>
      <c r="E94" s="28" t="s">
        <v>14</v>
      </c>
      <c r="F94" s="7" t="s">
        <v>14</v>
      </c>
      <c r="G94" s="27" t="s">
        <v>14</v>
      </c>
      <c r="H94" s="27" t="s">
        <v>14</v>
      </c>
    </row>
    <row r="95" spans="2:8" x14ac:dyDescent="0.3">
      <c r="B95" s="9">
        <v>40317</v>
      </c>
      <c r="C95" s="29" t="str">
        <f t="shared" si="1"/>
        <v/>
      </c>
      <c r="D95" s="8">
        <v>0.5</v>
      </c>
      <c r="E95" s="28" t="s">
        <v>14</v>
      </c>
      <c r="F95" s="7" t="s">
        <v>14</v>
      </c>
      <c r="G95" s="27" t="s">
        <v>14</v>
      </c>
      <c r="H95" s="27" t="s">
        <v>14</v>
      </c>
    </row>
    <row r="96" spans="2:8" x14ac:dyDescent="0.3">
      <c r="B96" s="11">
        <v>40318</v>
      </c>
      <c r="C96" s="29" t="str">
        <f t="shared" si="1"/>
        <v/>
      </c>
      <c r="D96" s="8">
        <v>0.5</v>
      </c>
      <c r="E96" s="28" t="s">
        <v>14</v>
      </c>
      <c r="F96" s="7" t="s">
        <v>14</v>
      </c>
      <c r="G96" s="27" t="s">
        <v>14</v>
      </c>
      <c r="H96" s="27" t="s">
        <v>14</v>
      </c>
    </row>
    <row r="97" spans="2:8" x14ac:dyDescent="0.3">
      <c r="B97" s="9">
        <v>40319</v>
      </c>
      <c r="C97" s="29" t="str">
        <f t="shared" si="1"/>
        <v/>
      </c>
      <c r="D97" s="8">
        <v>0.5</v>
      </c>
      <c r="E97" s="28" t="s">
        <v>14</v>
      </c>
      <c r="F97" s="7" t="s">
        <v>14</v>
      </c>
      <c r="G97" s="27" t="s">
        <v>14</v>
      </c>
      <c r="H97" s="27" t="s">
        <v>14</v>
      </c>
    </row>
    <row r="98" spans="2:8" x14ac:dyDescent="0.3">
      <c r="B98" s="11">
        <v>40322</v>
      </c>
      <c r="C98" s="29" t="str">
        <f t="shared" si="1"/>
        <v/>
      </c>
      <c r="D98" s="8">
        <v>0.5</v>
      </c>
      <c r="E98" s="28" t="s">
        <v>14</v>
      </c>
      <c r="F98" s="7" t="s">
        <v>14</v>
      </c>
      <c r="G98" s="27" t="s">
        <v>14</v>
      </c>
      <c r="H98" s="27" t="s">
        <v>14</v>
      </c>
    </row>
    <row r="99" spans="2:8" x14ac:dyDescent="0.3">
      <c r="B99" s="9">
        <v>40323</v>
      </c>
      <c r="C99" s="29" t="str">
        <f t="shared" si="1"/>
        <v/>
      </c>
      <c r="D99" s="8">
        <v>0.5</v>
      </c>
      <c r="E99" s="28" t="s">
        <v>14</v>
      </c>
      <c r="F99" s="7" t="s">
        <v>14</v>
      </c>
      <c r="G99" s="27" t="s">
        <v>14</v>
      </c>
      <c r="H99" s="27" t="s">
        <v>14</v>
      </c>
    </row>
    <row r="100" spans="2:8" x14ac:dyDescent="0.3">
      <c r="B100" s="11">
        <v>40324</v>
      </c>
      <c r="C100" s="29" t="str">
        <f t="shared" si="1"/>
        <v/>
      </c>
      <c r="D100" s="8">
        <v>0.5</v>
      </c>
      <c r="E100" s="28" t="s">
        <v>14</v>
      </c>
      <c r="F100" s="7" t="s">
        <v>14</v>
      </c>
      <c r="G100" s="27" t="s">
        <v>14</v>
      </c>
      <c r="H100" s="27" t="s">
        <v>14</v>
      </c>
    </row>
    <row r="101" spans="2:8" x14ac:dyDescent="0.3">
      <c r="B101" s="9">
        <v>40325</v>
      </c>
      <c r="C101" s="29" t="str">
        <f t="shared" si="1"/>
        <v/>
      </c>
      <c r="D101" s="8">
        <v>0.5</v>
      </c>
      <c r="E101" s="28" t="s">
        <v>14</v>
      </c>
      <c r="F101" s="7" t="s">
        <v>14</v>
      </c>
      <c r="G101" s="27" t="s">
        <v>14</v>
      </c>
      <c r="H101" s="27" t="s">
        <v>14</v>
      </c>
    </row>
    <row r="102" spans="2:8" x14ac:dyDescent="0.3">
      <c r="B102" s="11">
        <v>40326</v>
      </c>
      <c r="C102" s="29" t="str">
        <f t="shared" si="1"/>
        <v/>
      </c>
      <c r="D102" s="8">
        <v>0.5</v>
      </c>
      <c r="E102" s="28" t="s">
        <v>14</v>
      </c>
      <c r="F102" s="7" t="s">
        <v>14</v>
      </c>
      <c r="G102" s="27" t="s">
        <v>14</v>
      </c>
      <c r="H102" s="27" t="s">
        <v>14</v>
      </c>
    </row>
    <row r="103" spans="2:8" x14ac:dyDescent="0.3">
      <c r="B103" s="9">
        <v>40329</v>
      </c>
      <c r="C103" s="29" t="str">
        <f t="shared" si="1"/>
        <v/>
      </c>
      <c r="D103" s="8">
        <v>0.5</v>
      </c>
      <c r="E103" s="28">
        <v>0.5</v>
      </c>
      <c r="F103" s="7" t="s">
        <v>14</v>
      </c>
      <c r="G103" s="27" t="s">
        <v>14</v>
      </c>
      <c r="H103" s="27" t="s">
        <v>14</v>
      </c>
    </row>
    <row r="104" spans="2:8" x14ac:dyDescent="0.3">
      <c r="B104" s="11">
        <v>40330</v>
      </c>
      <c r="C104" s="29" t="str">
        <f t="shared" si="1"/>
        <v/>
      </c>
      <c r="D104" s="8">
        <v>0.5</v>
      </c>
      <c r="E104" s="28" t="s">
        <v>14</v>
      </c>
      <c r="F104" s="7" t="s">
        <v>14</v>
      </c>
      <c r="G104" s="27" t="s">
        <v>14</v>
      </c>
      <c r="H104" s="27" t="s">
        <v>14</v>
      </c>
    </row>
    <row r="105" spans="2:8" x14ac:dyDescent="0.3">
      <c r="B105" s="9">
        <v>40331</v>
      </c>
      <c r="C105" s="29" t="str">
        <f t="shared" si="1"/>
        <v/>
      </c>
      <c r="D105" s="8">
        <v>0.5</v>
      </c>
      <c r="E105" s="28" t="s">
        <v>14</v>
      </c>
      <c r="F105" s="7" t="s">
        <v>14</v>
      </c>
      <c r="G105" s="27" t="s">
        <v>14</v>
      </c>
      <c r="H105" s="27" t="s">
        <v>14</v>
      </c>
    </row>
    <row r="106" spans="2:8" x14ac:dyDescent="0.3">
      <c r="B106" s="11">
        <v>40333</v>
      </c>
      <c r="C106" s="29" t="str">
        <f t="shared" si="1"/>
        <v/>
      </c>
      <c r="D106" s="8">
        <v>0.5</v>
      </c>
      <c r="E106" s="28" t="s">
        <v>14</v>
      </c>
      <c r="F106" s="7" t="s">
        <v>14</v>
      </c>
      <c r="G106" s="27" t="s">
        <v>14</v>
      </c>
      <c r="H106" s="27" t="s">
        <v>14</v>
      </c>
    </row>
    <row r="107" spans="2:8" x14ac:dyDescent="0.3">
      <c r="B107" s="9">
        <v>40336</v>
      </c>
      <c r="C107" s="29" t="str">
        <f t="shared" si="1"/>
        <v/>
      </c>
      <c r="D107" s="8">
        <v>0.5</v>
      </c>
      <c r="E107" s="28" t="s">
        <v>14</v>
      </c>
      <c r="F107" s="7" t="s">
        <v>14</v>
      </c>
      <c r="G107" s="27" t="s">
        <v>14</v>
      </c>
      <c r="H107" s="27" t="s">
        <v>14</v>
      </c>
    </row>
    <row r="108" spans="2:8" x14ac:dyDescent="0.3">
      <c r="B108" s="11">
        <v>40337</v>
      </c>
      <c r="C108" s="29" t="str">
        <f t="shared" si="1"/>
        <v/>
      </c>
      <c r="D108" s="8">
        <v>0.5</v>
      </c>
      <c r="E108" s="28" t="s">
        <v>14</v>
      </c>
      <c r="F108" s="7" t="s">
        <v>14</v>
      </c>
      <c r="G108" s="27" t="s">
        <v>14</v>
      </c>
      <c r="H108" s="27" t="s">
        <v>14</v>
      </c>
    </row>
    <row r="109" spans="2:8" x14ac:dyDescent="0.3">
      <c r="B109" s="9">
        <v>40338</v>
      </c>
      <c r="C109" s="29" t="str">
        <f t="shared" si="1"/>
        <v/>
      </c>
      <c r="D109" s="8">
        <v>0.5</v>
      </c>
      <c r="E109" s="28" t="s">
        <v>14</v>
      </c>
      <c r="F109" s="7" t="s">
        <v>14</v>
      </c>
      <c r="G109" s="27" t="s">
        <v>14</v>
      </c>
      <c r="H109" s="27" t="s">
        <v>14</v>
      </c>
    </row>
    <row r="110" spans="2:8" x14ac:dyDescent="0.3">
      <c r="B110" s="11">
        <v>40339</v>
      </c>
      <c r="C110" s="29" t="str">
        <f t="shared" si="1"/>
        <v/>
      </c>
      <c r="D110" s="8">
        <v>0.5</v>
      </c>
      <c r="E110" s="28" t="s">
        <v>14</v>
      </c>
      <c r="F110" s="7" t="s">
        <v>14</v>
      </c>
      <c r="G110" s="27" t="s">
        <v>14</v>
      </c>
      <c r="H110" s="27" t="s">
        <v>14</v>
      </c>
    </row>
    <row r="111" spans="2:8" x14ac:dyDescent="0.3">
      <c r="B111" s="9">
        <v>40340</v>
      </c>
      <c r="C111" s="29" t="str">
        <f t="shared" si="1"/>
        <v/>
      </c>
      <c r="D111" s="8">
        <v>0.5</v>
      </c>
      <c r="E111" s="28" t="s">
        <v>14</v>
      </c>
      <c r="F111" s="7" t="s">
        <v>14</v>
      </c>
      <c r="G111" s="27" t="s">
        <v>14</v>
      </c>
      <c r="H111" s="27" t="s">
        <v>14</v>
      </c>
    </row>
    <row r="112" spans="2:8" x14ac:dyDescent="0.3">
      <c r="B112" s="11">
        <v>40343</v>
      </c>
      <c r="C112" s="29" t="str">
        <f t="shared" si="1"/>
        <v/>
      </c>
      <c r="D112" s="8">
        <v>0.5</v>
      </c>
      <c r="E112" s="28" t="s">
        <v>14</v>
      </c>
      <c r="F112" s="7" t="s">
        <v>14</v>
      </c>
      <c r="G112" s="27" t="s">
        <v>14</v>
      </c>
      <c r="H112" s="27" t="s">
        <v>14</v>
      </c>
    </row>
    <row r="113" spans="2:8" x14ac:dyDescent="0.3">
      <c r="B113" s="9">
        <v>40344</v>
      </c>
      <c r="C113" s="29" t="str">
        <f t="shared" si="1"/>
        <v/>
      </c>
      <c r="D113" s="8">
        <v>0.5</v>
      </c>
      <c r="E113" s="28" t="s">
        <v>14</v>
      </c>
      <c r="F113" s="7" t="s">
        <v>14</v>
      </c>
      <c r="G113" s="27" t="s">
        <v>14</v>
      </c>
      <c r="H113" s="27" t="s">
        <v>14</v>
      </c>
    </row>
    <row r="114" spans="2:8" x14ac:dyDescent="0.3">
      <c r="B114" s="11">
        <v>40345</v>
      </c>
      <c r="C114" s="29" t="str">
        <f t="shared" si="1"/>
        <v/>
      </c>
      <c r="D114" s="8">
        <v>0.5</v>
      </c>
      <c r="E114" s="28" t="s">
        <v>14</v>
      </c>
      <c r="F114" s="7" t="s">
        <v>14</v>
      </c>
      <c r="G114" s="27" t="s">
        <v>14</v>
      </c>
      <c r="H114" s="27" t="s">
        <v>14</v>
      </c>
    </row>
    <row r="115" spans="2:8" x14ac:dyDescent="0.3">
      <c r="B115" s="9">
        <v>40346</v>
      </c>
      <c r="C115" s="29" t="str">
        <f t="shared" si="1"/>
        <v/>
      </c>
      <c r="D115" s="8">
        <v>0.5</v>
      </c>
      <c r="E115" s="28" t="s">
        <v>14</v>
      </c>
      <c r="F115" s="7" t="s">
        <v>14</v>
      </c>
      <c r="G115" s="27" t="s">
        <v>14</v>
      </c>
      <c r="H115" s="27" t="s">
        <v>14</v>
      </c>
    </row>
    <row r="116" spans="2:8" x14ac:dyDescent="0.3">
      <c r="B116" s="11">
        <v>40347</v>
      </c>
      <c r="C116" s="29" t="str">
        <f t="shared" si="1"/>
        <v/>
      </c>
      <c r="D116" s="8">
        <v>0.5</v>
      </c>
      <c r="E116" s="28" t="s">
        <v>14</v>
      </c>
      <c r="F116" s="7" t="s">
        <v>14</v>
      </c>
      <c r="G116" s="27" t="s">
        <v>14</v>
      </c>
      <c r="H116" s="27" t="s">
        <v>14</v>
      </c>
    </row>
    <row r="117" spans="2:8" x14ac:dyDescent="0.3">
      <c r="B117" s="9">
        <v>40350</v>
      </c>
      <c r="C117" s="29" t="str">
        <f t="shared" si="1"/>
        <v/>
      </c>
      <c r="D117" s="8">
        <v>0.5</v>
      </c>
      <c r="E117" s="28" t="s">
        <v>14</v>
      </c>
      <c r="F117" s="7" t="s">
        <v>14</v>
      </c>
      <c r="G117" s="27" t="s">
        <v>14</v>
      </c>
      <c r="H117" s="27" t="s">
        <v>14</v>
      </c>
    </row>
    <row r="118" spans="2:8" x14ac:dyDescent="0.3">
      <c r="B118" s="11">
        <v>40351</v>
      </c>
      <c r="C118" s="29" t="str">
        <f t="shared" si="1"/>
        <v/>
      </c>
      <c r="D118" s="8">
        <v>0.5</v>
      </c>
      <c r="E118" s="28" t="s">
        <v>14</v>
      </c>
      <c r="F118" s="7" t="s">
        <v>14</v>
      </c>
      <c r="G118" s="27" t="s">
        <v>14</v>
      </c>
      <c r="H118" s="27" t="s">
        <v>14</v>
      </c>
    </row>
    <row r="119" spans="2:8" x14ac:dyDescent="0.3">
      <c r="B119" s="9">
        <v>40352</v>
      </c>
      <c r="C119" s="29" t="str">
        <f t="shared" si="1"/>
        <v/>
      </c>
      <c r="D119" s="8">
        <v>0.5</v>
      </c>
      <c r="E119" s="28" t="s">
        <v>14</v>
      </c>
      <c r="F119" s="7" t="s">
        <v>14</v>
      </c>
      <c r="G119" s="27" t="s">
        <v>14</v>
      </c>
      <c r="H119" s="27" t="s">
        <v>14</v>
      </c>
    </row>
    <row r="120" spans="2:8" x14ac:dyDescent="0.3">
      <c r="B120" s="11">
        <v>40353</v>
      </c>
      <c r="C120" s="29" t="str">
        <f t="shared" si="1"/>
        <v/>
      </c>
      <c r="D120" s="8">
        <v>0.5</v>
      </c>
      <c r="E120" s="28" t="s">
        <v>14</v>
      </c>
      <c r="F120" s="7" t="s">
        <v>14</v>
      </c>
      <c r="G120" s="27" t="s">
        <v>14</v>
      </c>
      <c r="H120" s="27" t="s">
        <v>14</v>
      </c>
    </row>
    <row r="121" spans="2:8" x14ac:dyDescent="0.3">
      <c r="B121" s="9">
        <v>40354</v>
      </c>
      <c r="C121" s="29" t="str">
        <f t="shared" si="1"/>
        <v/>
      </c>
      <c r="D121" s="8">
        <v>0.5</v>
      </c>
      <c r="E121" s="28" t="s">
        <v>14</v>
      </c>
      <c r="F121" s="7" t="s">
        <v>14</v>
      </c>
      <c r="G121" s="27" t="s">
        <v>14</v>
      </c>
      <c r="H121" s="27" t="s">
        <v>14</v>
      </c>
    </row>
    <row r="122" spans="2:8" x14ac:dyDescent="0.3">
      <c r="B122" s="11">
        <v>40357</v>
      </c>
      <c r="C122" s="29" t="str">
        <f t="shared" si="1"/>
        <v/>
      </c>
      <c r="D122" s="8">
        <v>0.5</v>
      </c>
      <c r="E122" s="28" t="s">
        <v>14</v>
      </c>
      <c r="F122" s="7" t="s">
        <v>14</v>
      </c>
      <c r="G122" s="27" t="s">
        <v>14</v>
      </c>
      <c r="H122" s="27" t="s">
        <v>14</v>
      </c>
    </row>
    <row r="123" spans="2:8" x14ac:dyDescent="0.3">
      <c r="B123" s="9">
        <v>40358</v>
      </c>
      <c r="C123" s="29" t="str">
        <f t="shared" si="1"/>
        <v/>
      </c>
      <c r="D123" s="8">
        <v>0.5</v>
      </c>
      <c r="E123" s="28" t="s">
        <v>14</v>
      </c>
      <c r="F123" s="7" t="s">
        <v>14</v>
      </c>
      <c r="G123" s="27" t="s">
        <v>14</v>
      </c>
      <c r="H123" s="27" t="s">
        <v>14</v>
      </c>
    </row>
    <row r="124" spans="2:8" x14ac:dyDescent="0.3">
      <c r="B124" s="11">
        <v>40359</v>
      </c>
      <c r="C124" s="29">
        <f t="shared" si="1"/>
        <v>0</v>
      </c>
      <c r="D124" s="8">
        <v>0.5</v>
      </c>
      <c r="E124" s="28">
        <v>0.5</v>
      </c>
      <c r="F124" s="7">
        <v>0.5</v>
      </c>
      <c r="G124" s="27">
        <v>0.5</v>
      </c>
    </row>
    <row r="125" spans="2:8" x14ac:dyDescent="0.3">
      <c r="B125" s="9">
        <v>40360</v>
      </c>
      <c r="C125" s="29" t="str">
        <f t="shared" si="1"/>
        <v/>
      </c>
      <c r="D125" s="8">
        <v>0.5</v>
      </c>
      <c r="E125" s="28" t="s">
        <v>14</v>
      </c>
      <c r="F125" s="7" t="s">
        <v>14</v>
      </c>
      <c r="G125" s="27" t="s">
        <v>14</v>
      </c>
      <c r="H125" s="27" t="s">
        <v>14</v>
      </c>
    </row>
    <row r="126" spans="2:8" x14ac:dyDescent="0.3">
      <c r="B126" s="11">
        <v>40361</v>
      </c>
      <c r="C126" s="29" t="str">
        <f t="shared" si="1"/>
        <v/>
      </c>
      <c r="D126" s="8">
        <v>0.5</v>
      </c>
      <c r="E126" s="28" t="s">
        <v>14</v>
      </c>
      <c r="F126" s="7" t="s">
        <v>14</v>
      </c>
      <c r="G126" s="27" t="s">
        <v>14</v>
      </c>
      <c r="H126" s="27" t="s">
        <v>14</v>
      </c>
    </row>
    <row r="127" spans="2:8" x14ac:dyDescent="0.3">
      <c r="B127" s="9">
        <v>40364</v>
      </c>
      <c r="C127" s="29" t="str">
        <f t="shared" si="1"/>
        <v/>
      </c>
      <c r="D127" s="8">
        <v>0.5</v>
      </c>
      <c r="E127" s="28" t="s">
        <v>14</v>
      </c>
      <c r="F127" s="7" t="s">
        <v>14</v>
      </c>
      <c r="G127" s="27" t="s">
        <v>14</v>
      </c>
      <c r="H127" s="27" t="s">
        <v>14</v>
      </c>
    </row>
    <row r="128" spans="2:8" x14ac:dyDescent="0.3">
      <c r="B128" s="11">
        <v>40365</v>
      </c>
      <c r="C128" s="29" t="str">
        <f t="shared" si="1"/>
        <v/>
      </c>
      <c r="D128" s="8">
        <v>0.5</v>
      </c>
      <c r="E128" s="28" t="s">
        <v>14</v>
      </c>
      <c r="F128" s="7" t="s">
        <v>14</v>
      </c>
      <c r="G128" s="27" t="s">
        <v>14</v>
      </c>
      <c r="H128" s="27" t="s">
        <v>14</v>
      </c>
    </row>
    <row r="129" spans="2:8" x14ac:dyDescent="0.3">
      <c r="B129" s="9">
        <v>40366</v>
      </c>
      <c r="C129" s="29" t="str">
        <f t="shared" si="1"/>
        <v/>
      </c>
      <c r="D129" s="8">
        <v>0.5</v>
      </c>
      <c r="E129" s="28" t="s">
        <v>14</v>
      </c>
      <c r="F129" s="7" t="s">
        <v>14</v>
      </c>
      <c r="G129" s="27" t="s">
        <v>14</v>
      </c>
      <c r="H129" s="27" t="s">
        <v>14</v>
      </c>
    </row>
    <row r="130" spans="2:8" x14ac:dyDescent="0.3">
      <c r="B130" s="11">
        <v>40367</v>
      </c>
      <c r="C130" s="29" t="str">
        <f t="shared" si="1"/>
        <v/>
      </c>
      <c r="D130" s="8">
        <v>0.5</v>
      </c>
      <c r="E130" s="28" t="s">
        <v>14</v>
      </c>
      <c r="F130" s="7" t="s">
        <v>14</v>
      </c>
      <c r="G130" s="27" t="s">
        <v>14</v>
      </c>
      <c r="H130" s="27" t="s">
        <v>14</v>
      </c>
    </row>
    <row r="131" spans="2:8" x14ac:dyDescent="0.3">
      <c r="B131" s="9">
        <v>40371</v>
      </c>
      <c r="C131" s="29" t="str">
        <f t="shared" ref="C131:C194" si="2">INDEX(D131:H131,MATCH($A$1,$D$1:$H$1,0))</f>
        <v/>
      </c>
      <c r="D131" s="8">
        <v>0.5</v>
      </c>
      <c r="E131" s="28" t="s">
        <v>14</v>
      </c>
      <c r="F131" s="7" t="s">
        <v>14</v>
      </c>
      <c r="G131" s="27" t="s">
        <v>14</v>
      </c>
      <c r="H131" s="27" t="s">
        <v>14</v>
      </c>
    </row>
    <row r="132" spans="2:8" x14ac:dyDescent="0.3">
      <c r="B132" s="11">
        <v>40372</v>
      </c>
      <c r="C132" s="29" t="str">
        <f t="shared" si="2"/>
        <v/>
      </c>
      <c r="D132" s="8">
        <v>0.5</v>
      </c>
      <c r="E132" s="28" t="s">
        <v>14</v>
      </c>
      <c r="F132" s="7" t="s">
        <v>14</v>
      </c>
      <c r="G132" s="27" t="s">
        <v>14</v>
      </c>
      <c r="H132" s="27" t="s">
        <v>14</v>
      </c>
    </row>
    <row r="133" spans="2:8" x14ac:dyDescent="0.3">
      <c r="B133" s="9">
        <v>40373</v>
      </c>
      <c r="C133" s="29" t="str">
        <f t="shared" si="2"/>
        <v/>
      </c>
      <c r="D133" s="8">
        <v>0.5</v>
      </c>
      <c r="E133" s="28" t="s">
        <v>14</v>
      </c>
      <c r="F133" s="7" t="s">
        <v>14</v>
      </c>
      <c r="G133" s="27" t="s">
        <v>14</v>
      </c>
      <c r="H133" s="27" t="s">
        <v>14</v>
      </c>
    </row>
    <row r="134" spans="2:8" x14ac:dyDescent="0.3">
      <c r="B134" s="11">
        <v>40374</v>
      </c>
      <c r="C134" s="29" t="str">
        <f t="shared" si="2"/>
        <v/>
      </c>
      <c r="D134" s="8">
        <v>0.5</v>
      </c>
      <c r="E134" s="28" t="s">
        <v>14</v>
      </c>
      <c r="F134" s="7" t="s">
        <v>14</v>
      </c>
      <c r="G134" s="27" t="s">
        <v>14</v>
      </c>
      <c r="H134" s="27" t="s">
        <v>14</v>
      </c>
    </row>
    <row r="135" spans="2:8" x14ac:dyDescent="0.3">
      <c r="B135" s="9">
        <v>40375</v>
      </c>
      <c r="C135" s="29" t="str">
        <f t="shared" si="2"/>
        <v/>
      </c>
      <c r="D135" s="8">
        <v>0.5</v>
      </c>
      <c r="E135" s="28" t="s">
        <v>14</v>
      </c>
      <c r="F135" s="7" t="s">
        <v>14</v>
      </c>
      <c r="G135" s="27" t="s">
        <v>14</v>
      </c>
      <c r="H135" s="27" t="s">
        <v>14</v>
      </c>
    </row>
    <row r="136" spans="2:8" x14ac:dyDescent="0.3">
      <c r="B136" s="11">
        <v>40378</v>
      </c>
      <c r="C136" s="29" t="str">
        <f t="shared" si="2"/>
        <v/>
      </c>
      <c r="D136" s="8">
        <v>0.5</v>
      </c>
      <c r="E136" s="28" t="s">
        <v>14</v>
      </c>
      <c r="F136" s="7" t="s">
        <v>14</v>
      </c>
      <c r="G136" s="27" t="s">
        <v>14</v>
      </c>
      <c r="H136" s="27" t="s">
        <v>14</v>
      </c>
    </row>
    <row r="137" spans="2:8" x14ac:dyDescent="0.3">
      <c r="B137" s="9">
        <v>40379</v>
      </c>
      <c r="C137" s="29" t="str">
        <f t="shared" si="2"/>
        <v/>
      </c>
      <c r="D137" s="8">
        <v>0.5</v>
      </c>
      <c r="E137" s="28" t="s">
        <v>14</v>
      </c>
      <c r="F137" s="7" t="s">
        <v>14</v>
      </c>
      <c r="G137" s="27" t="s">
        <v>14</v>
      </c>
      <c r="H137" s="27" t="s">
        <v>14</v>
      </c>
    </row>
    <row r="138" spans="2:8" x14ac:dyDescent="0.3">
      <c r="B138" s="11">
        <v>40380</v>
      </c>
      <c r="C138" s="29" t="str">
        <f t="shared" si="2"/>
        <v/>
      </c>
      <c r="D138" s="8">
        <v>0.5</v>
      </c>
      <c r="E138" s="28" t="s">
        <v>14</v>
      </c>
      <c r="F138" s="7" t="s">
        <v>14</v>
      </c>
      <c r="G138" s="27" t="s">
        <v>14</v>
      </c>
      <c r="H138" s="27" t="s">
        <v>14</v>
      </c>
    </row>
    <row r="139" spans="2:8" x14ac:dyDescent="0.3">
      <c r="B139" s="9">
        <v>40381</v>
      </c>
      <c r="C139" s="29" t="str">
        <f t="shared" si="2"/>
        <v/>
      </c>
      <c r="D139" s="8">
        <v>0.5</v>
      </c>
      <c r="E139" s="28" t="s">
        <v>14</v>
      </c>
      <c r="F139" s="7" t="s">
        <v>14</v>
      </c>
      <c r="G139" s="27" t="s">
        <v>14</v>
      </c>
      <c r="H139" s="27" t="s">
        <v>14</v>
      </c>
    </row>
    <row r="140" spans="2:8" x14ac:dyDescent="0.3">
      <c r="B140" s="11">
        <v>40382</v>
      </c>
      <c r="C140" s="29" t="str">
        <f t="shared" si="2"/>
        <v/>
      </c>
      <c r="D140" s="8">
        <v>0.5</v>
      </c>
      <c r="E140" s="28" t="s">
        <v>14</v>
      </c>
      <c r="F140" s="7" t="s">
        <v>14</v>
      </c>
      <c r="G140" s="27" t="s">
        <v>14</v>
      </c>
      <c r="H140" s="27" t="s">
        <v>14</v>
      </c>
    </row>
    <row r="141" spans="2:8" x14ac:dyDescent="0.3">
      <c r="B141" s="9">
        <v>40385</v>
      </c>
      <c r="C141" s="29" t="str">
        <f t="shared" si="2"/>
        <v/>
      </c>
      <c r="D141" s="8">
        <v>0.5</v>
      </c>
      <c r="E141" s="28" t="s">
        <v>14</v>
      </c>
      <c r="F141" s="7" t="s">
        <v>14</v>
      </c>
      <c r="G141" s="27" t="s">
        <v>14</v>
      </c>
      <c r="H141" s="27" t="s">
        <v>14</v>
      </c>
    </row>
    <row r="142" spans="2:8" x14ac:dyDescent="0.3">
      <c r="B142" s="11">
        <v>40386</v>
      </c>
      <c r="C142" s="29" t="str">
        <f t="shared" si="2"/>
        <v/>
      </c>
      <c r="D142" s="8">
        <v>0.5</v>
      </c>
      <c r="E142" s="28" t="s">
        <v>14</v>
      </c>
      <c r="F142" s="7" t="s">
        <v>14</v>
      </c>
      <c r="G142" s="27" t="s">
        <v>14</v>
      </c>
      <c r="H142" s="27" t="s">
        <v>14</v>
      </c>
    </row>
    <row r="143" spans="2:8" x14ac:dyDescent="0.3">
      <c r="B143" s="9">
        <v>40387</v>
      </c>
      <c r="C143" s="29" t="str">
        <f t="shared" si="2"/>
        <v/>
      </c>
      <c r="D143" s="8">
        <v>0.5</v>
      </c>
      <c r="E143" s="28" t="s">
        <v>14</v>
      </c>
      <c r="F143" s="7" t="s">
        <v>14</v>
      </c>
      <c r="G143" s="27" t="s">
        <v>14</v>
      </c>
      <c r="H143" s="27" t="s">
        <v>14</v>
      </c>
    </row>
    <row r="144" spans="2:8" x14ac:dyDescent="0.3">
      <c r="B144" s="11">
        <v>40388</v>
      </c>
      <c r="C144" s="29" t="str">
        <f t="shared" si="2"/>
        <v/>
      </c>
      <c r="D144" s="8">
        <v>0.5</v>
      </c>
      <c r="E144" s="28" t="s">
        <v>14</v>
      </c>
      <c r="F144" s="7" t="s">
        <v>14</v>
      </c>
      <c r="G144" s="27" t="s">
        <v>14</v>
      </c>
      <c r="H144" s="27" t="s">
        <v>14</v>
      </c>
    </row>
    <row r="145" spans="2:8" x14ac:dyDescent="0.3">
      <c r="B145" s="9">
        <v>40389</v>
      </c>
      <c r="C145" s="29" t="str">
        <f t="shared" si="2"/>
        <v/>
      </c>
      <c r="D145" s="8">
        <v>0.5</v>
      </c>
      <c r="E145" s="28">
        <v>0.5</v>
      </c>
      <c r="F145" s="7" t="s">
        <v>14</v>
      </c>
      <c r="G145" s="27" t="s">
        <v>14</v>
      </c>
      <c r="H145" s="27" t="s">
        <v>14</v>
      </c>
    </row>
    <row r="146" spans="2:8" x14ac:dyDescent="0.3">
      <c r="B146" s="11">
        <v>40392</v>
      </c>
      <c r="C146" s="29" t="str">
        <f t="shared" si="2"/>
        <v/>
      </c>
      <c r="D146" s="8">
        <v>0.5</v>
      </c>
      <c r="E146" s="28" t="s">
        <v>14</v>
      </c>
      <c r="F146" s="7" t="s">
        <v>14</v>
      </c>
      <c r="G146" s="27" t="s">
        <v>14</v>
      </c>
      <c r="H146" s="27" t="s">
        <v>14</v>
      </c>
    </row>
    <row r="147" spans="2:8" x14ac:dyDescent="0.3">
      <c r="B147" s="9">
        <v>40393</v>
      </c>
      <c r="C147" s="29" t="str">
        <f t="shared" si="2"/>
        <v/>
      </c>
      <c r="D147" s="8">
        <v>0.5</v>
      </c>
      <c r="E147" s="28" t="s">
        <v>14</v>
      </c>
      <c r="F147" s="7" t="s">
        <v>14</v>
      </c>
      <c r="G147" s="27" t="s">
        <v>14</v>
      </c>
      <c r="H147" s="27" t="s">
        <v>14</v>
      </c>
    </row>
    <row r="148" spans="2:8" x14ac:dyDescent="0.3">
      <c r="B148" s="11">
        <v>40394</v>
      </c>
      <c r="C148" s="29" t="str">
        <f t="shared" si="2"/>
        <v/>
      </c>
      <c r="D148" s="8">
        <v>0.5</v>
      </c>
      <c r="E148" s="28" t="s">
        <v>14</v>
      </c>
      <c r="F148" s="7" t="s">
        <v>14</v>
      </c>
      <c r="G148" s="27" t="s">
        <v>14</v>
      </c>
      <c r="H148" s="27" t="s">
        <v>14</v>
      </c>
    </row>
    <row r="149" spans="2:8" x14ac:dyDescent="0.3">
      <c r="B149" s="9">
        <v>40395</v>
      </c>
      <c r="C149" s="29" t="str">
        <f t="shared" si="2"/>
        <v/>
      </c>
      <c r="D149" s="8">
        <v>0.5</v>
      </c>
      <c r="E149" s="28" t="s">
        <v>14</v>
      </c>
      <c r="F149" s="7" t="s">
        <v>14</v>
      </c>
      <c r="G149" s="27" t="s">
        <v>14</v>
      </c>
      <c r="H149" s="27" t="s">
        <v>14</v>
      </c>
    </row>
    <row r="150" spans="2:8" x14ac:dyDescent="0.3">
      <c r="B150" s="11">
        <v>40396</v>
      </c>
      <c r="C150" s="29" t="str">
        <f t="shared" si="2"/>
        <v/>
      </c>
      <c r="D150" s="8">
        <v>0.5</v>
      </c>
      <c r="E150" s="28" t="s">
        <v>14</v>
      </c>
      <c r="F150" s="7" t="s">
        <v>14</v>
      </c>
      <c r="G150" s="27" t="s">
        <v>14</v>
      </c>
      <c r="H150" s="27" t="s">
        <v>14</v>
      </c>
    </row>
    <row r="151" spans="2:8" x14ac:dyDescent="0.3">
      <c r="B151" s="9">
        <v>40399</v>
      </c>
      <c r="C151" s="29" t="str">
        <f t="shared" si="2"/>
        <v/>
      </c>
      <c r="D151" s="8">
        <v>0.5</v>
      </c>
      <c r="E151" s="28" t="s">
        <v>14</v>
      </c>
      <c r="F151" s="7" t="s">
        <v>14</v>
      </c>
      <c r="G151" s="27" t="s">
        <v>14</v>
      </c>
      <c r="H151" s="27" t="s">
        <v>14</v>
      </c>
    </row>
    <row r="152" spans="2:8" x14ac:dyDescent="0.3">
      <c r="B152" s="11">
        <v>40400</v>
      </c>
      <c r="C152" s="29" t="str">
        <f t="shared" si="2"/>
        <v/>
      </c>
      <c r="D152" s="8">
        <v>0.5</v>
      </c>
      <c r="E152" s="28" t="s">
        <v>14</v>
      </c>
      <c r="F152" s="7" t="s">
        <v>14</v>
      </c>
      <c r="G152" s="27" t="s">
        <v>14</v>
      </c>
      <c r="H152" s="27" t="s">
        <v>14</v>
      </c>
    </row>
    <row r="153" spans="2:8" x14ac:dyDescent="0.3">
      <c r="B153" s="9">
        <v>40401</v>
      </c>
      <c r="C153" s="29" t="str">
        <f t="shared" si="2"/>
        <v/>
      </c>
      <c r="D153" s="8">
        <v>0.5</v>
      </c>
      <c r="E153" s="28" t="s">
        <v>14</v>
      </c>
      <c r="F153" s="7" t="s">
        <v>14</v>
      </c>
      <c r="G153" s="27" t="s">
        <v>14</v>
      </c>
      <c r="H153" s="27" t="s">
        <v>14</v>
      </c>
    </row>
    <row r="154" spans="2:8" x14ac:dyDescent="0.3">
      <c r="B154" s="11">
        <v>40402</v>
      </c>
      <c r="C154" s="29" t="str">
        <f t="shared" si="2"/>
        <v/>
      </c>
      <c r="D154" s="8">
        <v>0.5</v>
      </c>
      <c r="E154" s="28" t="s">
        <v>14</v>
      </c>
      <c r="F154" s="7" t="s">
        <v>14</v>
      </c>
      <c r="G154" s="27" t="s">
        <v>14</v>
      </c>
      <c r="H154" s="27" t="s">
        <v>14</v>
      </c>
    </row>
    <row r="155" spans="2:8" x14ac:dyDescent="0.3">
      <c r="B155" s="9">
        <v>40403</v>
      </c>
      <c r="C155" s="29" t="str">
        <f t="shared" si="2"/>
        <v/>
      </c>
      <c r="D155" s="8">
        <v>0.5</v>
      </c>
      <c r="E155" s="28" t="s">
        <v>14</v>
      </c>
      <c r="F155" s="7" t="s">
        <v>14</v>
      </c>
      <c r="G155" s="27" t="s">
        <v>14</v>
      </c>
      <c r="H155" s="27" t="s">
        <v>14</v>
      </c>
    </row>
    <row r="156" spans="2:8" x14ac:dyDescent="0.3">
      <c r="B156" s="11">
        <v>40406</v>
      </c>
      <c r="C156" s="29" t="str">
        <f t="shared" si="2"/>
        <v/>
      </c>
      <c r="D156" s="8">
        <v>0.5</v>
      </c>
      <c r="E156" s="28" t="s">
        <v>14</v>
      </c>
      <c r="F156" s="7" t="s">
        <v>14</v>
      </c>
      <c r="G156" s="27" t="s">
        <v>14</v>
      </c>
      <c r="H156" s="27" t="s">
        <v>14</v>
      </c>
    </row>
    <row r="157" spans="2:8" x14ac:dyDescent="0.3">
      <c r="B157" s="9">
        <v>40407</v>
      </c>
      <c r="C157" s="29" t="str">
        <f t="shared" si="2"/>
        <v/>
      </c>
      <c r="D157" s="8">
        <v>0.5</v>
      </c>
      <c r="E157" s="28" t="s">
        <v>14</v>
      </c>
      <c r="F157" s="7" t="s">
        <v>14</v>
      </c>
      <c r="G157" s="27" t="s">
        <v>14</v>
      </c>
      <c r="H157" s="27" t="s">
        <v>14</v>
      </c>
    </row>
    <row r="158" spans="2:8" x14ac:dyDescent="0.3">
      <c r="B158" s="11">
        <v>40408</v>
      </c>
      <c r="C158" s="29" t="str">
        <f t="shared" si="2"/>
        <v/>
      </c>
      <c r="D158" s="8">
        <v>0.5</v>
      </c>
      <c r="E158" s="28" t="s">
        <v>14</v>
      </c>
      <c r="F158" s="7" t="s">
        <v>14</v>
      </c>
      <c r="G158" s="27" t="s">
        <v>14</v>
      </c>
      <c r="H158" s="27" t="s">
        <v>14</v>
      </c>
    </row>
    <row r="159" spans="2:8" x14ac:dyDescent="0.3">
      <c r="B159" s="9">
        <v>40409</v>
      </c>
      <c r="C159" s="29" t="str">
        <f t="shared" si="2"/>
        <v/>
      </c>
      <c r="D159" s="8">
        <v>0.5</v>
      </c>
      <c r="E159" s="28" t="s">
        <v>14</v>
      </c>
      <c r="F159" s="7" t="s">
        <v>14</v>
      </c>
      <c r="G159" s="27" t="s">
        <v>14</v>
      </c>
      <c r="H159" s="27" t="s">
        <v>14</v>
      </c>
    </row>
    <row r="160" spans="2:8" x14ac:dyDescent="0.3">
      <c r="B160" s="11">
        <v>40410</v>
      </c>
      <c r="C160" s="29" t="str">
        <f t="shared" si="2"/>
        <v/>
      </c>
      <c r="D160" s="8">
        <v>0.5</v>
      </c>
      <c r="E160" s="28" t="s">
        <v>14</v>
      </c>
      <c r="F160" s="7" t="s">
        <v>14</v>
      </c>
      <c r="G160" s="27" t="s">
        <v>14</v>
      </c>
      <c r="H160" s="27" t="s">
        <v>14</v>
      </c>
    </row>
    <row r="161" spans="2:8" x14ac:dyDescent="0.3">
      <c r="B161" s="9">
        <v>40413</v>
      </c>
      <c r="C161" s="29" t="str">
        <f t="shared" si="2"/>
        <v/>
      </c>
      <c r="D161" s="8">
        <v>0.5</v>
      </c>
      <c r="E161" s="28" t="s">
        <v>14</v>
      </c>
      <c r="F161" s="7" t="s">
        <v>14</v>
      </c>
      <c r="G161" s="27" t="s">
        <v>14</v>
      </c>
      <c r="H161" s="27" t="s">
        <v>14</v>
      </c>
    </row>
    <row r="162" spans="2:8" x14ac:dyDescent="0.3">
      <c r="B162" s="11">
        <v>40414</v>
      </c>
      <c r="C162" s="29" t="str">
        <f t="shared" si="2"/>
        <v/>
      </c>
      <c r="D162" s="8">
        <v>0.5</v>
      </c>
      <c r="E162" s="28" t="s">
        <v>14</v>
      </c>
      <c r="F162" s="7" t="s">
        <v>14</v>
      </c>
      <c r="G162" s="27" t="s">
        <v>14</v>
      </c>
      <c r="H162" s="27" t="s">
        <v>14</v>
      </c>
    </row>
    <row r="163" spans="2:8" x14ac:dyDescent="0.3">
      <c r="B163" s="9">
        <v>40415</v>
      </c>
      <c r="C163" s="29" t="str">
        <f t="shared" si="2"/>
        <v/>
      </c>
      <c r="D163" s="8">
        <v>0.5</v>
      </c>
      <c r="E163" s="28" t="s">
        <v>14</v>
      </c>
      <c r="F163" s="7" t="s">
        <v>14</v>
      </c>
      <c r="G163" s="27" t="s">
        <v>14</v>
      </c>
      <c r="H163" s="27" t="s">
        <v>14</v>
      </c>
    </row>
    <row r="164" spans="2:8" x14ac:dyDescent="0.3">
      <c r="B164" s="11">
        <v>40416</v>
      </c>
      <c r="C164" s="29" t="str">
        <f t="shared" si="2"/>
        <v/>
      </c>
      <c r="D164" s="8">
        <v>0.5</v>
      </c>
      <c r="E164" s="28" t="s">
        <v>14</v>
      </c>
      <c r="F164" s="7" t="s">
        <v>14</v>
      </c>
      <c r="G164" s="27" t="s">
        <v>14</v>
      </c>
      <c r="H164" s="27" t="s">
        <v>14</v>
      </c>
    </row>
    <row r="165" spans="2:8" x14ac:dyDescent="0.3">
      <c r="B165" s="9">
        <v>40417</v>
      </c>
      <c r="C165" s="29" t="str">
        <f t="shared" si="2"/>
        <v/>
      </c>
      <c r="D165" s="8">
        <v>0.5</v>
      </c>
      <c r="E165" s="28" t="s">
        <v>14</v>
      </c>
      <c r="F165" s="7" t="s">
        <v>14</v>
      </c>
      <c r="G165" s="27" t="s">
        <v>14</v>
      </c>
      <c r="H165" s="27" t="s">
        <v>14</v>
      </c>
    </row>
    <row r="166" spans="2:8" x14ac:dyDescent="0.3">
      <c r="B166" s="11">
        <v>40420</v>
      </c>
      <c r="C166" s="29" t="str">
        <f t="shared" si="2"/>
        <v/>
      </c>
      <c r="D166" s="8">
        <v>0.5</v>
      </c>
      <c r="E166" s="28" t="s">
        <v>14</v>
      </c>
      <c r="F166" s="7" t="s">
        <v>14</v>
      </c>
      <c r="G166" s="27" t="s">
        <v>14</v>
      </c>
      <c r="H166" s="27" t="s">
        <v>14</v>
      </c>
    </row>
    <row r="167" spans="2:8" x14ac:dyDescent="0.3">
      <c r="B167" s="9">
        <v>40421</v>
      </c>
      <c r="C167" s="29" t="str">
        <f t="shared" si="2"/>
        <v/>
      </c>
      <c r="D167" s="8">
        <v>0.5</v>
      </c>
      <c r="E167" s="28">
        <v>0.5</v>
      </c>
      <c r="F167" s="7" t="s">
        <v>14</v>
      </c>
      <c r="G167" s="27" t="s">
        <v>14</v>
      </c>
      <c r="H167" s="27" t="s">
        <v>14</v>
      </c>
    </row>
    <row r="168" spans="2:8" x14ac:dyDescent="0.3">
      <c r="B168" s="11">
        <v>40422</v>
      </c>
      <c r="C168" s="29" t="str">
        <f t="shared" si="2"/>
        <v/>
      </c>
      <c r="D168" s="8">
        <v>0.5</v>
      </c>
      <c r="E168" s="28" t="s">
        <v>14</v>
      </c>
      <c r="F168" s="7" t="s">
        <v>14</v>
      </c>
      <c r="G168" s="27" t="s">
        <v>14</v>
      </c>
      <c r="H168" s="27" t="s">
        <v>14</v>
      </c>
    </row>
    <row r="169" spans="2:8" x14ac:dyDescent="0.3">
      <c r="B169" s="9">
        <v>40423</v>
      </c>
      <c r="C169" s="29" t="str">
        <f t="shared" si="2"/>
        <v/>
      </c>
      <c r="D169" s="8">
        <v>0.5</v>
      </c>
      <c r="E169" s="28" t="s">
        <v>14</v>
      </c>
      <c r="F169" s="7" t="s">
        <v>14</v>
      </c>
      <c r="G169" s="27" t="s">
        <v>14</v>
      </c>
      <c r="H169" s="27" t="s">
        <v>14</v>
      </c>
    </row>
    <row r="170" spans="2:8" x14ac:dyDescent="0.3">
      <c r="B170" s="11">
        <v>40424</v>
      </c>
      <c r="C170" s="29" t="str">
        <f t="shared" si="2"/>
        <v/>
      </c>
      <c r="D170" s="8">
        <v>0.5</v>
      </c>
      <c r="E170" s="28" t="s">
        <v>14</v>
      </c>
      <c r="F170" s="7" t="s">
        <v>14</v>
      </c>
      <c r="G170" s="27" t="s">
        <v>14</v>
      </c>
      <c r="H170" s="27" t="s">
        <v>14</v>
      </c>
    </row>
    <row r="171" spans="2:8" x14ac:dyDescent="0.3">
      <c r="B171" s="9">
        <v>40427</v>
      </c>
      <c r="C171" s="29" t="str">
        <f t="shared" si="2"/>
        <v/>
      </c>
      <c r="D171" s="8">
        <v>0.5</v>
      </c>
      <c r="E171" s="28" t="s">
        <v>14</v>
      </c>
      <c r="F171" s="7" t="s">
        <v>14</v>
      </c>
      <c r="G171" s="27" t="s">
        <v>14</v>
      </c>
      <c r="H171" s="27" t="s">
        <v>14</v>
      </c>
    </row>
    <row r="172" spans="2:8" x14ac:dyDescent="0.3">
      <c r="B172" s="11">
        <v>40429</v>
      </c>
      <c r="C172" s="29" t="str">
        <f t="shared" si="2"/>
        <v/>
      </c>
      <c r="D172" s="8">
        <v>0.5</v>
      </c>
      <c r="E172" s="28" t="s">
        <v>14</v>
      </c>
      <c r="F172" s="7" t="s">
        <v>14</v>
      </c>
      <c r="G172" s="27" t="s">
        <v>14</v>
      </c>
      <c r="H172" s="27" t="s">
        <v>14</v>
      </c>
    </row>
    <row r="173" spans="2:8" x14ac:dyDescent="0.3">
      <c r="B173" s="9">
        <v>40430</v>
      </c>
      <c r="C173" s="29" t="str">
        <f t="shared" si="2"/>
        <v/>
      </c>
      <c r="D173" s="8">
        <v>0.5</v>
      </c>
      <c r="E173" s="28" t="s">
        <v>14</v>
      </c>
      <c r="F173" s="7" t="s">
        <v>14</v>
      </c>
      <c r="G173" s="27" t="s">
        <v>14</v>
      </c>
      <c r="H173" s="27" t="s">
        <v>14</v>
      </c>
    </row>
    <row r="174" spans="2:8" x14ac:dyDescent="0.3">
      <c r="B174" s="11">
        <v>40431</v>
      </c>
      <c r="C174" s="29" t="str">
        <f t="shared" si="2"/>
        <v/>
      </c>
      <c r="D174" s="8">
        <v>0.5</v>
      </c>
      <c r="E174" s="28" t="s">
        <v>14</v>
      </c>
      <c r="F174" s="7" t="s">
        <v>14</v>
      </c>
      <c r="G174" s="27" t="s">
        <v>14</v>
      </c>
      <c r="H174" s="27" t="s">
        <v>14</v>
      </c>
    </row>
    <row r="175" spans="2:8" x14ac:dyDescent="0.3">
      <c r="B175" s="9">
        <v>40434</v>
      </c>
      <c r="C175" s="29" t="str">
        <f t="shared" si="2"/>
        <v/>
      </c>
      <c r="D175" s="8">
        <v>0.5</v>
      </c>
      <c r="E175" s="28" t="s">
        <v>14</v>
      </c>
      <c r="F175" s="7" t="s">
        <v>14</v>
      </c>
      <c r="G175" s="27" t="s">
        <v>14</v>
      </c>
      <c r="H175" s="27" t="s">
        <v>14</v>
      </c>
    </row>
    <row r="176" spans="2:8" x14ac:dyDescent="0.3">
      <c r="B176" s="11">
        <v>40435</v>
      </c>
      <c r="C176" s="29" t="str">
        <f t="shared" si="2"/>
        <v/>
      </c>
      <c r="D176" s="8">
        <v>0.5</v>
      </c>
      <c r="E176" s="28" t="s">
        <v>14</v>
      </c>
      <c r="F176" s="7" t="s">
        <v>14</v>
      </c>
      <c r="G176" s="27" t="s">
        <v>14</v>
      </c>
      <c r="H176" s="27" t="s">
        <v>14</v>
      </c>
    </row>
    <row r="177" spans="2:8" x14ac:dyDescent="0.3">
      <c r="B177" s="9">
        <v>40436</v>
      </c>
      <c r="C177" s="29" t="str">
        <f t="shared" si="2"/>
        <v/>
      </c>
      <c r="D177" s="8">
        <v>0.5</v>
      </c>
      <c r="E177" s="28" t="s">
        <v>14</v>
      </c>
      <c r="F177" s="7" t="s">
        <v>14</v>
      </c>
      <c r="G177" s="27" t="s">
        <v>14</v>
      </c>
      <c r="H177" s="27" t="s">
        <v>14</v>
      </c>
    </row>
    <row r="178" spans="2:8" x14ac:dyDescent="0.3">
      <c r="B178" s="11">
        <v>40437</v>
      </c>
      <c r="C178" s="29" t="str">
        <f t="shared" si="2"/>
        <v/>
      </c>
      <c r="D178" s="8">
        <v>0.5</v>
      </c>
      <c r="E178" s="28" t="s">
        <v>14</v>
      </c>
      <c r="F178" s="7" t="s">
        <v>14</v>
      </c>
      <c r="G178" s="27" t="s">
        <v>14</v>
      </c>
      <c r="H178" s="27" t="s">
        <v>14</v>
      </c>
    </row>
    <row r="179" spans="2:8" x14ac:dyDescent="0.3">
      <c r="B179" s="9">
        <v>40438</v>
      </c>
      <c r="C179" s="29" t="str">
        <f t="shared" si="2"/>
        <v/>
      </c>
      <c r="D179" s="8">
        <v>0.5</v>
      </c>
      <c r="E179" s="28" t="s">
        <v>14</v>
      </c>
      <c r="F179" s="7" t="s">
        <v>14</v>
      </c>
      <c r="G179" s="27" t="s">
        <v>14</v>
      </c>
      <c r="H179" s="27" t="s">
        <v>14</v>
      </c>
    </row>
    <row r="180" spans="2:8" x14ac:dyDescent="0.3">
      <c r="B180" s="11">
        <v>40441</v>
      </c>
      <c r="C180" s="29" t="str">
        <f t="shared" si="2"/>
        <v/>
      </c>
      <c r="D180" s="8">
        <v>0.5</v>
      </c>
      <c r="E180" s="28" t="s">
        <v>14</v>
      </c>
      <c r="F180" s="7" t="s">
        <v>14</v>
      </c>
      <c r="G180" s="27" t="s">
        <v>14</v>
      </c>
      <c r="H180" s="27" t="s">
        <v>14</v>
      </c>
    </row>
    <row r="181" spans="2:8" x14ac:dyDescent="0.3">
      <c r="B181" s="9">
        <v>40442</v>
      </c>
      <c r="C181" s="29" t="str">
        <f t="shared" si="2"/>
        <v/>
      </c>
      <c r="D181" s="8">
        <v>0.5</v>
      </c>
      <c r="E181" s="28" t="s">
        <v>14</v>
      </c>
      <c r="F181" s="7" t="s">
        <v>14</v>
      </c>
      <c r="G181" s="27" t="s">
        <v>14</v>
      </c>
      <c r="H181" s="27" t="s">
        <v>14</v>
      </c>
    </row>
    <row r="182" spans="2:8" x14ac:dyDescent="0.3">
      <c r="B182" s="11">
        <v>40443</v>
      </c>
      <c r="C182" s="29" t="str">
        <f t="shared" si="2"/>
        <v/>
      </c>
      <c r="D182" s="8">
        <v>0.5</v>
      </c>
      <c r="E182" s="28" t="s">
        <v>14</v>
      </c>
      <c r="F182" s="7" t="s">
        <v>14</v>
      </c>
      <c r="G182" s="27" t="s">
        <v>14</v>
      </c>
      <c r="H182" s="27" t="s">
        <v>14</v>
      </c>
    </row>
    <row r="183" spans="2:8" x14ac:dyDescent="0.3">
      <c r="B183" s="9">
        <v>40444</v>
      </c>
      <c r="C183" s="29" t="str">
        <f t="shared" si="2"/>
        <v/>
      </c>
      <c r="D183" s="8">
        <v>0.5</v>
      </c>
      <c r="E183" s="28" t="s">
        <v>14</v>
      </c>
      <c r="F183" s="7" t="s">
        <v>14</v>
      </c>
      <c r="G183" s="27" t="s">
        <v>14</v>
      </c>
      <c r="H183" s="27" t="s">
        <v>14</v>
      </c>
    </row>
    <row r="184" spans="2:8" x14ac:dyDescent="0.3">
      <c r="B184" s="11">
        <v>40445</v>
      </c>
      <c r="C184" s="29" t="str">
        <f t="shared" si="2"/>
        <v/>
      </c>
      <c r="D184" s="8">
        <v>0.5</v>
      </c>
      <c r="E184" s="28" t="s">
        <v>14</v>
      </c>
      <c r="F184" s="7" t="s">
        <v>14</v>
      </c>
      <c r="G184" s="27" t="s">
        <v>14</v>
      </c>
      <c r="H184" s="27" t="s">
        <v>14</v>
      </c>
    </row>
    <row r="185" spans="2:8" x14ac:dyDescent="0.3">
      <c r="B185" s="9">
        <v>40448</v>
      </c>
      <c r="C185" s="29" t="str">
        <f t="shared" si="2"/>
        <v/>
      </c>
      <c r="D185" s="8">
        <v>0.5</v>
      </c>
      <c r="E185" s="28" t="s">
        <v>14</v>
      </c>
      <c r="F185" s="7" t="s">
        <v>14</v>
      </c>
      <c r="G185" s="27" t="s">
        <v>14</v>
      </c>
      <c r="H185" s="27" t="s">
        <v>14</v>
      </c>
    </row>
    <row r="186" spans="2:8" x14ac:dyDescent="0.3">
      <c r="B186" s="11">
        <v>40449</v>
      </c>
      <c r="C186" s="29" t="str">
        <f t="shared" si="2"/>
        <v/>
      </c>
      <c r="D186" s="8">
        <v>0.5</v>
      </c>
      <c r="E186" s="28" t="s">
        <v>14</v>
      </c>
      <c r="F186" s="7" t="s">
        <v>14</v>
      </c>
      <c r="G186" s="27" t="s">
        <v>14</v>
      </c>
      <c r="H186" s="27" t="s">
        <v>14</v>
      </c>
    </row>
    <row r="187" spans="2:8" x14ac:dyDescent="0.3">
      <c r="B187" s="9">
        <v>40450</v>
      </c>
      <c r="C187" s="29" t="str">
        <f t="shared" si="2"/>
        <v/>
      </c>
      <c r="D187" s="8">
        <v>0.5</v>
      </c>
      <c r="E187" s="28" t="s">
        <v>14</v>
      </c>
      <c r="F187" s="7" t="s">
        <v>14</v>
      </c>
      <c r="G187" s="27" t="s">
        <v>14</v>
      </c>
      <c r="H187" s="27" t="s">
        <v>14</v>
      </c>
    </row>
    <row r="188" spans="2:8" x14ac:dyDescent="0.3">
      <c r="B188" s="11">
        <v>40451</v>
      </c>
      <c r="C188" s="29">
        <f t="shared" si="2"/>
        <v>0</v>
      </c>
      <c r="D188" s="8">
        <v>0.5</v>
      </c>
      <c r="E188" s="28">
        <v>0.5</v>
      </c>
      <c r="F188" s="7">
        <v>0.5</v>
      </c>
    </row>
    <row r="189" spans="2:8" x14ac:dyDescent="0.3">
      <c r="B189" s="9">
        <v>40452</v>
      </c>
      <c r="C189" s="29" t="str">
        <f t="shared" si="2"/>
        <v/>
      </c>
      <c r="D189" s="8">
        <v>0.5</v>
      </c>
      <c r="E189" s="28" t="s">
        <v>14</v>
      </c>
      <c r="F189" s="7" t="s">
        <v>14</v>
      </c>
      <c r="G189" s="27" t="s">
        <v>14</v>
      </c>
      <c r="H189" s="27" t="s">
        <v>14</v>
      </c>
    </row>
    <row r="190" spans="2:8" x14ac:dyDescent="0.3">
      <c r="B190" s="11">
        <v>40455</v>
      </c>
      <c r="C190" s="29" t="str">
        <f t="shared" si="2"/>
        <v/>
      </c>
      <c r="D190" s="8">
        <v>0.5</v>
      </c>
      <c r="E190" s="28" t="s">
        <v>14</v>
      </c>
      <c r="F190" s="7" t="s">
        <v>14</v>
      </c>
      <c r="G190" s="27" t="s">
        <v>14</v>
      </c>
      <c r="H190" s="27" t="s">
        <v>14</v>
      </c>
    </row>
    <row r="191" spans="2:8" x14ac:dyDescent="0.3">
      <c r="B191" s="9">
        <v>40456</v>
      </c>
      <c r="C191" s="29" t="str">
        <f t="shared" si="2"/>
        <v/>
      </c>
      <c r="D191" s="8">
        <v>0.5</v>
      </c>
      <c r="E191" s="28" t="s">
        <v>14</v>
      </c>
      <c r="F191" s="7" t="s">
        <v>14</v>
      </c>
      <c r="G191" s="27" t="s">
        <v>14</v>
      </c>
      <c r="H191" s="27" t="s">
        <v>14</v>
      </c>
    </row>
    <row r="192" spans="2:8" x14ac:dyDescent="0.3">
      <c r="B192" s="11">
        <v>40457</v>
      </c>
      <c r="C192" s="29" t="str">
        <f t="shared" si="2"/>
        <v/>
      </c>
      <c r="D192" s="8">
        <v>0.5</v>
      </c>
      <c r="E192" s="28" t="s">
        <v>14</v>
      </c>
      <c r="F192" s="7" t="s">
        <v>14</v>
      </c>
      <c r="G192" s="27" t="s">
        <v>14</v>
      </c>
      <c r="H192" s="27" t="s">
        <v>14</v>
      </c>
    </row>
    <row r="193" spans="2:8" x14ac:dyDescent="0.3">
      <c r="B193" s="9">
        <v>40458</v>
      </c>
      <c r="C193" s="29" t="str">
        <f t="shared" si="2"/>
        <v/>
      </c>
      <c r="D193" s="8">
        <v>0.5</v>
      </c>
      <c r="E193" s="28" t="s">
        <v>14</v>
      </c>
      <c r="F193" s="7" t="s">
        <v>14</v>
      </c>
      <c r="G193" s="27" t="s">
        <v>14</v>
      </c>
      <c r="H193" s="27" t="s">
        <v>14</v>
      </c>
    </row>
    <row r="194" spans="2:8" x14ac:dyDescent="0.3">
      <c r="B194" s="11">
        <v>40459</v>
      </c>
      <c r="C194" s="29" t="str">
        <f t="shared" si="2"/>
        <v/>
      </c>
      <c r="D194" s="8">
        <v>0.5</v>
      </c>
      <c r="E194" s="28" t="s">
        <v>14</v>
      </c>
      <c r="F194" s="7" t="s">
        <v>14</v>
      </c>
      <c r="G194" s="27" t="s">
        <v>14</v>
      </c>
      <c r="H194" s="27" t="s">
        <v>14</v>
      </c>
    </row>
    <row r="195" spans="2:8" x14ac:dyDescent="0.3">
      <c r="B195" s="9">
        <v>40462</v>
      </c>
      <c r="C195" s="29" t="str">
        <f t="shared" ref="C195:C258" si="3">INDEX(D195:H195,MATCH($A$1,$D$1:$H$1,0))</f>
        <v/>
      </c>
      <c r="D195" s="8">
        <v>0.5</v>
      </c>
      <c r="E195" s="28" t="s">
        <v>14</v>
      </c>
      <c r="F195" s="7" t="s">
        <v>14</v>
      </c>
      <c r="G195" s="27" t="s">
        <v>14</v>
      </c>
      <c r="H195" s="27" t="s">
        <v>14</v>
      </c>
    </row>
    <row r="196" spans="2:8" x14ac:dyDescent="0.3">
      <c r="B196" s="11">
        <v>40464</v>
      </c>
      <c r="C196" s="29" t="str">
        <f t="shared" si="3"/>
        <v/>
      </c>
      <c r="D196" s="8">
        <v>0.5</v>
      </c>
      <c r="E196" s="28" t="s">
        <v>14</v>
      </c>
      <c r="F196" s="7" t="s">
        <v>14</v>
      </c>
      <c r="G196" s="27" t="s">
        <v>14</v>
      </c>
      <c r="H196" s="27" t="s">
        <v>14</v>
      </c>
    </row>
    <row r="197" spans="2:8" x14ac:dyDescent="0.3">
      <c r="B197" s="9">
        <v>40465</v>
      </c>
      <c r="C197" s="29" t="str">
        <f t="shared" si="3"/>
        <v/>
      </c>
      <c r="D197" s="8">
        <v>0.5</v>
      </c>
      <c r="E197" s="28" t="s">
        <v>14</v>
      </c>
      <c r="F197" s="7" t="s">
        <v>14</v>
      </c>
      <c r="G197" s="27" t="s">
        <v>14</v>
      </c>
      <c r="H197" s="27" t="s">
        <v>14</v>
      </c>
    </row>
    <row r="198" spans="2:8" x14ac:dyDescent="0.3">
      <c r="B198" s="11">
        <v>40466</v>
      </c>
      <c r="C198" s="29" t="str">
        <f t="shared" si="3"/>
        <v/>
      </c>
      <c r="D198" s="8">
        <v>0.5</v>
      </c>
      <c r="E198" s="28" t="s">
        <v>14</v>
      </c>
      <c r="F198" s="7" t="s">
        <v>14</v>
      </c>
      <c r="G198" s="27" t="s">
        <v>14</v>
      </c>
      <c r="H198" s="27" t="s">
        <v>14</v>
      </c>
    </row>
    <row r="199" spans="2:8" x14ac:dyDescent="0.3">
      <c r="B199" s="9">
        <v>40469</v>
      </c>
      <c r="C199" s="29" t="str">
        <f t="shared" si="3"/>
        <v/>
      </c>
      <c r="D199" s="8">
        <v>0.5</v>
      </c>
      <c r="E199" s="28" t="s">
        <v>14</v>
      </c>
      <c r="F199" s="7" t="s">
        <v>14</v>
      </c>
      <c r="G199" s="27" t="s">
        <v>14</v>
      </c>
      <c r="H199" s="27" t="s">
        <v>14</v>
      </c>
    </row>
    <row r="200" spans="2:8" x14ac:dyDescent="0.3">
      <c r="B200" s="11">
        <v>40470</v>
      </c>
      <c r="C200" s="29" t="str">
        <f t="shared" si="3"/>
        <v/>
      </c>
      <c r="D200" s="8">
        <v>0.5</v>
      </c>
      <c r="E200" s="28" t="s">
        <v>14</v>
      </c>
      <c r="F200" s="7" t="s">
        <v>14</v>
      </c>
      <c r="G200" s="27" t="s">
        <v>14</v>
      </c>
      <c r="H200" s="27" t="s">
        <v>14</v>
      </c>
    </row>
    <row r="201" spans="2:8" x14ac:dyDescent="0.3">
      <c r="B201" s="9">
        <v>40471</v>
      </c>
      <c r="C201" s="29" t="str">
        <f t="shared" si="3"/>
        <v/>
      </c>
      <c r="D201" s="8">
        <v>0.5</v>
      </c>
      <c r="E201" s="28" t="s">
        <v>14</v>
      </c>
      <c r="F201" s="7" t="s">
        <v>14</v>
      </c>
      <c r="G201" s="27" t="s">
        <v>14</v>
      </c>
      <c r="H201" s="27" t="s">
        <v>14</v>
      </c>
    </row>
    <row r="202" spans="2:8" x14ac:dyDescent="0.3">
      <c r="B202" s="11">
        <v>40472</v>
      </c>
      <c r="C202" s="29" t="str">
        <f t="shared" si="3"/>
        <v/>
      </c>
      <c r="D202" s="8">
        <v>0.5</v>
      </c>
      <c r="E202" s="28" t="s">
        <v>14</v>
      </c>
      <c r="F202" s="7" t="s">
        <v>14</v>
      </c>
      <c r="G202" s="27" t="s">
        <v>14</v>
      </c>
      <c r="H202" s="27" t="s">
        <v>14</v>
      </c>
    </row>
    <row r="203" spans="2:8" x14ac:dyDescent="0.3">
      <c r="B203" s="9">
        <v>40473</v>
      </c>
      <c r="C203" s="29" t="str">
        <f t="shared" si="3"/>
        <v/>
      </c>
      <c r="D203" s="8">
        <v>0.5</v>
      </c>
      <c r="E203" s="28" t="s">
        <v>14</v>
      </c>
      <c r="F203" s="7" t="s">
        <v>14</v>
      </c>
      <c r="G203" s="27" t="s">
        <v>14</v>
      </c>
      <c r="H203" s="27" t="s">
        <v>14</v>
      </c>
    </row>
    <row r="204" spans="2:8" x14ac:dyDescent="0.3">
      <c r="B204" s="11">
        <v>40476</v>
      </c>
      <c r="C204" s="29" t="str">
        <f t="shared" si="3"/>
        <v/>
      </c>
      <c r="D204" s="8">
        <v>0.5</v>
      </c>
      <c r="E204" s="28" t="s">
        <v>14</v>
      </c>
      <c r="F204" s="7" t="s">
        <v>14</v>
      </c>
      <c r="G204" s="27" t="s">
        <v>14</v>
      </c>
      <c r="H204" s="27" t="s">
        <v>14</v>
      </c>
    </row>
    <row r="205" spans="2:8" x14ac:dyDescent="0.3">
      <c r="B205" s="9">
        <v>40477</v>
      </c>
      <c r="C205" s="29" t="str">
        <f t="shared" si="3"/>
        <v/>
      </c>
      <c r="D205" s="8">
        <v>0.5</v>
      </c>
      <c r="E205" s="28" t="s">
        <v>14</v>
      </c>
      <c r="F205" s="7" t="s">
        <v>14</v>
      </c>
      <c r="G205" s="27" t="s">
        <v>14</v>
      </c>
      <c r="H205" s="27" t="s">
        <v>14</v>
      </c>
    </row>
    <row r="206" spans="2:8" x14ac:dyDescent="0.3">
      <c r="B206" s="11">
        <v>40478</v>
      </c>
      <c r="C206" s="29" t="str">
        <f t="shared" si="3"/>
        <v/>
      </c>
      <c r="D206" s="8">
        <v>0.5</v>
      </c>
      <c r="E206" s="28" t="s">
        <v>14</v>
      </c>
      <c r="F206" s="7" t="s">
        <v>14</v>
      </c>
      <c r="G206" s="27" t="s">
        <v>14</v>
      </c>
      <c r="H206" s="27" t="s">
        <v>14</v>
      </c>
    </row>
    <row r="207" spans="2:8" x14ac:dyDescent="0.3">
      <c r="B207" s="9">
        <v>40479</v>
      </c>
      <c r="C207" s="29" t="str">
        <f t="shared" si="3"/>
        <v/>
      </c>
      <c r="D207" s="8">
        <v>0.5</v>
      </c>
      <c r="E207" s="28" t="s">
        <v>14</v>
      </c>
      <c r="F207" s="7" t="s">
        <v>14</v>
      </c>
      <c r="G207" s="27" t="s">
        <v>14</v>
      </c>
      <c r="H207" s="27" t="s">
        <v>14</v>
      </c>
    </row>
    <row r="208" spans="2:8" x14ac:dyDescent="0.3">
      <c r="B208" s="11">
        <v>40480</v>
      </c>
      <c r="C208" s="29" t="str">
        <f t="shared" si="3"/>
        <v/>
      </c>
      <c r="D208" s="8">
        <v>0.5</v>
      </c>
      <c r="E208" s="28">
        <v>0.5</v>
      </c>
      <c r="F208" s="7" t="s">
        <v>14</v>
      </c>
      <c r="G208" s="27" t="s">
        <v>14</v>
      </c>
      <c r="H208" s="27" t="s">
        <v>14</v>
      </c>
    </row>
    <row r="209" spans="2:8" x14ac:dyDescent="0.3">
      <c r="B209" s="9">
        <v>40483</v>
      </c>
      <c r="C209" s="29" t="str">
        <f t="shared" si="3"/>
        <v/>
      </c>
      <c r="D209" s="8">
        <v>0.5</v>
      </c>
      <c r="E209" s="28" t="s">
        <v>14</v>
      </c>
      <c r="F209" s="7" t="s">
        <v>14</v>
      </c>
      <c r="G209" s="27" t="s">
        <v>14</v>
      </c>
      <c r="H209" s="27" t="s">
        <v>14</v>
      </c>
    </row>
    <row r="210" spans="2:8" x14ac:dyDescent="0.3">
      <c r="B210" s="11">
        <v>40485</v>
      </c>
      <c r="C210" s="29" t="str">
        <f t="shared" si="3"/>
        <v/>
      </c>
      <c r="D210" s="8">
        <v>0.5</v>
      </c>
      <c r="E210" s="28" t="s">
        <v>14</v>
      </c>
      <c r="F210" s="7" t="s">
        <v>14</v>
      </c>
      <c r="G210" s="27" t="s">
        <v>14</v>
      </c>
      <c r="H210" s="27" t="s">
        <v>14</v>
      </c>
    </row>
    <row r="211" spans="2:8" x14ac:dyDescent="0.3">
      <c r="B211" s="9">
        <v>40486</v>
      </c>
      <c r="C211" s="29" t="str">
        <f t="shared" si="3"/>
        <v/>
      </c>
      <c r="D211" s="8">
        <v>0.5</v>
      </c>
      <c r="E211" s="28" t="s">
        <v>14</v>
      </c>
      <c r="F211" s="7" t="s">
        <v>14</v>
      </c>
      <c r="G211" s="27" t="s">
        <v>14</v>
      </c>
      <c r="H211" s="27" t="s">
        <v>14</v>
      </c>
    </row>
    <row r="212" spans="2:8" x14ac:dyDescent="0.3">
      <c r="B212" s="11">
        <v>40487</v>
      </c>
      <c r="C212" s="29" t="str">
        <f t="shared" si="3"/>
        <v/>
      </c>
      <c r="D212" s="8">
        <v>0.5</v>
      </c>
      <c r="E212" s="28" t="s">
        <v>14</v>
      </c>
      <c r="F212" s="7" t="s">
        <v>14</v>
      </c>
      <c r="G212" s="27" t="s">
        <v>14</v>
      </c>
      <c r="H212" s="27" t="s">
        <v>14</v>
      </c>
    </row>
    <row r="213" spans="2:8" x14ac:dyDescent="0.3">
      <c r="B213" s="9">
        <v>40490</v>
      </c>
      <c r="C213" s="29" t="str">
        <f t="shared" si="3"/>
        <v/>
      </c>
      <c r="D213" s="8">
        <v>0.5</v>
      </c>
      <c r="E213" s="28" t="s">
        <v>14</v>
      </c>
      <c r="F213" s="7" t="s">
        <v>14</v>
      </c>
      <c r="G213" s="27" t="s">
        <v>14</v>
      </c>
      <c r="H213" s="27" t="s">
        <v>14</v>
      </c>
    </row>
    <row r="214" spans="2:8" x14ac:dyDescent="0.3">
      <c r="B214" s="11">
        <v>40491</v>
      </c>
      <c r="C214" s="29" t="str">
        <f t="shared" si="3"/>
        <v/>
      </c>
      <c r="D214" s="8">
        <v>0.5</v>
      </c>
      <c r="E214" s="28" t="s">
        <v>14</v>
      </c>
      <c r="F214" s="7" t="s">
        <v>14</v>
      </c>
      <c r="G214" s="27" t="s">
        <v>14</v>
      </c>
      <c r="H214" s="27" t="s">
        <v>14</v>
      </c>
    </row>
    <row r="215" spans="2:8" x14ac:dyDescent="0.3">
      <c r="B215" s="9">
        <v>40492</v>
      </c>
      <c r="C215" s="29" t="str">
        <f t="shared" si="3"/>
        <v/>
      </c>
      <c r="D215" s="8">
        <v>0.5</v>
      </c>
      <c r="E215" s="28" t="s">
        <v>14</v>
      </c>
      <c r="F215" s="7" t="s">
        <v>14</v>
      </c>
      <c r="G215" s="27" t="s">
        <v>14</v>
      </c>
      <c r="H215" s="27" t="s">
        <v>14</v>
      </c>
    </row>
    <row r="216" spans="2:8" x14ac:dyDescent="0.3">
      <c r="B216" s="11">
        <v>40493</v>
      </c>
      <c r="C216" s="29" t="str">
        <f t="shared" si="3"/>
        <v/>
      </c>
      <c r="D216" s="8">
        <v>0.5</v>
      </c>
      <c r="E216" s="28" t="s">
        <v>14</v>
      </c>
      <c r="F216" s="7" t="s">
        <v>14</v>
      </c>
      <c r="G216" s="27" t="s">
        <v>14</v>
      </c>
      <c r="H216" s="27" t="s">
        <v>14</v>
      </c>
    </row>
    <row r="217" spans="2:8" x14ac:dyDescent="0.3">
      <c r="B217" s="9">
        <v>40494</v>
      </c>
      <c r="C217" s="29" t="str">
        <f t="shared" si="3"/>
        <v/>
      </c>
      <c r="D217" s="8">
        <v>0.5</v>
      </c>
      <c r="E217" s="28" t="s">
        <v>14</v>
      </c>
      <c r="F217" s="7" t="s">
        <v>14</v>
      </c>
      <c r="G217" s="27" t="s">
        <v>14</v>
      </c>
      <c r="H217" s="27" t="s">
        <v>14</v>
      </c>
    </row>
    <row r="218" spans="2:8" x14ac:dyDescent="0.3">
      <c r="B218" s="11">
        <v>40498</v>
      </c>
      <c r="C218" s="29" t="str">
        <f t="shared" si="3"/>
        <v/>
      </c>
      <c r="D218" s="8">
        <v>0.5</v>
      </c>
      <c r="E218" s="28" t="s">
        <v>14</v>
      </c>
      <c r="F218" s="7" t="s">
        <v>14</v>
      </c>
      <c r="G218" s="27" t="s">
        <v>14</v>
      </c>
      <c r="H218" s="27" t="s">
        <v>14</v>
      </c>
    </row>
    <row r="219" spans="2:8" x14ac:dyDescent="0.3">
      <c r="B219" s="9">
        <v>40499</v>
      </c>
      <c r="C219" s="29" t="str">
        <f t="shared" si="3"/>
        <v/>
      </c>
      <c r="D219" s="8">
        <v>0.5</v>
      </c>
      <c r="E219" s="28" t="s">
        <v>14</v>
      </c>
      <c r="F219" s="7" t="s">
        <v>14</v>
      </c>
      <c r="G219" s="27" t="s">
        <v>14</v>
      </c>
      <c r="H219" s="27" t="s">
        <v>14</v>
      </c>
    </row>
    <row r="220" spans="2:8" x14ac:dyDescent="0.3">
      <c r="B220" s="11">
        <v>40500</v>
      </c>
      <c r="C220" s="29" t="str">
        <f t="shared" si="3"/>
        <v/>
      </c>
      <c r="D220" s="8">
        <v>0.5</v>
      </c>
      <c r="E220" s="28" t="s">
        <v>14</v>
      </c>
      <c r="F220" s="7" t="s">
        <v>14</v>
      </c>
      <c r="G220" s="27" t="s">
        <v>14</v>
      </c>
      <c r="H220" s="27" t="s">
        <v>14</v>
      </c>
    </row>
    <row r="221" spans="2:8" x14ac:dyDescent="0.3">
      <c r="B221" s="9">
        <v>40501</v>
      </c>
      <c r="C221" s="29" t="str">
        <f t="shared" si="3"/>
        <v/>
      </c>
      <c r="D221" s="8">
        <v>0.5</v>
      </c>
      <c r="E221" s="28" t="s">
        <v>14</v>
      </c>
      <c r="F221" s="7" t="s">
        <v>14</v>
      </c>
      <c r="G221" s="27" t="s">
        <v>14</v>
      </c>
      <c r="H221" s="27" t="s">
        <v>14</v>
      </c>
    </row>
    <row r="222" spans="2:8" x14ac:dyDescent="0.3">
      <c r="B222" s="11">
        <v>40504</v>
      </c>
      <c r="C222" s="29" t="str">
        <f t="shared" si="3"/>
        <v/>
      </c>
      <c r="D222" s="8">
        <v>0.5</v>
      </c>
      <c r="E222" s="28" t="s">
        <v>14</v>
      </c>
      <c r="F222" s="7" t="s">
        <v>14</v>
      </c>
      <c r="G222" s="27" t="s">
        <v>14</v>
      </c>
      <c r="H222" s="27" t="s">
        <v>14</v>
      </c>
    </row>
    <row r="223" spans="2:8" x14ac:dyDescent="0.3">
      <c r="B223" s="9">
        <v>40505</v>
      </c>
      <c r="C223" s="29" t="str">
        <f t="shared" si="3"/>
        <v/>
      </c>
      <c r="D223" s="8">
        <v>0.5</v>
      </c>
      <c r="E223" s="28" t="s">
        <v>14</v>
      </c>
      <c r="F223" s="7" t="s">
        <v>14</v>
      </c>
      <c r="G223" s="27" t="s">
        <v>14</v>
      </c>
      <c r="H223" s="27" t="s">
        <v>14</v>
      </c>
    </row>
    <row r="224" spans="2:8" x14ac:dyDescent="0.3">
      <c r="B224" s="11">
        <v>40506</v>
      </c>
      <c r="C224" s="29" t="str">
        <f t="shared" si="3"/>
        <v/>
      </c>
      <c r="D224" s="8">
        <v>0.5</v>
      </c>
      <c r="E224" s="28" t="s">
        <v>14</v>
      </c>
      <c r="F224" s="7" t="s">
        <v>14</v>
      </c>
      <c r="G224" s="27" t="s">
        <v>14</v>
      </c>
      <c r="H224" s="27" t="s">
        <v>14</v>
      </c>
    </row>
    <row r="225" spans="2:8" x14ac:dyDescent="0.3">
      <c r="B225" s="9">
        <v>40507</v>
      </c>
      <c r="C225" s="29" t="str">
        <f t="shared" si="3"/>
        <v/>
      </c>
      <c r="D225" s="8">
        <v>0.5</v>
      </c>
      <c r="E225" s="28" t="s">
        <v>14</v>
      </c>
      <c r="F225" s="7" t="s">
        <v>14</v>
      </c>
      <c r="G225" s="27" t="s">
        <v>14</v>
      </c>
      <c r="H225" s="27" t="s">
        <v>14</v>
      </c>
    </row>
    <row r="226" spans="2:8" x14ac:dyDescent="0.3">
      <c r="B226" s="11">
        <v>40508</v>
      </c>
      <c r="C226" s="29" t="str">
        <f t="shared" si="3"/>
        <v/>
      </c>
      <c r="D226" s="8">
        <v>0.5</v>
      </c>
      <c r="E226" s="28" t="s">
        <v>14</v>
      </c>
      <c r="F226" s="7" t="s">
        <v>14</v>
      </c>
      <c r="G226" s="27" t="s">
        <v>14</v>
      </c>
      <c r="H226" s="27" t="s">
        <v>14</v>
      </c>
    </row>
    <row r="227" spans="2:8" x14ac:dyDescent="0.3">
      <c r="B227" s="9">
        <v>40511</v>
      </c>
      <c r="C227" s="29" t="str">
        <f t="shared" si="3"/>
        <v/>
      </c>
      <c r="D227" s="8">
        <v>0.5</v>
      </c>
      <c r="E227" s="28" t="s">
        <v>14</v>
      </c>
      <c r="F227" s="7" t="s">
        <v>14</v>
      </c>
      <c r="G227" s="27" t="s">
        <v>14</v>
      </c>
      <c r="H227" s="27" t="s">
        <v>14</v>
      </c>
    </row>
    <row r="228" spans="2:8" x14ac:dyDescent="0.3">
      <c r="B228" s="11">
        <v>40512</v>
      </c>
      <c r="C228" s="29" t="str">
        <f t="shared" si="3"/>
        <v/>
      </c>
      <c r="D228" s="8">
        <v>0.5</v>
      </c>
      <c r="E228" s="28">
        <v>0.5</v>
      </c>
      <c r="F228" s="7" t="s">
        <v>14</v>
      </c>
      <c r="G228" s="27" t="s">
        <v>14</v>
      </c>
      <c r="H228" s="27" t="s">
        <v>14</v>
      </c>
    </row>
    <row r="229" spans="2:8" x14ac:dyDescent="0.3">
      <c r="B229" s="9">
        <v>40513</v>
      </c>
      <c r="C229" s="29" t="str">
        <f t="shared" si="3"/>
        <v/>
      </c>
      <c r="D229" s="8">
        <v>0.5</v>
      </c>
      <c r="E229" s="28" t="s">
        <v>14</v>
      </c>
      <c r="F229" s="7" t="s">
        <v>14</v>
      </c>
      <c r="G229" s="27" t="s">
        <v>14</v>
      </c>
      <c r="H229" s="27" t="s">
        <v>14</v>
      </c>
    </row>
    <row r="230" spans="2:8" x14ac:dyDescent="0.3">
      <c r="B230" s="11">
        <v>40514</v>
      </c>
      <c r="C230" s="29" t="str">
        <f t="shared" si="3"/>
        <v/>
      </c>
      <c r="D230" s="8">
        <v>0.5</v>
      </c>
      <c r="E230" s="28" t="s">
        <v>14</v>
      </c>
      <c r="F230" s="7" t="s">
        <v>14</v>
      </c>
      <c r="G230" s="27" t="s">
        <v>14</v>
      </c>
      <c r="H230" s="27" t="s">
        <v>14</v>
      </c>
    </row>
    <row r="231" spans="2:8" x14ac:dyDescent="0.3">
      <c r="B231" s="9">
        <v>40515</v>
      </c>
      <c r="C231" s="29" t="str">
        <f t="shared" si="3"/>
        <v/>
      </c>
      <c r="D231" s="8">
        <v>0.5</v>
      </c>
      <c r="E231" s="28" t="s">
        <v>14</v>
      </c>
      <c r="F231" s="7" t="s">
        <v>14</v>
      </c>
      <c r="G231" s="27" t="s">
        <v>14</v>
      </c>
      <c r="H231" s="27" t="s">
        <v>14</v>
      </c>
    </row>
    <row r="232" spans="2:8" x14ac:dyDescent="0.3">
      <c r="B232" s="11">
        <v>40518</v>
      </c>
      <c r="C232" s="29" t="str">
        <f t="shared" si="3"/>
        <v/>
      </c>
      <c r="D232" s="8">
        <v>0.5</v>
      </c>
      <c r="E232" s="28" t="s">
        <v>14</v>
      </c>
      <c r="F232" s="7" t="s">
        <v>14</v>
      </c>
      <c r="G232" s="27" t="s">
        <v>14</v>
      </c>
      <c r="H232" s="27" t="s">
        <v>14</v>
      </c>
    </row>
    <row r="233" spans="2:8" x14ac:dyDescent="0.3">
      <c r="B233" s="9">
        <v>40519</v>
      </c>
      <c r="C233" s="29" t="str">
        <f t="shared" si="3"/>
        <v/>
      </c>
      <c r="D233" s="8">
        <v>0.5</v>
      </c>
      <c r="E233" s="28" t="s">
        <v>14</v>
      </c>
      <c r="F233" s="7" t="s">
        <v>14</v>
      </c>
      <c r="G233" s="27" t="s">
        <v>14</v>
      </c>
      <c r="H233" s="27" t="s">
        <v>14</v>
      </c>
    </row>
    <row r="234" spans="2:8" x14ac:dyDescent="0.3">
      <c r="B234" s="11">
        <v>40520</v>
      </c>
      <c r="C234" s="29" t="str">
        <f t="shared" si="3"/>
        <v/>
      </c>
      <c r="D234" s="8">
        <v>0.5</v>
      </c>
      <c r="E234" s="28" t="s">
        <v>14</v>
      </c>
      <c r="F234" s="7" t="s">
        <v>14</v>
      </c>
      <c r="G234" s="27" t="s">
        <v>14</v>
      </c>
      <c r="H234" s="27" t="s">
        <v>14</v>
      </c>
    </row>
    <row r="235" spans="2:8" x14ac:dyDescent="0.3">
      <c r="B235" s="9">
        <v>40521</v>
      </c>
      <c r="C235" s="29" t="str">
        <f t="shared" si="3"/>
        <v/>
      </c>
      <c r="D235" s="8">
        <v>0.5</v>
      </c>
      <c r="E235" s="28" t="s">
        <v>14</v>
      </c>
      <c r="F235" s="7" t="s">
        <v>14</v>
      </c>
      <c r="G235" s="27" t="s">
        <v>14</v>
      </c>
      <c r="H235" s="27" t="s">
        <v>14</v>
      </c>
    </row>
    <row r="236" spans="2:8" x14ac:dyDescent="0.3">
      <c r="B236" s="11">
        <v>40522</v>
      </c>
      <c r="C236" s="29" t="str">
        <f t="shared" si="3"/>
        <v/>
      </c>
      <c r="D236" s="8">
        <v>0.5</v>
      </c>
      <c r="E236" s="28" t="s">
        <v>14</v>
      </c>
      <c r="F236" s="7" t="s">
        <v>14</v>
      </c>
      <c r="G236" s="27" t="s">
        <v>14</v>
      </c>
      <c r="H236" s="27" t="s">
        <v>14</v>
      </c>
    </row>
    <row r="237" spans="2:8" x14ac:dyDescent="0.3">
      <c r="B237" s="9">
        <v>40525</v>
      </c>
      <c r="C237" s="29" t="str">
        <f t="shared" si="3"/>
        <v/>
      </c>
      <c r="D237" s="8">
        <v>0.5</v>
      </c>
      <c r="E237" s="28" t="s">
        <v>14</v>
      </c>
      <c r="F237" s="7" t="s">
        <v>14</v>
      </c>
      <c r="G237" s="27" t="s">
        <v>14</v>
      </c>
      <c r="H237" s="27" t="s">
        <v>14</v>
      </c>
    </row>
    <row r="238" spans="2:8" x14ac:dyDescent="0.3">
      <c r="B238" s="11">
        <v>40526</v>
      </c>
      <c r="C238" s="29" t="str">
        <f t="shared" si="3"/>
        <v/>
      </c>
      <c r="D238" s="8">
        <v>0.5</v>
      </c>
      <c r="E238" s="28" t="s">
        <v>14</v>
      </c>
      <c r="F238" s="7" t="s">
        <v>14</v>
      </c>
      <c r="G238" s="27" t="s">
        <v>14</v>
      </c>
      <c r="H238" s="27" t="s">
        <v>14</v>
      </c>
    </row>
    <row r="239" spans="2:8" x14ac:dyDescent="0.3">
      <c r="B239" s="9">
        <v>40527</v>
      </c>
      <c r="C239" s="29" t="str">
        <f t="shared" si="3"/>
        <v/>
      </c>
      <c r="D239" s="8">
        <v>0.5</v>
      </c>
      <c r="E239" s="28" t="s">
        <v>14</v>
      </c>
      <c r="F239" s="7" t="s">
        <v>14</v>
      </c>
      <c r="G239" s="27" t="s">
        <v>14</v>
      </c>
      <c r="H239" s="27" t="s">
        <v>14</v>
      </c>
    </row>
    <row r="240" spans="2:8" x14ac:dyDescent="0.3">
      <c r="B240" s="11">
        <v>40528</v>
      </c>
      <c r="C240" s="29" t="str">
        <f t="shared" si="3"/>
        <v/>
      </c>
      <c r="D240" s="8">
        <v>0.5</v>
      </c>
      <c r="E240" s="28" t="s">
        <v>14</v>
      </c>
      <c r="F240" s="7" t="s">
        <v>14</v>
      </c>
      <c r="G240" s="27" t="s">
        <v>14</v>
      </c>
      <c r="H240" s="27" t="s">
        <v>14</v>
      </c>
    </row>
    <row r="241" spans="2:8" x14ac:dyDescent="0.3">
      <c r="B241" s="9">
        <v>40529</v>
      </c>
      <c r="C241" s="29" t="str">
        <f t="shared" si="3"/>
        <v/>
      </c>
      <c r="D241" s="8">
        <v>0.5</v>
      </c>
      <c r="E241" s="28" t="s">
        <v>14</v>
      </c>
      <c r="F241" s="7" t="s">
        <v>14</v>
      </c>
      <c r="G241" s="27" t="s">
        <v>14</v>
      </c>
      <c r="H241" s="27" t="s">
        <v>14</v>
      </c>
    </row>
    <row r="242" spans="2:8" x14ac:dyDescent="0.3">
      <c r="B242" s="11">
        <v>40532</v>
      </c>
      <c r="C242" s="29" t="str">
        <f t="shared" si="3"/>
        <v/>
      </c>
      <c r="D242" s="8">
        <v>0.5</v>
      </c>
      <c r="E242" s="28" t="s">
        <v>14</v>
      </c>
      <c r="F242" s="7" t="s">
        <v>14</v>
      </c>
      <c r="G242" s="27" t="s">
        <v>14</v>
      </c>
      <c r="H242" s="27" t="s">
        <v>14</v>
      </c>
    </row>
    <row r="243" spans="2:8" x14ac:dyDescent="0.3">
      <c r="B243" s="9">
        <v>40533</v>
      </c>
      <c r="C243" s="29" t="str">
        <f t="shared" si="3"/>
        <v/>
      </c>
      <c r="D243" s="8">
        <v>0.5</v>
      </c>
      <c r="E243" s="28" t="s">
        <v>14</v>
      </c>
      <c r="F243" s="7" t="s">
        <v>14</v>
      </c>
      <c r="G243" s="27" t="s">
        <v>14</v>
      </c>
      <c r="H243" s="27" t="s">
        <v>14</v>
      </c>
    </row>
    <row r="244" spans="2:8" x14ac:dyDescent="0.3">
      <c r="B244" s="11">
        <v>40534</v>
      </c>
      <c r="C244" s="29" t="str">
        <f t="shared" si="3"/>
        <v/>
      </c>
      <c r="D244" s="8">
        <v>0.5</v>
      </c>
      <c r="E244" s="28" t="s">
        <v>14</v>
      </c>
      <c r="F244" s="7" t="s">
        <v>14</v>
      </c>
      <c r="G244" s="27" t="s">
        <v>14</v>
      </c>
      <c r="H244" s="27" t="s">
        <v>14</v>
      </c>
    </row>
    <row r="245" spans="2:8" x14ac:dyDescent="0.3">
      <c r="B245" s="9">
        <v>40535</v>
      </c>
      <c r="C245" s="29" t="str">
        <f t="shared" si="3"/>
        <v/>
      </c>
      <c r="D245" s="8">
        <v>0.5</v>
      </c>
      <c r="E245" s="28" t="s">
        <v>14</v>
      </c>
      <c r="F245" s="7" t="s">
        <v>14</v>
      </c>
      <c r="G245" s="27" t="s">
        <v>14</v>
      </c>
      <c r="H245" s="27" t="s">
        <v>14</v>
      </c>
    </row>
    <row r="246" spans="2:8" x14ac:dyDescent="0.3">
      <c r="B246" s="11">
        <v>40539</v>
      </c>
      <c r="C246" s="29" t="str">
        <f t="shared" si="3"/>
        <v/>
      </c>
      <c r="D246" s="8">
        <v>0.5</v>
      </c>
      <c r="E246" s="28" t="s">
        <v>14</v>
      </c>
      <c r="F246" s="7" t="s">
        <v>14</v>
      </c>
      <c r="G246" s="27" t="s">
        <v>14</v>
      </c>
      <c r="H246" s="27" t="s">
        <v>14</v>
      </c>
    </row>
    <row r="247" spans="2:8" x14ac:dyDescent="0.3">
      <c r="B247" s="9">
        <v>40540</v>
      </c>
      <c r="C247" s="29" t="str">
        <f t="shared" si="3"/>
        <v/>
      </c>
      <c r="D247" s="8">
        <v>0.5</v>
      </c>
      <c r="E247" s="28" t="s">
        <v>14</v>
      </c>
      <c r="F247" s="7" t="s">
        <v>14</v>
      </c>
      <c r="G247" s="27" t="s">
        <v>14</v>
      </c>
      <c r="H247" s="27" t="s">
        <v>14</v>
      </c>
    </row>
    <row r="248" spans="2:8" x14ac:dyDescent="0.3">
      <c r="B248" s="11">
        <v>40541</v>
      </c>
      <c r="C248" s="29" t="str">
        <f t="shared" si="3"/>
        <v/>
      </c>
      <c r="D248" s="8">
        <v>0.5</v>
      </c>
      <c r="E248" s="28" t="s">
        <v>14</v>
      </c>
      <c r="F248" s="7" t="s">
        <v>14</v>
      </c>
      <c r="G248" s="27" t="s">
        <v>14</v>
      </c>
      <c r="H248" s="27" t="s">
        <v>14</v>
      </c>
    </row>
    <row r="249" spans="2:8" x14ac:dyDescent="0.3">
      <c r="B249" s="9">
        <v>40542</v>
      </c>
      <c r="C249" s="29">
        <f t="shared" si="3"/>
        <v>0.5</v>
      </c>
      <c r="D249" s="8">
        <v>0.5</v>
      </c>
      <c r="E249" s="28">
        <v>0.5</v>
      </c>
      <c r="F249" s="7">
        <v>0.5</v>
      </c>
      <c r="G249" s="27">
        <v>0.5</v>
      </c>
      <c r="H249" s="27">
        <v>0.5</v>
      </c>
    </row>
    <row r="250" spans="2:8" x14ac:dyDescent="0.3">
      <c r="B250" s="11">
        <v>40546</v>
      </c>
      <c r="C250" s="29" t="str">
        <f t="shared" si="3"/>
        <v/>
      </c>
      <c r="D250" s="8">
        <v>0.5</v>
      </c>
      <c r="E250" s="28" t="s">
        <v>14</v>
      </c>
      <c r="F250" s="7" t="s">
        <v>14</v>
      </c>
      <c r="G250" s="27" t="s">
        <v>14</v>
      </c>
      <c r="H250" s="27" t="s">
        <v>14</v>
      </c>
    </row>
    <row r="251" spans="2:8" x14ac:dyDescent="0.3">
      <c r="B251" s="9">
        <v>40547</v>
      </c>
      <c r="C251" s="29" t="str">
        <f t="shared" si="3"/>
        <v/>
      </c>
      <c r="D251" s="8">
        <v>0.5</v>
      </c>
      <c r="E251" s="28" t="s">
        <v>14</v>
      </c>
      <c r="F251" s="7" t="s">
        <v>14</v>
      </c>
      <c r="G251" s="27" t="s">
        <v>14</v>
      </c>
      <c r="H251" s="27" t="s">
        <v>14</v>
      </c>
    </row>
    <row r="252" spans="2:8" x14ac:dyDescent="0.3">
      <c r="B252" s="11">
        <v>40548</v>
      </c>
      <c r="C252" s="29" t="str">
        <f t="shared" si="3"/>
        <v/>
      </c>
      <c r="D252" s="8">
        <v>0.5</v>
      </c>
      <c r="E252" s="28" t="s">
        <v>14</v>
      </c>
      <c r="F252" s="7" t="s">
        <v>14</v>
      </c>
      <c r="G252" s="27" t="s">
        <v>14</v>
      </c>
      <c r="H252" s="27" t="s">
        <v>14</v>
      </c>
    </row>
    <row r="253" spans="2:8" x14ac:dyDescent="0.3">
      <c r="B253" s="9">
        <v>40549</v>
      </c>
      <c r="C253" s="29" t="str">
        <f t="shared" si="3"/>
        <v/>
      </c>
      <c r="D253" s="8">
        <v>0.5</v>
      </c>
      <c r="E253" s="28" t="s">
        <v>14</v>
      </c>
      <c r="F253" s="7" t="s">
        <v>14</v>
      </c>
      <c r="G253" s="27" t="s">
        <v>14</v>
      </c>
      <c r="H253" s="27" t="s">
        <v>14</v>
      </c>
    </row>
    <row r="254" spans="2:8" x14ac:dyDescent="0.3">
      <c r="B254" s="11">
        <v>40550</v>
      </c>
      <c r="C254" s="29" t="str">
        <f t="shared" si="3"/>
        <v/>
      </c>
      <c r="D254" s="8">
        <v>0.5</v>
      </c>
      <c r="E254" s="28" t="s">
        <v>14</v>
      </c>
      <c r="F254" s="7" t="s">
        <v>14</v>
      </c>
      <c r="G254" s="27" t="s">
        <v>14</v>
      </c>
      <c r="H254" s="27" t="s">
        <v>14</v>
      </c>
    </row>
    <row r="255" spans="2:8" x14ac:dyDescent="0.3">
      <c r="B255" s="9">
        <v>40553</v>
      </c>
      <c r="C255" s="29" t="str">
        <f t="shared" si="3"/>
        <v/>
      </c>
      <c r="D255" s="8">
        <v>0.5</v>
      </c>
      <c r="E255" s="28" t="s">
        <v>14</v>
      </c>
      <c r="F255" s="7" t="s">
        <v>14</v>
      </c>
      <c r="G255" s="27" t="s">
        <v>14</v>
      </c>
      <c r="H255" s="27" t="s">
        <v>14</v>
      </c>
    </row>
    <row r="256" spans="2:8" x14ac:dyDescent="0.3">
      <c r="B256" s="11">
        <v>40554</v>
      </c>
      <c r="C256" s="29" t="str">
        <f t="shared" si="3"/>
        <v/>
      </c>
      <c r="D256" s="8">
        <v>0.5</v>
      </c>
      <c r="E256" s="28" t="s">
        <v>14</v>
      </c>
      <c r="F256" s="7" t="s">
        <v>14</v>
      </c>
      <c r="G256" s="27" t="s">
        <v>14</v>
      </c>
      <c r="H256" s="27" t="s">
        <v>14</v>
      </c>
    </row>
    <row r="257" spans="2:8" x14ac:dyDescent="0.3">
      <c r="B257" s="9">
        <v>40555</v>
      </c>
      <c r="C257" s="29" t="str">
        <f t="shared" si="3"/>
        <v/>
      </c>
      <c r="D257" s="8">
        <v>0.5</v>
      </c>
      <c r="E257" s="28" t="s">
        <v>14</v>
      </c>
      <c r="F257" s="7" t="s">
        <v>14</v>
      </c>
      <c r="G257" s="27" t="s">
        <v>14</v>
      </c>
      <c r="H257" s="27" t="s">
        <v>14</v>
      </c>
    </row>
    <row r="258" spans="2:8" x14ac:dyDescent="0.3">
      <c r="B258" s="11">
        <v>40556</v>
      </c>
      <c r="C258" s="29" t="str">
        <f t="shared" si="3"/>
        <v/>
      </c>
      <c r="D258" s="8">
        <v>0.5</v>
      </c>
      <c r="E258" s="28" t="s">
        <v>14</v>
      </c>
      <c r="F258" s="7" t="s">
        <v>14</v>
      </c>
      <c r="G258" s="27" t="s">
        <v>14</v>
      </c>
      <c r="H258" s="27" t="s">
        <v>14</v>
      </c>
    </row>
    <row r="259" spans="2:8" x14ac:dyDescent="0.3">
      <c r="B259" s="9">
        <v>40557</v>
      </c>
      <c r="C259" s="29" t="str">
        <f t="shared" ref="C259:C322" si="4">INDEX(D259:H259,MATCH($A$1,$D$1:$H$1,0))</f>
        <v/>
      </c>
      <c r="D259" s="8">
        <v>0.5</v>
      </c>
      <c r="E259" s="28" t="s">
        <v>14</v>
      </c>
      <c r="F259" s="7" t="s">
        <v>14</v>
      </c>
      <c r="G259" s="27" t="s">
        <v>14</v>
      </c>
      <c r="H259" s="27" t="s">
        <v>14</v>
      </c>
    </row>
    <row r="260" spans="2:8" x14ac:dyDescent="0.3">
      <c r="B260" s="11">
        <v>40560</v>
      </c>
      <c r="C260" s="29" t="str">
        <f t="shared" si="4"/>
        <v/>
      </c>
      <c r="D260" s="8">
        <v>0.5</v>
      </c>
      <c r="E260" s="28" t="s">
        <v>14</v>
      </c>
      <c r="F260" s="7" t="s">
        <v>14</v>
      </c>
      <c r="G260" s="27" t="s">
        <v>14</v>
      </c>
      <c r="H260" s="27" t="s">
        <v>14</v>
      </c>
    </row>
    <row r="261" spans="2:8" x14ac:dyDescent="0.3">
      <c r="B261" s="9">
        <v>40561</v>
      </c>
      <c r="C261" s="29" t="str">
        <f t="shared" si="4"/>
        <v/>
      </c>
      <c r="D261" s="8">
        <v>0.5</v>
      </c>
      <c r="E261" s="28" t="s">
        <v>14</v>
      </c>
      <c r="F261" s="7" t="s">
        <v>14</v>
      </c>
      <c r="G261" s="27" t="s">
        <v>14</v>
      </c>
      <c r="H261" s="27" t="s">
        <v>14</v>
      </c>
    </row>
    <row r="262" spans="2:8" x14ac:dyDescent="0.3">
      <c r="B262" s="11">
        <v>40562</v>
      </c>
      <c r="C262" s="29" t="str">
        <f t="shared" si="4"/>
        <v/>
      </c>
      <c r="D262" s="8">
        <v>0.5</v>
      </c>
      <c r="E262" s="28" t="s">
        <v>14</v>
      </c>
      <c r="F262" s="7" t="s">
        <v>14</v>
      </c>
      <c r="G262" s="27" t="s">
        <v>14</v>
      </c>
      <c r="H262" s="27" t="s">
        <v>14</v>
      </c>
    </row>
    <row r="263" spans="2:8" x14ac:dyDescent="0.3">
      <c r="B263" s="9">
        <v>40563</v>
      </c>
      <c r="C263" s="29" t="str">
        <f t="shared" si="4"/>
        <v/>
      </c>
      <c r="D263" s="8">
        <v>0.5</v>
      </c>
      <c r="E263" s="28" t="s">
        <v>14</v>
      </c>
      <c r="F263" s="7" t="s">
        <v>14</v>
      </c>
      <c r="G263" s="27" t="s">
        <v>14</v>
      </c>
      <c r="H263" s="27" t="s">
        <v>14</v>
      </c>
    </row>
    <row r="264" spans="2:8" x14ac:dyDescent="0.3">
      <c r="B264" s="11">
        <v>40564</v>
      </c>
      <c r="C264" s="29" t="str">
        <f t="shared" si="4"/>
        <v/>
      </c>
      <c r="D264" s="8">
        <v>0.5</v>
      </c>
      <c r="E264" s="28" t="s">
        <v>14</v>
      </c>
      <c r="F264" s="7" t="s">
        <v>14</v>
      </c>
      <c r="G264" s="27" t="s">
        <v>14</v>
      </c>
      <c r="H264" s="27" t="s">
        <v>14</v>
      </c>
    </row>
    <row r="265" spans="2:8" x14ac:dyDescent="0.3">
      <c r="B265" s="9">
        <v>40567</v>
      </c>
      <c r="C265" s="29" t="str">
        <f t="shared" si="4"/>
        <v/>
      </c>
      <c r="D265" s="8">
        <v>0.5</v>
      </c>
      <c r="E265" s="28" t="s">
        <v>14</v>
      </c>
      <c r="F265" s="7" t="s">
        <v>14</v>
      </c>
      <c r="G265" s="27" t="s">
        <v>14</v>
      </c>
      <c r="H265" s="27" t="s">
        <v>14</v>
      </c>
    </row>
    <row r="266" spans="2:8" x14ac:dyDescent="0.3">
      <c r="B266" s="11">
        <v>40569</v>
      </c>
      <c r="C266" s="29" t="str">
        <f t="shared" si="4"/>
        <v/>
      </c>
      <c r="D266" s="8">
        <v>0.5</v>
      </c>
      <c r="E266" s="28" t="s">
        <v>14</v>
      </c>
      <c r="F266" s="7" t="s">
        <v>14</v>
      </c>
      <c r="G266" s="27" t="s">
        <v>14</v>
      </c>
      <c r="H266" s="27" t="s">
        <v>14</v>
      </c>
    </row>
    <row r="267" spans="2:8" x14ac:dyDescent="0.3">
      <c r="B267" s="9">
        <v>40570</v>
      </c>
      <c r="C267" s="29" t="str">
        <f t="shared" si="4"/>
        <v/>
      </c>
      <c r="D267" s="8">
        <v>0.5</v>
      </c>
      <c r="E267" s="28" t="s">
        <v>14</v>
      </c>
      <c r="F267" s="7" t="s">
        <v>14</v>
      </c>
      <c r="G267" s="27" t="s">
        <v>14</v>
      </c>
      <c r="H267" s="27" t="s">
        <v>14</v>
      </c>
    </row>
    <row r="268" spans="2:8" x14ac:dyDescent="0.3">
      <c r="B268" s="11">
        <v>40571</v>
      </c>
      <c r="C268" s="29" t="str">
        <f t="shared" si="4"/>
        <v/>
      </c>
      <c r="D268" s="8">
        <v>0.5</v>
      </c>
      <c r="E268" s="28" t="s">
        <v>14</v>
      </c>
      <c r="F268" s="7" t="s">
        <v>14</v>
      </c>
      <c r="G268" s="27" t="s">
        <v>14</v>
      </c>
      <c r="H268" s="27" t="s">
        <v>14</v>
      </c>
    </row>
    <row r="269" spans="2:8" x14ac:dyDescent="0.3">
      <c r="B269" s="9">
        <v>40574</v>
      </c>
      <c r="C269" s="29" t="str">
        <f t="shared" si="4"/>
        <v/>
      </c>
      <c r="D269" s="8">
        <v>0.5</v>
      </c>
      <c r="E269" s="28">
        <v>0.5</v>
      </c>
      <c r="F269" s="7" t="s">
        <v>14</v>
      </c>
      <c r="G269" s="27" t="s">
        <v>14</v>
      </c>
      <c r="H269" s="27" t="s">
        <v>14</v>
      </c>
    </row>
    <row r="270" spans="2:8" x14ac:dyDescent="0.3">
      <c r="B270" s="11">
        <v>40575</v>
      </c>
      <c r="C270" s="29" t="str">
        <f t="shared" si="4"/>
        <v/>
      </c>
      <c r="D270" s="8">
        <v>0.5</v>
      </c>
      <c r="E270" s="28" t="s">
        <v>14</v>
      </c>
      <c r="F270" s="7" t="s">
        <v>14</v>
      </c>
      <c r="G270" s="27" t="s">
        <v>14</v>
      </c>
      <c r="H270" s="27" t="s">
        <v>14</v>
      </c>
    </row>
    <row r="271" spans="2:8" x14ac:dyDescent="0.3">
      <c r="B271" s="9">
        <v>40576</v>
      </c>
      <c r="C271" s="29" t="str">
        <f t="shared" si="4"/>
        <v/>
      </c>
      <c r="D271" s="8">
        <v>0.5</v>
      </c>
      <c r="E271" s="28" t="s">
        <v>14</v>
      </c>
      <c r="F271" s="7" t="s">
        <v>14</v>
      </c>
      <c r="G271" s="27" t="s">
        <v>14</v>
      </c>
      <c r="H271" s="27" t="s">
        <v>14</v>
      </c>
    </row>
    <row r="272" spans="2:8" x14ac:dyDescent="0.3">
      <c r="B272" s="11">
        <v>40577</v>
      </c>
      <c r="C272" s="29" t="str">
        <f t="shared" si="4"/>
        <v/>
      </c>
      <c r="D272" s="8">
        <v>0.5</v>
      </c>
      <c r="E272" s="28" t="s">
        <v>14</v>
      </c>
      <c r="F272" s="7" t="s">
        <v>14</v>
      </c>
      <c r="G272" s="27" t="s">
        <v>14</v>
      </c>
      <c r="H272" s="27" t="s">
        <v>14</v>
      </c>
    </row>
    <row r="273" spans="2:8" x14ac:dyDescent="0.3">
      <c r="B273" s="9">
        <v>40578</v>
      </c>
      <c r="C273" s="29" t="str">
        <f t="shared" si="4"/>
        <v/>
      </c>
      <c r="D273" s="8">
        <v>0.5</v>
      </c>
      <c r="E273" s="28" t="s">
        <v>14</v>
      </c>
      <c r="F273" s="7" t="s">
        <v>14</v>
      </c>
      <c r="G273" s="27" t="s">
        <v>14</v>
      </c>
      <c r="H273" s="27" t="s">
        <v>14</v>
      </c>
    </row>
    <row r="274" spans="2:8" x14ac:dyDescent="0.3">
      <c r="B274" s="11">
        <v>40581</v>
      </c>
      <c r="C274" s="29" t="str">
        <f t="shared" si="4"/>
        <v/>
      </c>
      <c r="D274" s="8">
        <v>0.5</v>
      </c>
      <c r="E274" s="28" t="s">
        <v>14</v>
      </c>
      <c r="F274" s="7" t="s">
        <v>14</v>
      </c>
      <c r="G274" s="27" t="s">
        <v>14</v>
      </c>
      <c r="H274" s="27" t="s">
        <v>14</v>
      </c>
    </row>
    <row r="275" spans="2:8" x14ac:dyDescent="0.3">
      <c r="B275" s="9">
        <v>40582</v>
      </c>
      <c r="C275" s="29" t="str">
        <f t="shared" si="4"/>
        <v/>
      </c>
      <c r="D275" s="8">
        <v>0.5</v>
      </c>
      <c r="E275" s="28" t="s">
        <v>14</v>
      </c>
      <c r="F275" s="7" t="s">
        <v>14</v>
      </c>
      <c r="G275" s="27" t="s">
        <v>14</v>
      </c>
      <c r="H275" s="27" t="s">
        <v>14</v>
      </c>
    </row>
    <row r="276" spans="2:8" x14ac:dyDescent="0.3">
      <c r="B276" s="11">
        <v>40583</v>
      </c>
      <c r="C276" s="29" t="str">
        <f t="shared" si="4"/>
        <v/>
      </c>
      <c r="D276" s="8">
        <v>0.5</v>
      </c>
      <c r="E276" s="28" t="s">
        <v>14</v>
      </c>
      <c r="F276" s="7" t="s">
        <v>14</v>
      </c>
      <c r="G276" s="27" t="s">
        <v>14</v>
      </c>
      <c r="H276" s="27" t="s">
        <v>14</v>
      </c>
    </row>
    <row r="277" spans="2:8" x14ac:dyDescent="0.3">
      <c r="B277" s="9">
        <v>40584</v>
      </c>
      <c r="C277" s="29" t="str">
        <f t="shared" si="4"/>
        <v/>
      </c>
      <c r="D277" s="8">
        <v>0.5</v>
      </c>
      <c r="E277" s="28" t="s">
        <v>14</v>
      </c>
      <c r="F277" s="7" t="s">
        <v>14</v>
      </c>
      <c r="G277" s="27" t="s">
        <v>14</v>
      </c>
      <c r="H277" s="27" t="s">
        <v>14</v>
      </c>
    </row>
    <row r="278" spans="2:8" x14ac:dyDescent="0.3">
      <c r="B278" s="11">
        <v>40585</v>
      </c>
      <c r="C278" s="29" t="str">
        <f t="shared" si="4"/>
        <v/>
      </c>
      <c r="D278" s="8">
        <v>0.5</v>
      </c>
      <c r="E278" s="28" t="s">
        <v>14</v>
      </c>
      <c r="F278" s="7" t="s">
        <v>14</v>
      </c>
      <c r="G278" s="27" t="s">
        <v>14</v>
      </c>
      <c r="H278" s="27" t="s">
        <v>14</v>
      </c>
    </row>
    <row r="279" spans="2:8" x14ac:dyDescent="0.3">
      <c r="B279" s="9">
        <v>40588</v>
      </c>
      <c r="C279" s="29" t="str">
        <f t="shared" si="4"/>
        <v/>
      </c>
      <c r="D279" s="8">
        <v>0.5</v>
      </c>
      <c r="E279" s="28" t="s">
        <v>14</v>
      </c>
      <c r="F279" s="7" t="s">
        <v>14</v>
      </c>
      <c r="G279" s="27" t="s">
        <v>14</v>
      </c>
      <c r="H279" s="27" t="s">
        <v>14</v>
      </c>
    </row>
    <row r="280" spans="2:8" x14ac:dyDescent="0.3">
      <c r="B280" s="11">
        <v>40589</v>
      </c>
      <c r="C280" s="29" t="str">
        <f t="shared" si="4"/>
        <v/>
      </c>
      <c r="D280" s="8">
        <v>0.5</v>
      </c>
      <c r="E280" s="28" t="s">
        <v>14</v>
      </c>
      <c r="F280" s="7" t="s">
        <v>14</v>
      </c>
      <c r="G280" s="27" t="s">
        <v>14</v>
      </c>
      <c r="H280" s="27" t="s">
        <v>14</v>
      </c>
    </row>
    <row r="281" spans="2:8" x14ac:dyDescent="0.3">
      <c r="B281" s="9">
        <v>40590</v>
      </c>
      <c r="C281" s="29" t="str">
        <f t="shared" si="4"/>
        <v/>
      </c>
      <c r="D281" s="8">
        <v>0.5</v>
      </c>
      <c r="E281" s="28" t="s">
        <v>14</v>
      </c>
      <c r="F281" s="7" t="s">
        <v>14</v>
      </c>
      <c r="G281" s="27" t="s">
        <v>14</v>
      </c>
      <c r="H281" s="27" t="s">
        <v>14</v>
      </c>
    </row>
    <row r="282" spans="2:8" x14ac:dyDescent="0.3">
      <c r="B282" s="11">
        <v>40591</v>
      </c>
      <c r="C282" s="29" t="str">
        <f t="shared" si="4"/>
        <v/>
      </c>
      <c r="D282" s="8">
        <v>0.5</v>
      </c>
      <c r="E282" s="28" t="s">
        <v>14</v>
      </c>
      <c r="F282" s="7" t="s">
        <v>14</v>
      </c>
      <c r="G282" s="27" t="s">
        <v>14</v>
      </c>
      <c r="H282" s="27" t="s">
        <v>14</v>
      </c>
    </row>
    <row r="283" spans="2:8" x14ac:dyDescent="0.3">
      <c r="B283" s="9">
        <v>40592</v>
      </c>
      <c r="C283" s="29" t="str">
        <f t="shared" si="4"/>
        <v/>
      </c>
      <c r="D283" s="8">
        <v>0.5</v>
      </c>
      <c r="E283" s="28" t="s">
        <v>14</v>
      </c>
      <c r="F283" s="7" t="s">
        <v>14</v>
      </c>
      <c r="G283" s="27" t="s">
        <v>14</v>
      </c>
      <c r="H283" s="27" t="s">
        <v>14</v>
      </c>
    </row>
    <row r="284" spans="2:8" x14ac:dyDescent="0.3">
      <c r="B284" s="11">
        <v>40595</v>
      </c>
      <c r="C284" s="29" t="str">
        <f t="shared" si="4"/>
        <v/>
      </c>
      <c r="D284" s="8">
        <v>0.5</v>
      </c>
      <c r="E284" s="28" t="s">
        <v>14</v>
      </c>
      <c r="F284" s="7" t="s">
        <v>14</v>
      </c>
      <c r="G284" s="27" t="s">
        <v>14</v>
      </c>
      <c r="H284" s="27" t="s">
        <v>14</v>
      </c>
    </row>
    <row r="285" spans="2:8" x14ac:dyDescent="0.3">
      <c r="B285" s="9">
        <v>40596</v>
      </c>
      <c r="C285" s="29" t="str">
        <f t="shared" si="4"/>
        <v/>
      </c>
      <c r="D285" s="8">
        <v>0.5</v>
      </c>
      <c r="E285" s="28" t="s">
        <v>14</v>
      </c>
      <c r="F285" s="7" t="s">
        <v>14</v>
      </c>
      <c r="G285" s="27" t="s">
        <v>14</v>
      </c>
      <c r="H285" s="27" t="s">
        <v>14</v>
      </c>
    </row>
    <row r="286" spans="2:8" x14ac:dyDescent="0.3">
      <c r="B286" s="11">
        <v>40597</v>
      </c>
      <c r="C286" s="29" t="str">
        <f t="shared" si="4"/>
        <v/>
      </c>
      <c r="D286" s="8">
        <v>0.5</v>
      </c>
      <c r="E286" s="28" t="s">
        <v>14</v>
      </c>
      <c r="F286" s="7" t="s">
        <v>14</v>
      </c>
      <c r="G286" s="27" t="s">
        <v>14</v>
      </c>
      <c r="H286" s="27" t="s">
        <v>14</v>
      </c>
    </row>
    <row r="287" spans="2:8" x14ac:dyDescent="0.3">
      <c r="B287" s="9">
        <v>40598</v>
      </c>
      <c r="C287" s="29" t="str">
        <f t="shared" si="4"/>
        <v/>
      </c>
      <c r="D287" s="8">
        <v>0.5</v>
      </c>
      <c r="E287" s="28" t="s">
        <v>14</v>
      </c>
      <c r="F287" s="7" t="s">
        <v>14</v>
      </c>
      <c r="G287" s="27" t="s">
        <v>14</v>
      </c>
      <c r="H287" s="27" t="s">
        <v>14</v>
      </c>
    </row>
    <row r="288" spans="2:8" x14ac:dyDescent="0.3">
      <c r="B288" s="11">
        <v>40599</v>
      </c>
      <c r="C288" s="29" t="str">
        <f t="shared" si="4"/>
        <v/>
      </c>
      <c r="D288" s="8">
        <v>0.5</v>
      </c>
      <c r="E288" s="28" t="s">
        <v>14</v>
      </c>
      <c r="F288" s="7" t="s">
        <v>14</v>
      </c>
      <c r="G288" s="27" t="s">
        <v>14</v>
      </c>
      <c r="H288" s="27" t="s">
        <v>14</v>
      </c>
    </row>
    <row r="289" spans="2:8" x14ac:dyDescent="0.3">
      <c r="B289" s="9">
        <v>40602</v>
      </c>
      <c r="C289" s="29" t="str">
        <f t="shared" si="4"/>
        <v/>
      </c>
      <c r="D289" s="8">
        <v>0.5</v>
      </c>
      <c r="E289" s="28">
        <v>0.5</v>
      </c>
      <c r="F289" s="7" t="s">
        <v>14</v>
      </c>
      <c r="G289" s="27" t="s">
        <v>14</v>
      </c>
      <c r="H289" s="27" t="s">
        <v>14</v>
      </c>
    </row>
    <row r="290" spans="2:8" x14ac:dyDescent="0.3">
      <c r="B290" s="11">
        <v>40603</v>
      </c>
      <c r="C290" s="29" t="str">
        <f t="shared" si="4"/>
        <v/>
      </c>
      <c r="D290" s="8">
        <v>0.5</v>
      </c>
      <c r="E290" s="28" t="s">
        <v>14</v>
      </c>
      <c r="F290" s="7" t="s">
        <v>14</v>
      </c>
      <c r="G290" s="27" t="s">
        <v>14</v>
      </c>
      <c r="H290" s="27" t="s">
        <v>14</v>
      </c>
    </row>
    <row r="291" spans="2:8" x14ac:dyDescent="0.3">
      <c r="B291" s="9">
        <v>40604</v>
      </c>
      <c r="C291" s="29" t="str">
        <f t="shared" si="4"/>
        <v/>
      </c>
      <c r="D291" s="8">
        <v>0.5</v>
      </c>
      <c r="E291" s="28" t="s">
        <v>14</v>
      </c>
      <c r="F291" s="7" t="s">
        <v>14</v>
      </c>
      <c r="G291" s="27" t="s">
        <v>14</v>
      </c>
      <c r="H291" s="27" t="s">
        <v>14</v>
      </c>
    </row>
    <row r="292" spans="2:8" x14ac:dyDescent="0.3">
      <c r="B292" s="11">
        <v>40605</v>
      </c>
      <c r="C292" s="29" t="str">
        <f t="shared" si="4"/>
        <v/>
      </c>
      <c r="D292" s="8">
        <v>0.5</v>
      </c>
      <c r="E292" s="28" t="s">
        <v>14</v>
      </c>
      <c r="F292" s="7" t="s">
        <v>14</v>
      </c>
      <c r="G292" s="27" t="s">
        <v>14</v>
      </c>
      <c r="H292" s="27" t="s">
        <v>14</v>
      </c>
    </row>
    <row r="293" spans="2:8" x14ac:dyDescent="0.3">
      <c r="B293" s="9">
        <v>40606</v>
      </c>
      <c r="C293" s="29" t="str">
        <f t="shared" si="4"/>
        <v/>
      </c>
      <c r="D293" s="8">
        <v>0.5</v>
      </c>
      <c r="E293" s="28" t="s">
        <v>14</v>
      </c>
      <c r="F293" s="7" t="s">
        <v>14</v>
      </c>
      <c r="G293" s="27" t="s">
        <v>14</v>
      </c>
      <c r="H293" s="27" t="s">
        <v>14</v>
      </c>
    </row>
    <row r="294" spans="2:8" x14ac:dyDescent="0.3">
      <c r="B294" s="11">
        <v>40611</v>
      </c>
      <c r="C294" s="29" t="str">
        <f t="shared" si="4"/>
        <v/>
      </c>
      <c r="D294" s="8">
        <v>0.5</v>
      </c>
      <c r="E294" s="28" t="s">
        <v>14</v>
      </c>
      <c r="F294" s="7" t="s">
        <v>14</v>
      </c>
      <c r="G294" s="27" t="s">
        <v>14</v>
      </c>
      <c r="H294" s="27" t="s">
        <v>14</v>
      </c>
    </row>
    <row r="295" spans="2:8" x14ac:dyDescent="0.3">
      <c r="B295" s="9">
        <v>40612</v>
      </c>
      <c r="C295" s="29" t="str">
        <f t="shared" si="4"/>
        <v/>
      </c>
      <c r="D295" s="8">
        <v>0.5</v>
      </c>
      <c r="E295" s="28" t="s">
        <v>14</v>
      </c>
      <c r="F295" s="7" t="s">
        <v>14</v>
      </c>
      <c r="G295" s="27" t="s">
        <v>14</v>
      </c>
      <c r="H295" s="27" t="s">
        <v>14</v>
      </c>
    </row>
    <row r="296" spans="2:8" x14ac:dyDescent="0.3">
      <c r="B296" s="11">
        <v>40613</v>
      </c>
      <c r="C296" s="29" t="str">
        <f t="shared" si="4"/>
        <v/>
      </c>
      <c r="D296" s="8">
        <v>0.5</v>
      </c>
      <c r="E296" s="28" t="s">
        <v>14</v>
      </c>
      <c r="F296" s="7" t="s">
        <v>14</v>
      </c>
      <c r="G296" s="27" t="s">
        <v>14</v>
      </c>
      <c r="H296" s="27" t="s">
        <v>14</v>
      </c>
    </row>
    <row r="297" spans="2:8" x14ac:dyDescent="0.3">
      <c r="B297" s="9">
        <v>40616</v>
      </c>
      <c r="C297" s="29" t="str">
        <f t="shared" si="4"/>
        <v/>
      </c>
      <c r="D297" s="8">
        <v>0.5</v>
      </c>
      <c r="E297" s="28" t="s">
        <v>14</v>
      </c>
      <c r="F297" s="7" t="s">
        <v>14</v>
      </c>
      <c r="G297" s="27" t="s">
        <v>14</v>
      </c>
      <c r="H297" s="27" t="s">
        <v>14</v>
      </c>
    </row>
    <row r="298" spans="2:8" x14ac:dyDescent="0.3">
      <c r="B298" s="11">
        <v>40617</v>
      </c>
      <c r="C298" s="29" t="str">
        <f t="shared" si="4"/>
        <v/>
      </c>
      <c r="D298" s="8">
        <v>0.5</v>
      </c>
      <c r="E298" s="28" t="s">
        <v>14</v>
      </c>
      <c r="F298" s="7" t="s">
        <v>14</v>
      </c>
      <c r="G298" s="27" t="s">
        <v>14</v>
      </c>
      <c r="H298" s="27" t="s">
        <v>14</v>
      </c>
    </row>
    <row r="299" spans="2:8" x14ac:dyDescent="0.3">
      <c r="B299" s="9">
        <v>40618</v>
      </c>
      <c r="C299" s="29" t="str">
        <f t="shared" si="4"/>
        <v/>
      </c>
      <c r="D299" s="8">
        <v>0.5</v>
      </c>
      <c r="E299" s="28" t="s">
        <v>14</v>
      </c>
      <c r="F299" s="7" t="s">
        <v>14</v>
      </c>
      <c r="G299" s="27" t="s">
        <v>14</v>
      </c>
      <c r="H299" s="27" t="s">
        <v>14</v>
      </c>
    </row>
    <row r="300" spans="2:8" x14ac:dyDescent="0.3">
      <c r="B300" s="11">
        <v>40619</v>
      </c>
      <c r="C300" s="29" t="str">
        <f t="shared" si="4"/>
        <v/>
      </c>
      <c r="D300" s="8">
        <v>0.5</v>
      </c>
      <c r="E300" s="28" t="s">
        <v>14</v>
      </c>
      <c r="F300" s="7" t="s">
        <v>14</v>
      </c>
      <c r="G300" s="27" t="s">
        <v>14</v>
      </c>
      <c r="H300" s="27" t="s">
        <v>14</v>
      </c>
    </row>
    <row r="301" spans="2:8" x14ac:dyDescent="0.3">
      <c r="B301" s="9">
        <v>40620</v>
      </c>
      <c r="C301" s="29" t="str">
        <f t="shared" si="4"/>
        <v/>
      </c>
      <c r="D301" s="8">
        <v>0.5</v>
      </c>
      <c r="E301" s="28" t="s">
        <v>14</v>
      </c>
      <c r="F301" s="7" t="s">
        <v>14</v>
      </c>
      <c r="G301" s="27" t="s">
        <v>14</v>
      </c>
      <c r="H301" s="27" t="s">
        <v>14</v>
      </c>
    </row>
    <row r="302" spans="2:8" x14ac:dyDescent="0.3">
      <c r="B302" s="11">
        <v>40623</v>
      </c>
      <c r="C302" s="29" t="str">
        <f t="shared" si="4"/>
        <v/>
      </c>
      <c r="D302" s="8">
        <v>0.5</v>
      </c>
      <c r="E302" s="28" t="s">
        <v>14</v>
      </c>
      <c r="F302" s="7" t="s">
        <v>14</v>
      </c>
      <c r="G302" s="27" t="s">
        <v>14</v>
      </c>
      <c r="H302" s="27" t="s">
        <v>14</v>
      </c>
    </row>
    <row r="303" spans="2:8" x14ac:dyDescent="0.3">
      <c r="B303" s="9">
        <v>40624</v>
      </c>
      <c r="C303" s="29" t="str">
        <f t="shared" si="4"/>
        <v/>
      </c>
      <c r="D303" s="8">
        <v>0.5</v>
      </c>
      <c r="E303" s="28" t="s">
        <v>14</v>
      </c>
      <c r="F303" s="7" t="s">
        <v>14</v>
      </c>
      <c r="G303" s="27" t="s">
        <v>14</v>
      </c>
      <c r="H303" s="27" t="s">
        <v>14</v>
      </c>
    </row>
    <row r="304" spans="2:8" x14ac:dyDescent="0.3">
      <c r="B304" s="11">
        <v>40625</v>
      </c>
      <c r="C304" s="29" t="str">
        <f t="shared" si="4"/>
        <v/>
      </c>
      <c r="D304" s="8">
        <v>0.5</v>
      </c>
      <c r="E304" s="28" t="s">
        <v>14</v>
      </c>
      <c r="F304" s="7" t="s">
        <v>14</v>
      </c>
      <c r="G304" s="27" t="s">
        <v>14</v>
      </c>
      <c r="H304" s="27" t="s">
        <v>14</v>
      </c>
    </row>
    <row r="305" spans="2:8" x14ac:dyDescent="0.3">
      <c r="B305" s="9">
        <v>40626</v>
      </c>
      <c r="C305" s="29" t="str">
        <f t="shared" si="4"/>
        <v/>
      </c>
      <c r="D305" s="8">
        <v>0.5</v>
      </c>
      <c r="E305" s="28" t="s">
        <v>14</v>
      </c>
      <c r="F305" s="7" t="s">
        <v>14</v>
      </c>
      <c r="G305" s="27" t="s">
        <v>14</v>
      </c>
      <c r="H305" s="27" t="s">
        <v>14</v>
      </c>
    </row>
    <row r="306" spans="2:8" x14ac:dyDescent="0.3">
      <c r="B306" s="11">
        <v>40627</v>
      </c>
      <c r="C306" s="29" t="str">
        <f t="shared" si="4"/>
        <v/>
      </c>
      <c r="D306" s="8">
        <v>0.5</v>
      </c>
      <c r="E306" s="28" t="s">
        <v>14</v>
      </c>
      <c r="F306" s="7" t="s">
        <v>14</v>
      </c>
      <c r="G306" s="27" t="s">
        <v>14</v>
      </c>
      <c r="H306" s="27" t="s">
        <v>14</v>
      </c>
    </row>
    <row r="307" spans="2:8" x14ac:dyDescent="0.3">
      <c r="B307" s="9">
        <v>40630</v>
      </c>
      <c r="C307" s="29" t="str">
        <f t="shared" si="4"/>
        <v/>
      </c>
      <c r="D307" s="8">
        <v>0.5</v>
      </c>
      <c r="E307" s="28" t="s">
        <v>14</v>
      </c>
      <c r="F307" s="7" t="s">
        <v>14</v>
      </c>
      <c r="G307" s="27" t="s">
        <v>14</v>
      </c>
      <c r="H307" s="27" t="s">
        <v>14</v>
      </c>
    </row>
    <row r="308" spans="2:8" x14ac:dyDescent="0.3">
      <c r="B308" s="11">
        <v>40631</v>
      </c>
      <c r="C308" s="29" t="str">
        <f t="shared" si="4"/>
        <v/>
      </c>
      <c r="D308" s="8">
        <v>0.5</v>
      </c>
      <c r="E308" s="28" t="s">
        <v>14</v>
      </c>
      <c r="F308" s="7" t="s">
        <v>14</v>
      </c>
      <c r="G308" s="27" t="s">
        <v>14</v>
      </c>
      <c r="H308" s="27" t="s">
        <v>14</v>
      </c>
    </row>
    <row r="309" spans="2:8" x14ac:dyDescent="0.3">
      <c r="B309" s="9">
        <v>40632</v>
      </c>
      <c r="C309" s="29" t="str">
        <f t="shared" si="4"/>
        <v/>
      </c>
      <c r="D309" s="8">
        <v>0.5</v>
      </c>
      <c r="E309" s="28" t="s">
        <v>14</v>
      </c>
      <c r="F309" s="7" t="s">
        <v>14</v>
      </c>
      <c r="G309" s="27" t="s">
        <v>14</v>
      </c>
      <c r="H309" s="27" t="s">
        <v>14</v>
      </c>
    </row>
    <row r="310" spans="2:8" x14ac:dyDescent="0.3">
      <c r="B310" s="11">
        <v>40633</v>
      </c>
      <c r="C310" s="29">
        <f t="shared" si="4"/>
        <v>0</v>
      </c>
      <c r="D310" s="8">
        <v>0.5</v>
      </c>
      <c r="E310" s="28">
        <v>0.5</v>
      </c>
      <c r="F310" s="7">
        <v>0.5</v>
      </c>
    </row>
    <row r="311" spans="2:8" x14ac:dyDescent="0.3">
      <c r="B311" s="9">
        <v>40634</v>
      </c>
      <c r="C311" s="29" t="str">
        <f t="shared" si="4"/>
        <v/>
      </c>
      <c r="D311" s="8">
        <v>0.5</v>
      </c>
      <c r="E311" s="28" t="s">
        <v>14</v>
      </c>
      <c r="F311" s="7" t="s">
        <v>14</v>
      </c>
      <c r="G311" s="27" t="s">
        <v>14</v>
      </c>
      <c r="H311" s="27" t="s">
        <v>14</v>
      </c>
    </row>
    <row r="312" spans="2:8" x14ac:dyDescent="0.3">
      <c r="B312" s="11">
        <v>40637</v>
      </c>
      <c r="C312" s="29" t="str">
        <f t="shared" si="4"/>
        <v/>
      </c>
      <c r="D312" s="8">
        <v>0.5</v>
      </c>
      <c r="E312" s="28" t="s">
        <v>14</v>
      </c>
      <c r="F312" s="7" t="s">
        <v>14</v>
      </c>
      <c r="G312" s="27" t="s">
        <v>14</v>
      </c>
      <c r="H312" s="27" t="s">
        <v>14</v>
      </c>
    </row>
    <row r="313" spans="2:8" x14ac:dyDescent="0.3">
      <c r="B313" s="9">
        <v>40638</v>
      </c>
      <c r="C313" s="29" t="str">
        <f t="shared" si="4"/>
        <v/>
      </c>
      <c r="D313" s="8">
        <v>0.5</v>
      </c>
      <c r="E313" s="28" t="s">
        <v>14</v>
      </c>
      <c r="F313" s="7" t="s">
        <v>14</v>
      </c>
      <c r="G313" s="27" t="s">
        <v>14</v>
      </c>
      <c r="H313" s="27" t="s">
        <v>14</v>
      </c>
    </row>
    <row r="314" spans="2:8" x14ac:dyDescent="0.3">
      <c r="B314" s="11">
        <v>40639</v>
      </c>
      <c r="C314" s="29" t="str">
        <f t="shared" si="4"/>
        <v/>
      </c>
      <c r="D314" s="8">
        <v>0.5</v>
      </c>
      <c r="E314" s="28" t="s">
        <v>14</v>
      </c>
      <c r="F314" s="7" t="s">
        <v>14</v>
      </c>
      <c r="G314" s="27" t="s">
        <v>14</v>
      </c>
      <c r="H314" s="27" t="s">
        <v>14</v>
      </c>
    </row>
    <row r="315" spans="2:8" x14ac:dyDescent="0.3">
      <c r="B315" s="9">
        <v>40640</v>
      </c>
      <c r="C315" s="29" t="str">
        <f t="shared" si="4"/>
        <v/>
      </c>
      <c r="D315" s="8">
        <v>0.5</v>
      </c>
      <c r="E315" s="28" t="s">
        <v>14</v>
      </c>
      <c r="F315" s="7" t="s">
        <v>14</v>
      </c>
      <c r="G315" s="27" t="s">
        <v>14</v>
      </c>
      <c r="H315" s="27" t="s">
        <v>14</v>
      </c>
    </row>
    <row r="316" spans="2:8" x14ac:dyDescent="0.3">
      <c r="B316" s="11">
        <v>40641</v>
      </c>
      <c r="C316" s="29" t="str">
        <f t="shared" si="4"/>
        <v/>
      </c>
      <c r="D316" s="8">
        <v>0.5</v>
      </c>
      <c r="E316" s="28" t="s">
        <v>14</v>
      </c>
      <c r="F316" s="7" t="s">
        <v>14</v>
      </c>
      <c r="G316" s="27" t="s">
        <v>14</v>
      </c>
      <c r="H316" s="27" t="s">
        <v>14</v>
      </c>
    </row>
    <row r="317" spans="2:8" x14ac:dyDescent="0.3">
      <c r="B317" s="9">
        <v>40644</v>
      </c>
      <c r="C317" s="29" t="str">
        <f t="shared" si="4"/>
        <v/>
      </c>
      <c r="D317" s="8">
        <v>0.5</v>
      </c>
      <c r="E317" s="28" t="s">
        <v>14</v>
      </c>
      <c r="F317" s="7" t="s">
        <v>14</v>
      </c>
      <c r="G317" s="27" t="s">
        <v>14</v>
      </c>
      <c r="H317" s="27" t="s">
        <v>14</v>
      </c>
    </row>
    <row r="318" spans="2:8" x14ac:dyDescent="0.3">
      <c r="B318" s="11">
        <v>40645</v>
      </c>
      <c r="C318" s="29" t="str">
        <f t="shared" si="4"/>
        <v/>
      </c>
      <c r="D318" s="8">
        <v>0.5</v>
      </c>
      <c r="E318" s="28" t="s">
        <v>14</v>
      </c>
      <c r="F318" s="7" t="s">
        <v>14</v>
      </c>
      <c r="G318" s="27" t="s">
        <v>14</v>
      </c>
      <c r="H318" s="27" t="s">
        <v>14</v>
      </c>
    </row>
    <row r="319" spans="2:8" x14ac:dyDescent="0.3">
      <c r="B319" s="9">
        <v>40646</v>
      </c>
      <c r="C319" s="29" t="str">
        <f t="shared" si="4"/>
        <v/>
      </c>
      <c r="D319" s="8">
        <v>0.5</v>
      </c>
      <c r="E319" s="28" t="s">
        <v>14</v>
      </c>
      <c r="F319" s="7" t="s">
        <v>14</v>
      </c>
      <c r="G319" s="27" t="s">
        <v>14</v>
      </c>
      <c r="H319" s="27" t="s">
        <v>14</v>
      </c>
    </row>
    <row r="320" spans="2:8" x14ac:dyDescent="0.3">
      <c r="B320" s="11">
        <v>40647</v>
      </c>
      <c r="C320" s="29" t="str">
        <f t="shared" si="4"/>
        <v/>
      </c>
      <c r="D320" s="8">
        <v>0.5</v>
      </c>
      <c r="E320" s="28" t="s">
        <v>14</v>
      </c>
      <c r="F320" s="7" t="s">
        <v>14</v>
      </c>
      <c r="G320" s="27" t="s">
        <v>14</v>
      </c>
      <c r="H320" s="27" t="s">
        <v>14</v>
      </c>
    </row>
    <row r="321" spans="2:8" x14ac:dyDescent="0.3">
      <c r="B321" s="9">
        <v>40648</v>
      </c>
      <c r="C321" s="29" t="str">
        <f t="shared" si="4"/>
        <v/>
      </c>
      <c r="D321" s="8">
        <v>0.5</v>
      </c>
      <c r="E321" s="28" t="s">
        <v>14</v>
      </c>
      <c r="F321" s="7" t="s">
        <v>14</v>
      </c>
      <c r="G321" s="27" t="s">
        <v>14</v>
      </c>
      <c r="H321" s="27" t="s">
        <v>14</v>
      </c>
    </row>
    <row r="322" spans="2:8" x14ac:dyDescent="0.3">
      <c r="B322" s="11">
        <v>40651</v>
      </c>
      <c r="C322" s="29" t="str">
        <f t="shared" si="4"/>
        <v/>
      </c>
      <c r="D322" s="8">
        <v>0.5</v>
      </c>
      <c r="E322" s="28" t="s">
        <v>14</v>
      </c>
      <c r="F322" s="7" t="s">
        <v>14</v>
      </c>
      <c r="G322" s="27" t="s">
        <v>14</v>
      </c>
      <c r="H322" s="27" t="s">
        <v>14</v>
      </c>
    </row>
    <row r="323" spans="2:8" x14ac:dyDescent="0.3">
      <c r="B323" s="9">
        <v>40652</v>
      </c>
      <c r="C323" s="29" t="str">
        <f t="shared" ref="C323:C386" si="5">INDEX(D323:H323,MATCH($A$1,$D$1:$H$1,0))</f>
        <v/>
      </c>
      <c r="D323" s="8">
        <v>0.5</v>
      </c>
      <c r="E323" s="28" t="s">
        <v>14</v>
      </c>
      <c r="F323" s="7" t="s">
        <v>14</v>
      </c>
      <c r="G323" s="27" t="s">
        <v>14</v>
      </c>
      <c r="H323" s="27" t="s">
        <v>14</v>
      </c>
    </row>
    <row r="324" spans="2:8" x14ac:dyDescent="0.3">
      <c r="B324" s="11">
        <v>40653</v>
      </c>
      <c r="C324" s="29" t="str">
        <f t="shared" si="5"/>
        <v/>
      </c>
      <c r="D324" s="8">
        <v>0.5</v>
      </c>
      <c r="E324" s="28" t="s">
        <v>14</v>
      </c>
      <c r="F324" s="7" t="s">
        <v>14</v>
      </c>
      <c r="G324" s="27" t="s">
        <v>14</v>
      </c>
      <c r="H324" s="27" t="s">
        <v>14</v>
      </c>
    </row>
    <row r="325" spans="2:8" x14ac:dyDescent="0.3">
      <c r="B325" s="9">
        <v>40658</v>
      </c>
      <c r="C325" s="29" t="str">
        <f t="shared" si="5"/>
        <v/>
      </c>
      <c r="D325" s="8">
        <v>0.5</v>
      </c>
      <c r="E325" s="28" t="s">
        <v>14</v>
      </c>
      <c r="F325" s="7" t="s">
        <v>14</v>
      </c>
      <c r="G325" s="27" t="s">
        <v>14</v>
      </c>
      <c r="H325" s="27" t="s">
        <v>14</v>
      </c>
    </row>
    <row r="326" spans="2:8" x14ac:dyDescent="0.3">
      <c r="B326" s="11">
        <v>40659</v>
      </c>
      <c r="C326" s="29" t="str">
        <f t="shared" si="5"/>
        <v/>
      </c>
      <c r="D326" s="8">
        <v>0.5</v>
      </c>
      <c r="E326" s="28" t="s">
        <v>14</v>
      </c>
      <c r="F326" s="7" t="s">
        <v>14</v>
      </c>
      <c r="G326" s="27" t="s">
        <v>14</v>
      </c>
      <c r="H326" s="27" t="s">
        <v>14</v>
      </c>
    </row>
    <row r="327" spans="2:8" x14ac:dyDescent="0.3">
      <c r="B327" s="9">
        <v>40660</v>
      </c>
      <c r="C327" s="29" t="str">
        <f t="shared" si="5"/>
        <v/>
      </c>
      <c r="D327" s="8">
        <v>0.5</v>
      </c>
      <c r="E327" s="28" t="s">
        <v>14</v>
      </c>
      <c r="F327" s="7" t="s">
        <v>14</v>
      </c>
      <c r="G327" s="27" t="s">
        <v>14</v>
      </c>
      <c r="H327" s="27" t="s">
        <v>14</v>
      </c>
    </row>
    <row r="328" spans="2:8" x14ac:dyDescent="0.3">
      <c r="B328" s="11">
        <v>40661</v>
      </c>
      <c r="C328" s="29" t="str">
        <f t="shared" si="5"/>
        <v/>
      </c>
      <c r="D328" s="8">
        <v>0.5</v>
      </c>
      <c r="E328" s="28" t="s">
        <v>14</v>
      </c>
      <c r="F328" s="7" t="s">
        <v>14</v>
      </c>
      <c r="G328" s="27" t="s">
        <v>14</v>
      </c>
      <c r="H328" s="27" t="s">
        <v>14</v>
      </c>
    </row>
    <row r="329" spans="2:8" x14ac:dyDescent="0.3">
      <c r="B329" s="9">
        <v>40662</v>
      </c>
      <c r="C329" s="29" t="str">
        <f t="shared" si="5"/>
        <v/>
      </c>
      <c r="D329" s="8">
        <v>0.5</v>
      </c>
      <c r="E329" s="28">
        <v>0.5</v>
      </c>
      <c r="F329" s="7" t="s">
        <v>14</v>
      </c>
      <c r="G329" s="27" t="s">
        <v>14</v>
      </c>
      <c r="H329" s="27" t="s">
        <v>14</v>
      </c>
    </row>
    <row r="330" spans="2:8" x14ac:dyDescent="0.3">
      <c r="B330" s="11">
        <v>40665</v>
      </c>
      <c r="C330" s="29" t="str">
        <f t="shared" si="5"/>
        <v/>
      </c>
      <c r="D330" s="8">
        <v>0.5</v>
      </c>
      <c r="E330" s="28" t="s">
        <v>14</v>
      </c>
      <c r="F330" s="7" t="s">
        <v>14</v>
      </c>
      <c r="G330" s="27" t="s">
        <v>14</v>
      </c>
      <c r="H330" s="27" t="s">
        <v>14</v>
      </c>
    </row>
    <row r="331" spans="2:8" x14ac:dyDescent="0.3">
      <c r="B331" s="9">
        <v>40666</v>
      </c>
      <c r="C331" s="29" t="str">
        <f t="shared" si="5"/>
        <v/>
      </c>
      <c r="D331" s="8">
        <v>0.5</v>
      </c>
      <c r="E331" s="28" t="s">
        <v>14</v>
      </c>
      <c r="F331" s="7" t="s">
        <v>14</v>
      </c>
      <c r="G331" s="27" t="s">
        <v>14</v>
      </c>
      <c r="H331" s="27" t="s">
        <v>14</v>
      </c>
    </row>
    <row r="332" spans="2:8" x14ac:dyDescent="0.3">
      <c r="B332" s="11">
        <v>40667</v>
      </c>
      <c r="C332" s="29" t="str">
        <f t="shared" si="5"/>
        <v/>
      </c>
      <c r="D332" s="8">
        <v>0.5</v>
      </c>
      <c r="E332" s="28" t="s">
        <v>14</v>
      </c>
      <c r="F332" s="7" t="s">
        <v>14</v>
      </c>
      <c r="G332" s="27" t="s">
        <v>14</v>
      </c>
      <c r="H332" s="27" t="s">
        <v>14</v>
      </c>
    </row>
    <row r="333" spans="2:8" x14ac:dyDescent="0.3">
      <c r="B333" s="9">
        <v>40668</v>
      </c>
      <c r="C333" s="29" t="str">
        <f t="shared" si="5"/>
        <v/>
      </c>
      <c r="D333" s="8">
        <v>0.5</v>
      </c>
      <c r="E333" s="28" t="s">
        <v>14</v>
      </c>
      <c r="F333" s="7" t="s">
        <v>14</v>
      </c>
      <c r="G333" s="27" t="s">
        <v>14</v>
      </c>
      <c r="H333" s="27" t="s">
        <v>14</v>
      </c>
    </row>
    <row r="334" spans="2:8" x14ac:dyDescent="0.3">
      <c r="B334" s="11">
        <v>40669</v>
      </c>
      <c r="C334" s="29" t="str">
        <f t="shared" si="5"/>
        <v/>
      </c>
      <c r="D334" s="8">
        <v>0.5</v>
      </c>
      <c r="E334" s="28" t="s">
        <v>14</v>
      </c>
      <c r="F334" s="7" t="s">
        <v>14</v>
      </c>
      <c r="G334" s="27" t="s">
        <v>14</v>
      </c>
      <c r="H334" s="27" t="s">
        <v>14</v>
      </c>
    </row>
    <row r="335" spans="2:8" x14ac:dyDescent="0.3">
      <c r="B335" s="9">
        <v>40672</v>
      </c>
      <c r="C335" s="29" t="str">
        <f t="shared" si="5"/>
        <v/>
      </c>
      <c r="D335" s="8">
        <v>0.5</v>
      </c>
      <c r="E335" s="28" t="s">
        <v>14</v>
      </c>
      <c r="F335" s="7" t="s">
        <v>14</v>
      </c>
      <c r="G335" s="27" t="s">
        <v>14</v>
      </c>
      <c r="H335" s="27" t="s">
        <v>14</v>
      </c>
    </row>
    <row r="336" spans="2:8" x14ac:dyDescent="0.3">
      <c r="B336" s="11">
        <v>40673</v>
      </c>
      <c r="C336" s="29" t="str">
        <f t="shared" si="5"/>
        <v/>
      </c>
      <c r="D336" s="8">
        <v>0.5</v>
      </c>
      <c r="E336" s="28" t="s">
        <v>14</v>
      </c>
      <c r="F336" s="7" t="s">
        <v>14</v>
      </c>
      <c r="G336" s="27" t="s">
        <v>14</v>
      </c>
      <c r="H336" s="27" t="s">
        <v>14</v>
      </c>
    </row>
    <row r="337" spans="2:8" x14ac:dyDescent="0.3">
      <c r="B337" s="9">
        <v>40674</v>
      </c>
      <c r="C337" s="29" t="str">
        <f t="shared" si="5"/>
        <v/>
      </c>
      <c r="D337" s="8">
        <v>0.5</v>
      </c>
      <c r="E337" s="28" t="s">
        <v>14</v>
      </c>
      <c r="F337" s="7" t="s">
        <v>14</v>
      </c>
      <c r="G337" s="27" t="s">
        <v>14</v>
      </c>
      <c r="H337" s="27" t="s">
        <v>14</v>
      </c>
    </row>
    <row r="338" spans="2:8" x14ac:dyDescent="0.3">
      <c r="B338" s="11">
        <v>40675</v>
      </c>
      <c r="C338" s="29" t="str">
        <f t="shared" si="5"/>
        <v/>
      </c>
      <c r="D338" s="8">
        <v>0.5</v>
      </c>
      <c r="E338" s="28" t="s">
        <v>14</v>
      </c>
      <c r="F338" s="7" t="s">
        <v>14</v>
      </c>
      <c r="G338" s="27" t="s">
        <v>14</v>
      </c>
      <c r="H338" s="27" t="s">
        <v>14</v>
      </c>
    </row>
    <row r="339" spans="2:8" x14ac:dyDescent="0.3">
      <c r="B339" s="9">
        <v>40676</v>
      </c>
      <c r="C339" s="29" t="str">
        <f t="shared" si="5"/>
        <v/>
      </c>
      <c r="D339" s="8">
        <v>0.5</v>
      </c>
      <c r="E339" s="28" t="s">
        <v>14</v>
      </c>
      <c r="F339" s="7" t="s">
        <v>14</v>
      </c>
      <c r="G339" s="27" t="s">
        <v>14</v>
      </c>
      <c r="H339" s="27" t="s">
        <v>14</v>
      </c>
    </row>
    <row r="340" spans="2:8" x14ac:dyDescent="0.3">
      <c r="B340" s="11">
        <v>40679</v>
      </c>
      <c r="C340" s="29" t="str">
        <f t="shared" si="5"/>
        <v/>
      </c>
      <c r="D340" s="8">
        <v>0.5</v>
      </c>
      <c r="E340" s="28" t="s">
        <v>14</v>
      </c>
      <c r="F340" s="7" t="s">
        <v>14</v>
      </c>
      <c r="G340" s="27" t="s">
        <v>14</v>
      </c>
      <c r="H340" s="27" t="s">
        <v>14</v>
      </c>
    </row>
    <row r="341" spans="2:8" x14ac:dyDescent="0.3">
      <c r="B341" s="9">
        <v>40680</v>
      </c>
      <c r="C341" s="29" t="str">
        <f t="shared" si="5"/>
        <v/>
      </c>
      <c r="D341" s="8">
        <v>0.5</v>
      </c>
      <c r="E341" s="28" t="s">
        <v>14</v>
      </c>
      <c r="F341" s="7" t="s">
        <v>14</v>
      </c>
      <c r="G341" s="27" t="s">
        <v>14</v>
      </c>
      <c r="H341" s="27" t="s">
        <v>14</v>
      </c>
    </row>
    <row r="342" spans="2:8" x14ac:dyDescent="0.3">
      <c r="B342" s="11">
        <v>40681</v>
      </c>
      <c r="C342" s="29" t="str">
        <f t="shared" si="5"/>
        <v/>
      </c>
      <c r="D342" s="8">
        <v>0.5</v>
      </c>
      <c r="E342" s="28" t="s">
        <v>14</v>
      </c>
      <c r="F342" s="7" t="s">
        <v>14</v>
      </c>
      <c r="G342" s="27" t="s">
        <v>14</v>
      </c>
      <c r="H342" s="27" t="s">
        <v>14</v>
      </c>
    </row>
    <row r="343" spans="2:8" x14ac:dyDescent="0.3">
      <c r="B343" s="9">
        <v>40682</v>
      </c>
      <c r="C343" s="29" t="str">
        <f t="shared" si="5"/>
        <v/>
      </c>
      <c r="D343" s="8">
        <v>0.5</v>
      </c>
      <c r="E343" s="28" t="s">
        <v>14</v>
      </c>
      <c r="F343" s="7" t="s">
        <v>14</v>
      </c>
      <c r="G343" s="27" t="s">
        <v>14</v>
      </c>
      <c r="H343" s="27" t="s">
        <v>14</v>
      </c>
    </row>
    <row r="344" spans="2:8" x14ac:dyDescent="0.3">
      <c r="B344" s="11">
        <v>40683</v>
      </c>
      <c r="C344" s="29" t="str">
        <f t="shared" si="5"/>
        <v/>
      </c>
      <c r="D344" s="8">
        <v>0.5</v>
      </c>
      <c r="E344" s="28" t="s">
        <v>14</v>
      </c>
      <c r="F344" s="7" t="s">
        <v>14</v>
      </c>
      <c r="G344" s="27" t="s">
        <v>14</v>
      </c>
      <c r="H344" s="27" t="s">
        <v>14</v>
      </c>
    </row>
    <row r="345" spans="2:8" x14ac:dyDescent="0.3">
      <c r="B345" s="9">
        <v>40686</v>
      </c>
      <c r="C345" s="29" t="str">
        <f t="shared" si="5"/>
        <v/>
      </c>
      <c r="D345" s="8">
        <v>0.5</v>
      </c>
      <c r="E345" s="28" t="s">
        <v>14</v>
      </c>
      <c r="F345" s="7" t="s">
        <v>14</v>
      </c>
      <c r="G345" s="27" t="s">
        <v>14</v>
      </c>
      <c r="H345" s="27" t="s">
        <v>14</v>
      </c>
    </row>
    <row r="346" spans="2:8" x14ac:dyDescent="0.3">
      <c r="B346" s="11">
        <v>40687</v>
      </c>
      <c r="C346" s="29" t="str">
        <f t="shared" si="5"/>
        <v/>
      </c>
      <c r="D346" s="8">
        <v>0.5</v>
      </c>
      <c r="E346" s="28" t="s">
        <v>14</v>
      </c>
      <c r="F346" s="7" t="s">
        <v>14</v>
      </c>
      <c r="G346" s="27" t="s">
        <v>14</v>
      </c>
      <c r="H346" s="27" t="s">
        <v>14</v>
      </c>
    </row>
    <row r="347" spans="2:8" x14ac:dyDescent="0.3">
      <c r="B347" s="9">
        <v>40688</v>
      </c>
      <c r="C347" s="29" t="str">
        <f t="shared" si="5"/>
        <v/>
      </c>
      <c r="D347" s="8">
        <v>0.5</v>
      </c>
      <c r="E347" s="28" t="s">
        <v>14</v>
      </c>
      <c r="F347" s="7" t="s">
        <v>14</v>
      </c>
      <c r="G347" s="27" t="s">
        <v>14</v>
      </c>
      <c r="H347" s="27" t="s">
        <v>14</v>
      </c>
    </row>
    <row r="348" spans="2:8" x14ac:dyDescent="0.3">
      <c r="B348" s="11">
        <v>40689</v>
      </c>
      <c r="C348" s="29" t="str">
        <f t="shared" si="5"/>
        <v/>
      </c>
      <c r="D348" s="8">
        <v>0.5</v>
      </c>
      <c r="E348" s="28" t="s">
        <v>14</v>
      </c>
      <c r="F348" s="7" t="s">
        <v>14</v>
      </c>
      <c r="G348" s="27" t="s">
        <v>14</v>
      </c>
      <c r="H348" s="27" t="s">
        <v>14</v>
      </c>
    </row>
    <row r="349" spans="2:8" x14ac:dyDescent="0.3">
      <c r="B349" s="9">
        <v>40690</v>
      </c>
      <c r="C349" s="29" t="str">
        <f t="shared" si="5"/>
        <v/>
      </c>
      <c r="D349" s="8">
        <v>0.5</v>
      </c>
      <c r="E349" s="28" t="s">
        <v>14</v>
      </c>
      <c r="F349" s="7" t="s">
        <v>14</v>
      </c>
      <c r="G349" s="27" t="s">
        <v>14</v>
      </c>
      <c r="H349" s="27" t="s">
        <v>14</v>
      </c>
    </row>
    <row r="350" spans="2:8" x14ac:dyDescent="0.3">
      <c r="B350" s="11">
        <v>40693</v>
      </c>
      <c r="C350" s="29" t="str">
        <f t="shared" si="5"/>
        <v/>
      </c>
      <c r="D350" s="8">
        <v>0.5</v>
      </c>
      <c r="E350" s="28" t="s">
        <v>14</v>
      </c>
      <c r="F350" s="7" t="s">
        <v>14</v>
      </c>
      <c r="G350" s="27" t="s">
        <v>14</v>
      </c>
      <c r="H350" s="27" t="s">
        <v>14</v>
      </c>
    </row>
    <row r="351" spans="2:8" x14ac:dyDescent="0.3">
      <c r="B351" s="9">
        <v>40694</v>
      </c>
      <c r="C351" s="29" t="str">
        <f t="shared" si="5"/>
        <v/>
      </c>
      <c r="D351" s="8">
        <v>0.5</v>
      </c>
      <c r="E351" s="28">
        <v>0.5</v>
      </c>
      <c r="F351" s="7" t="s">
        <v>14</v>
      </c>
      <c r="G351" s="27" t="s">
        <v>14</v>
      </c>
      <c r="H351" s="27" t="s">
        <v>14</v>
      </c>
    </row>
    <row r="352" spans="2:8" x14ac:dyDescent="0.3">
      <c r="B352" s="11">
        <v>40695</v>
      </c>
      <c r="C352" s="29" t="str">
        <f t="shared" si="5"/>
        <v/>
      </c>
      <c r="D352" s="8">
        <v>0.5</v>
      </c>
      <c r="E352" s="28" t="s">
        <v>14</v>
      </c>
      <c r="F352" s="7" t="s">
        <v>14</v>
      </c>
      <c r="G352" s="27" t="s">
        <v>14</v>
      </c>
      <c r="H352" s="27" t="s">
        <v>14</v>
      </c>
    </row>
    <row r="353" spans="2:8" x14ac:dyDescent="0.3">
      <c r="B353" s="9">
        <v>40696</v>
      </c>
      <c r="C353" s="29" t="str">
        <f t="shared" si="5"/>
        <v/>
      </c>
      <c r="D353" s="8">
        <v>0.5</v>
      </c>
      <c r="E353" s="28" t="s">
        <v>14</v>
      </c>
      <c r="F353" s="7" t="s">
        <v>14</v>
      </c>
      <c r="G353" s="27" t="s">
        <v>14</v>
      </c>
      <c r="H353" s="27" t="s">
        <v>14</v>
      </c>
    </row>
    <row r="354" spans="2:8" x14ac:dyDescent="0.3">
      <c r="B354" s="11">
        <v>40697</v>
      </c>
      <c r="C354" s="29" t="str">
        <f t="shared" si="5"/>
        <v/>
      </c>
      <c r="D354" s="8">
        <v>0.5</v>
      </c>
      <c r="E354" s="28" t="s">
        <v>14</v>
      </c>
      <c r="F354" s="7" t="s">
        <v>14</v>
      </c>
      <c r="G354" s="27" t="s">
        <v>14</v>
      </c>
      <c r="H354" s="27" t="s">
        <v>14</v>
      </c>
    </row>
    <row r="355" spans="2:8" x14ac:dyDescent="0.3">
      <c r="B355" s="9">
        <v>40700</v>
      </c>
      <c r="C355" s="29" t="str">
        <f t="shared" si="5"/>
        <v/>
      </c>
      <c r="D355" s="8">
        <v>0.5</v>
      </c>
      <c r="E355" s="28" t="s">
        <v>14</v>
      </c>
      <c r="F355" s="7" t="s">
        <v>14</v>
      </c>
      <c r="G355" s="27" t="s">
        <v>14</v>
      </c>
      <c r="H355" s="27" t="s">
        <v>14</v>
      </c>
    </row>
    <row r="356" spans="2:8" x14ac:dyDescent="0.3">
      <c r="B356" s="11">
        <v>40701</v>
      </c>
      <c r="C356" s="29" t="str">
        <f t="shared" si="5"/>
        <v/>
      </c>
      <c r="D356" s="8">
        <v>0.5</v>
      </c>
      <c r="E356" s="28" t="s">
        <v>14</v>
      </c>
      <c r="F356" s="7" t="s">
        <v>14</v>
      </c>
      <c r="G356" s="27" t="s">
        <v>14</v>
      </c>
      <c r="H356" s="27" t="s">
        <v>14</v>
      </c>
    </row>
    <row r="357" spans="2:8" x14ac:dyDescent="0.3">
      <c r="B357" s="9">
        <v>40702</v>
      </c>
      <c r="C357" s="29" t="str">
        <f t="shared" si="5"/>
        <v/>
      </c>
      <c r="D357" s="8">
        <v>0.5</v>
      </c>
      <c r="E357" s="28" t="s">
        <v>14</v>
      </c>
      <c r="F357" s="7" t="s">
        <v>14</v>
      </c>
      <c r="G357" s="27" t="s">
        <v>14</v>
      </c>
      <c r="H357" s="27" t="s">
        <v>14</v>
      </c>
    </row>
    <row r="358" spans="2:8" x14ac:dyDescent="0.3">
      <c r="B358" s="11">
        <v>40703</v>
      </c>
      <c r="C358" s="29" t="str">
        <f t="shared" si="5"/>
        <v/>
      </c>
      <c r="D358" s="8">
        <v>0.5</v>
      </c>
      <c r="E358" s="28" t="s">
        <v>14</v>
      </c>
      <c r="F358" s="7" t="s">
        <v>14</v>
      </c>
      <c r="G358" s="27" t="s">
        <v>14</v>
      </c>
      <c r="H358" s="27" t="s">
        <v>14</v>
      </c>
    </row>
    <row r="359" spans="2:8" x14ac:dyDescent="0.3">
      <c r="B359" s="9">
        <v>40704</v>
      </c>
      <c r="C359" s="29" t="str">
        <f t="shared" si="5"/>
        <v/>
      </c>
      <c r="D359" s="8">
        <v>0.5</v>
      </c>
      <c r="E359" s="28" t="s">
        <v>14</v>
      </c>
      <c r="F359" s="7" t="s">
        <v>14</v>
      </c>
      <c r="G359" s="27" t="s">
        <v>14</v>
      </c>
      <c r="H359" s="27" t="s">
        <v>14</v>
      </c>
    </row>
    <row r="360" spans="2:8" x14ac:dyDescent="0.3">
      <c r="B360" s="11">
        <v>40707</v>
      </c>
      <c r="C360" s="29" t="str">
        <f t="shared" si="5"/>
        <v/>
      </c>
      <c r="D360" s="8">
        <v>0.5</v>
      </c>
      <c r="E360" s="28" t="s">
        <v>14</v>
      </c>
      <c r="F360" s="7" t="s">
        <v>14</v>
      </c>
      <c r="G360" s="27" t="s">
        <v>14</v>
      </c>
      <c r="H360" s="27" t="s">
        <v>14</v>
      </c>
    </row>
    <row r="361" spans="2:8" x14ac:dyDescent="0.3">
      <c r="B361" s="9">
        <v>40708</v>
      </c>
      <c r="C361" s="29" t="str">
        <f t="shared" si="5"/>
        <v/>
      </c>
      <c r="D361" s="8">
        <v>0.5</v>
      </c>
      <c r="E361" s="28" t="s">
        <v>14</v>
      </c>
      <c r="F361" s="7" t="s">
        <v>14</v>
      </c>
      <c r="G361" s="27" t="s">
        <v>14</v>
      </c>
      <c r="H361" s="27" t="s">
        <v>14</v>
      </c>
    </row>
    <row r="362" spans="2:8" x14ac:dyDescent="0.3">
      <c r="B362" s="11">
        <v>40709</v>
      </c>
      <c r="C362" s="29" t="str">
        <f t="shared" si="5"/>
        <v/>
      </c>
      <c r="D362" s="8">
        <v>0.5</v>
      </c>
      <c r="E362" s="28" t="s">
        <v>14</v>
      </c>
      <c r="F362" s="7" t="s">
        <v>14</v>
      </c>
      <c r="G362" s="27" t="s">
        <v>14</v>
      </c>
      <c r="H362" s="27" t="s">
        <v>14</v>
      </c>
    </row>
    <row r="363" spans="2:8" x14ac:dyDescent="0.3">
      <c r="B363" s="9">
        <v>40710</v>
      </c>
      <c r="C363" s="29" t="str">
        <f t="shared" si="5"/>
        <v/>
      </c>
      <c r="D363" s="8">
        <v>0.5</v>
      </c>
      <c r="E363" s="28" t="s">
        <v>14</v>
      </c>
      <c r="F363" s="7" t="s">
        <v>14</v>
      </c>
      <c r="G363" s="27" t="s">
        <v>14</v>
      </c>
      <c r="H363" s="27" t="s">
        <v>14</v>
      </c>
    </row>
    <row r="364" spans="2:8" x14ac:dyDescent="0.3">
      <c r="B364" s="11">
        <v>40711</v>
      </c>
      <c r="C364" s="29" t="str">
        <f t="shared" si="5"/>
        <v/>
      </c>
      <c r="D364" s="8">
        <v>0.5</v>
      </c>
      <c r="E364" s="28" t="s">
        <v>14</v>
      </c>
      <c r="F364" s="7" t="s">
        <v>14</v>
      </c>
      <c r="G364" s="27" t="s">
        <v>14</v>
      </c>
      <c r="H364" s="27" t="s">
        <v>14</v>
      </c>
    </row>
    <row r="365" spans="2:8" x14ac:dyDescent="0.3">
      <c r="B365" s="9">
        <v>40714</v>
      </c>
      <c r="C365" s="29" t="str">
        <f t="shared" si="5"/>
        <v/>
      </c>
      <c r="D365" s="8">
        <v>0.5</v>
      </c>
      <c r="E365" s="28" t="s">
        <v>14</v>
      </c>
      <c r="F365" s="7" t="s">
        <v>14</v>
      </c>
      <c r="G365" s="27" t="s">
        <v>14</v>
      </c>
      <c r="H365" s="27" t="s">
        <v>14</v>
      </c>
    </row>
    <row r="366" spans="2:8" x14ac:dyDescent="0.3">
      <c r="B366" s="11">
        <v>40715</v>
      </c>
      <c r="C366" s="29" t="str">
        <f t="shared" si="5"/>
        <v/>
      </c>
      <c r="D366" s="8">
        <v>0.5</v>
      </c>
      <c r="E366" s="28" t="s">
        <v>14</v>
      </c>
      <c r="F366" s="7" t="s">
        <v>14</v>
      </c>
      <c r="G366" s="27" t="s">
        <v>14</v>
      </c>
      <c r="H366" s="27" t="s">
        <v>14</v>
      </c>
    </row>
    <row r="367" spans="2:8" x14ac:dyDescent="0.3">
      <c r="B367" s="9">
        <v>40716</v>
      </c>
      <c r="C367" s="29" t="str">
        <f t="shared" si="5"/>
        <v/>
      </c>
      <c r="D367" s="8">
        <v>0.5</v>
      </c>
      <c r="E367" s="28" t="s">
        <v>14</v>
      </c>
      <c r="F367" s="7" t="s">
        <v>14</v>
      </c>
      <c r="G367" s="27" t="s">
        <v>14</v>
      </c>
      <c r="H367" s="27" t="s">
        <v>14</v>
      </c>
    </row>
    <row r="368" spans="2:8" x14ac:dyDescent="0.3">
      <c r="B368" s="11">
        <v>40718</v>
      </c>
      <c r="C368" s="29" t="str">
        <f t="shared" si="5"/>
        <v/>
      </c>
      <c r="D368" s="8">
        <v>0.5</v>
      </c>
      <c r="E368" s="28" t="s">
        <v>14</v>
      </c>
      <c r="F368" s="7" t="s">
        <v>14</v>
      </c>
      <c r="G368" s="27" t="s">
        <v>14</v>
      </c>
      <c r="H368" s="27" t="s">
        <v>14</v>
      </c>
    </row>
    <row r="369" spans="2:8" x14ac:dyDescent="0.3">
      <c r="B369" s="9">
        <v>40721</v>
      </c>
      <c r="C369" s="29" t="str">
        <f t="shared" si="5"/>
        <v/>
      </c>
      <c r="D369" s="8">
        <v>0.5</v>
      </c>
      <c r="E369" s="28" t="s">
        <v>14</v>
      </c>
      <c r="F369" s="7" t="s">
        <v>14</v>
      </c>
      <c r="G369" s="27" t="s">
        <v>14</v>
      </c>
      <c r="H369" s="27" t="s">
        <v>14</v>
      </c>
    </row>
    <row r="370" spans="2:8" x14ac:dyDescent="0.3">
      <c r="B370" s="11">
        <v>40722</v>
      </c>
      <c r="C370" s="29" t="str">
        <f t="shared" si="5"/>
        <v/>
      </c>
      <c r="D370" s="8">
        <v>0.5</v>
      </c>
      <c r="E370" s="28" t="s">
        <v>14</v>
      </c>
      <c r="F370" s="7" t="s">
        <v>14</v>
      </c>
      <c r="G370" s="27" t="s">
        <v>14</v>
      </c>
      <c r="H370" s="27" t="s">
        <v>14</v>
      </c>
    </row>
    <row r="371" spans="2:8" x14ac:dyDescent="0.3">
      <c r="B371" s="9">
        <v>40723</v>
      </c>
      <c r="C371" s="29" t="str">
        <f t="shared" si="5"/>
        <v/>
      </c>
      <c r="D371" s="8">
        <v>0.5</v>
      </c>
      <c r="E371" s="28" t="s">
        <v>14</v>
      </c>
      <c r="F371" s="7" t="s">
        <v>14</v>
      </c>
      <c r="G371" s="27" t="s">
        <v>14</v>
      </c>
      <c r="H371" s="27" t="s">
        <v>14</v>
      </c>
    </row>
    <row r="372" spans="2:8" x14ac:dyDescent="0.3">
      <c r="B372" s="11">
        <v>40724</v>
      </c>
      <c r="C372" s="29">
        <f t="shared" si="5"/>
        <v>0</v>
      </c>
      <c r="D372" s="8">
        <v>0.5</v>
      </c>
      <c r="E372" s="28">
        <v>0.5</v>
      </c>
      <c r="F372" s="7">
        <v>0.5</v>
      </c>
      <c r="G372" s="27">
        <v>0.5</v>
      </c>
    </row>
    <row r="373" spans="2:8" x14ac:dyDescent="0.3">
      <c r="B373" s="9">
        <v>40725</v>
      </c>
      <c r="C373" s="29" t="str">
        <f t="shared" si="5"/>
        <v/>
      </c>
      <c r="D373" s="8">
        <v>0.5</v>
      </c>
      <c r="E373" s="28" t="s">
        <v>14</v>
      </c>
      <c r="F373" s="7" t="s">
        <v>14</v>
      </c>
      <c r="G373" s="27" t="s">
        <v>14</v>
      </c>
      <c r="H373" s="27" t="s">
        <v>14</v>
      </c>
    </row>
    <row r="374" spans="2:8" x14ac:dyDescent="0.3">
      <c r="B374" s="11">
        <v>40728</v>
      </c>
      <c r="C374" s="29" t="str">
        <f t="shared" si="5"/>
        <v/>
      </c>
      <c r="D374" s="8">
        <v>0.5</v>
      </c>
      <c r="E374" s="28" t="s">
        <v>14</v>
      </c>
      <c r="F374" s="7" t="s">
        <v>14</v>
      </c>
      <c r="G374" s="27" t="s">
        <v>14</v>
      </c>
      <c r="H374" s="27" t="s">
        <v>14</v>
      </c>
    </row>
    <row r="375" spans="2:8" x14ac:dyDescent="0.3">
      <c r="B375" s="9">
        <v>40729</v>
      </c>
      <c r="C375" s="29" t="str">
        <f t="shared" si="5"/>
        <v/>
      </c>
      <c r="D375" s="8">
        <v>0.5</v>
      </c>
      <c r="E375" s="28" t="s">
        <v>14</v>
      </c>
      <c r="F375" s="7" t="s">
        <v>14</v>
      </c>
      <c r="G375" s="27" t="s">
        <v>14</v>
      </c>
      <c r="H375" s="27" t="s">
        <v>14</v>
      </c>
    </row>
    <row r="376" spans="2:8" x14ac:dyDescent="0.3">
      <c r="B376" s="11">
        <v>40730</v>
      </c>
      <c r="C376" s="29" t="str">
        <f t="shared" si="5"/>
        <v/>
      </c>
      <c r="D376" s="8">
        <v>0.5</v>
      </c>
      <c r="E376" s="28" t="s">
        <v>14</v>
      </c>
      <c r="F376" s="7" t="s">
        <v>14</v>
      </c>
      <c r="G376" s="27" t="s">
        <v>14</v>
      </c>
      <c r="H376" s="27" t="s">
        <v>14</v>
      </c>
    </row>
    <row r="377" spans="2:8" x14ac:dyDescent="0.3">
      <c r="B377" s="9">
        <v>40731</v>
      </c>
      <c r="C377" s="29" t="str">
        <f t="shared" si="5"/>
        <v/>
      </c>
      <c r="D377" s="8">
        <v>0.5</v>
      </c>
      <c r="E377" s="28" t="s">
        <v>14</v>
      </c>
      <c r="F377" s="7" t="s">
        <v>14</v>
      </c>
      <c r="G377" s="27" t="s">
        <v>14</v>
      </c>
      <c r="H377" s="27" t="s">
        <v>14</v>
      </c>
    </row>
    <row r="378" spans="2:8" x14ac:dyDescent="0.3">
      <c r="B378" s="11">
        <v>40732</v>
      </c>
      <c r="C378" s="29" t="str">
        <f t="shared" si="5"/>
        <v/>
      </c>
      <c r="D378" s="8">
        <v>0.5</v>
      </c>
      <c r="E378" s="28" t="s">
        <v>14</v>
      </c>
      <c r="F378" s="7" t="s">
        <v>14</v>
      </c>
      <c r="G378" s="27" t="s">
        <v>14</v>
      </c>
      <c r="H378" s="27" t="s">
        <v>14</v>
      </c>
    </row>
    <row r="379" spans="2:8" x14ac:dyDescent="0.3">
      <c r="B379" s="9">
        <v>40735</v>
      </c>
      <c r="C379" s="29" t="str">
        <f t="shared" si="5"/>
        <v/>
      </c>
      <c r="D379" s="8">
        <v>0.5</v>
      </c>
      <c r="E379" s="28" t="s">
        <v>14</v>
      </c>
      <c r="F379" s="7" t="s">
        <v>14</v>
      </c>
      <c r="G379" s="27" t="s">
        <v>14</v>
      </c>
      <c r="H379" s="27" t="s">
        <v>14</v>
      </c>
    </row>
    <row r="380" spans="2:8" x14ac:dyDescent="0.3">
      <c r="B380" s="11">
        <v>40736</v>
      </c>
      <c r="C380" s="29" t="str">
        <f t="shared" si="5"/>
        <v/>
      </c>
      <c r="D380" s="8">
        <v>0.5</v>
      </c>
      <c r="E380" s="28" t="s">
        <v>14</v>
      </c>
      <c r="F380" s="7" t="s">
        <v>14</v>
      </c>
      <c r="G380" s="27" t="s">
        <v>14</v>
      </c>
      <c r="H380" s="27" t="s">
        <v>14</v>
      </c>
    </row>
    <row r="381" spans="2:8" x14ac:dyDescent="0.3">
      <c r="B381" s="9">
        <v>40737</v>
      </c>
      <c r="C381" s="29" t="str">
        <f t="shared" si="5"/>
        <v/>
      </c>
      <c r="D381" s="8">
        <v>0.5</v>
      </c>
      <c r="E381" s="28" t="s">
        <v>14</v>
      </c>
      <c r="F381" s="7" t="s">
        <v>14</v>
      </c>
      <c r="G381" s="27" t="s">
        <v>14</v>
      </c>
      <c r="H381" s="27" t="s">
        <v>14</v>
      </c>
    </row>
    <row r="382" spans="2:8" x14ac:dyDescent="0.3">
      <c r="B382" s="11">
        <v>40738</v>
      </c>
      <c r="C382" s="29" t="str">
        <f t="shared" si="5"/>
        <v/>
      </c>
      <c r="D382" s="8">
        <v>0.5</v>
      </c>
      <c r="E382" s="28" t="s">
        <v>14</v>
      </c>
      <c r="F382" s="7" t="s">
        <v>14</v>
      </c>
      <c r="G382" s="27" t="s">
        <v>14</v>
      </c>
      <c r="H382" s="27" t="s">
        <v>14</v>
      </c>
    </row>
    <row r="383" spans="2:8" x14ac:dyDescent="0.3">
      <c r="B383" s="9">
        <v>40739</v>
      </c>
      <c r="C383" s="29" t="str">
        <f t="shared" si="5"/>
        <v/>
      </c>
      <c r="D383" s="8">
        <v>0.5</v>
      </c>
      <c r="E383" s="28" t="s">
        <v>14</v>
      </c>
      <c r="F383" s="7" t="s">
        <v>14</v>
      </c>
      <c r="G383" s="27" t="s">
        <v>14</v>
      </c>
      <c r="H383" s="27" t="s">
        <v>14</v>
      </c>
    </row>
    <row r="384" spans="2:8" x14ac:dyDescent="0.3">
      <c r="B384" s="11">
        <v>40742</v>
      </c>
      <c r="C384" s="29" t="str">
        <f t="shared" si="5"/>
        <v/>
      </c>
      <c r="D384" s="8">
        <v>0.5</v>
      </c>
      <c r="E384" s="28" t="s">
        <v>14</v>
      </c>
      <c r="F384" s="7" t="s">
        <v>14</v>
      </c>
      <c r="G384" s="27" t="s">
        <v>14</v>
      </c>
      <c r="H384" s="27" t="s">
        <v>14</v>
      </c>
    </row>
    <row r="385" spans="2:8" x14ac:dyDescent="0.3">
      <c r="B385" s="9">
        <v>40743</v>
      </c>
      <c r="C385" s="29" t="str">
        <f t="shared" si="5"/>
        <v/>
      </c>
      <c r="D385" s="8">
        <v>0.5</v>
      </c>
      <c r="E385" s="28" t="s">
        <v>14</v>
      </c>
      <c r="F385" s="7" t="s">
        <v>14</v>
      </c>
      <c r="G385" s="27" t="s">
        <v>14</v>
      </c>
      <c r="H385" s="27" t="s">
        <v>14</v>
      </c>
    </row>
    <row r="386" spans="2:8" x14ac:dyDescent="0.3">
      <c r="B386" s="11">
        <v>40744</v>
      </c>
      <c r="C386" s="29" t="str">
        <f t="shared" si="5"/>
        <v/>
      </c>
      <c r="D386" s="8">
        <v>0.5</v>
      </c>
      <c r="E386" s="28" t="s">
        <v>14</v>
      </c>
      <c r="F386" s="7" t="s">
        <v>14</v>
      </c>
      <c r="G386" s="27" t="s">
        <v>14</v>
      </c>
      <c r="H386" s="27" t="s">
        <v>14</v>
      </c>
    </row>
    <row r="387" spans="2:8" x14ac:dyDescent="0.3">
      <c r="B387" s="9">
        <v>40745</v>
      </c>
      <c r="C387" s="29" t="str">
        <f t="shared" ref="C387:C450" si="6">INDEX(D387:H387,MATCH($A$1,$D$1:$H$1,0))</f>
        <v/>
      </c>
      <c r="D387" s="8">
        <v>0.5</v>
      </c>
      <c r="E387" s="28" t="s">
        <v>14</v>
      </c>
      <c r="F387" s="7" t="s">
        <v>14</v>
      </c>
      <c r="G387" s="27" t="s">
        <v>14</v>
      </c>
      <c r="H387" s="27" t="s">
        <v>14</v>
      </c>
    </row>
    <row r="388" spans="2:8" x14ac:dyDescent="0.3">
      <c r="B388" s="11">
        <v>40746</v>
      </c>
      <c r="C388" s="29" t="str">
        <f t="shared" si="6"/>
        <v/>
      </c>
      <c r="D388" s="8">
        <v>0.5</v>
      </c>
      <c r="E388" s="28" t="s">
        <v>14</v>
      </c>
      <c r="F388" s="7" t="s">
        <v>14</v>
      </c>
      <c r="G388" s="27" t="s">
        <v>14</v>
      </c>
      <c r="H388" s="27" t="s">
        <v>14</v>
      </c>
    </row>
    <row r="389" spans="2:8" x14ac:dyDescent="0.3">
      <c r="B389" s="9">
        <v>40749</v>
      </c>
      <c r="C389" s="29" t="str">
        <f t="shared" si="6"/>
        <v/>
      </c>
      <c r="D389" s="8">
        <v>0.5</v>
      </c>
      <c r="E389" s="28" t="s">
        <v>14</v>
      </c>
      <c r="F389" s="7" t="s">
        <v>14</v>
      </c>
      <c r="G389" s="27" t="s">
        <v>14</v>
      </c>
      <c r="H389" s="27" t="s">
        <v>14</v>
      </c>
    </row>
    <row r="390" spans="2:8" x14ac:dyDescent="0.3">
      <c r="B390" s="11">
        <v>40750</v>
      </c>
      <c r="C390" s="29" t="str">
        <f t="shared" si="6"/>
        <v/>
      </c>
      <c r="D390" s="8">
        <v>0.5</v>
      </c>
      <c r="E390" s="28" t="s">
        <v>14</v>
      </c>
      <c r="F390" s="7" t="s">
        <v>14</v>
      </c>
      <c r="G390" s="27" t="s">
        <v>14</v>
      </c>
      <c r="H390" s="27" t="s">
        <v>14</v>
      </c>
    </row>
    <row r="391" spans="2:8" x14ac:dyDescent="0.3">
      <c r="B391" s="9">
        <v>40751</v>
      </c>
      <c r="C391" s="29" t="str">
        <f t="shared" si="6"/>
        <v/>
      </c>
      <c r="D391" s="8">
        <v>0.5</v>
      </c>
      <c r="E391" s="28" t="s">
        <v>14</v>
      </c>
      <c r="F391" s="7" t="s">
        <v>14</v>
      </c>
      <c r="G391" s="27" t="s">
        <v>14</v>
      </c>
      <c r="H391" s="27" t="s">
        <v>14</v>
      </c>
    </row>
    <row r="392" spans="2:8" x14ac:dyDescent="0.3">
      <c r="B392" s="11">
        <v>40752</v>
      </c>
      <c r="C392" s="29" t="str">
        <f t="shared" si="6"/>
        <v/>
      </c>
      <c r="D392" s="8">
        <v>0.5</v>
      </c>
      <c r="E392" s="28" t="s">
        <v>14</v>
      </c>
      <c r="F392" s="7" t="s">
        <v>14</v>
      </c>
      <c r="G392" s="27" t="s">
        <v>14</v>
      </c>
      <c r="H392" s="27" t="s">
        <v>14</v>
      </c>
    </row>
    <row r="393" spans="2:8" x14ac:dyDescent="0.3">
      <c r="B393" s="9">
        <v>40753</v>
      </c>
      <c r="C393" s="29" t="str">
        <f t="shared" si="6"/>
        <v/>
      </c>
      <c r="D393" s="8">
        <v>0.5</v>
      </c>
      <c r="E393" s="28">
        <v>0.5</v>
      </c>
      <c r="F393" s="7" t="s">
        <v>14</v>
      </c>
      <c r="G393" s="27" t="s">
        <v>14</v>
      </c>
      <c r="H393" s="27" t="s">
        <v>14</v>
      </c>
    </row>
    <row r="394" spans="2:8" x14ac:dyDescent="0.3">
      <c r="B394" s="11">
        <v>40756</v>
      </c>
      <c r="C394" s="29" t="str">
        <f t="shared" si="6"/>
        <v/>
      </c>
      <c r="D394" s="8">
        <v>0.5</v>
      </c>
      <c r="E394" s="28" t="s">
        <v>14</v>
      </c>
      <c r="F394" s="7" t="s">
        <v>14</v>
      </c>
      <c r="G394" s="27" t="s">
        <v>14</v>
      </c>
      <c r="H394" s="27" t="s">
        <v>14</v>
      </c>
    </row>
    <row r="395" spans="2:8" x14ac:dyDescent="0.3">
      <c r="B395" s="9">
        <v>40757</v>
      </c>
      <c r="C395" s="29" t="str">
        <f t="shared" si="6"/>
        <v/>
      </c>
      <c r="D395" s="8">
        <v>0.5</v>
      </c>
      <c r="E395" s="28" t="s">
        <v>14</v>
      </c>
      <c r="F395" s="7" t="s">
        <v>14</v>
      </c>
      <c r="G395" s="27" t="s">
        <v>14</v>
      </c>
      <c r="H395" s="27" t="s">
        <v>14</v>
      </c>
    </row>
    <row r="396" spans="2:8" x14ac:dyDescent="0.3">
      <c r="B396" s="11">
        <v>40758</v>
      </c>
      <c r="C396" s="29" t="str">
        <f t="shared" si="6"/>
        <v/>
      </c>
      <c r="D396" s="8">
        <v>0.5</v>
      </c>
      <c r="E396" s="28" t="s">
        <v>14</v>
      </c>
      <c r="F396" s="7" t="s">
        <v>14</v>
      </c>
      <c r="G396" s="27" t="s">
        <v>14</v>
      </c>
      <c r="H396" s="27" t="s">
        <v>14</v>
      </c>
    </row>
    <row r="397" spans="2:8" x14ac:dyDescent="0.3">
      <c r="B397" s="9">
        <v>40759</v>
      </c>
      <c r="C397" s="29" t="str">
        <f t="shared" si="6"/>
        <v/>
      </c>
      <c r="D397" s="8">
        <v>0.5</v>
      </c>
      <c r="E397" s="28" t="s">
        <v>14</v>
      </c>
      <c r="F397" s="7" t="s">
        <v>14</v>
      </c>
      <c r="G397" s="27" t="s">
        <v>14</v>
      </c>
      <c r="H397" s="27" t="s">
        <v>14</v>
      </c>
    </row>
    <row r="398" spans="2:8" x14ac:dyDescent="0.3">
      <c r="B398" s="11">
        <v>40760</v>
      </c>
      <c r="C398" s="29" t="str">
        <f t="shared" si="6"/>
        <v/>
      </c>
      <c r="D398" s="8">
        <v>0.5</v>
      </c>
      <c r="E398" s="28" t="s">
        <v>14</v>
      </c>
      <c r="F398" s="7" t="s">
        <v>14</v>
      </c>
      <c r="G398" s="27" t="s">
        <v>14</v>
      </c>
      <c r="H398" s="27" t="s">
        <v>14</v>
      </c>
    </row>
    <row r="399" spans="2:8" x14ac:dyDescent="0.3">
      <c r="B399" s="9">
        <v>40763</v>
      </c>
      <c r="C399" s="29" t="str">
        <f t="shared" si="6"/>
        <v/>
      </c>
      <c r="D399" s="8">
        <v>0.5</v>
      </c>
      <c r="E399" s="28" t="s">
        <v>14</v>
      </c>
      <c r="F399" s="7" t="s">
        <v>14</v>
      </c>
      <c r="G399" s="27" t="s">
        <v>14</v>
      </c>
      <c r="H399" s="27" t="s">
        <v>14</v>
      </c>
    </row>
    <row r="400" spans="2:8" x14ac:dyDescent="0.3">
      <c r="B400" s="11">
        <v>40764</v>
      </c>
      <c r="C400" s="29" t="str">
        <f t="shared" si="6"/>
        <v/>
      </c>
      <c r="D400" s="8">
        <v>0.5</v>
      </c>
      <c r="E400" s="28" t="s">
        <v>14</v>
      </c>
      <c r="F400" s="7" t="s">
        <v>14</v>
      </c>
      <c r="G400" s="27" t="s">
        <v>14</v>
      </c>
      <c r="H400" s="27" t="s">
        <v>14</v>
      </c>
    </row>
    <row r="401" spans="2:8" x14ac:dyDescent="0.3">
      <c r="B401" s="9">
        <v>40765</v>
      </c>
      <c r="C401" s="29" t="str">
        <f t="shared" si="6"/>
        <v/>
      </c>
      <c r="D401" s="8">
        <v>0.5</v>
      </c>
      <c r="E401" s="28" t="s">
        <v>14</v>
      </c>
      <c r="F401" s="7" t="s">
        <v>14</v>
      </c>
      <c r="G401" s="27" t="s">
        <v>14</v>
      </c>
      <c r="H401" s="27" t="s">
        <v>14</v>
      </c>
    </row>
    <row r="402" spans="2:8" x14ac:dyDescent="0.3">
      <c r="B402" s="11">
        <v>40766</v>
      </c>
      <c r="C402" s="29" t="str">
        <f t="shared" si="6"/>
        <v/>
      </c>
      <c r="D402" s="8">
        <v>0.5</v>
      </c>
      <c r="E402" s="28" t="s">
        <v>14</v>
      </c>
      <c r="F402" s="7" t="s">
        <v>14</v>
      </c>
      <c r="G402" s="27" t="s">
        <v>14</v>
      </c>
      <c r="H402" s="27" t="s">
        <v>14</v>
      </c>
    </row>
    <row r="403" spans="2:8" x14ac:dyDescent="0.3">
      <c r="B403" s="9">
        <v>40767</v>
      </c>
      <c r="C403" s="29" t="str">
        <f t="shared" si="6"/>
        <v/>
      </c>
      <c r="D403" s="8">
        <v>0.5</v>
      </c>
      <c r="E403" s="28" t="s">
        <v>14</v>
      </c>
      <c r="F403" s="7" t="s">
        <v>14</v>
      </c>
      <c r="G403" s="27" t="s">
        <v>14</v>
      </c>
      <c r="H403" s="27" t="s">
        <v>14</v>
      </c>
    </row>
    <row r="404" spans="2:8" x14ac:dyDescent="0.3">
      <c r="B404" s="11">
        <v>40770</v>
      </c>
      <c r="C404" s="29" t="str">
        <f t="shared" si="6"/>
        <v/>
      </c>
      <c r="D404" s="8">
        <v>0.5</v>
      </c>
      <c r="E404" s="28" t="s">
        <v>14</v>
      </c>
      <c r="F404" s="7" t="s">
        <v>14</v>
      </c>
      <c r="G404" s="27" t="s">
        <v>14</v>
      </c>
      <c r="H404" s="27" t="s">
        <v>14</v>
      </c>
    </row>
    <row r="405" spans="2:8" x14ac:dyDescent="0.3">
      <c r="B405" s="9">
        <v>40771</v>
      </c>
      <c r="C405" s="29" t="str">
        <f t="shared" si="6"/>
        <v/>
      </c>
      <c r="D405" s="8">
        <v>0.5</v>
      </c>
      <c r="E405" s="28" t="s">
        <v>14</v>
      </c>
      <c r="F405" s="7" t="s">
        <v>14</v>
      </c>
      <c r="G405" s="27" t="s">
        <v>14</v>
      </c>
      <c r="H405" s="27" t="s">
        <v>14</v>
      </c>
    </row>
    <row r="406" spans="2:8" x14ac:dyDescent="0.3">
      <c r="B406" s="11">
        <v>40772</v>
      </c>
      <c r="C406" s="29" t="str">
        <f t="shared" si="6"/>
        <v/>
      </c>
      <c r="D406" s="8">
        <v>0.5</v>
      </c>
      <c r="E406" s="28" t="s">
        <v>14</v>
      </c>
      <c r="F406" s="7" t="s">
        <v>14</v>
      </c>
      <c r="G406" s="27" t="s">
        <v>14</v>
      </c>
      <c r="H406" s="27" t="s">
        <v>14</v>
      </c>
    </row>
    <row r="407" spans="2:8" x14ac:dyDescent="0.3">
      <c r="B407" s="9">
        <v>40773</v>
      </c>
      <c r="C407" s="29" t="str">
        <f t="shared" si="6"/>
        <v/>
      </c>
      <c r="D407" s="8">
        <v>0.5</v>
      </c>
      <c r="E407" s="28" t="s">
        <v>14</v>
      </c>
      <c r="F407" s="7" t="s">
        <v>14</v>
      </c>
      <c r="G407" s="27" t="s">
        <v>14</v>
      </c>
      <c r="H407" s="27" t="s">
        <v>14</v>
      </c>
    </row>
    <row r="408" spans="2:8" x14ac:dyDescent="0.3">
      <c r="B408" s="11">
        <v>40774</v>
      </c>
      <c r="C408" s="29" t="str">
        <f t="shared" si="6"/>
        <v/>
      </c>
      <c r="D408" s="8">
        <v>0.5</v>
      </c>
      <c r="E408" s="28" t="s">
        <v>14</v>
      </c>
      <c r="F408" s="7" t="s">
        <v>14</v>
      </c>
      <c r="G408" s="27" t="s">
        <v>14</v>
      </c>
      <c r="H408" s="27" t="s">
        <v>14</v>
      </c>
    </row>
    <row r="409" spans="2:8" x14ac:dyDescent="0.3">
      <c r="B409" s="9">
        <v>40777</v>
      </c>
      <c r="C409" s="29" t="str">
        <f t="shared" si="6"/>
        <v/>
      </c>
      <c r="D409" s="8">
        <v>0.5</v>
      </c>
      <c r="E409" s="28" t="s">
        <v>14</v>
      </c>
      <c r="F409" s="7" t="s">
        <v>14</v>
      </c>
      <c r="G409" s="27" t="s">
        <v>14</v>
      </c>
      <c r="H409" s="27" t="s">
        <v>14</v>
      </c>
    </row>
    <row r="410" spans="2:8" x14ac:dyDescent="0.3">
      <c r="B410" s="11">
        <v>40778</v>
      </c>
      <c r="C410" s="29" t="str">
        <f t="shared" si="6"/>
        <v/>
      </c>
      <c r="D410" s="8">
        <v>0.5</v>
      </c>
      <c r="E410" s="28" t="s">
        <v>14</v>
      </c>
      <c r="F410" s="7" t="s">
        <v>14</v>
      </c>
      <c r="G410" s="27" t="s">
        <v>14</v>
      </c>
      <c r="H410" s="27" t="s">
        <v>14</v>
      </c>
    </row>
    <row r="411" spans="2:8" x14ac:dyDescent="0.3">
      <c r="B411" s="9">
        <v>40779</v>
      </c>
      <c r="C411" s="29" t="str">
        <f t="shared" si="6"/>
        <v/>
      </c>
      <c r="D411" s="8">
        <v>0.5</v>
      </c>
      <c r="E411" s="28" t="s">
        <v>14</v>
      </c>
      <c r="F411" s="7" t="s">
        <v>14</v>
      </c>
      <c r="G411" s="27" t="s">
        <v>14</v>
      </c>
      <c r="H411" s="27" t="s">
        <v>14</v>
      </c>
    </row>
    <row r="412" spans="2:8" x14ac:dyDescent="0.3">
      <c r="B412" s="11">
        <v>40780</v>
      </c>
      <c r="C412" s="29" t="str">
        <f t="shared" si="6"/>
        <v/>
      </c>
      <c r="D412" s="8">
        <v>0.5</v>
      </c>
      <c r="E412" s="28" t="s">
        <v>14</v>
      </c>
      <c r="F412" s="7" t="s">
        <v>14</v>
      </c>
      <c r="G412" s="27" t="s">
        <v>14</v>
      </c>
      <c r="H412" s="27" t="s">
        <v>14</v>
      </c>
    </row>
    <row r="413" spans="2:8" x14ac:dyDescent="0.3">
      <c r="B413" s="9">
        <v>40781</v>
      </c>
      <c r="C413" s="29" t="str">
        <f t="shared" si="6"/>
        <v/>
      </c>
      <c r="D413" s="8">
        <v>0.5</v>
      </c>
      <c r="E413" s="28" t="s">
        <v>14</v>
      </c>
      <c r="F413" s="7" t="s">
        <v>14</v>
      </c>
      <c r="G413" s="27" t="s">
        <v>14</v>
      </c>
      <c r="H413" s="27" t="s">
        <v>14</v>
      </c>
    </row>
    <row r="414" spans="2:8" x14ac:dyDescent="0.3">
      <c r="B414" s="11">
        <v>40784</v>
      </c>
      <c r="C414" s="29" t="str">
        <f t="shared" si="6"/>
        <v/>
      </c>
      <c r="D414" s="8">
        <v>0.5</v>
      </c>
      <c r="E414" s="28" t="s">
        <v>14</v>
      </c>
      <c r="F414" s="7" t="s">
        <v>14</v>
      </c>
      <c r="G414" s="27" t="s">
        <v>14</v>
      </c>
      <c r="H414" s="27" t="s">
        <v>14</v>
      </c>
    </row>
    <row r="415" spans="2:8" x14ac:dyDescent="0.3">
      <c r="B415" s="9">
        <v>40785</v>
      </c>
      <c r="C415" s="29" t="str">
        <f t="shared" si="6"/>
        <v/>
      </c>
      <c r="D415" s="8">
        <v>0.5</v>
      </c>
      <c r="E415" s="28" t="s">
        <v>14</v>
      </c>
      <c r="F415" s="7" t="s">
        <v>14</v>
      </c>
      <c r="G415" s="27" t="s">
        <v>14</v>
      </c>
      <c r="H415" s="27" t="s">
        <v>14</v>
      </c>
    </row>
    <row r="416" spans="2:8" x14ac:dyDescent="0.3">
      <c r="B416" s="11">
        <v>40786</v>
      </c>
      <c r="C416" s="29" t="str">
        <f t="shared" si="6"/>
        <v/>
      </c>
      <c r="D416" s="8">
        <v>0.5</v>
      </c>
      <c r="E416" s="28">
        <v>0.5</v>
      </c>
      <c r="F416" s="7" t="s">
        <v>14</v>
      </c>
      <c r="G416" s="27" t="s">
        <v>14</v>
      </c>
      <c r="H416" s="27" t="s">
        <v>14</v>
      </c>
    </row>
    <row r="417" spans="2:8" x14ac:dyDescent="0.3">
      <c r="B417" s="9">
        <v>40787</v>
      </c>
      <c r="C417" s="29" t="str">
        <f t="shared" si="6"/>
        <v/>
      </c>
      <c r="D417" s="8">
        <v>0.5</v>
      </c>
      <c r="E417" s="28" t="s">
        <v>14</v>
      </c>
      <c r="F417" s="7" t="s">
        <v>14</v>
      </c>
      <c r="G417" s="27" t="s">
        <v>14</v>
      </c>
      <c r="H417" s="27" t="s">
        <v>14</v>
      </c>
    </row>
    <row r="418" spans="2:8" x14ac:dyDescent="0.3">
      <c r="B418" s="11">
        <v>40788</v>
      </c>
      <c r="C418" s="29" t="str">
        <f t="shared" si="6"/>
        <v/>
      </c>
      <c r="D418" s="8">
        <v>0.5</v>
      </c>
      <c r="E418" s="28" t="s">
        <v>14</v>
      </c>
      <c r="F418" s="7" t="s">
        <v>14</v>
      </c>
      <c r="G418" s="27" t="s">
        <v>14</v>
      </c>
      <c r="H418" s="27" t="s">
        <v>14</v>
      </c>
    </row>
    <row r="419" spans="2:8" x14ac:dyDescent="0.3">
      <c r="B419" s="9">
        <v>40791</v>
      </c>
      <c r="C419" s="29" t="str">
        <f t="shared" si="6"/>
        <v/>
      </c>
      <c r="D419" s="8">
        <v>0.5</v>
      </c>
      <c r="E419" s="28" t="s">
        <v>14</v>
      </c>
      <c r="F419" s="7" t="s">
        <v>14</v>
      </c>
      <c r="G419" s="27" t="s">
        <v>14</v>
      </c>
      <c r="H419" s="27" t="s">
        <v>14</v>
      </c>
    </row>
    <row r="420" spans="2:8" x14ac:dyDescent="0.3">
      <c r="B420" s="11">
        <v>40792</v>
      </c>
      <c r="C420" s="29" t="str">
        <f t="shared" si="6"/>
        <v/>
      </c>
      <c r="D420" s="8">
        <v>0.5</v>
      </c>
      <c r="E420" s="28" t="s">
        <v>14</v>
      </c>
      <c r="F420" s="7" t="s">
        <v>14</v>
      </c>
      <c r="G420" s="27" t="s">
        <v>14</v>
      </c>
      <c r="H420" s="27" t="s">
        <v>14</v>
      </c>
    </row>
    <row r="421" spans="2:8" x14ac:dyDescent="0.3">
      <c r="B421" s="9">
        <v>40794</v>
      </c>
      <c r="C421" s="29" t="str">
        <f t="shared" si="6"/>
        <v/>
      </c>
      <c r="D421" s="8">
        <v>0.5</v>
      </c>
      <c r="E421" s="28" t="s">
        <v>14</v>
      </c>
      <c r="F421" s="7" t="s">
        <v>14</v>
      </c>
      <c r="G421" s="27" t="s">
        <v>14</v>
      </c>
      <c r="H421" s="27" t="s">
        <v>14</v>
      </c>
    </row>
    <row r="422" spans="2:8" x14ac:dyDescent="0.3">
      <c r="B422" s="11">
        <v>40795</v>
      </c>
      <c r="C422" s="29" t="str">
        <f t="shared" si="6"/>
        <v/>
      </c>
      <c r="D422" s="8">
        <v>0.5</v>
      </c>
      <c r="E422" s="28" t="s">
        <v>14</v>
      </c>
      <c r="F422" s="7" t="s">
        <v>14</v>
      </c>
      <c r="G422" s="27" t="s">
        <v>14</v>
      </c>
      <c r="H422" s="27" t="s">
        <v>14</v>
      </c>
    </row>
    <row r="423" spans="2:8" x14ac:dyDescent="0.3">
      <c r="B423" s="9">
        <v>40798</v>
      </c>
      <c r="C423" s="29" t="str">
        <f t="shared" si="6"/>
        <v/>
      </c>
      <c r="D423" s="8">
        <v>0.5</v>
      </c>
      <c r="E423" s="28" t="s">
        <v>14</v>
      </c>
      <c r="F423" s="7" t="s">
        <v>14</v>
      </c>
      <c r="G423" s="27" t="s">
        <v>14</v>
      </c>
      <c r="H423" s="27" t="s">
        <v>14</v>
      </c>
    </row>
    <row r="424" spans="2:8" x14ac:dyDescent="0.3">
      <c r="B424" s="11">
        <v>40799</v>
      </c>
      <c r="C424" s="29" t="str">
        <f t="shared" si="6"/>
        <v/>
      </c>
      <c r="D424" s="8">
        <v>0.5</v>
      </c>
      <c r="E424" s="28" t="s">
        <v>14</v>
      </c>
      <c r="F424" s="7" t="s">
        <v>14</v>
      </c>
      <c r="G424" s="27" t="s">
        <v>14</v>
      </c>
      <c r="H424" s="27" t="s">
        <v>14</v>
      </c>
    </row>
    <row r="425" spans="2:8" x14ac:dyDescent="0.3">
      <c r="B425" s="9">
        <v>40800</v>
      </c>
      <c r="C425" s="29" t="str">
        <f t="shared" si="6"/>
        <v/>
      </c>
      <c r="D425" s="8">
        <v>0.5</v>
      </c>
      <c r="E425" s="28" t="s">
        <v>14</v>
      </c>
      <c r="F425" s="7" t="s">
        <v>14</v>
      </c>
      <c r="G425" s="27" t="s">
        <v>14</v>
      </c>
      <c r="H425" s="27" t="s">
        <v>14</v>
      </c>
    </row>
    <row r="426" spans="2:8" x14ac:dyDescent="0.3">
      <c r="B426" s="11">
        <v>40801</v>
      </c>
      <c r="C426" s="29" t="str">
        <f t="shared" si="6"/>
        <v/>
      </c>
      <c r="D426" s="8">
        <v>0.5</v>
      </c>
      <c r="E426" s="28" t="s">
        <v>14</v>
      </c>
      <c r="F426" s="7" t="s">
        <v>14</v>
      </c>
      <c r="G426" s="27" t="s">
        <v>14</v>
      </c>
      <c r="H426" s="27" t="s">
        <v>14</v>
      </c>
    </row>
    <row r="427" spans="2:8" x14ac:dyDescent="0.3">
      <c r="B427" s="9">
        <v>40802</v>
      </c>
      <c r="C427" s="29" t="str">
        <f t="shared" si="6"/>
        <v/>
      </c>
      <c r="D427" s="8">
        <v>0.5</v>
      </c>
      <c r="E427" s="28" t="s">
        <v>14</v>
      </c>
      <c r="F427" s="7" t="s">
        <v>14</v>
      </c>
      <c r="G427" s="27" t="s">
        <v>14</v>
      </c>
      <c r="H427" s="27" t="s">
        <v>14</v>
      </c>
    </row>
    <row r="428" spans="2:8" x14ac:dyDescent="0.3">
      <c r="B428" s="11">
        <v>40805</v>
      </c>
      <c r="C428" s="29" t="str">
        <f t="shared" si="6"/>
        <v/>
      </c>
      <c r="D428" s="8">
        <v>0.5</v>
      </c>
      <c r="E428" s="28" t="s">
        <v>14</v>
      </c>
      <c r="F428" s="7" t="s">
        <v>14</v>
      </c>
      <c r="G428" s="27" t="s">
        <v>14</v>
      </c>
      <c r="H428" s="27" t="s">
        <v>14</v>
      </c>
    </row>
    <row r="429" spans="2:8" x14ac:dyDescent="0.3">
      <c r="B429" s="9">
        <v>40806</v>
      </c>
      <c r="C429" s="29" t="str">
        <f t="shared" si="6"/>
        <v/>
      </c>
      <c r="D429" s="8">
        <v>0.5</v>
      </c>
      <c r="E429" s="28" t="s">
        <v>14</v>
      </c>
      <c r="F429" s="7" t="s">
        <v>14</v>
      </c>
      <c r="G429" s="27" t="s">
        <v>14</v>
      </c>
      <c r="H429" s="27" t="s">
        <v>14</v>
      </c>
    </row>
    <row r="430" spans="2:8" x14ac:dyDescent="0.3">
      <c r="B430" s="11">
        <v>40807</v>
      </c>
      <c r="C430" s="29" t="str">
        <f t="shared" si="6"/>
        <v/>
      </c>
      <c r="D430" s="8">
        <v>0.5</v>
      </c>
      <c r="E430" s="28" t="s">
        <v>14</v>
      </c>
      <c r="F430" s="7" t="s">
        <v>14</v>
      </c>
      <c r="G430" s="27" t="s">
        <v>14</v>
      </c>
      <c r="H430" s="27" t="s">
        <v>14</v>
      </c>
    </row>
    <row r="431" spans="2:8" x14ac:dyDescent="0.3">
      <c r="B431" s="9">
        <v>40808</v>
      </c>
      <c r="C431" s="29" t="str">
        <f t="shared" si="6"/>
        <v/>
      </c>
      <c r="D431" s="8">
        <v>0.5</v>
      </c>
      <c r="E431" s="28" t="s">
        <v>14</v>
      </c>
      <c r="F431" s="7" t="s">
        <v>14</v>
      </c>
      <c r="G431" s="27" t="s">
        <v>14</v>
      </c>
      <c r="H431" s="27" t="s">
        <v>14</v>
      </c>
    </row>
    <row r="432" spans="2:8" x14ac:dyDescent="0.3">
      <c r="B432" s="11">
        <v>40809</v>
      </c>
      <c r="C432" s="29" t="str">
        <f t="shared" si="6"/>
        <v/>
      </c>
      <c r="D432" s="8">
        <v>0.5</v>
      </c>
      <c r="E432" s="28" t="s">
        <v>14</v>
      </c>
      <c r="F432" s="7" t="s">
        <v>14</v>
      </c>
      <c r="G432" s="27" t="s">
        <v>14</v>
      </c>
      <c r="H432" s="27" t="s">
        <v>14</v>
      </c>
    </row>
    <row r="433" spans="2:8" x14ac:dyDescent="0.3">
      <c r="B433" s="9">
        <v>40812</v>
      </c>
      <c r="C433" s="29" t="str">
        <f t="shared" si="6"/>
        <v/>
      </c>
      <c r="D433" s="8">
        <v>0.5</v>
      </c>
      <c r="E433" s="28" t="s">
        <v>14</v>
      </c>
      <c r="F433" s="7" t="s">
        <v>14</v>
      </c>
      <c r="G433" s="27" t="s">
        <v>14</v>
      </c>
      <c r="H433" s="27" t="s">
        <v>14</v>
      </c>
    </row>
    <row r="434" spans="2:8" x14ac:dyDescent="0.3">
      <c r="B434" s="11">
        <v>40813</v>
      </c>
      <c r="C434" s="29" t="str">
        <f t="shared" si="6"/>
        <v/>
      </c>
      <c r="D434" s="8">
        <v>0.5</v>
      </c>
      <c r="E434" s="28" t="s">
        <v>14</v>
      </c>
      <c r="F434" s="7" t="s">
        <v>14</v>
      </c>
      <c r="G434" s="27" t="s">
        <v>14</v>
      </c>
      <c r="H434" s="27" t="s">
        <v>14</v>
      </c>
    </row>
    <row r="435" spans="2:8" x14ac:dyDescent="0.3">
      <c r="B435" s="9">
        <v>40814</v>
      </c>
      <c r="C435" s="29" t="str">
        <f t="shared" si="6"/>
        <v/>
      </c>
      <c r="D435" s="8">
        <v>0.5</v>
      </c>
      <c r="E435" s="28" t="s">
        <v>14</v>
      </c>
      <c r="F435" s="7" t="s">
        <v>14</v>
      </c>
      <c r="G435" s="27" t="s">
        <v>14</v>
      </c>
      <c r="H435" s="27" t="s">
        <v>14</v>
      </c>
    </row>
    <row r="436" spans="2:8" x14ac:dyDescent="0.3">
      <c r="B436" s="11">
        <v>40815</v>
      </c>
      <c r="C436" s="29" t="str">
        <f t="shared" si="6"/>
        <v/>
      </c>
      <c r="D436" s="8">
        <v>0.5</v>
      </c>
      <c r="E436" s="28" t="s">
        <v>14</v>
      </c>
      <c r="F436" s="7" t="s">
        <v>14</v>
      </c>
      <c r="G436" s="27" t="s">
        <v>14</v>
      </c>
      <c r="H436" s="27" t="s">
        <v>14</v>
      </c>
    </row>
    <row r="437" spans="2:8" x14ac:dyDescent="0.3">
      <c r="B437" s="9">
        <v>40816</v>
      </c>
      <c r="C437" s="29">
        <f t="shared" si="6"/>
        <v>0</v>
      </c>
      <c r="D437" s="8">
        <v>0.5</v>
      </c>
      <c r="E437" s="28">
        <v>0.5</v>
      </c>
      <c r="F437" s="7">
        <v>0.5</v>
      </c>
    </row>
    <row r="438" spans="2:8" x14ac:dyDescent="0.3">
      <c r="B438" s="11">
        <v>40819</v>
      </c>
      <c r="C438" s="29" t="str">
        <f t="shared" si="6"/>
        <v/>
      </c>
      <c r="D438" s="8">
        <v>0.5</v>
      </c>
      <c r="E438" s="28" t="s">
        <v>14</v>
      </c>
      <c r="F438" s="7" t="s">
        <v>14</v>
      </c>
      <c r="G438" s="27" t="s">
        <v>14</v>
      </c>
      <c r="H438" s="27" t="s">
        <v>14</v>
      </c>
    </row>
    <row r="439" spans="2:8" x14ac:dyDescent="0.3">
      <c r="B439" s="9">
        <v>40820</v>
      </c>
      <c r="C439" s="29" t="str">
        <f t="shared" si="6"/>
        <v/>
      </c>
      <c r="D439" s="8">
        <v>0.5</v>
      </c>
      <c r="E439" s="28" t="s">
        <v>14</v>
      </c>
      <c r="F439" s="7" t="s">
        <v>14</v>
      </c>
      <c r="G439" s="27" t="s">
        <v>14</v>
      </c>
      <c r="H439" s="27" t="s">
        <v>14</v>
      </c>
    </row>
    <row r="440" spans="2:8" x14ac:dyDescent="0.3">
      <c r="B440" s="11">
        <v>40821</v>
      </c>
      <c r="C440" s="29" t="str">
        <f t="shared" si="6"/>
        <v/>
      </c>
      <c r="D440" s="8">
        <v>0.5</v>
      </c>
      <c r="E440" s="28" t="s">
        <v>14</v>
      </c>
      <c r="F440" s="7" t="s">
        <v>14</v>
      </c>
      <c r="G440" s="27" t="s">
        <v>14</v>
      </c>
      <c r="H440" s="27" t="s">
        <v>14</v>
      </c>
    </row>
    <row r="441" spans="2:8" x14ac:dyDescent="0.3">
      <c r="B441" s="9">
        <v>40822</v>
      </c>
      <c r="C441" s="29" t="str">
        <f t="shared" si="6"/>
        <v/>
      </c>
      <c r="D441" s="8">
        <v>0.5</v>
      </c>
      <c r="E441" s="28" t="s">
        <v>14</v>
      </c>
      <c r="F441" s="7" t="s">
        <v>14</v>
      </c>
      <c r="G441" s="27" t="s">
        <v>14</v>
      </c>
      <c r="H441" s="27" t="s">
        <v>14</v>
      </c>
    </row>
    <row r="442" spans="2:8" x14ac:dyDescent="0.3">
      <c r="B442" s="11">
        <v>40823</v>
      </c>
      <c r="C442" s="29" t="str">
        <f t="shared" si="6"/>
        <v/>
      </c>
      <c r="D442" s="8">
        <v>0.5</v>
      </c>
      <c r="E442" s="28" t="s">
        <v>14</v>
      </c>
      <c r="F442" s="7" t="s">
        <v>14</v>
      </c>
      <c r="G442" s="27" t="s">
        <v>14</v>
      </c>
      <c r="H442" s="27" t="s">
        <v>14</v>
      </c>
    </row>
    <row r="443" spans="2:8" x14ac:dyDescent="0.3">
      <c r="B443" s="9">
        <v>40826</v>
      </c>
      <c r="C443" s="29" t="str">
        <f t="shared" si="6"/>
        <v/>
      </c>
      <c r="D443" s="8">
        <v>0.5</v>
      </c>
      <c r="E443" s="28" t="s">
        <v>14</v>
      </c>
      <c r="F443" s="7" t="s">
        <v>14</v>
      </c>
      <c r="G443" s="27" t="s">
        <v>14</v>
      </c>
      <c r="H443" s="27" t="s">
        <v>14</v>
      </c>
    </row>
    <row r="444" spans="2:8" x14ac:dyDescent="0.3">
      <c r="B444" s="11">
        <v>40827</v>
      </c>
      <c r="C444" s="29" t="str">
        <f t="shared" si="6"/>
        <v/>
      </c>
      <c r="D444" s="8">
        <v>0.5</v>
      </c>
      <c r="E444" s="28" t="s">
        <v>14</v>
      </c>
      <c r="F444" s="7" t="s">
        <v>14</v>
      </c>
      <c r="G444" s="27" t="s">
        <v>14</v>
      </c>
      <c r="H444" s="27" t="s">
        <v>14</v>
      </c>
    </row>
    <row r="445" spans="2:8" x14ac:dyDescent="0.3">
      <c r="B445" s="9">
        <v>40829</v>
      </c>
      <c r="C445" s="29" t="str">
        <f t="shared" si="6"/>
        <v/>
      </c>
      <c r="D445" s="8">
        <v>0.5</v>
      </c>
      <c r="E445" s="28" t="s">
        <v>14</v>
      </c>
      <c r="F445" s="7" t="s">
        <v>14</v>
      </c>
      <c r="G445" s="27" t="s">
        <v>14</v>
      </c>
      <c r="H445" s="27" t="s">
        <v>14</v>
      </c>
    </row>
    <row r="446" spans="2:8" x14ac:dyDescent="0.3">
      <c r="B446" s="11">
        <v>40830</v>
      </c>
      <c r="C446" s="29" t="str">
        <f t="shared" si="6"/>
        <v/>
      </c>
      <c r="D446" s="8">
        <v>0.5</v>
      </c>
      <c r="E446" s="28" t="s">
        <v>14</v>
      </c>
      <c r="F446" s="7" t="s">
        <v>14</v>
      </c>
      <c r="G446" s="27" t="s">
        <v>14</v>
      </c>
      <c r="H446" s="27" t="s">
        <v>14</v>
      </c>
    </row>
    <row r="447" spans="2:8" x14ac:dyDescent="0.3">
      <c r="B447" s="9">
        <v>40833</v>
      </c>
      <c r="C447" s="29" t="str">
        <f t="shared" si="6"/>
        <v/>
      </c>
      <c r="D447" s="8">
        <v>0.5</v>
      </c>
      <c r="E447" s="28" t="s">
        <v>14</v>
      </c>
      <c r="F447" s="7" t="s">
        <v>14</v>
      </c>
      <c r="G447" s="27" t="s">
        <v>14</v>
      </c>
      <c r="H447" s="27" t="s">
        <v>14</v>
      </c>
    </row>
    <row r="448" spans="2:8" x14ac:dyDescent="0.3">
      <c r="B448" s="11">
        <v>40834</v>
      </c>
      <c r="C448" s="29" t="str">
        <f t="shared" si="6"/>
        <v/>
      </c>
      <c r="D448" s="8">
        <v>0.5</v>
      </c>
      <c r="E448" s="28" t="s">
        <v>14</v>
      </c>
      <c r="F448" s="7" t="s">
        <v>14</v>
      </c>
      <c r="G448" s="27" t="s">
        <v>14</v>
      </c>
      <c r="H448" s="27" t="s">
        <v>14</v>
      </c>
    </row>
    <row r="449" spans="2:8" x14ac:dyDescent="0.3">
      <c r="B449" s="9">
        <v>40835</v>
      </c>
      <c r="C449" s="29" t="str">
        <f t="shared" si="6"/>
        <v/>
      </c>
      <c r="D449" s="8">
        <v>0.5</v>
      </c>
      <c r="E449" s="28" t="s">
        <v>14</v>
      </c>
      <c r="F449" s="7" t="s">
        <v>14</v>
      </c>
      <c r="G449" s="27" t="s">
        <v>14</v>
      </c>
      <c r="H449" s="27" t="s">
        <v>14</v>
      </c>
    </row>
    <row r="450" spans="2:8" x14ac:dyDescent="0.3">
      <c r="B450" s="11">
        <v>40836</v>
      </c>
      <c r="C450" s="29" t="str">
        <f t="shared" si="6"/>
        <v/>
      </c>
      <c r="D450" s="8">
        <v>0.5</v>
      </c>
      <c r="E450" s="28" t="s">
        <v>14</v>
      </c>
      <c r="F450" s="7" t="s">
        <v>14</v>
      </c>
      <c r="G450" s="27" t="s">
        <v>14</v>
      </c>
      <c r="H450" s="27" t="s">
        <v>14</v>
      </c>
    </row>
    <row r="451" spans="2:8" x14ac:dyDescent="0.3">
      <c r="B451" s="9">
        <v>40837</v>
      </c>
      <c r="C451" s="29" t="str">
        <f t="shared" ref="C451:C514" si="7">INDEX(D451:H451,MATCH($A$1,$D$1:$H$1,0))</f>
        <v/>
      </c>
      <c r="D451" s="8">
        <v>0.5</v>
      </c>
      <c r="E451" s="28" t="s">
        <v>14</v>
      </c>
      <c r="F451" s="7" t="s">
        <v>14</v>
      </c>
      <c r="G451" s="27" t="s">
        <v>14</v>
      </c>
      <c r="H451" s="27" t="s">
        <v>14</v>
      </c>
    </row>
    <row r="452" spans="2:8" x14ac:dyDescent="0.3">
      <c r="B452" s="11">
        <v>40840</v>
      </c>
      <c r="C452" s="29" t="str">
        <f t="shared" si="7"/>
        <v/>
      </c>
      <c r="D452" s="8">
        <v>0.5</v>
      </c>
      <c r="E452" s="28" t="s">
        <v>14</v>
      </c>
      <c r="F452" s="7" t="s">
        <v>14</v>
      </c>
      <c r="G452" s="27" t="s">
        <v>14</v>
      </c>
      <c r="H452" s="27" t="s">
        <v>14</v>
      </c>
    </row>
    <row r="453" spans="2:8" x14ac:dyDescent="0.3">
      <c r="B453" s="9">
        <v>40841</v>
      </c>
      <c r="C453" s="29" t="str">
        <f t="shared" si="7"/>
        <v/>
      </c>
      <c r="D453" s="8">
        <v>0.5</v>
      </c>
      <c r="E453" s="28" t="s">
        <v>14</v>
      </c>
      <c r="F453" s="7" t="s">
        <v>14</v>
      </c>
      <c r="G453" s="27" t="s">
        <v>14</v>
      </c>
      <c r="H453" s="27" t="s">
        <v>14</v>
      </c>
    </row>
    <row r="454" spans="2:8" x14ac:dyDescent="0.3">
      <c r="B454" s="11">
        <v>40842</v>
      </c>
      <c r="C454" s="29" t="str">
        <f t="shared" si="7"/>
        <v/>
      </c>
      <c r="D454" s="8">
        <v>0.5</v>
      </c>
      <c r="E454" s="28" t="s">
        <v>14</v>
      </c>
      <c r="F454" s="7" t="s">
        <v>14</v>
      </c>
      <c r="G454" s="27" t="s">
        <v>14</v>
      </c>
      <c r="H454" s="27" t="s">
        <v>14</v>
      </c>
    </row>
    <row r="455" spans="2:8" x14ac:dyDescent="0.3">
      <c r="B455" s="9">
        <v>40843</v>
      </c>
      <c r="C455" s="29" t="str">
        <f t="shared" si="7"/>
        <v/>
      </c>
      <c r="D455" s="8">
        <v>0.5</v>
      </c>
      <c r="E455" s="28" t="s">
        <v>14</v>
      </c>
      <c r="F455" s="7" t="s">
        <v>14</v>
      </c>
      <c r="G455" s="27" t="s">
        <v>14</v>
      </c>
      <c r="H455" s="27" t="s">
        <v>14</v>
      </c>
    </row>
    <row r="456" spans="2:8" x14ac:dyDescent="0.3">
      <c r="B456" s="11">
        <v>40844</v>
      </c>
      <c r="C456" s="29" t="str">
        <f t="shared" si="7"/>
        <v/>
      </c>
      <c r="D456" s="8">
        <v>0.5</v>
      </c>
      <c r="E456" s="28" t="s">
        <v>14</v>
      </c>
      <c r="F456" s="7" t="s">
        <v>14</v>
      </c>
      <c r="G456" s="27" t="s">
        <v>14</v>
      </c>
      <c r="H456" s="27" t="s">
        <v>14</v>
      </c>
    </row>
    <row r="457" spans="2:8" x14ac:dyDescent="0.3">
      <c r="B457" s="9">
        <v>40847</v>
      </c>
      <c r="C457" s="29" t="str">
        <f t="shared" si="7"/>
        <v/>
      </c>
      <c r="D457" s="8">
        <v>0.5</v>
      </c>
      <c r="E457" s="28">
        <v>0.5</v>
      </c>
      <c r="F457" s="7" t="s">
        <v>14</v>
      </c>
      <c r="G457" s="27" t="s">
        <v>14</v>
      </c>
      <c r="H457" s="27" t="s">
        <v>14</v>
      </c>
    </row>
    <row r="458" spans="2:8" x14ac:dyDescent="0.3">
      <c r="B458" s="11">
        <v>40848</v>
      </c>
      <c r="C458" s="29" t="str">
        <f t="shared" si="7"/>
        <v/>
      </c>
      <c r="D458" s="8">
        <v>0.5</v>
      </c>
      <c r="E458" s="28" t="s">
        <v>14</v>
      </c>
      <c r="F458" s="7" t="s">
        <v>14</v>
      </c>
      <c r="G458" s="27" t="s">
        <v>14</v>
      </c>
      <c r="H458" s="27" t="s">
        <v>14</v>
      </c>
    </row>
    <row r="459" spans="2:8" x14ac:dyDescent="0.3">
      <c r="B459" s="9">
        <v>40850</v>
      </c>
      <c r="C459" s="29" t="str">
        <f t="shared" si="7"/>
        <v/>
      </c>
      <c r="D459" s="8">
        <v>0.5</v>
      </c>
      <c r="E459" s="28" t="s">
        <v>14</v>
      </c>
      <c r="F459" s="7" t="s">
        <v>14</v>
      </c>
      <c r="G459" s="27" t="s">
        <v>14</v>
      </c>
      <c r="H459" s="27" t="s">
        <v>14</v>
      </c>
    </row>
    <row r="460" spans="2:8" x14ac:dyDescent="0.3">
      <c r="B460" s="11">
        <v>40851</v>
      </c>
      <c r="C460" s="29" t="str">
        <f t="shared" si="7"/>
        <v/>
      </c>
      <c r="D460" s="8">
        <v>0.5</v>
      </c>
      <c r="E460" s="28" t="s">
        <v>14</v>
      </c>
      <c r="F460" s="7" t="s">
        <v>14</v>
      </c>
      <c r="G460" s="27" t="s">
        <v>14</v>
      </c>
      <c r="H460" s="27" t="s">
        <v>14</v>
      </c>
    </row>
    <row r="461" spans="2:8" x14ac:dyDescent="0.3">
      <c r="B461" s="9">
        <v>40854</v>
      </c>
      <c r="C461" s="29" t="str">
        <f t="shared" si="7"/>
        <v/>
      </c>
      <c r="D461" s="8">
        <v>0.5</v>
      </c>
      <c r="E461" s="28" t="s">
        <v>14</v>
      </c>
      <c r="F461" s="7" t="s">
        <v>14</v>
      </c>
      <c r="G461" s="27" t="s">
        <v>14</v>
      </c>
      <c r="H461" s="27" t="s">
        <v>14</v>
      </c>
    </row>
    <row r="462" spans="2:8" x14ac:dyDescent="0.3">
      <c r="B462" s="11">
        <v>40855</v>
      </c>
      <c r="C462" s="29" t="str">
        <f t="shared" si="7"/>
        <v/>
      </c>
      <c r="D462" s="8">
        <v>0.5</v>
      </c>
      <c r="E462" s="28" t="s">
        <v>14</v>
      </c>
      <c r="F462" s="7" t="s">
        <v>14</v>
      </c>
      <c r="G462" s="27" t="s">
        <v>14</v>
      </c>
      <c r="H462" s="27" t="s">
        <v>14</v>
      </c>
    </row>
    <row r="463" spans="2:8" x14ac:dyDescent="0.3">
      <c r="B463" s="9">
        <v>40856</v>
      </c>
      <c r="C463" s="29" t="str">
        <f t="shared" si="7"/>
        <v/>
      </c>
      <c r="D463" s="8">
        <v>0.5</v>
      </c>
      <c r="E463" s="28" t="s">
        <v>14</v>
      </c>
      <c r="F463" s="7" t="s">
        <v>14</v>
      </c>
      <c r="G463" s="27" t="s">
        <v>14</v>
      </c>
      <c r="H463" s="27" t="s">
        <v>14</v>
      </c>
    </row>
    <row r="464" spans="2:8" x14ac:dyDescent="0.3">
      <c r="B464" s="11">
        <v>40857</v>
      </c>
      <c r="C464" s="29" t="str">
        <f t="shared" si="7"/>
        <v/>
      </c>
      <c r="D464" s="8">
        <v>0.5</v>
      </c>
      <c r="E464" s="28" t="s">
        <v>14</v>
      </c>
      <c r="F464" s="7" t="s">
        <v>14</v>
      </c>
      <c r="G464" s="27" t="s">
        <v>14</v>
      </c>
      <c r="H464" s="27" t="s">
        <v>14</v>
      </c>
    </row>
    <row r="465" spans="2:8" x14ac:dyDescent="0.3">
      <c r="B465" s="9">
        <v>40858</v>
      </c>
      <c r="C465" s="29" t="str">
        <f t="shared" si="7"/>
        <v/>
      </c>
      <c r="D465" s="8">
        <v>0.5</v>
      </c>
      <c r="E465" s="28" t="s">
        <v>14</v>
      </c>
      <c r="F465" s="7" t="s">
        <v>14</v>
      </c>
      <c r="G465" s="27" t="s">
        <v>14</v>
      </c>
      <c r="H465" s="27" t="s">
        <v>14</v>
      </c>
    </row>
    <row r="466" spans="2:8" x14ac:dyDescent="0.3">
      <c r="B466" s="11">
        <v>40861</v>
      </c>
      <c r="C466" s="29" t="str">
        <f t="shared" si="7"/>
        <v/>
      </c>
      <c r="D466" s="8">
        <v>0.5</v>
      </c>
      <c r="E466" s="28" t="s">
        <v>14</v>
      </c>
      <c r="F466" s="7" t="s">
        <v>14</v>
      </c>
      <c r="G466" s="27" t="s">
        <v>14</v>
      </c>
      <c r="H466" s="27" t="s">
        <v>14</v>
      </c>
    </row>
    <row r="467" spans="2:8" x14ac:dyDescent="0.3">
      <c r="B467" s="9">
        <v>40863</v>
      </c>
      <c r="C467" s="29" t="str">
        <f t="shared" si="7"/>
        <v/>
      </c>
      <c r="D467" s="8">
        <v>0.5</v>
      </c>
      <c r="E467" s="28" t="s">
        <v>14</v>
      </c>
      <c r="F467" s="7" t="s">
        <v>14</v>
      </c>
      <c r="G467" s="27" t="s">
        <v>14</v>
      </c>
      <c r="H467" s="27" t="s">
        <v>14</v>
      </c>
    </row>
    <row r="468" spans="2:8" x14ac:dyDescent="0.3">
      <c r="B468" s="11">
        <v>40864</v>
      </c>
      <c r="C468" s="29" t="str">
        <f t="shared" si="7"/>
        <v/>
      </c>
      <c r="D468" s="8">
        <v>0.5</v>
      </c>
      <c r="E468" s="28" t="s">
        <v>14</v>
      </c>
      <c r="F468" s="7" t="s">
        <v>14</v>
      </c>
      <c r="G468" s="27" t="s">
        <v>14</v>
      </c>
      <c r="H468" s="27" t="s">
        <v>14</v>
      </c>
    </row>
    <row r="469" spans="2:8" x14ac:dyDescent="0.3">
      <c r="B469" s="9">
        <v>40865</v>
      </c>
      <c r="C469" s="29" t="str">
        <f t="shared" si="7"/>
        <v/>
      </c>
      <c r="D469" s="8">
        <v>0.5</v>
      </c>
      <c r="E469" s="28" t="s">
        <v>14</v>
      </c>
      <c r="F469" s="7" t="s">
        <v>14</v>
      </c>
      <c r="G469" s="27" t="s">
        <v>14</v>
      </c>
      <c r="H469" s="27" t="s">
        <v>14</v>
      </c>
    </row>
    <row r="470" spans="2:8" x14ac:dyDescent="0.3">
      <c r="B470" s="11">
        <v>40868</v>
      </c>
      <c r="C470" s="29" t="str">
        <f t="shared" si="7"/>
        <v/>
      </c>
      <c r="D470" s="8">
        <v>0.5</v>
      </c>
      <c r="E470" s="28" t="s">
        <v>14</v>
      </c>
      <c r="F470" s="7" t="s">
        <v>14</v>
      </c>
      <c r="G470" s="27" t="s">
        <v>14</v>
      </c>
      <c r="H470" s="27" t="s">
        <v>14</v>
      </c>
    </row>
    <row r="471" spans="2:8" x14ac:dyDescent="0.3">
      <c r="B471" s="9">
        <v>40869</v>
      </c>
      <c r="C471" s="29" t="str">
        <f t="shared" si="7"/>
        <v/>
      </c>
      <c r="D471" s="8">
        <v>0.5</v>
      </c>
      <c r="E471" s="28" t="s">
        <v>14</v>
      </c>
      <c r="F471" s="7" t="s">
        <v>14</v>
      </c>
      <c r="G471" s="27" t="s">
        <v>14</v>
      </c>
      <c r="H471" s="27" t="s">
        <v>14</v>
      </c>
    </row>
    <row r="472" spans="2:8" x14ac:dyDescent="0.3">
      <c r="B472" s="11">
        <v>40870</v>
      </c>
      <c r="C472" s="29" t="str">
        <f t="shared" si="7"/>
        <v/>
      </c>
      <c r="D472" s="8">
        <v>0.5</v>
      </c>
      <c r="E472" s="28" t="s">
        <v>14</v>
      </c>
      <c r="F472" s="7" t="s">
        <v>14</v>
      </c>
      <c r="G472" s="27" t="s">
        <v>14</v>
      </c>
      <c r="H472" s="27" t="s">
        <v>14</v>
      </c>
    </row>
    <row r="473" spans="2:8" x14ac:dyDescent="0.3">
      <c r="B473" s="9">
        <v>40871</v>
      </c>
      <c r="C473" s="29" t="str">
        <f t="shared" si="7"/>
        <v/>
      </c>
      <c r="D473" s="8">
        <v>0.5</v>
      </c>
      <c r="E473" s="28" t="s">
        <v>14</v>
      </c>
      <c r="F473" s="7" t="s">
        <v>14</v>
      </c>
      <c r="G473" s="27" t="s">
        <v>14</v>
      </c>
      <c r="H473" s="27" t="s">
        <v>14</v>
      </c>
    </row>
    <row r="474" spans="2:8" x14ac:dyDescent="0.3">
      <c r="B474" s="11">
        <v>40872</v>
      </c>
      <c r="C474" s="29" t="str">
        <f t="shared" si="7"/>
        <v/>
      </c>
      <c r="D474" s="8">
        <v>0.5</v>
      </c>
      <c r="E474" s="28" t="s">
        <v>14</v>
      </c>
      <c r="F474" s="7" t="s">
        <v>14</v>
      </c>
      <c r="G474" s="27" t="s">
        <v>14</v>
      </c>
      <c r="H474" s="27" t="s">
        <v>14</v>
      </c>
    </row>
    <row r="475" spans="2:8" x14ac:dyDescent="0.3">
      <c r="B475" s="9">
        <v>40875</v>
      </c>
      <c r="C475" s="29" t="str">
        <f t="shared" si="7"/>
        <v/>
      </c>
      <c r="D475" s="8">
        <v>0.5</v>
      </c>
      <c r="E475" s="28" t="s">
        <v>14</v>
      </c>
      <c r="F475" s="7" t="s">
        <v>14</v>
      </c>
      <c r="G475" s="27" t="s">
        <v>14</v>
      </c>
      <c r="H475" s="27" t="s">
        <v>14</v>
      </c>
    </row>
    <row r="476" spans="2:8" x14ac:dyDescent="0.3">
      <c r="B476" s="11">
        <v>40876</v>
      </c>
      <c r="C476" s="29" t="str">
        <f t="shared" si="7"/>
        <v/>
      </c>
      <c r="D476" s="8">
        <v>0.5</v>
      </c>
      <c r="E476" s="28" t="s">
        <v>14</v>
      </c>
      <c r="F476" s="7" t="s">
        <v>14</v>
      </c>
      <c r="G476" s="27" t="s">
        <v>14</v>
      </c>
      <c r="H476" s="27" t="s">
        <v>14</v>
      </c>
    </row>
    <row r="477" spans="2:8" x14ac:dyDescent="0.3">
      <c r="B477" s="9">
        <v>40877</v>
      </c>
      <c r="C477" s="29" t="str">
        <f t="shared" si="7"/>
        <v/>
      </c>
      <c r="D477" s="8">
        <v>0.5</v>
      </c>
      <c r="E477" s="28">
        <v>0.5</v>
      </c>
      <c r="F477" s="7" t="s">
        <v>14</v>
      </c>
      <c r="G477" s="27" t="s">
        <v>14</v>
      </c>
      <c r="H477" s="27" t="s">
        <v>14</v>
      </c>
    </row>
    <row r="478" spans="2:8" x14ac:dyDescent="0.3">
      <c r="B478" s="11">
        <v>40878</v>
      </c>
      <c r="C478" s="29" t="str">
        <f t="shared" si="7"/>
        <v/>
      </c>
      <c r="D478" s="8">
        <v>0.5</v>
      </c>
      <c r="E478" s="28" t="s">
        <v>14</v>
      </c>
      <c r="F478" s="7" t="s">
        <v>14</v>
      </c>
      <c r="G478" s="27" t="s">
        <v>14</v>
      </c>
      <c r="H478" s="27" t="s">
        <v>14</v>
      </c>
    </row>
    <row r="479" spans="2:8" x14ac:dyDescent="0.3">
      <c r="B479" s="9">
        <v>40879</v>
      </c>
      <c r="C479" s="29" t="str">
        <f t="shared" si="7"/>
        <v/>
      </c>
      <c r="D479" s="8">
        <v>0.5</v>
      </c>
      <c r="E479" s="28" t="s">
        <v>14</v>
      </c>
      <c r="F479" s="7" t="s">
        <v>14</v>
      </c>
      <c r="G479" s="27" t="s">
        <v>14</v>
      </c>
      <c r="H479" s="27" t="s">
        <v>14</v>
      </c>
    </row>
    <row r="480" spans="2:8" x14ac:dyDescent="0.3">
      <c r="B480" s="11">
        <v>40882</v>
      </c>
      <c r="C480" s="29" t="str">
        <f t="shared" si="7"/>
        <v/>
      </c>
      <c r="D480" s="8">
        <v>0.5</v>
      </c>
      <c r="E480" s="28" t="s">
        <v>14</v>
      </c>
      <c r="F480" s="7" t="s">
        <v>14</v>
      </c>
      <c r="G480" s="27" t="s">
        <v>14</v>
      </c>
      <c r="H480" s="27" t="s">
        <v>14</v>
      </c>
    </row>
    <row r="481" spans="2:8" x14ac:dyDescent="0.3">
      <c r="B481" s="9">
        <v>40883</v>
      </c>
      <c r="C481" s="29" t="str">
        <f t="shared" si="7"/>
        <v/>
      </c>
      <c r="D481" s="8">
        <v>0.5</v>
      </c>
      <c r="E481" s="28" t="s">
        <v>14</v>
      </c>
      <c r="F481" s="7" t="s">
        <v>14</v>
      </c>
      <c r="G481" s="27" t="s">
        <v>14</v>
      </c>
      <c r="H481" s="27" t="s">
        <v>14</v>
      </c>
    </row>
    <row r="482" spans="2:8" x14ac:dyDescent="0.3">
      <c r="B482" s="11">
        <v>40884</v>
      </c>
      <c r="C482" s="29" t="str">
        <f t="shared" si="7"/>
        <v/>
      </c>
      <c r="D482" s="8">
        <v>0.5</v>
      </c>
      <c r="E482" s="28" t="s">
        <v>14</v>
      </c>
      <c r="F482" s="7" t="s">
        <v>14</v>
      </c>
      <c r="G482" s="27" t="s">
        <v>14</v>
      </c>
      <c r="H482" s="27" t="s">
        <v>14</v>
      </c>
    </row>
    <row r="483" spans="2:8" x14ac:dyDescent="0.3">
      <c r="B483" s="9">
        <v>40885</v>
      </c>
      <c r="C483" s="29" t="str">
        <f t="shared" si="7"/>
        <v/>
      </c>
      <c r="D483" s="8">
        <v>0.5</v>
      </c>
      <c r="E483" s="28" t="s">
        <v>14</v>
      </c>
      <c r="F483" s="7" t="s">
        <v>14</v>
      </c>
      <c r="G483" s="27" t="s">
        <v>14</v>
      </c>
      <c r="H483" s="27" t="s">
        <v>14</v>
      </c>
    </row>
    <row r="484" spans="2:8" x14ac:dyDescent="0.3">
      <c r="B484" s="11">
        <v>40886</v>
      </c>
      <c r="C484" s="29" t="str">
        <f t="shared" si="7"/>
        <v/>
      </c>
      <c r="D484" s="8">
        <v>0.5</v>
      </c>
      <c r="E484" s="28" t="s">
        <v>14</v>
      </c>
      <c r="F484" s="7" t="s">
        <v>14</v>
      </c>
      <c r="G484" s="27" t="s">
        <v>14</v>
      </c>
      <c r="H484" s="27" t="s">
        <v>14</v>
      </c>
    </row>
    <row r="485" spans="2:8" x14ac:dyDescent="0.3">
      <c r="B485" s="9">
        <v>40889</v>
      </c>
      <c r="C485" s="29" t="str">
        <f t="shared" si="7"/>
        <v/>
      </c>
      <c r="D485" s="8">
        <v>0.5</v>
      </c>
      <c r="E485" s="28" t="s">
        <v>14</v>
      </c>
      <c r="F485" s="7" t="s">
        <v>14</v>
      </c>
      <c r="G485" s="27" t="s">
        <v>14</v>
      </c>
      <c r="H485" s="27" t="s">
        <v>14</v>
      </c>
    </row>
    <row r="486" spans="2:8" x14ac:dyDescent="0.3">
      <c r="B486" s="11">
        <v>40890</v>
      </c>
      <c r="C486" s="29" t="str">
        <f t="shared" si="7"/>
        <v/>
      </c>
      <c r="D486" s="8">
        <v>0.5</v>
      </c>
      <c r="E486" s="28" t="s">
        <v>14</v>
      </c>
      <c r="F486" s="7" t="s">
        <v>14</v>
      </c>
      <c r="G486" s="27" t="s">
        <v>14</v>
      </c>
      <c r="H486" s="27" t="s">
        <v>14</v>
      </c>
    </row>
    <row r="487" spans="2:8" x14ac:dyDescent="0.3">
      <c r="B487" s="9">
        <v>40891</v>
      </c>
      <c r="C487" s="29" t="str">
        <f t="shared" si="7"/>
        <v/>
      </c>
      <c r="D487" s="8">
        <v>0.5</v>
      </c>
      <c r="E487" s="28" t="s">
        <v>14</v>
      </c>
      <c r="F487" s="7" t="s">
        <v>14</v>
      </c>
      <c r="G487" s="27" t="s">
        <v>14</v>
      </c>
      <c r="H487" s="27" t="s">
        <v>14</v>
      </c>
    </row>
    <row r="488" spans="2:8" x14ac:dyDescent="0.3">
      <c r="B488" s="11">
        <v>40892</v>
      </c>
      <c r="C488" s="29" t="str">
        <f t="shared" si="7"/>
        <v/>
      </c>
      <c r="D488" s="8">
        <v>0.5</v>
      </c>
      <c r="E488" s="28" t="s">
        <v>14</v>
      </c>
      <c r="F488" s="7" t="s">
        <v>14</v>
      </c>
      <c r="G488" s="27" t="s">
        <v>14</v>
      </c>
      <c r="H488" s="27" t="s">
        <v>14</v>
      </c>
    </row>
    <row r="489" spans="2:8" x14ac:dyDescent="0.3">
      <c r="B489" s="9">
        <v>40893</v>
      </c>
      <c r="C489" s="29" t="str">
        <f t="shared" si="7"/>
        <v/>
      </c>
      <c r="D489" s="8">
        <v>0.5</v>
      </c>
      <c r="E489" s="28" t="s">
        <v>14</v>
      </c>
      <c r="F489" s="7" t="s">
        <v>14</v>
      </c>
      <c r="G489" s="27" t="s">
        <v>14</v>
      </c>
      <c r="H489" s="27" t="s">
        <v>14</v>
      </c>
    </row>
    <row r="490" spans="2:8" x14ac:dyDescent="0.3">
      <c r="B490" s="11">
        <v>40896</v>
      </c>
      <c r="C490" s="29" t="str">
        <f t="shared" si="7"/>
        <v/>
      </c>
      <c r="D490" s="8">
        <v>0.5</v>
      </c>
      <c r="E490" s="28" t="s">
        <v>14</v>
      </c>
      <c r="F490" s="7" t="s">
        <v>14</v>
      </c>
      <c r="G490" s="27" t="s">
        <v>14</v>
      </c>
      <c r="H490" s="27" t="s">
        <v>14</v>
      </c>
    </row>
    <row r="491" spans="2:8" x14ac:dyDescent="0.3">
      <c r="B491" s="9">
        <v>40897</v>
      </c>
      <c r="C491" s="29" t="str">
        <f t="shared" si="7"/>
        <v/>
      </c>
      <c r="D491" s="8">
        <v>0.5</v>
      </c>
      <c r="E491" s="28" t="s">
        <v>14</v>
      </c>
      <c r="F491" s="7" t="s">
        <v>14</v>
      </c>
      <c r="G491" s="27" t="s">
        <v>14</v>
      </c>
      <c r="H491" s="27" t="s">
        <v>14</v>
      </c>
    </row>
    <row r="492" spans="2:8" x14ac:dyDescent="0.3">
      <c r="B492" s="11">
        <v>40898</v>
      </c>
      <c r="C492" s="29" t="str">
        <f t="shared" si="7"/>
        <v/>
      </c>
      <c r="D492" s="8">
        <v>0.5</v>
      </c>
      <c r="E492" s="28" t="s">
        <v>14</v>
      </c>
      <c r="F492" s="7" t="s">
        <v>14</v>
      </c>
      <c r="G492" s="27" t="s">
        <v>14</v>
      </c>
      <c r="H492" s="27" t="s">
        <v>14</v>
      </c>
    </row>
    <row r="493" spans="2:8" x14ac:dyDescent="0.3">
      <c r="B493" s="9">
        <v>40899</v>
      </c>
      <c r="C493" s="29" t="str">
        <f t="shared" si="7"/>
        <v/>
      </c>
      <c r="D493" s="8">
        <v>0.5</v>
      </c>
      <c r="E493" s="28" t="s">
        <v>14</v>
      </c>
      <c r="F493" s="7" t="s">
        <v>14</v>
      </c>
      <c r="G493" s="27" t="s">
        <v>14</v>
      </c>
      <c r="H493" s="27" t="s">
        <v>14</v>
      </c>
    </row>
    <row r="494" spans="2:8" x14ac:dyDescent="0.3">
      <c r="B494" s="11">
        <v>40900</v>
      </c>
      <c r="C494" s="29" t="str">
        <f t="shared" si="7"/>
        <v/>
      </c>
      <c r="D494" s="8">
        <v>0.5</v>
      </c>
      <c r="E494" s="28" t="s">
        <v>14</v>
      </c>
      <c r="F494" s="7" t="s">
        <v>14</v>
      </c>
      <c r="G494" s="27" t="s">
        <v>14</v>
      </c>
      <c r="H494" s="27" t="s">
        <v>14</v>
      </c>
    </row>
    <row r="495" spans="2:8" x14ac:dyDescent="0.3">
      <c r="B495" s="9">
        <v>40903</v>
      </c>
      <c r="C495" s="29" t="str">
        <f t="shared" si="7"/>
        <v/>
      </c>
      <c r="D495" s="8">
        <v>0.5</v>
      </c>
      <c r="E495" s="28" t="s">
        <v>14</v>
      </c>
      <c r="F495" s="7" t="s">
        <v>14</v>
      </c>
      <c r="G495" s="27" t="s">
        <v>14</v>
      </c>
      <c r="H495" s="27" t="s">
        <v>14</v>
      </c>
    </row>
    <row r="496" spans="2:8" x14ac:dyDescent="0.3">
      <c r="B496" s="11">
        <v>40904</v>
      </c>
      <c r="C496" s="29" t="str">
        <f t="shared" si="7"/>
        <v/>
      </c>
      <c r="D496" s="8">
        <v>0.5</v>
      </c>
      <c r="E496" s="28" t="s">
        <v>14</v>
      </c>
      <c r="F496" s="7" t="s">
        <v>14</v>
      </c>
      <c r="G496" s="27" t="s">
        <v>14</v>
      </c>
      <c r="H496" s="27" t="s">
        <v>14</v>
      </c>
    </row>
    <row r="497" spans="2:8" x14ac:dyDescent="0.3">
      <c r="B497" s="9">
        <v>40905</v>
      </c>
      <c r="C497" s="29" t="str">
        <f t="shared" si="7"/>
        <v/>
      </c>
      <c r="D497" s="8">
        <v>0.5</v>
      </c>
      <c r="E497" s="28" t="s">
        <v>14</v>
      </c>
      <c r="F497" s="7" t="s">
        <v>14</v>
      </c>
      <c r="G497" s="27" t="s">
        <v>14</v>
      </c>
      <c r="H497" s="27" t="s">
        <v>14</v>
      </c>
    </row>
    <row r="498" spans="2:8" x14ac:dyDescent="0.3">
      <c r="B498" s="11">
        <v>40906</v>
      </c>
      <c r="C498" s="29">
        <f t="shared" si="7"/>
        <v>0.5</v>
      </c>
      <c r="D498" s="8">
        <v>0.5</v>
      </c>
      <c r="E498" s="28">
        <v>0.5</v>
      </c>
      <c r="F498" s="7">
        <v>0.5</v>
      </c>
      <c r="G498" s="27">
        <v>0.5</v>
      </c>
      <c r="H498" s="27">
        <v>0.5</v>
      </c>
    </row>
    <row r="499" spans="2:8" x14ac:dyDescent="0.3">
      <c r="B499" s="9">
        <v>40910</v>
      </c>
      <c r="C499" s="29" t="str">
        <f t="shared" si="7"/>
        <v/>
      </c>
      <c r="D499" s="8">
        <v>0.5</v>
      </c>
      <c r="E499" s="28" t="s">
        <v>14</v>
      </c>
      <c r="F499" s="7" t="s">
        <v>14</v>
      </c>
      <c r="G499" s="27" t="s">
        <v>14</v>
      </c>
      <c r="H499" s="27" t="s">
        <v>14</v>
      </c>
    </row>
    <row r="500" spans="2:8" x14ac:dyDescent="0.3">
      <c r="B500" s="11">
        <v>40911</v>
      </c>
      <c r="C500" s="29" t="str">
        <f t="shared" si="7"/>
        <v/>
      </c>
      <c r="D500" s="8">
        <v>0.5</v>
      </c>
      <c r="E500" s="28" t="s">
        <v>14</v>
      </c>
      <c r="F500" s="7" t="s">
        <v>14</v>
      </c>
      <c r="G500" s="27" t="s">
        <v>14</v>
      </c>
      <c r="H500" s="27" t="s">
        <v>14</v>
      </c>
    </row>
    <row r="501" spans="2:8" x14ac:dyDescent="0.3">
      <c r="B501" s="9">
        <v>40912</v>
      </c>
      <c r="C501" s="29" t="str">
        <f t="shared" si="7"/>
        <v/>
      </c>
      <c r="D501" s="8">
        <v>0.5</v>
      </c>
      <c r="E501" s="28" t="s">
        <v>14</v>
      </c>
      <c r="F501" s="7" t="s">
        <v>14</v>
      </c>
      <c r="G501" s="27" t="s">
        <v>14</v>
      </c>
      <c r="H501" s="27" t="s">
        <v>14</v>
      </c>
    </row>
    <row r="502" spans="2:8" x14ac:dyDescent="0.3">
      <c r="B502" s="11">
        <v>40913</v>
      </c>
      <c r="C502" s="29" t="str">
        <f t="shared" si="7"/>
        <v/>
      </c>
      <c r="D502" s="8">
        <v>0.5</v>
      </c>
      <c r="E502" s="28" t="s">
        <v>14</v>
      </c>
      <c r="F502" s="7" t="s">
        <v>14</v>
      </c>
      <c r="G502" s="27" t="s">
        <v>14</v>
      </c>
      <c r="H502" s="27" t="s">
        <v>14</v>
      </c>
    </row>
    <row r="503" spans="2:8" x14ac:dyDescent="0.3">
      <c r="B503" s="9">
        <v>40914</v>
      </c>
      <c r="C503" s="29" t="str">
        <f t="shared" si="7"/>
        <v/>
      </c>
      <c r="D503" s="8">
        <v>0.5</v>
      </c>
      <c r="E503" s="28" t="s">
        <v>14</v>
      </c>
      <c r="F503" s="7" t="s">
        <v>14</v>
      </c>
      <c r="G503" s="27" t="s">
        <v>14</v>
      </c>
      <c r="H503" s="27" t="s">
        <v>14</v>
      </c>
    </row>
    <row r="504" spans="2:8" x14ac:dyDescent="0.3">
      <c r="B504" s="11">
        <v>40917</v>
      </c>
      <c r="C504" s="29" t="str">
        <f t="shared" si="7"/>
        <v/>
      </c>
      <c r="D504" s="8">
        <v>0.5</v>
      </c>
      <c r="E504" s="28" t="s">
        <v>14</v>
      </c>
      <c r="F504" s="7" t="s">
        <v>14</v>
      </c>
      <c r="G504" s="27" t="s">
        <v>14</v>
      </c>
      <c r="H504" s="27" t="s">
        <v>14</v>
      </c>
    </row>
    <row r="505" spans="2:8" x14ac:dyDescent="0.3">
      <c r="B505" s="9">
        <v>40918</v>
      </c>
      <c r="C505" s="29" t="str">
        <f t="shared" si="7"/>
        <v/>
      </c>
      <c r="D505" s="8">
        <v>0.5</v>
      </c>
      <c r="E505" s="28" t="s">
        <v>14</v>
      </c>
      <c r="F505" s="7" t="s">
        <v>14</v>
      </c>
      <c r="G505" s="27" t="s">
        <v>14</v>
      </c>
      <c r="H505" s="27" t="s">
        <v>14</v>
      </c>
    </row>
    <row r="506" spans="2:8" x14ac:dyDescent="0.3">
      <c r="B506" s="11">
        <v>40919</v>
      </c>
      <c r="C506" s="29" t="str">
        <f t="shared" si="7"/>
        <v/>
      </c>
      <c r="D506" s="8">
        <v>0.5</v>
      </c>
      <c r="E506" s="28" t="s">
        <v>14</v>
      </c>
      <c r="F506" s="7" t="s">
        <v>14</v>
      </c>
      <c r="G506" s="27" t="s">
        <v>14</v>
      </c>
      <c r="H506" s="27" t="s">
        <v>14</v>
      </c>
    </row>
    <row r="507" spans="2:8" x14ac:dyDescent="0.3">
      <c r="B507" s="9">
        <v>40920</v>
      </c>
      <c r="C507" s="29" t="str">
        <f t="shared" si="7"/>
        <v/>
      </c>
      <c r="D507" s="8">
        <v>0.5</v>
      </c>
      <c r="E507" s="28" t="s">
        <v>14</v>
      </c>
      <c r="F507" s="7" t="s">
        <v>14</v>
      </c>
      <c r="G507" s="27" t="s">
        <v>14</v>
      </c>
      <c r="H507" s="27" t="s">
        <v>14</v>
      </c>
    </row>
    <row r="508" spans="2:8" x14ac:dyDescent="0.3">
      <c r="B508" s="11">
        <v>40921</v>
      </c>
      <c r="C508" s="29" t="str">
        <f t="shared" si="7"/>
        <v/>
      </c>
      <c r="D508" s="8">
        <v>0.5</v>
      </c>
      <c r="E508" s="28" t="s">
        <v>14</v>
      </c>
      <c r="F508" s="7" t="s">
        <v>14</v>
      </c>
      <c r="G508" s="27" t="s">
        <v>14</v>
      </c>
      <c r="H508" s="27" t="s">
        <v>14</v>
      </c>
    </row>
    <row r="509" spans="2:8" x14ac:dyDescent="0.3">
      <c r="B509" s="9">
        <v>40924</v>
      </c>
      <c r="C509" s="29" t="str">
        <f t="shared" si="7"/>
        <v/>
      </c>
      <c r="D509" s="8">
        <v>0.5</v>
      </c>
      <c r="E509" s="28" t="s">
        <v>14</v>
      </c>
      <c r="F509" s="7" t="s">
        <v>14</v>
      </c>
      <c r="G509" s="27" t="s">
        <v>14</v>
      </c>
      <c r="H509" s="27" t="s">
        <v>14</v>
      </c>
    </row>
    <row r="510" spans="2:8" x14ac:dyDescent="0.3">
      <c r="B510" s="11">
        <v>40925</v>
      </c>
      <c r="C510" s="29" t="str">
        <f t="shared" si="7"/>
        <v/>
      </c>
      <c r="D510" s="8">
        <v>0.5</v>
      </c>
      <c r="E510" s="28" t="s">
        <v>14</v>
      </c>
      <c r="F510" s="7" t="s">
        <v>14</v>
      </c>
      <c r="G510" s="27" t="s">
        <v>14</v>
      </c>
      <c r="H510" s="27" t="s">
        <v>14</v>
      </c>
    </row>
    <row r="511" spans="2:8" x14ac:dyDescent="0.3">
      <c r="B511" s="9">
        <v>40926</v>
      </c>
      <c r="C511" s="29" t="str">
        <f t="shared" si="7"/>
        <v/>
      </c>
      <c r="D511" s="8">
        <v>0.5</v>
      </c>
      <c r="E511" s="28" t="s">
        <v>14</v>
      </c>
      <c r="F511" s="7" t="s">
        <v>14</v>
      </c>
      <c r="G511" s="27" t="s">
        <v>14</v>
      </c>
      <c r="H511" s="27" t="s">
        <v>14</v>
      </c>
    </row>
    <row r="512" spans="2:8" x14ac:dyDescent="0.3">
      <c r="B512" s="11">
        <v>40927</v>
      </c>
      <c r="C512" s="29" t="str">
        <f t="shared" si="7"/>
        <v/>
      </c>
      <c r="D512" s="8">
        <v>0.5</v>
      </c>
      <c r="E512" s="28" t="s">
        <v>14</v>
      </c>
      <c r="F512" s="7" t="s">
        <v>14</v>
      </c>
      <c r="G512" s="27" t="s">
        <v>14</v>
      </c>
      <c r="H512" s="27" t="s">
        <v>14</v>
      </c>
    </row>
    <row r="513" spans="2:8" x14ac:dyDescent="0.3">
      <c r="B513" s="9">
        <v>40928</v>
      </c>
      <c r="C513" s="29" t="str">
        <f t="shared" si="7"/>
        <v/>
      </c>
      <c r="D513" s="8">
        <v>0.5</v>
      </c>
      <c r="E513" s="28" t="s">
        <v>14</v>
      </c>
      <c r="F513" s="7" t="s">
        <v>14</v>
      </c>
      <c r="G513" s="27" t="s">
        <v>14</v>
      </c>
      <c r="H513" s="27" t="s">
        <v>14</v>
      </c>
    </row>
    <row r="514" spans="2:8" x14ac:dyDescent="0.3">
      <c r="B514" s="11">
        <v>40931</v>
      </c>
      <c r="C514" s="29" t="str">
        <f t="shared" si="7"/>
        <v/>
      </c>
      <c r="D514" s="8">
        <v>0.5</v>
      </c>
      <c r="E514" s="28" t="s">
        <v>14</v>
      </c>
      <c r="F514" s="7" t="s">
        <v>14</v>
      </c>
      <c r="G514" s="27" t="s">
        <v>14</v>
      </c>
      <c r="H514" s="27" t="s">
        <v>14</v>
      </c>
    </row>
    <row r="515" spans="2:8" x14ac:dyDescent="0.3">
      <c r="B515" s="9">
        <v>40932</v>
      </c>
      <c r="C515" s="29" t="str">
        <f t="shared" ref="C515:C578" si="8">INDEX(D515:H515,MATCH($A$1,$D$1:$H$1,0))</f>
        <v/>
      </c>
      <c r="D515" s="8">
        <v>0.5</v>
      </c>
      <c r="E515" s="28" t="s">
        <v>14</v>
      </c>
      <c r="F515" s="7" t="s">
        <v>14</v>
      </c>
      <c r="G515" s="27" t="s">
        <v>14</v>
      </c>
      <c r="H515" s="27" t="s">
        <v>14</v>
      </c>
    </row>
    <row r="516" spans="2:8" x14ac:dyDescent="0.3">
      <c r="B516" s="11">
        <v>40934</v>
      </c>
      <c r="C516" s="29" t="str">
        <f t="shared" si="8"/>
        <v/>
      </c>
      <c r="D516" s="8">
        <v>0.5</v>
      </c>
      <c r="E516" s="28" t="s">
        <v>14</v>
      </c>
      <c r="F516" s="7" t="s">
        <v>14</v>
      </c>
      <c r="G516" s="27" t="s">
        <v>14</v>
      </c>
      <c r="H516" s="27" t="s">
        <v>14</v>
      </c>
    </row>
    <row r="517" spans="2:8" x14ac:dyDescent="0.3">
      <c r="B517" s="9">
        <v>40935</v>
      </c>
      <c r="C517" s="29" t="str">
        <f t="shared" si="8"/>
        <v/>
      </c>
      <c r="D517" s="8">
        <v>0.5</v>
      </c>
      <c r="E517" s="28" t="s">
        <v>14</v>
      </c>
      <c r="F517" s="7" t="s">
        <v>14</v>
      </c>
      <c r="G517" s="27" t="s">
        <v>14</v>
      </c>
      <c r="H517" s="27" t="s">
        <v>14</v>
      </c>
    </row>
    <row r="518" spans="2:8" x14ac:dyDescent="0.3">
      <c r="B518" s="11">
        <v>40938</v>
      </c>
      <c r="C518" s="29" t="str">
        <f t="shared" si="8"/>
        <v/>
      </c>
      <c r="D518" s="8">
        <v>0.5</v>
      </c>
      <c r="E518" s="28" t="s">
        <v>14</v>
      </c>
      <c r="F518" s="7" t="s">
        <v>14</v>
      </c>
      <c r="G518" s="27" t="s">
        <v>14</v>
      </c>
      <c r="H518" s="27" t="s">
        <v>14</v>
      </c>
    </row>
    <row r="519" spans="2:8" x14ac:dyDescent="0.3">
      <c r="B519" s="9">
        <v>40939</v>
      </c>
      <c r="C519" s="29" t="str">
        <f t="shared" si="8"/>
        <v/>
      </c>
      <c r="D519" s="8">
        <v>0.5</v>
      </c>
      <c r="E519" s="28">
        <v>0.5</v>
      </c>
      <c r="F519" s="7" t="s">
        <v>14</v>
      </c>
      <c r="G519" s="27" t="s">
        <v>14</v>
      </c>
      <c r="H519" s="27" t="s">
        <v>14</v>
      </c>
    </row>
    <row r="520" spans="2:8" x14ac:dyDescent="0.3">
      <c r="B520" s="11">
        <v>40940</v>
      </c>
      <c r="C520" s="29" t="str">
        <f t="shared" si="8"/>
        <v/>
      </c>
      <c r="D520" s="8">
        <v>0.5</v>
      </c>
      <c r="E520" s="28" t="s">
        <v>14</v>
      </c>
      <c r="F520" s="7" t="s">
        <v>14</v>
      </c>
      <c r="G520" s="27" t="s">
        <v>14</v>
      </c>
      <c r="H520" s="27" t="s">
        <v>14</v>
      </c>
    </row>
    <row r="521" spans="2:8" x14ac:dyDescent="0.3">
      <c r="B521" s="9">
        <v>40941</v>
      </c>
      <c r="C521" s="29" t="str">
        <f t="shared" si="8"/>
        <v/>
      </c>
      <c r="D521" s="8">
        <v>0.5</v>
      </c>
      <c r="E521" s="28" t="s">
        <v>14</v>
      </c>
      <c r="F521" s="7" t="s">
        <v>14</v>
      </c>
      <c r="G521" s="27" t="s">
        <v>14</v>
      </c>
      <c r="H521" s="27" t="s">
        <v>14</v>
      </c>
    </row>
    <row r="522" spans="2:8" x14ac:dyDescent="0.3">
      <c r="B522" s="11">
        <v>40942</v>
      </c>
      <c r="C522" s="29" t="str">
        <f t="shared" si="8"/>
        <v/>
      </c>
      <c r="D522" s="8">
        <v>0.5</v>
      </c>
      <c r="E522" s="28" t="s">
        <v>14</v>
      </c>
      <c r="F522" s="7" t="s">
        <v>14</v>
      </c>
      <c r="G522" s="27" t="s">
        <v>14</v>
      </c>
      <c r="H522" s="27" t="s">
        <v>14</v>
      </c>
    </row>
    <row r="523" spans="2:8" x14ac:dyDescent="0.3">
      <c r="B523" s="9">
        <v>40945</v>
      </c>
      <c r="C523" s="29" t="str">
        <f t="shared" si="8"/>
        <v/>
      </c>
      <c r="D523" s="8">
        <v>0.5</v>
      </c>
      <c r="E523" s="28" t="s">
        <v>14</v>
      </c>
      <c r="F523" s="7" t="s">
        <v>14</v>
      </c>
      <c r="G523" s="27" t="s">
        <v>14</v>
      </c>
      <c r="H523" s="27" t="s">
        <v>14</v>
      </c>
    </row>
    <row r="524" spans="2:8" x14ac:dyDescent="0.3">
      <c r="B524" s="11">
        <v>40946</v>
      </c>
      <c r="C524" s="29" t="str">
        <f t="shared" si="8"/>
        <v/>
      </c>
      <c r="D524" s="8">
        <v>0.5</v>
      </c>
      <c r="E524" s="28" t="s">
        <v>14</v>
      </c>
      <c r="F524" s="7" t="s">
        <v>14</v>
      </c>
      <c r="G524" s="27" t="s">
        <v>14</v>
      </c>
      <c r="H524" s="27" t="s">
        <v>14</v>
      </c>
    </row>
    <row r="525" spans="2:8" x14ac:dyDescent="0.3">
      <c r="B525" s="9">
        <v>40947</v>
      </c>
      <c r="C525" s="29" t="str">
        <f t="shared" si="8"/>
        <v/>
      </c>
      <c r="D525" s="8">
        <v>0.5</v>
      </c>
      <c r="E525" s="28" t="s">
        <v>14</v>
      </c>
      <c r="F525" s="7" t="s">
        <v>14</v>
      </c>
      <c r="G525" s="27" t="s">
        <v>14</v>
      </c>
      <c r="H525" s="27" t="s">
        <v>14</v>
      </c>
    </row>
    <row r="526" spans="2:8" x14ac:dyDescent="0.3">
      <c r="B526" s="11">
        <v>40948</v>
      </c>
      <c r="C526" s="29" t="str">
        <f t="shared" si="8"/>
        <v/>
      </c>
      <c r="D526" s="8">
        <v>0.5</v>
      </c>
      <c r="E526" s="28" t="s">
        <v>14</v>
      </c>
      <c r="F526" s="7" t="s">
        <v>14</v>
      </c>
      <c r="G526" s="27" t="s">
        <v>14</v>
      </c>
      <c r="H526" s="27" t="s">
        <v>14</v>
      </c>
    </row>
    <row r="527" spans="2:8" x14ac:dyDescent="0.3">
      <c r="B527" s="9">
        <v>40949</v>
      </c>
      <c r="C527" s="29" t="str">
        <f t="shared" si="8"/>
        <v/>
      </c>
      <c r="D527" s="8">
        <v>0.5</v>
      </c>
      <c r="E527" s="28" t="s">
        <v>14</v>
      </c>
      <c r="F527" s="7" t="s">
        <v>14</v>
      </c>
      <c r="G527" s="27" t="s">
        <v>14</v>
      </c>
      <c r="H527" s="27" t="s">
        <v>14</v>
      </c>
    </row>
    <row r="528" spans="2:8" x14ac:dyDescent="0.3">
      <c r="B528" s="11">
        <v>40952</v>
      </c>
      <c r="C528" s="29" t="str">
        <f t="shared" si="8"/>
        <v/>
      </c>
      <c r="D528" s="8">
        <v>0.5</v>
      </c>
      <c r="E528" s="28" t="s">
        <v>14</v>
      </c>
      <c r="F528" s="7" t="s">
        <v>14</v>
      </c>
      <c r="G528" s="27" t="s">
        <v>14</v>
      </c>
      <c r="H528" s="27" t="s">
        <v>14</v>
      </c>
    </row>
    <row r="529" spans="2:8" x14ac:dyDescent="0.3">
      <c r="B529" s="9">
        <v>40953</v>
      </c>
      <c r="C529" s="29" t="str">
        <f t="shared" si="8"/>
        <v/>
      </c>
      <c r="D529" s="8">
        <v>0.5</v>
      </c>
      <c r="E529" s="28" t="s">
        <v>14</v>
      </c>
      <c r="F529" s="7" t="s">
        <v>14</v>
      </c>
      <c r="G529" s="27" t="s">
        <v>14</v>
      </c>
      <c r="H529" s="27" t="s">
        <v>14</v>
      </c>
    </row>
    <row r="530" spans="2:8" x14ac:dyDescent="0.3">
      <c r="B530" s="11">
        <v>40954</v>
      </c>
      <c r="C530" s="29" t="str">
        <f t="shared" si="8"/>
        <v/>
      </c>
      <c r="D530" s="8">
        <v>0.5</v>
      </c>
      <c r="E530" s="28" t="s">
        <v>14</v>
      </c>
      <c r="F530" s="7" t="s">
        <v>14</v>
      </c>
      <c r="G530" s="27" t="s">
        <v>14</v>
      </c>
      <c r="H530" s="27" t="s">
        <v>14</v>
      </c>
    </row>
    <row r="531" spans="2:8" x14ac:dyDescent="0.3">
      <c r="B531" s="9">
        <v>40955</v>
      </c>
      <c r="C531" s="29" t="str">
        <f t="shared" si="8"/>
        <v/>
      </c>
      <c r="D531" s="8">
        <v>0.5</v>
      </c>
      <c r="E531" s="28" t="s">
        <v>14</v>
      </c>
      <c r="F531" s="7" t="s">
        <v>14</v>
      </c>
      <c r="G531" s="27" t="s">
        <v>14</v>
      </c>
      <c r="H531" s="27" t="s">
        <v>14</v>
      </c>
    </row>
    <row r="532" spans="2:8" x14ac:dyDescent="0.3">
      <c r="B532" s="11">
        <v>40956</v>
      </c>
      <c r="C532" s="29" t="str">
        <f t="shared" si="8"/>
        <v/>
      </c>
      <c r="D532" s="8">
        <v>0.5</v>
      </c>
      <c r="E532" s="28" t="s">
        <v>14</v>
      </c>
      <c r="F532" s="7" t="s">
        <v>14</v>
      </c>
      <c r="G532" s="27" t="s">
        <v>14</v>
      </c>
      <c r="H532" s="27" t="s">
        <v>14</v>
      </c>
    </row>
    <row r="533" spans="2:8" x14ac:dyDescent="0.3">
      <c r="B533" s="9">
        <v>40961</v>
      </c>
      <c r="C533" s="29" t="str">
        <f t="shared" si="8"/>
        <v/>
      </c>
      <c r="D533" s="8">
        <v>0.5</v>
      </c>
      <c r="E533" s="28" t="s">
        <v>14</v>
      </c>
      <c r="F533" s="7" t="s">
        <v>14</v>
      </c>
      <c r="G533" s="27" t="s">
        <v>14</v>
      </c>
      <c r="H533" s="27" t="s">
        <v>14</v>
      </c>
    </row>
    <row r="534" spans="2:8" x14ac:dyDescent="0.3">
      <c r="B534" s="11">
        <v>40962</v>
      </c>
      <c r="C534" s="29" t="str">
        <f t="shared" si="8"/>
        <v/>
      </c>
      <c r="D534" s="8">
        <v>0.5</v>
      </c>
      <c r="E534" s="28" t="s">
        <v>14</v>
      </c>
      <c r="F534" s="7" t="s">
        <v>14</v>
      </c>
      <c r="G534" s="27" t="s">
        <v>14</v>
      </c>
      <c r="H534" s="27" t="s">
        <v>14</v>
      </c>
    </row>
    <row r="535" spans="2:8" x14ac:dyDescent="0.3">
      <c r="B535" s="9">
        <v>40963</v>
      </c>
      <c r="C535" s="29" t="str">
        <f t="shared" si="8"/>
        <v/>
      </c>
      <c r="D535" s="8">
        <v>0.5</v>
      </c>
      <c r="E535" s="28" t="s">
        <v>14</v>
      </c>
      <c r="F535" s="7" t="s">
        <v>14</v>
      </c>
      <c r="G535" s="27" t="s">
        <v>14</v>
      </c>
      <c r="H535" s="27" t="s">
        <v>14</v>
      </c>
    </row>
    <row r="536" spans="2:8" x14ac:dyDescent="0.3">
      <c r="B536" s="11">
        <v>40966</v>
      </c>
      <c r="C536" s="29" t="str">
        <f t="shared" si="8"/>
        <v/>
      </c>
      <c r="D536" s="8">
        <v>0.5</v>
      </c>
      <c r="E536" s="28" t="s">
        <v>14</v>
      </c>
      <c r="F536" s="7" t="s">
        <v>14</v>
      </c>
      <c r="G536" s="27" t="s">
        <v>14</v>
      </c>
      <c r="H536" s="27" t="s">
        <v>14</v>
      </c>
    </row>
    <row r="537" spans="2:8" x14ac:dyDescent="0.3">
      <c r="B537" s="9">
        <v>40967</v>
      </c>
      <c r="C537" s="29" t="str">
        <f t="shared" si="8"/>
        <v/>
      </c>
      <c r="D537" s="8">
        <v>0.5</v>
      </c>
      <c r="E537" s="28" t="s">
        <v>14</v>
      </c>
      <c r="F537" s="7" t="s">
        <v>14</v>
      </c>
      <c r="G537" s="27" t="s">
        <v>14</v>
      </c>
      <c r="H537" s="27" t="s">
        <v>14</v>
      </c>
    </row>
    <row r="538" spans="2:8" x14ac:dyDescent="0.3">
      <c r="B538" s="11">
        <v>40968</v>
      </c>
      <c r="C538" s="29" t="str">
        <f t="shared" si="8"/>
        <v/>
      </c>
      <c r="D538" s="8">
        <v>0.5</v>
      </c>
      <c r="E538" s="28">
        <v>0.5</v>
      </c>
      <c r="F538" s="7" t="s">
        <v>14</v>
      </c>
      <c r="G538" s="27" t="s">
        <v>14</v>
      </c>
      <c r="H538" s="27" t="s">
        <v>14</v>
      </c>
    </row>
    <row r="539" spans="2:8" x14ac:dyDescent="0.3">
      <c r="B539" s="9">
        <v>40969</v>
      </c>
      <c r="C539" s="29" t="str">
        <f t="shared" si="8"/>
        <v/>
      </c>
      <c r="D539" s="8">
        <v>0.5</v>
      </c>
      <c r="E539" s="28" t="s">
        <v>14</v>
      </c>
      <c r="F539" s="7" t="s">
        <v>14</v>
      </c>
      <c r="G539" s="27" t="s">
        <v>14</v>
      </c>
      <c r="H539" s="27" t="s">
        <v>14</v>
      </c>
    </row>
    <row r="540" spans="2:8" x14ac:dyDescent="0.3">
      <c r="B540" s="11">
        <v>40970</v>
      </c>
      <c r="C540" s="29" t="str">
        <f t="shared" si="8"/>
        <v/>
      </c>
      <c r="D540" s="8">
        <v>0.5</v>
      </c>
      <c r="E540" s="28" t="s">
        <v>14</v>
      </c>
      <c r="F540" s="7" t="s">
        <v>14</v>
      </c>
      <c r="G540" s="27" t="s">
        <v>14</v>
      </c>
      <c r="H540" s="27" t="s">
        <v>14</v>
      </c>
    </row>
    <row r="541" spans="2:8" x14ac:dyDescent="0.3">
      <c r="B541" s="9">
        <v>40973</v>
      </c>
      <c r="C541" s="29" t="str">
        <f t="shared" si="8"/>
        <v/>
      </c>
      <c r="D541" s="8">
        <v>0.5</v>
      </c>
      <c r="E541" s="28" t="s">
        <v>14</v>
      </c>
      <c r="F541" s="7" t="s">
        <v>14</v>
      </c>
      <c r="G541" s="27" t="s">
        <v>14</v>
      </c>
      <c r="H541" s="27" t="s">
        <v>14</v>
      </c>
    </row>
    <row r="542" spans="2:8" x14ac:dyDescent="0.3">
      <c r="B542" s="11">
        <v>40974</v>
      </c>
      <c r="C542" s="29" t="str">
        <f t="shared" si="8"/>
        <v/>
      </c>
      <c r="D542" s="8">
        <v>0.5</v>
      </c>
      <c r="E542" s="28" t="s">
        <v>14</v>
      </c>
      <c r="F542" s="7" t="s">
        <v>14</v>
      </c>
      <c r="G542" s="27" t="s">
        <v>14</v>
      </c>
      <c r="H542" s="27" t="s">
        <v>14</v>
      </c>
    </row>
    <row r="543" spans="2:8" x14ac:dyDescent="0.3">
      <c r="B543" s="9">
        <v>40975</v>
      </c>
      <c r="C543" s="29" t="str">
        <f t="shared" si="8"/>
        <v/>
      </c>
      <c r="D543" s="8">
        <v>0.5</v>
      </c>
      <c r="E543" s="28" t="s">
        <v>14</v>
      </c>
      <c r="F543" s="7" t="s">
        <v>14</v>
      </c>
      <c r="G543" s="27" t="s">
        <v>14</v>
      </c>
      <c r="H543" s="27" t="s">
        <v>14</v>
      </c>
    </row>
    <row r="544" spans="2:8" x14ac:dyDescent="0.3">
      <c r="B544" s="11">
        <v>40976</v>
      </c>
      <c r="C544" s="29" t="str">
        <f t="shared" si="8"/>
        <v/>
      </c>
      <c r="D544" s="8">
        <v>0.5</v>
      </c>
      <c r="E544" s="28" t="s">
        <v>14</v>
      </c>
      <c r="F544" s="7" t="s">
        <v>14</v>
      </c>
      <c r="G544" s="27" t="s">
        <v>14</v>
      </c>
      <c r="H544" s="27" t="s">
        <v>14</v>
      </c>
    </row>
    <row r="545" spans="2:8" x14ac:dyDescent="0.3">
      <c r="B545" s="9">
        <v>40977</v>
      </c>
      <c r="C545" s="29" t="str">
        <f t="shared" si="8"/>
        <v/>
      </c>
      <c r="D545" s="8">
        <v>0.5</v>
      </c>
      <c r="E545" s="28" t="s">
        <v>14</v>
      </c>
      <c r="F545" s="7" t="s">
        <v>14</v>
      </c>
      <c r="G545" s="27" t="s">
        <v>14</v>
      </c>
      <c r="H545" s="27" t="s">
        <v>14</v>
      </c>
    </row>
    <row r="546" spans="2:8" x14ac:dyDescent="0.3">
      <c r="B546" s="11">
        <v>40980</v>
      </c>
      <c r="C546" s="29" t="str">
        <f t="shared" si="8"/>
        <v/>
      </c>
      <c r="D546" s="8">
        <v>0.5</v>
      </c>
      <c r="E546" s="28" t="s">
        <v>14</v>
      </c>
      <c r="F546" s="7" t="s">
        <v>14</v>
      </c>
      <c r="G546" s="27" t="s">
        <v>14</v>
      </c>
      <c r="H546" s="27" t="s">
        <v>14</v>
      </c>
    </row>
    <row r="547" spans="2:8" x14ac:dyDescent="0.3">
      <c r="B547" s="9">
        <v>40981</v>
      </c>
      <c r="C547" s="29" t="str">
        <f t="shared" si="8"/>
        <v/>
      </c>
      <c r="D547" s="8">
        <v>0.5</v>
      </c>
      <c r="E547" s="28" t="s">
        <v>14</v>
      </c>
      <c r="F547" s="7" t="s">
        <v>14</v>
      </c>
      <c r="G547" s="27" t="s">
        <v>14</v>
      </c>
      <c r="H547" s="27" t="s">
        <v>14</v>
      </c>
    </row>
    <row r="548" spans="2:8" x14ac:dyDescent="0.3">
      <c r="B548" s="11">
        <v>40982</v>
      </c>
      <c r="C548" s="29" t="str">
        <f t="shared" si="8"/>
        <v/>
      </c>
      <c r="D548" s="8">
        <v>0.5</v>
      </c>
      <c r="E548" s="28" t="s">
        <v>14</v>
      </c>
      <c r="F548" s="7" t="s">
        <v>14</v>
      </c>
      <c r="G548" s="27" t="s">
        <v>14</v>
      </c>
      <c r="H548" s="27" t="s">
        <v>14</v>
      </c>
    </row>
    <row r="549" spans="2:8" x14ac:dyDescent="0.3">
      <c r="B549" s="9">
        <v>40983</v>
      </c>
      <c r="C549" s="29" t="str">
        <f t="shared" si="8"/>
        <v/>
      </c>
      <c r="D549" s="8">
        <v>0.5</v>
      </c>
      <c r="E549" s="28" t="s">
        <v>14</v>
      </c>
      <c r="F549" s="7" t="s">
        <v>14</v>
      </c>
      <c r="G549" s="27" t="s">
        <v>14</v>
      </c>
      <c r="H549" s="27" t="s">
        <v>14</v>
      </c>
    </row>
    <row r="550" spans="2:8" x14ac:dyDescent="0.3">
      <c r="B550" s="11">
        <v>40984</v>
      </c>
      <c r="C550" s="29" t="str">
        <f t="shared" si="8"/>
        <v/>
      </c>
      <c r="D550" s="8">
        <v>0.5</v>
      </c>
      <c r="E550" s="28" t="s">
        <v>14</v>
      </c>
      <c r="F550" s="7" t="s">
        <v>14</v>
      </c>
      <c r="G550" s="27" t="s">
        <v>14</v>
      </c>
      <c r="H550" s="27" t="s">
        <v>14</v>
      </c>
    </row>
    <row r="551" spans="2:8" x14ac:dyDescent="0.3">
      <c r="B551" s="9">
        <v>40987</v>
      </c>
      <c r="C551" s="29" t="str">
        <f t="shared" si="8"/>
        <v/>
      </c>
      <c r="D551" s="8">
        <v>0.5</v>
      </c>
      <c r="E551" s="28" t="s">
        <v>14</v>
      </c>
      <c r="F551" s="7" t="s">
        <v>14</v>
      </c>
      <c r="G551" s="27" t="s">
        <v>14</v>
      </c>
      <c r="H551" s="27" t="s">
        <v>14</v>
      </c>
    </row>
    <row r="552" spans="2:8" x14ac:dyDescent="0.3">
      <c r="B552" s="11">
        <v>40988</v>
      </c>
      <c r="C552" s="29" t="str">
        <f t="shared" si="8"/>
        <v/>
      </c>
      <c r="D552" s="8">
        <v>0.5</v>
      </c>
      <c r="E552" s="28" t="s">
        <v>14</v>
      </c>
      <c r="F552" s="7" t="s">
        <v>14</v>
      </c>
      <c r="G552" s="27" t="s">
        <v>14</v>
      </c>
      <c r="H552" s="27" t="s">
        <v>14</v>
      </c>
    </row>
    <row r="553" spans="2:8" x14ac:dyDescent="0.3">
      <c r="B553" s="9">
        <v>40989</v>
      </c>
      <c r="C553" s="29" t="str">
        <f t="shared" si="8"/>
        <v/>
      </c>
      <c r="D553" s="8">
        <v>0.5</v>
      </c>
      <c r="E553" s="28" t="s">
        <v>14</v>
      </c>
      <c r="F553" s="7" t="s">
        <v>14</v>
      </c>
      <c r="G553" s="27" t="s">
        <v>14</v>
      </c>
      <c r="H553" s="27" t="s">
        <v>14</v>
      </c>
    </row>
    <row r="554" spans="2:8" x14ac:dyDescent="0.3">
      <c r="B554" s="11">
        <v>40990</v>
      </c>
      <c r="C554" s="29" t="str">
        <f t="shared" si="8"/>
        <v/>
      </c>
      <c r="D554" s="8">
        <v>0.5</v>
      </c>
      <c r="E554" s="28" t="s">
        <v>14</v>
      </c>
      <c r="F554" s="7" t="s">
        <v>14</v>
      </c>
      <c r="G554" s="27" t="s">
        <v>14</v>
      </c>
      <c r="H554" s="27" t="s">
        <v>14</v>
      </c>
    </row>
    <row r="555" spans="2:8" x14ac:dyDescent="0.3">
      <c r="B555" s="9">
        <v>40991</v>
      </c>
      <c r="C555" s="29" t="str">
        <f t="shared" si="8"/>
        <v/>
      </c>
      <c r="D555" s="8">
        <v>0.5</v>
      </c>
      <c r="E555" s="28" t="s">
        <v>14</v>
      </c>
      <c r="F555" s="7" t="s">
        <v>14</v>
      </c>
      <c r="G555" s="27" t="s">
        <v>14</v>
      </c>
      <c r="H555" s="27" t="s">
        <v>14</v>
      </c>
    </row>
    <row r="556" spans="2:8" x14ac:dyDescent="0.3">
      <c r="B556" s="11">
        <v>40994</v>
      </c>
      <c r="C556" s="29" t="str">
        <f t="shared" si="8"/>
        <v/>
      </c>
      <c r="D556" s="8">
        <v>0.5</v>
      </c>
      <c r="E556" s="28" t="s">
        <v>14</v>
      </c>
      <c r="F556" s="7" t="s">
        <v>14</v>
      </c>
      <c r="G556" s="27" t="s">
        <v>14</v>
      </c>
      <c r="H556" s="27" t="s">
        <v>14</v>
      </c>
    </row>
    <row r="557" spans="2:8" x14ac:dyDescent="0.3">
      <c r="B557" s="9">
        <v>40995</v>
      </c>
      <c r="C557" s="29" t="str">
        <f t="shared" si="8"/>
        <v/>
      </c>
      <c r="D557" s="8">
        <v>0.5</v>
      </c>
      <c r="E557" s="28" t="s">
        <v>14</v>
      </c>
      <c r="F557" s="7" t="s">
        <v>14</v>
      </c>
      <c r="G557" s="27" t="s">
        <v>14</v>
      </c>
      <c r="H557" s="27" t="s">
        <v>14</v>
      </c>
    </row>
    <row r="558" spans="2:8" x14ac:dyDescent="0.3">
      <c r="B558" s="11">
        <v>40996</v>
      </c>
      <c r="C558" s="29" t="str">
        <f t="shared" si="8"/>
        <v/>
      </c>
      <c r="D558" s="8">
        <v>0.5</v>
      </c>
      <c r="E558" s="28" t="s">
        <v>14</v>
      </c>
      <c r="F558" s="7" t="s">
        <v>14</v>
      </c>
      <c r="G558" s="27" t="s">
        <v>14</v>
      </c>
      <c r="H558" s="27" t="s">
        <v>14</v>
      </c>
    </row>
    <row r="559" spans="2:8" x14ac:dyDescent="0.3">
      <c r="B559" s="9">
        <v>40997</v>
      </c>
      <c r="C559" s="29" t="str">
        <f t="shared" si="8"/>
        <v/>
      </c>
      <c r="D559" s="8">
        <v>0.5</v>
      </c>
      <c r="E559" s="28" t="s">
        <v>14</v>
      </c>
      <c r="F559" s="7" t="s">
        <v>14</v>
      </c>
      <c r="G559" s="27" t="s">
        <v>14</v>
      </c>
      <c r="H559" s="27" t="s">
        <v>14</v>
      </c>
    </row>
    <row r="560" spans="2:8" x14ac:dyDescent="0.3">
      <c r="B560" s="11">
        <v>40998</v>
      </c>
      <c r="C560" s="29">
        <f t="shared" si="8"/>
        <v>0</v>
      </c>
      <c r="D560" s="8">
        <v>0.5</v>
      </c>
      <c r="E560" s="28">
        <v>0.5</v>
      </c>
      <c r="F560" s="7">
        <v>0.5</v>
      </c>
    </row>
    <row r="561" spans="2:8" x14ac:dyDescent="0.3">
      <c r="B561" s="9">
        <v>41001</v>
      </c>
      <c r="C561" s="29" t="str">
        <f t="shared" si="8"/>
        <v/>
      </c>
      <c r="D561" s="8">
        <v>0.5</v>
      </c>
      <c r="E561" s="28" t="s">
        <v>14</v>
      </c>
      <c r="F561" s="7" t="s">
        <v>14</v>
      </c>
      <c r="G561" s="27" t="s">
        <v>14</v>
      </c>
      <c r="H561" s="27" t="s">
        <v>14</v>
      </c>
    </row>
    <row r="562" spans="2:8" x14ac:dyDescent="0.3">
      <c r="B562" s="11">
        <v>41002</v>
      </c>
      <c r="C562" s="29" t="str">
        <f t="shared" si="8"/>
        <v/>
      </c>
      <c r="D562" s="8">
        <v>0.5</v>
      </c>
      <c r="E562" s="28" t="s">
        <v>14</v>
      </c>
      <c r="F562" s="7" t="s">
        <v>14</v>
      </c>
      <c r="G562" s="27" t="s">
        <v>14</v>
      </c>
      <c r="H562" s="27" t="s">
        <v>14</v>
      </c>
    </row>
    <row r="563" spans="2:8" x14ac:dyDescent="0.3">
      <c r="B563" s="9">
        <v>41003</v>
      </c>
      <c r="C563" s="29" t="str">
        <f t="shared" si="8"/>
        <v/>
      </c>
      <c r="D563" s="8">
        <v>0.5</v>
      </c>
      <c r="E563" s="28" t="s">
        <v>14</v>
      </c>
      <c r="F563" s="7" t="s">
        <v>14</v>
      </c>
      <c r="G563" s="27" t="s">
        <v>14</v>
      </c>
      <c r="H563" s="27" t="s">
        <v>14</v>
      </c>
    </row>
    <row r="564" spans="2:8" x14ac:dyDescent="0.3">
      <c r="B564" s="11">
        <v>41004</v>
      </c>
      <c r="C564" s="29" t="str">
        <f t="shared" si="8"/>
        <v/>
      </c>
      <c r="D564" s="8">
        <v>0.5</v>
      </c>
      <c r="E564" s="28" t="s">
        <v>14</v>
      </c>
      <c r="F564" s="7" t="s">
        <v>14</v>
      </c>
      <c r="G564" s="27" t="s">
        <v>14</v>
      </c>
      <c r="H564" s="27" t="s">
        <v>14</v>
      </c>
    </row>
    <row r="565" spans="2:8" x14ac:dyDescent="0.3">
      <c r="B565" s="9">
        <v>41008</v>
      </c>
      <c r="C565" s="29" t="str">
        <f t="shared" si="8"/>
        <v/>
      </c>
      <c r="D565" s="8">
        <v>0.5</v>
      </c>
      <c r="E565" s="28" t="s">
        <v>14</v>
      </c>
      <c r="F565" s="7" t="s">
        <v>14</v>
      </c>
      <c r="G565" s="27" t="s">
        <v>14</v>
      </c>
      <c r="H565" s="27" t="s">
        <v>14</v>
      </c>
    </row>
    <row r="566" spans="2:8" x14ac:dyDescent="0.3">
      <c r="B566" s="11">
        <v>41009</v>
      </c>
      <c r="C566" s="29" t="str">
        <f t="shared" si="8"/>
        <v/>
      </c>
      <c r="D566" s="8">
        <v>0.5</v>
      </c>
      <c r="E566" s="28" t="s">
        <v>14</v>
      </c>
      <c r="F566" s="7" t="s">
        <v>14</v>
      </c>
      <c r="G566" s="27" t="s">
        <v>14</v>
      </c>
      <c r="H566" s="27" t="s">
        <v>14</v>
      </c>
    </row>
    <row r="567" spans="2:8" x14ac:dyDescent="0.3">
      <c r="B567" s="9">
        <v>41010</v>
      </c>
      <c r="C567" s="29" t="str">
        <f t="shared" si="8"/>
        <v/>
      </c>
      <c r="D567" s="8">
        <v>0.5</v>
      </c>
      <c r="E567" s="28" t="s">
        <v>14</v>
      </c>
      <c r="F567" s="7" t="s">
        <v>14</v>
      </c>
      <c r="G567" s="27" t="s">
        <v>14</v>
      </c>
      <c r="H567" s="27" t="s">
        <v>14</v>
      </c>
    </row>
    <row r="568" spans="2:8" x14ac:dyDescent="0.3">
      <c r="B568" s="11">
        <v>41011</v>
      </c>
      <c r="C568" s="29" t="str">
        <f t="shared" si="8"/>
        <v/>
      </c>
      <c r="D568" s="8">
        <v>0.5</v>
      </c>
      <c r="E568" s="28" t="s">
        <v>14</v>
      </c>
      <c r="F568" s="7" t="s">
        <v>14</v>
      </c>
      <c r="G568" s="27" t="s">
        <v>14</v>
      </c>
      <c r="H568" s="27" t="s">
        <v>14</v>
      </c>
    </row>
    <row r="569" spans="2:8" x14ac:dyDescent="0.3">
      <c r="B569" s="9">
        <v>41012</v>
      </c>
      <c r="C569" s="29" t="str">
        <f t="shared" si="8"/>
        <v/>
      </c>
      <c r="D569" s="8">
        <v>0.5</v>
      </c>
      <c r="E569" s="28" t="s">
        <v>14</v>
      </c>
      <c r="F569" s="7" t="s">
        <v>14</v>
      </c>
      <c r="G569" s="27" t="s">
        <v>14</v>
      </c>
      <c r="H569" s="27" t="s">
        <v>14</v>
      </c>
    </row>
    <row r="570" spans="2:8" x14ac:dyDescent="0.3">
      <c r="B570" s="11">
        <v>41015</v>
      </c>
      <c r="C570" s="29" t="str">
        <f t="shared" si="8"/>
        <v/>
      </c>
      <c r="D570" s="8">
        <v>0.5</v>
      </c>
      <c r="E570" s="28" t="s">
        <v>14</v>
      </c>
      <c r="F570" s="7" t="s">
        <v>14</v>
      </c>
      <c r="G570" s="27" t="s">
        <v>14</v>
      </c>
      <c r="H570" s="27" t="s">
        <v>14</v>
      </c>
    </row>
    <row r="571" spans="2:8" x14ac:dyDescent="0.3">
      <c r="B571" s="9">
        <v>41016</v>
      </c>
      <c r="C571" s="29" t="str">
        <f t="shared" si="8"/>
        <v/>
      </c>
      <c r="D571" s="8">
        <v>0.5</v>
      </c>
      <c r="E571" s="28" t="s">
        <v>14</v>
      </c>
      <c r="F571" s="7" t="s">
        <v>14</v>
      </c>
      <c r="G571" s="27" t="s">
        <v>14</v>
      </c>
      <c r="H571" s="27" t="s">
        <v>14</v>
      </c>
    </row>
    <row r="572" spans="2:8" x14ac:dyDescent="0.3">
      <c r="B572" s="11">
        <v>41017</v>
      </c>
      <c r="C572" s="29" t="str">
        <f t="shared" si="8"/>
        <v/>
      </c>
      <c r="D572" s="8">
        <v>0.5</v>
      </c>
      <c r="E572" s="28" t="s">
        <v>14</v>
      </c>
      <c r="F572" s="7" t="s">
        <v>14</v>
      </c>
      <c r="G572" s="27" t="s">
        <v>14</v>
      </c>
      <c r="H572" s="27" t="s">
        <v>14</v>
      </c>
    </row>
    <row r="573" spans="2:8" x14ac:dyDescent="0.3">
      <c r="B573" s="9">
        <v>41018</v>
      </c>
      <c r="C573" s="29" t="str">
        <f t="shared" si="8"/>
        <v/>
      </c>
      <c r="D573" s="8">
        <v>0.5</v>
      </c>
      <c r="E573" s="28" t="s">
        <v>14</v>
      </c>
      <c r="F573" s="7" t="s">
        <v>14</v>
      </c>
      <c r="G573" s="27" t="s">
        <v>14</v>
      </c>
      <c r="H573" s="27" t="s">
        <v>14</v>
      </c>
    </row>
    <row r="574" spans="2:8" x14ac:dyDescent="0.3">
      <c r="B574" s="11">
        <v>41019</v>
      </c>
      <c r="C574" s="29" t="str">
        <f t="shared" si="8"/>
        <v/>
      </c>
      <c r="D574" s="8">
        <v>0.5</v>
      </c>
      <c r="E574" s="28" t="s">
        <v>14</v>
      </c>
      <c r="F574" s="7" t="s">
        <v>14</v>
      </c>
      <c r="G574" s="27" t="s">
        <v>14</v>
      </c>
      <c r="H574" s="27" t="s">
        <v>14</v>
      </c>
    </row>
    <row r="575" spans="2:8" x14ac:dyDescent="0.3">
      <c r="B575" s="9">
        <v>41022</v>
      </c>
      <c r="C575" s="29" t="str">
        <f t="shared" si="8"/>
        <v/>
      </c>
      <c r="D575" s="8">
        <v>0.5</v>
      </c>
      <c r="E575" s="28" t="s">
        <v>14</v>
      </c>
      <c r="F575" s="7" t="s">
        <v>14</v>
      </c>
      <c r="G575" s="27" t="s">
        <v>14</v>
      </c>
      <c r="H575" s="27" t="s">
        <v>14</v>
      </c>
    </row>
    <row r="576" spans="2:8" x14ac:dyDescent="0.3">
      <c r="B576" s="11">
        <v>41023</v>
      </c>
      <c r="C576" s="29" t="str">
        <f t="shared" si="8"/>
        <v/>
      </c>
      <c r="D576" s="8">
        <v>0.5</v>
      </c>
      <c r="E576" s="28" t="s">
        <v>14</v>
      </c>
      <c r="F576" s="7" t="s">
        <v>14</v>
      </c>
      <c r="G576" s="27" t="s">
        <v>14</v>
      </c>
      <c r="H576" s="27" t="s">
        <v>14</v>
      </c>
    </row>
    <row r="577" spans="2:8" x14ac:dyDescent="0.3">
      <c r="B577" s="9">
        <v>41024</v>
      </c>
      <c r="C577" s="29" t="str">
        <f t="shared" si="8"/>
        <v/>
      </c>
      <c r="D577" s="8">
        <v>0.5</v>
      </c>
      <c r="E577" s="28" t="s">
        <v>14</v>
      </c>
      <c r="F577" s="7" t="s">
        <v>14</v>
      </c>
      <c r="G577" s="27" t="s">
        <v>14</v>
      </c>
      <c r="H577" s="27" t="s">
        <v>14</v>
      </c>
    </row>
    <row r="578" spans="2:8" x14ac:dyDescent="0.3">
      <c r="B578" s="11">
        <v>41025</v>
      </c>
      <c r="C578" s="29" t="str">
        <f t="shared" si="8"/>
        <v/>
      </c>
      <c r="D578" s="8">
        <v>0.5</v>
      </c>
      <c r="E578" s="28" t="s">
        <v>14</v>
      </c>
      <c r="F578" s="7" t="s">
        <v>14</v>
      </c>
      <c r="G578" s="27" t="s">
        <v>14</v>
      </c>
      <c r="H578" s="27" t="s">
        <v>14</v>
      </c>
    </row>
    <row r="579" spans="2:8" x14ac:dyDescent="0.3">
      <c r="B579" s="9">
        <v>41026</v>
      </c>
      <c r="C579" s="29" t="str">
        <f t="shared" ref="C579:C642" si="9">INDEX(D579:H579,MATCH($A$1,$D$1:$H$1,0))</f>
        <v/>
      </c>
      <c r="D579" s="8">
        <v>0.5</v>
      </c>
      <c r="E579" s="28" t="s">
        <v>14</v>
      </c>
      <c r="F579" s="7" t="s">
        <v>14</v>
      </c>
      <c r="G579" s="27" t="s">
        <v>14</v>
      </c>
      <c r="H579" s="27" t="s">
        <v>14</v>
      </c>
    </row>
    <row r="580" spans="2:8" x14ac:dyDescent="0.3">
      <c r="B580" s="11">
        <v>41029</v>
      </c>
      <c r="C580" s="29" t="str">
        <f t="shared" si="9"/>
        <v/>
      </c>
      <c r="D580" s="8">
        <v>0.5</v>
      </c>
      <c r="E580" s="28">
        <v>0.5</v>
      </c>
      <c r="F580" s="7" t="s">
        <v>14</v>
      </c>
      <c r="G580" s="27" t="s">
        <v>14</v>
      </c>
      <c r="H580" s="27" t="s">
        <v>14</v>
      </c>
    </row>
    <row r="581" spans="2:8" x14ac:dyDescent="0.3">
      <c r="B581" s="9">
        <v>41031</v>
      </c>
      <c r="C581" s="29" t="str">
        <f t="shared" si="9"/>
        <v/>
      </c>
      <c r="D581" s="8">
        <v>0.5</v>
      </c>
      <c r="E581" s="28" t="s">
        <v>14</v>
      </c>
      <c r="F581" s="7" t="s">
        <v>14</v>
      </c>
      <c r="G581" s="27" t="s">
        <v>14</v>
      </c>
      <c r="H581" s="27" t="s">
        <v>14</v>
      </c>
    </row>
    <row r="582" spans="2:8" x14ac:dyDescent="0.3">
      <c r="B582" s="11">
        <v>41032</v>
      </c>
      <c r="C582" s="29" t="str">
        <f t="shared" si="9"/>
        <v/>
      </c>
      <c r="D582" s="8">
        <v>0.5</v>
      </c>
      <c r="E582" s="28" t="s">
        <v>14</v>
      </c>
      <c r="F582" s="7" t="s">
        <v>14</v>
      </c>
      <c r="G582" s="27" t="s">
        <v>14</v>
      </c>
      <c r="H582" s="27" t="s">
        <v>14</v>
      </c>
    </row>
    <row r="583" spans="2:8" x14ac:dyDescent="0.3">
      <c r="B583" s="9">
        <v>41033</v>
      </c>
      <c r="C583" s="29" t="str">
        <f t="shared" si="9"/>
        <v/>
      </c>
      <c r="D583" s="8">
        <v>0.5</v>
      </c>
      <c r="E583" s="28" t="s">
        <v>14</v>
      </c>
      <c r="F583" s="7" t="s">
        <v>14</v>
      </c>
      <c r="G583" s="27" t="s">
        <v>14</v>
      </c>
      <c r="H583" s="27" t="s">
        <v>14</v>
      </c>
    </row>
    <row r="584" spans="2:8" x14ac:dyDescent="0.3">
      <c r="B584" s="11">
        <v>41036</v>
      </c>
      <c r="C584" s="29" t="str">
        <f t="shared" si="9"/>
        <v/>
      </c>
      <c r="D584" s="8">
        <v>0.5</v>
      </c>
      <c r="E584" s="28" t="s">
        <v>14</v>
      </c>
      <c r="F584" s="7" t="s">
        <v>14</v>
      </c>
      <c r="G584" s="27" t="s">
        <v>14</v>
      </c>
      <c r="H584" s="27" t="s">
        <v>14</v>
      </c>
    </row>
    <row r="585" spans="2:8" x14ac:dyDescent="0.3">
      <c r="B585" s="9">
        <v>41037</v>
      </c>
      <c r="C585" s="29" t="str">
        <f t="shared" si="9"/>
        <v/>
      </c>
      <c r="D585" s="8">
        <v>0.5</v>
      </c>
      <c r="E585" s="28" t="s">
        <v>14</v>
      </c>
      <c r="F585" s="7" t="s">
        <v>14</v>
      </c>
      <c r="G585" s="27" t="s">
        <v>14</v>
      </c>
      <c r="H585" s="27" t="s">
        <v>14</v>
      </c>
    </row>
    <row r="586" spans="2:8" x14ac:dyDescent="0.3">
      <c r="B586" s="11">
        <v>41038</v>
      </c>
      <c r="C586" s="29" t="str">
        <f t="shared" si="9"/>
        <v/>
      </c>
      <c r="D586" s="8">
        <v>0.5</v>
      </c>
      <c r="E586" s="28" t="s">
        <v>14</v>
      </c>
      <c r="F586" s="7" t="s">
        <v>14</v>
      </c>
      <c r="G586" s="27" t="s">
        <v>14</v>
      </c>
      <c r="H586" s="27" t="s">
        <v>14</v>
      </c>
    </row>
    <row r="587" spans="2:8" x14ac:dyDescent="0.3">
      <c r="B587" s="9">
        <v>41039</v>
      </c>
      <c r="C587" s="29" t="str">
        <f t="shared" si="9"/>
        <v/>
      </c>
      <c r="D587" s="8">
        <v>0.5</v>
      </c>
      <c r="E587" s="28" t="s">
        <v>14</v>
      </c>
      <c r="F587" s="7" t="s">
        <v>14</v>
      </c>
      <c r="G587" s="27" t="s">
        <v>14</v>
      </c>
      <c r="H587" s="27" t="s">
        <v>14</v>
      </c>
    </row>
    <row r="588" spans="2:8" x14ac:dyDescent="0.3">
      <c r="B588" s="11">
        <v>41040</v>
      </c>
      <c r="C588" s="29" t="str">
        <f t="shared" si="9"/>
        <v/>
      </c>
      <c r="D588" s="8">
        <v>0.5</v>
      </c>
      <c r="E588" s="28" t="s">
        <v>14</v>
      </c>
      <c r="F588" s="7" t="s">
        <v>14</v>
      </c>
      <c r="G588" s="27" t="s">
        <v>14</v>
      </c>
      <c r="H588" s="27" t="s">
        <v>14</v>
      </c>
    </row>
    <row r="589" spans="2:8" x14ac:dyDescent="0.3">
      <c r="B589" s="9">
        <v>41043</v>
      </c>
      <c r="C589" s="29" t="str">
        <f t="shared" si="9"/>
        <v/>
      </c>
      <c r="D589" s="8">
        <v>0.5</v>
      </c>
      <c r="E589" s="28" t="s">
        <v>14</v>
      </c>
      <c r="F589" s="7" t="s">
        <v>14</v>
      </c>
      <c r="G589" s="27" t="s">
        <v>14</v>
      </c>
      <c r="H589" s="27" t="s">
        <v>14</v>
      </c>
    </row>
    <row r="590" spans="2:8" x14ac:dyDescent="0.3">
      <c r="B590" s="11">
        <v>41044</v>
      </c>
      <c r="C590" s="29" t="str">
        <f t="shared" si="9"/>
        <v/>
      </c>
      <c r="D590" s="8">
        <v>0.5</v>
      </c>
      <c r="E590" s="28" t="s">
        <v>14</v>
      </c>
      <c r="F590" s="7" t="s">
        <v>14</v>
      </c>
      <c r="G590" s="27" t="s">
        <v>14</v>
      </c>
      <c r="H590" s="27" t="s">
        <v>14</v>
      </c>
    </row>
    <row r="591" spans="2:8" x14ac:dyDescent="0.3">
      <c r="B591" s="9">
        <v>41045</v>
      </c>
      <c r="C591" s="29" t="str">
        <f t="shared" si="9"/>
        <v/>
      </c>
      <c r="D591" s="8">
        <v>0.5</v>
      </c>
      <c r="E591" s="28" t="s">
        <v>14</v>
      </c>
      <c r="F591" s="7" t="s">
        <v>14</v>
      </c>
      <c r="G591" s="27" t="s">
        <v>14</v>
      </c>
      <c r="H591" s="27" t="s">
        <v>14</v>
      </c>
    </row>
    <row r="592" spans="2:8" x14ac:dyDescent="0.3">
      <c r="B592" s="11">
        <v>41046</v>
      </c>
      <c r="C592" s="29" t="str">
        <f t="shared" si="9"/>
        <v/>
      </c>
      <c r="D592" s="8">
        <v>0.5</v>
      </c>
      <c r="E592" s="28" t="s">
        <v>14</v>
      </c>
      <c r="F592" s="7" t="s">
        <v>14</v>
      </c>
      <c r="G592" s="27" t="s">
        <v>14</v>
      </c>
      <c r="H592" s="27" t="s">
        <v>14</v>
      </c>
    </row>
    <row r="593" spans="2:8" x14ac:dyDescent="0.3">
      <c r="B593" s="9">
        <v>41047</v>
      </c>
      <c r="C593" s="29" t="str">
        <f t="shared" si="9"/>
        <v/>
      </c>
      <c r="D593" s="8">
        <v>0.5</v>
      </c>
      <c r="E593" s="28" t="s">
        <v>14</v>
      </c>
      <c r="F593" s="7" t="s">
        <v>14</v>
      </c>
      <c r="G593" s="27" t="s">
        <v>14</v>
      </c>
      <c r="H593" s="27" t="s">
        <v>14</v>
      </c>
    </row>
    <row r="594" spans="2:8" x14ac:dyDescent="0.3">
      <c r="B594" s="11">
        <v>41050</v>
      </c>
      <c r="C594" s="29" t="str">
        <f t="shared" si="9"/>
        <v/>
      </c>
      <c r="D594" s="8">
        <v>0.5</v>
      </c>
      <c r="E594" s="28" t="s">
        <v>14</v>
      </c>
      <c r="F594" s="7" t="s">
        <v>14</v>
      </c>
      <c r="G594" s="27" t="s">
        <v>14</v>
      </c>
      <c r="H594" s="27" t="s">
        <v>14</v>
      </c>
    </row>
    <row r="595" spans="2:8" x14ac:dyDescent="0.3">
      <c r="B595" s="9">
        <v>41051</v>
      </c>
      <c r="C595" s="29" t="str">
        <f t="shared" si="9"/>
        <v/>
      </c>
      <c r="D595" s="8">
        <v>0.5</v>
      </c>
      <c r="E595" s="28" t="s">
        <v>14</v>
      </c>
      <c r="F595" s="7" t="s">
        <v>14</v>
      </c>
      <c r="G595" s="27" t="s">
        <v>14</v>
      </c>
      <c r="H595" s="27" t="s">
        <v>14</v>
      </c>
    </row>
    <row r="596" spans="2:8" x14ac:dyDescent="0.3">
      <c r="B596" s="11">
        <v>41052</v>
      </c>
      <c r="C596" s="29" t="str">
        <f t="shared" si="9"/>
        <v/>
      </c>
      <c r="D596" s="8">
        <v>0.5</v>
      </c>
      <c r="E596" s="28" t="s">
        <v>14</v>
      </c>
      <c r="F596" s="7" t="s">
        <v>14</v>
      </c>
      <c r="G596" s="27" t="s">
        <v>14</v>
      </c>
      <c r="H596" s="27" t="s">
        <v>14</v>
      </c>
    </row>
    <row r="597" spans="2:8" x14ac:dyDescent="0.3">
      <c r="B597" s="9">
        <v>41053</v>
      </c>
      <c r="C597" s="29" t="str">
        <f t="shared" si="9"/>
        <v/>
      </c>
      <c r="D597" s="8">
        <v>0.5</v>
      </c>
      <c r="E597" s="28" t="s">
        <v>14</v>
      </c>
      <c r="F597" s="7" t="s">
        <v>14</v>
      </c>
      <c r="G597" s="27" t="s">
        <v>14</v>
      </c>
      <c r="H597" s="27" t="s">
        <v>14</v>
      </c>
    </row>
    <row r="598" spans="2:8" x14ac:dyDescent="0.3">
      <c r="B598" s="11">
        <v>41054</v>
      </c>
      <c r="C598" s="29" t="str">
        <f t="shared" si="9"/>
        <v/>
      </c>
      <c r="D598" s="8">
        <v>0.5</v>
      </c>
      <c r="E598" s="28" t="s">
        <v>14</v>
      </c>
      <c r="F598" s="7" t="s">
        <v>14</v>
      </c>
      <c r="G598" s="27" t="s">
        <v>14</v>
      </c>
      <c r="H598" s="27" t="s">
        <v>14</v>
      </c>
    </row>
    <row r="599" spans="2:8" x14ac:dyDescent="0.3">
      <c r="B599" s="9">
        <v>41057</v>
      </c>
      <c r="C599" s="29" t="str">
        <f t="shared" si="9"/>
        <v/>
      </c>
      <c r="D599" s="8">
        <v>0.5</v>
      </c>
      <c r="E599" s="28" t="s">
        <v>14</v>
      </c>
      <c r="F599" s="7" t="s">
        <v>14</v>
      </c>
      <c r="G599" s="27" t="s">
        <v>14</v>
      </c>
      <c r="H599" s="27" t="s">
        <v>14</v>
      </c>
    </row>
    <row r="600" spans="2:8" x14ac:dyDescent="0.3">
      <c r="B600" s="11">
        <v>41058</v>
      </c>
      <c r="C600" s="29" t="str">
        <f t="shared" si="9"/>
        <v/>
      </c>
      <c r="D600" s="8">
        <v>0.5</v>
      </c>
      <c r="E600" s="28" t="s">
        <v>14</v>
      </c>
      <c r="F600" s="7" t="s">
        <v>14</v>
      </c>
      <c r="G600" s="27" t="s">
        <v>14</v>
      </c>
      <c r="H600" s="27" t="s">
        <v>14</v>
      </c>
    </row>
    <row r="601" spans="2:8" x14ac:dyDescent="0.3">
      <c r="B601" s="9">
        <v>41059</v>
      </c>
      <c r="C601" s="29" t="str">
        <f t="shared" si="9"/>
        <v/>
      </c>
      <c r="D601" s="8">
        <v>0.5</v>
      </c>
      <c r="E601" s="28" t="s">
        <v>14</v>
      </c>
      <c r="F601" s="7" t="s">
        <v>14</v>
      </c>
      <c r="G601" s="27" t="s">
        <v>14</v>
      </c>
      <c r="H601" s="27" t="s">
        <v>14</v>
      </c>
    </row>
    <row r="602" spans="2:8" x14ac:dyDescent="0.3">
      <c r="B602" s="11">
        <v>41060</v>
      </c>
      <c r="C602" s="29" t="str">
        <f t="shared" si="9"/>
        <v/>
      </c>
      <c r="D602" s="8">
        <v>0.5</v>
      </c>
      <c r="E602" s="28">
        <v>0.5</v>
      </c>
      <c r="F602" s="7" t="s">
        <v>14</v>
      </c>
      <c r="G602" s="27" t="s">
        <v>14</v>
      </c>
      <c r="H602" s="27" t="s">
        <v>14</v>
      </c>
    </row>
    <row r="603" spans="2:8" x14ac:dyDescent="0.3">
      <c r="B603" s="9">
        <v>41061</v>
      </c>
      <c r="C603" s="29" t="str">
        <f t="shared" si="9"/>
        <v/>
      </c>
      <c r="D603" s="8">
        <v>0.5</v>
      </c>
      <c r="E603" s="28" t="s">
        <v>14</v>
      </c>
      <c r="F603" s="7" t="s">
        <v>14</v>
      </c>
      <c r="G603" s="27" t="s">
        <v>14</v>
      </c>
      <c r="H603" s="27" t="s">
        <v>14</v>
      </c>
    </row>
    <row r="604" spans="2:8" x14ac:dyDescent="0.3">
      <c r="B604" s="11">
        <v>41064</v>
      </c>
      <c r="C604" s="29" t="str">
        <f t="shared" si="9"/>
        <v/>
      </c>
      <c r="D604" s="8">
        <v>0.5</v>
      </c>
      <c r="E604" s="28" t="s">
        <v>14</v>
      </c>
      <c r="F604" s="7" t="s">
        <v>14</v>
      </c>
      <c r="G604" s="27" t="s">
        <v>14</v>
      </c>
      <c r="H604" s="27" t="s">
        <v>14</v>
      </c>
    </row>
    <row r="605" spans="2:8" x14ac:dyDescent="0.3">
      <c r="B605" s="9">
        <v>41065</v>
      </c>
      <c r="C605" s="29" t="str">
        <f t="shared" si="9"/>
        <v/>
      </c>
      <c r="D605" s="8">
        <v>0.5</v>
      </c>
      <c r="E605" s="28" t="s">
        <v>14</v>
      </c>
      <c r="F605" s="7" t="s">
        <v>14</v>
      </c>
      <c r="G605" s="27" t="s">
        <v>14</v>
      </c>
      <c r="H605" s="27" t="s">
        <v>14</v>
      </c>
    </row>
    <row r="606" spans="2:8" x14ac:dyDescent="0.3">
      <c r="B606" s="11">
        <v>41066</v>
      </c>
      <c r="C606" s="29" t="str">
        <f t="shared" si="9"/>
        <v/>
      </c>
      <c r="D606" s="8">
        <v>0.5</v>
      </c>
      <c r="E606" s="28" t="s">
        <v>14</v>
      </c>
      <c r="F606" s="7" t="s">
        <v>14</v>
      </c>
      <c r="G606" s="27" t="s">
        <v>14</v>
      </c>
      <c r="H606" s="27" t="s">
        <v>14</v>
      </c>
    </row>
    <row r="607" spans="2:8" x14ac:dyDescent="0.3">
      <c r="B607" s="9">
        <v>41068</v>
      </c>
      <c r="C607" s="29" t="str">
        <f t="shared" si="9"/>
        <v/>
      </c>
      <c r="D607" s="8">
        <v>0.5</v>
      </c>
      <c r="E607" s="28" t="s">
        <v>14</v>
      </c>
      <c r="F607" s="7" t="s">
        <v>14</v>
      </c>
      <c r="G607" s="27" t="s">
        <v>14</v>
      </c>
      <c r="H607" s="27" t="s">
        <v>14</v>
      </c>
    </row>
    <row r="608" spans="2:8" x14ac:dyDescent="0.3">
      <c r="B608" s="11">
        <v>41071</v>
      </c>
      <c r="C608" s="29" t="str">
        <f t="shared" si="9"/>
        <v/>
      </c>
      <c r="D608" s="8">
        <v>0.5</v>
      </c>
      <c r="E608" s="28" t="s">
        <v>14</v>
      </c>
      <c r="F608" s="7" t="s">
        <v>14</v>
      </c>
      <c r="G608" s="27" t="s">
        <v>14</v>
      </c>
      <c r="H608" s="27" t="s">
        <v>14</v>
      </c>
    </row>
    <row r="609" spans="2:8" x14ac:dyDescent="0.3">
      <c r="B609" s="9">
        <v>41072</v>
      </c>
      <c r="C609" s="29" t="str">
        <f t="shared" si="9"/>
        <v/>
      </c>
      <c r="D609" s="8">
        <v>0.5</v>
      </c>
      <c r="E609" s="28" t="s">
        <v>14</v>
      </c>
      <c r="F609" s="7" t="s">
        <v>14</v>
      </c>
      <c r="G609" s="27" t="s">
        <v>14</v>
      </c>
      <c r="H609" s="27" t="s">
        <v>14</v>
      </c>
    </row>
    <row r="610" spans="2:8" x14ac:dyDescent="0.3">
      <c r="B610" s="11">
        <v>41073</v>
      </c>
      <c r="C610" s="29" t="str">
        <f t="shared" si="9"/>
        <v/>
      </c>
      <c r="D610" s="8">
        <v>0.5</v>
      </c>
      <c r="E610" s="28" t="s">
        <v>14</v>
      </c>
      <c r="F610" s="7" t="s">
        <v>14</v>
      </c>
      <c r="G610" s="27" t="s">
        <v>14</v>
      </c>
      <c r="H610" s="27" t="s">
        <v>14</v>
      </c>
    </row>
    <row r="611" spans="2:8" x14ac:dyDescent="0.3">
      <c r="B611" s="9">
        <v>41074</v>
      </c>
      <c r="C611" s="29" t="str">
        <f t="shared" si="9"/>
        <v/>
      </c>
      <c r="D611" s="8">
        <v>0.5</v>
      </c>
      <c r="E611" s="28" t="s">
        <v>14</v>
      </c>
      <c r="F611" s="7" t="s">
        <v>14</v>
      </c>
      <c r="G611" s="27" t="s">
        <v>14</v>
      </c>
      <c r="H611" s="27" t="s">
        <v>14</v>
      </c>
    </row>
    <row r="612" spans="2:8" x14ac:dyDescent="0.3">
      <c r="B612" s="11">
        <v>41075</v>
      </c>
      <c r="C612" s="29" t="str">
        <f t="shared" si="9"/>
        <v/>
      </c>
      <c r="D612" s="8">
        <v>0.5</v>
      </c>
      <c r="E612" s="28" t="s">
        <v>14</v>
      </c>
      <c r="F612" s="7" t="s">
        <v>14</v>
      </c>
      <c r="G612" s="27" t="s">
        <v>14</v>
      </c>
      <c r="H612" s="27" t="s">
        <v>14</v>
      </c>
    </row>
    <row r="613" spans="2:8" x14ac:dyDescent="0.3">
      <c r="B613" s="9">
        <v>41078</v>
      </c>
      <c r="C613" s="29" t="str">
        <f t="shared" si="9"/>
        <v/>
      </c>
      <c r="D613" s="8">
        <v>0.5</v>
      </c>
      <c r="E613" s="28" t="s">
        <v>14</v>
      </c>
      <c r="F613" s="7" t="s">
        <v>14</v>
      </c>
      <c r="G613" s="27" t="s">
        <v>14</v>
      </c>
      <c r="H613" s="27" t="s">
        <v>14</v>
      </c>
    </row>
    <row r="614" spans="2:8" x14ac:dyDescent="0.3">
      <c r="B614" s="11">
        <v>41079</v>
      </c>
      <c r="C614" s="29" t="str">
        <f t="shared" si="9"/>
        <v/>
      </c>
      <c r="D614" s="8">
        <v>0.5</v>
      </c>
      <c r="E614" s="28" t="s">
        <v>14</v>
      </c>
      <c r="F614" s="7" t="s">
        <v>14</v>
      </c>
      <c r="G614" s="27" t="s">
        <v>14</v>
      </c>
      <c r="H614" s="27" t="s">
        <v>14</v>
      </c>
    </row>
    <row r="615" spans="2:8" x14ac:dyDescent="0.3">
      <c r="B615" s="9">
        <v>41080</v>
      </c>
      <c r="C615" s="29" t="str">
        <f t="shared" si="9"/>
        <v/>
      </c>
      <c r="D615" s="8">
        <v>0.5</v>
      </c>
      <c r="E615" s="28" t="s">
        <v>14</v>
      </c>
      <c r="F615" s="7" t="s">
        <v>14</v>
      </c>
      <c r="G615" s="27" t="s">
        <v>14</v>
      </c>
      <c r="H615" s="27" t="s">
        <v>14</v>
      </c>
    </row>
    <row r="616" spans="2:8" x14ac:dyDescent="0.3">
      <c r="B616" s="11">
        <v>41081</v>
      </c>
      <c r="C616" s="29" t="str">
        <f t="shared" si="9"/>
        <v/>
      </c>
      <c r="D616" s="8">
        <v>0.5</v>
      </c>
      <c r="E616" s="28" t="s">
        <v>14</v>
      </c>
      <c r="F616" s="7" t="s">
        <v>14</v>
      </c>
      <c r="G616" s="27" t="s">
        <v>14</v>
      </c>
      <c r="H616" s="27" t="s">
        <v>14</v>
      </c>
    </row>
    <row r="617" spans="2:8" x14ac:dyDescent="0.3">
      <c r="B617" s="9">
        <v>41082</v>
      </c>
      <c r="C617" s="29" t="str">
        <f t="shared" si="9"/>
        <v/>
      </c>
      <c r="D617" s="8">
        <v>0.5</v>
      </c>
      <c r="E617" s="28" t="s">
        <v>14</v>
      </c>
      <c r="F617" s="7" t="s">
        <v>14</v>
      </c>
      <c r="G617" s="27" t="s">
        <v>14</v>
      </c>
      <c r="H617" s="27" t="s">
        <v>14</v>
      </c>
    </row>
    <row r="618" spans="2:8" x14ac:dyDescent="0.3">
      <c r="B618" s="11">
        <v>41085</v>
      </c>
      <c r="C618" s="29" t="str">
        <f t="shared" si="9"/>
        <v/>
      </c>
      <c r="D618" s="8">
        <v>0.5</v>
      </c>
      <c r="E618" s="28" t="s">
        <v>14</v>
      </c>
      <c r="F618" s="7" t="s">
        <v>14</v>
      </c>
      <c r="G618" s="27" t="s">
        <v>14</v>
      </c>
      <c r="H618" s="27" t="s">
        <v>14</v>
      </c>
    </row>
    <row r="619" spans="2:8" x14ac:dyDescent="0.3">
      <c r="B619" s="9">
        <v>41086</v>
      </c>
      <c r="C619" s="29" t="str">
        <f t="shared" si="9"/>
        <v/>
      </c>
      <c r="D619" s="8">
        <v>0.5</v>
      </c>
      <c r="E619" s="28" t="s">
        <v>14</v>
      </c>
      <c r="F619" s="7" t="s">
        <v>14</v>
      </c>
      <c r="G619" s="27" t="s">
        <v>14</v>
      </c>
      <c r="H619" s="27" t="s">
        <v>14</v>
      </c>
    </row>
    <row r="620" spans="2:8" x14ac:dyDescent="0.3">
      <c r="B620" s="11">
        <v>41087</v>
      </c>
      <c r="C620" s="29" t="str">
        <f t="shared" si="9"/>
        <v/>
      </c>
      <c r="D620" s="8">
        <v>0.5</v>
      </c>
      <c r="E620" s="28" t="s">
        <v>14</v>
      </c>
      <c r="F620" s="7" t="s">
        <v>14</v>
      </c>
      <c r="G620" s="27" t="s">
        <v>14</v>
      </c>
      <c r="H620" s="27" t="s">
        <v>14</v>
      </c>
    </row>
    <row r="621" spans="2:8" x14ac:dyDescent="0.3">
      <c r="B621" s="9">
        <v>41088</v>
      </c>
      <c r="C621" s="29" t="str">
        <f t="shared" si="9"/>
        <v/>
      </c>
      <c r="D621" s="8">
        <v>0.5</v>
      </c>
      <c r="E621" s="28" t="s">
        <v>14</v>
      </c>
      <c r="F621" s="7" t="s">
        <v>14</v>
      </c>
      <c r="G621" s="27" t="s">
        <v>14</v>
      </c>
      <c r="H621" s="27" t="s">
        <v>14</v>
      </c>
    </row>
    <row r="622" spans="2:8" x14ac:dyDescent="0.3">
      <c r="B622" s="11">
        <v>41089</v>
      </c>
      <c r="C622" s="29">
        <f t="shared" si="9"/>
        <v>0</v>
      </c>
      <c r="D622" s="8">
        <v>0.5</v>
      </c>
      <c r="E622" s="28">
        <v>0.5</v>
      </c>
      <c r="F622" s="7">
        <v>0.5</v>
      </c>
      <c r="G622" s="27">
        <v>0.5</v>
      </c>
    </row>
    <row r="623" spans="2:8" x14ac:dyDescent="0.3">
      <c r="B623" s="9">
        <v>41092</v>
      </c>
      <c r="C623" s="29" t="str">
        <f t="shared" si="9"/>
        <v/>
      </c>
      <c r="D623" s="8">
        <v>0.5</v>
      </c>
      <c r="E623" s="28" t="s">
        <v>14</v>
      </c>
      <c r="F623" s="7" t="s">
        <v>14</v>
      </c>
      <c r="G623" s="27" t="s">
        <v>14</v>
      </c>
      <c r="H623" s="27" t="s">
        <v>14</v>
      </c>
    </row>
    <row r="624" spans="2:8" x14ac:dyDescent="0.3">
      <c r="B624" s="11">
        <v>41093</v>
      </c>
      <c r="C624" s="29" t="str">
        <f t="shared" si="9"/>
        <v/>
      </c>
      <c r="D624" s="8">
        <v>0.5</v>
      </c>
      <c r="E624" s="28" t="s">
        <v>14</v>
      </c>
      <c r="F624" s="7" t="s">
        <v>14</v>
      </c>
      <c r="G624" s="27" t="s">
        <v>14</v>
      </c>
      <c r="H624" s="27" t="s">
        <v>14</v>
      </c>
    </row>
    <row r="625" spans="2:8" x14ac:dyDescent="0.3">
      <c r="B625" s="9">
        <v>41094</v>
      </c>
      <c r="C625" s="29" t="str">
        <f t="shared" si="9"/>
        <v/>
      </c>
      <c r="D625" s="8">
        <v>0.5</v>
      </c>
      <c r="E625" s="28" t="s">
        <v>14</v>
      </c>
      <c r="F625" s="7" t="s">
        <v>14</v>
      </c>
      <c r="G625" s="27" t="s">
        <v>14</v>
      </c>
      <c r="H625" s="27" t="s">
        <v>14</v>
      </c>
    </row>
    <row r="626" spans="2:8" x14ac:dyDescent="0.3">
      <c r="B626" s="11">
        <v>41095</v>
      </c>
      <c r="C626" s="29" t="str">
        <f t="shared" si="9"/>
        <v/>
      </c>
      <c r="D626" s="8">
        <v>0.5</v>
      </c>
      <c r="E626" s="28" t="s">
        <v>14</v>
      </c>
      <c r="F626" s="7" t="s">
        <v>14</v>
      </c>
      <c r="G626" s="27" t="s">
        <v>14</v>
      </c>
      <c r="H626" s="27" t="s">
        <v>14</v>
      </c>
    </row>
    <row r="627" spans="2:8" x14ac:dyDescent="0.3">
      <c r="B627" s="9">
        <v>41096</v>
      </c>
      <c r="C627" s="29" t="str">
        <f t="shared" si="9"/>
        <v/>
      </c>
      <c r="D627" s="8">
        <v>0.5</v>
      </c>
      <c r="E627" s="28" t="s">
        <v>14</v>
      </c>
      <c r="F627" s="7" t="s">
        <v>14</v>
      </c>
      <c r="G627" s="27" t="s">
        <v>14</v>
      </c>
      <c r="H627" s="27" t="s">
        <v>14</v>
      </c>
    </row>
    <row r="628" spans="2:8" x14ac:dyDescent="0.3">
      <c r="B628" s="11">
        <v>41100</v>
      </c>
      <c r="C628" s="29" t="str">
        <f t="shared" si="9"/>
        <v/>
      </c>
      <c r="D628" s="8">
        <v>0.5</v>
      </c>
      <c r="E628" s="28" t="s">
        <v>14</v>
      </c>
      <c r="F628" s="7" t="s">
        <v>14</v>
      </c>
      <c r="G628" s="27" t="s">
        <v>14</v>
      </c>
      <c r="H628" s="27" t="s">
        <v>14</v>
      </c>
    </row>
    <row r="629" spans="2:8" x14ac:dyDescent="0.3">
      <c r="B629" s="9">
        <v>41101</v>
      </c>
      <c r="C629" s="29" t="str">
        <f t="shared" si="9"/>
        <v/>
      </c>
      <c r="D629" s="8">
        <v>0.5</v>
      </c>
      <c r="E629" s="28" t="s">
        <v>14</v>
      </c>
      <c r="F629" s="7" t="s">
        <v>14</v>
      </c>
      <c r="G629" s="27" t="s">
        <v>14</v>
      </c>
      <c r="H629" s="27" t="s">
        <v>14</v>
      </c>
    </row>
    <row r="630" spans="2:8" x14ac:dyDescent="0.3">
      <c r="B630" s="11">
        <v>41102</v>
      </c>
      <c r="C630" s="29" t="str">
        <f t="shared" si="9"/>
        <v/>
      </c>
      <c r="D630" s="8">
        <v>0.5</v>
      </c>
      <c r="E630" s="28" t="s">
        <v>14</v>
      </c>
      <c r="F630" s="7" t="s">
        <v>14</v>
      </c>
      <c r="G630" s="27" t="s">
        <v>14</v>
      </c>
      <c r="H630" s="27" t="s">
        <v>14</v>
      </c>
    </row>
    <row r="631" spans="2:8" x14ac:dyDescent="0.3">
      <c r="B631" s="9">
        <v>41103</v>
      </c>
      <c r="C631" s="29" t="str">
        <f t="shared" si="9"/>
        <v/>
      </c>
      <c r="D631" s="8">
        <v>0.5</v>
      </c>
      <c r="E631" s="28" t="s">
        <v>14</v>
      </c>
      <c r="F631" s="7" t="s">
        <v>14</v>
      </c>
      <c r="G631" s="27" t="s">
        <v>14</v>
      </c>
      <c r="H631" s="27" t="s">
        <v>14</v>
      </c>
    </row>
    <row r="632" spans="2:8" x14ac:dyDescent="0.3">
      <c r="B632" s="11">
        <v>41106</v>
      </c>
      <c r="C632" s="29" t="str">
        <f t="shared" si="9"/>
        <v/>
      </c>
      <c r="D632" s="8">
        <v>0.5</v>
      </c>
      <c r="E632" s="28" t="s">
        <v>14</v>
      </c>
      <c r="F632" s="7" t="s">
        <v>14</v>
      </c>
      <c r="G632" s="27" t="s">
        <v>14</v>
      </c>
      <c r="H632" s="27" t="s">
        <v>14</v>
      </c>
    </row>
    <row r="633" spans="2:8" x14ac:dyDescent="0.3">
      <c r="B633" s="9">
        <v>41107</v>
      </c>
      <c r="C633" s="29" t="str">
        <f t="shared" si="9"/>
        <v/>
      </c>
      <c r="D633" s="8">
        <v>0.5</v>
      </c>
      <c r="E633" s="28" t="s">
        <v>14</v>
      </c>
      <c r="F633" s="7" t="s">
        <v>14</v>
      </c>
      <c r="G633" s="27" t="s">
        <v>14</v>
      </c>
      <c r="H633" s="27" t="s">
        <v>14</v>
      </c>
    </row>
    <row r="634" spans="2:8" x14ac:dyDescent="0.3">
      <c r="B634" s="11">
        <v>41108</v>
      </c>
      <c r="C634" s="29" t="str">
        <f t="shared" si="9"/>
        <v/>
      </c>
      <c r="D634" s="8">
        <v>0.5</v>
      </c>
      <c r="E634" s="28" t="s">
        <v>14</v>
      </c>
      <c r="F634" s="7" t="s">
        <v>14</v>
      </c>
      <c r="G634" s="27" t="s">
        <v>14</v>
      </c>
      <c r="H634" s="27" t="s">
        <v>14</v>
      </c>
    </row>
    <row r="635" spans="2:8" x14ac:dyDescent="0.3">
      <c r="B635" s="9">
        <v>41109</v>
      </c>
      <c r="C635" s="29" t="str">
        <f t="shared" si="9"/>
        <v/>
      </c>
      <c r="D635" s="8">
        <v>0.5</v>
      </c>
      <c r="E635" s="28" t="s">
        <v>14</v>
      </c>
      <c r="F635" s="7" t="s">
        <v>14</v>
      </c>
      <c r="G635" s="27" t="s">
        <v>14</v>
      </c>
      <c r="H635" s="27" t="s">
        <v>14</v>
      </c>
    </row>
    <row r="636" spans="2:8" x14ac:dyDescent="0.3">
      <c r="B636" s="11">
        <v>41110</v>
      </c>
      <c r="C636" s="29" t="str">
        <f t="shared" si="9"/>
        <v/>
      </c>
      <c r="D636" s="8">
        <v>0.5</v>
      </c>
      <c r="E636" s="28" t="s">
        <v>14</v>
      </c>
      <c r="F636" s="7" t="s">
        <v>14</v>
      </c>
      <c r="G636" s="27" t="s">
        <v>14</v>
      </c>
      <c r="H636" s="27" t="s">
        <v>14</v>
      </c>
    </row>
    <row r="637" spans="2:8" x14ac:dyDescent="0.3">
      <c r="B637" s="9">
        <v>41113</v>
      </c>
      <c r="C637" s="29" t="str">
        <f t="shared" si="9"/>
        <v/>
      </c>
      <c r="D637" s="8">
        <v>0.5</v>
      </c>
      <c r="E637" s="28" t="s">
        <v>14</v>
      </c>
      <c r="F637" s="7" t="s">
        <v>14</v>
      </c>
      <c r="G637" s="27" t="s">
        <v>14</v>
      </c>
      <c r="H637" s="27" t="s">
        <v>14</v>
      </c>
    </row>
    <row r="638" spans="2:8" x14ac:dyDescent="0.3">
      <c r="B638" s="11">
        <v>41114</v>
      </c>
      <c r="C638" s="29" t="str">
        <f t="shared" si="9"/>
        <v/>
      </c>
      <c r="D638" s="8">
        <v>0.5</v>
      </c>
      <c r="E638" s="28" t="s">
        <v>14</v>
      </c>
      <c r="F638" s="7" t="s">
        <v>14</v>
      </c>
      <c r="G638" s="27" t="s">
        <v>14</v>
      </c>
      <c r="H638" s="27" t="s">
        <v>14</v>
      </c>
    </row>
    <row r="639" spans="2:8" x14ac:dyDescent="0.3">
      <c r="B639" s="9">
        <v>41115</v>
      </c>
      <c r="C639" s="29" t="str">
        <f t="shared" si="9"/>
        <v/>
      </c>
      <c r="D639" s="8">
        <v>0.5</v>
      </c>
      <c r="E639" s="28" t="s">
        <v>14</v>
      </c>
      <c r="F639" s="7" t="s">
        <v>14</v>
      </c>
      <c r="G639" s="27" t="s">
        <v>14</v>
      </c>
      <c r="H639" s="27" t="s">
        <v>14</v>
      </c>
    </row>
    <row r="640" spans="2:8" x14ac:dyDescent="0.3">
      <c r="B640" s="11">
        <v>41116</v>
      </c>
      <c r="C640" s="29" t="str">
        <f t="shared" si="9"/>
        <v/>
      </c>
      <c r="D640" s="8">
        <v>0.5</v>
      </c>
      <c r="E640" s="28" t="s">
        <v>14</v>
      </c>
      <c r="F640" s="7" t="s">
        <v>14</v>
      </c>
      <c r="G640" s="27" t="s">
        <v>14</v>
      </c>
      <c r="H640" s="27" t="s">
        <v>14</v>
      </c>
    </row>
    <row r="641" spans="2:8" x14ac:dyDescent="0.3">
      <c r="B641" s="9">
        <v>41117</v>
      </c>
      <c r="C641" s="29" t="str">
        <f t="shared" si="9"/>
        <v/>
      </c>
      <c r="D641" s="8">
        <v>0.5</v>
      </c>
      <c r="E641" s="28" t="s">
        <v>14</v>
      </c>
      <c r="F641" s="7" t="s">
        <v>14</v>
      </c>
      <c r="G641" s="27" t="s">
        <v>14</v>
      </c>
      <c r="H641" s="27" t="s">
        <v>14</v>
      </c>
    </row>
    <row r="642" spans="2:8" x14ac:dyDescent="0.3">
      <c r="B642" s="11">
        <v>41120</v>
      </c>
      <c r="C642" s="29" t="str">
        <f t="shared" si="9"/>
        <v/>
      </c>
      <c r="D642" s="8">
        <v>0.5</v>
      </c>
      <c r="E642" s="28" t="s">
        <v>14</v>
      </c>
      <c r="F642" s="7" t="s">
        <v>14</v>
      </c>
      <c r="G642" s="27" t="s">
        <v>14</v>
      </c>
      <c r="H642" s="27" t="s">
        <v>14</v>
      </c>
    </row>
    <row r="643" spans="2:8" x14ac:dyDescent="0.3">
      <c r="B643" s="9">
        <v>41121</v>
      </c>
      <c r="C643" s="29" t="str">
        <f t="shared" ref="C643:C706" si="10">INDEX(D643:H643,MATCH($A$1,$D$1:$H$1,0))</f>
        <v/>
      </c>
      <c r="D643" s="8">
        <v>0.5</v>
      </c>
      <c r="E643" s="28">
        <v>0.5</v>
      </c>
      <c r="F643" s="7" t="s">
        <v>14</v>
      </c>
      <c r="G643" s="27" t="s">
        <v>14</v>
      </c>
      <c r="H643" s="27" t="s">
        <v>14</v>
      </c>
    </row>
    <row r="644" spans="2:8" x14ac:dyDescent="0.3">
      <c r="B644" s="11">
        <v>41122</v>
      </c>
      <c r="C644" s="29" t="str">
        <f t="shared" si="10"/>
        <v/>
      </c>
      <c r="D644" s="8">
        <v>0.5</v>
      </c>
      <c r="E644" s="28" t="s">
        <v>14</v>
      </c>
      <c r="F644" s="7" t="s">
        <v>14</v>
      </c>
      <c r="G644" s="27" t="s">
        <v>14</v>
      </c>
      <c r="H644" s="27" t="s">
        <v>14</v>
      </c>
    </row>
    <row r="645" spans="2:8" x14ac:dyDescent="0.3">
      <c r="B645" s="9">
        <v>41123</v>
      </c>
      <c r="C645" s="29" t="str">
        <f t="shared" si="10"/>
        <v/>
      </c>
      <c r="D645" s="8">
        <v>0.5</v>
      </c>
      <c r="E645" s="28" t="s">
        <v>14</v>
      </c>
      <c r="F645" s="7" t="s">
        <v>14</v>
      </c>
      <c r="G645" s="27" t="s">
        <v>14</v>
      </c>
      <c r="H645" s="27" t="s">
        <v>14</v>
      </c>
    </row>
    <row r="646" spans="2:8" x14ac:dyDescent="0.3">
      <c r="B646" s="11">
        <v>41124</v>
      </c>
      <c r="C646" s="29" t="str">
        <f t="shared" si="10"/>
        <v/>
      </c>
      <c r="D646" s="8">
        <v>0.5</v>
      </c>
      <c r="E646" s="28" t="s">
        <v>14</v>
      </c>
      <c r="F646" s="7" t="s">
        <v>14</v>
      </c>
      <c r="G646" s="27" t="s">
        <v>14</v>
      </c>
      <c r="H646" s="27" t="s">
        <v>14</v>
      </c>
    </row>
    <row r="647" spans="2:8" x14ac:dyDescent="0.3">
      <c r="B647" s="9">
        <v>41127</v>
      </c>
      <c r="C647" s="29" t="str">
        <f t="shared" si="10"/>
        <v/>
      </c>
      <c r="D647" s="8">
        <v>0.5</v>
      </c>
      <c r="E647" s="28" t="s">
        <v>14</v>
      </c>
      <c r="F647" s="7" t="s">
        <v>14</v>
      </c>
      <c r="G647" s="27" t="s">
        <v>14</v>
      </c>
      <c r="H647" s="27" t="s">
        <v>14</v>
      </c>
    </row>
    <row r="648" spans="2:8" x14ac:dyDescent="0.3">
      <c r="B648" s="11">
        <v>41128</v>
      </c>
      <c r="C648" s="29" t="str">
        <f t="shared" si="10"/>
        <v/>
      </c>
      <c r="D648" s="8">
        <v>0.5</v>
      </c>
      <c r="E648" s="28" t="s">
        <v>14</v>
      </c>
      <c r="F648" s="7" t="s">
        <v>14</v>
      </c>
      <c r="G648" s="27" t="s">
        <v>14</v>
      </c>
      <c r="H648" s="27" t="s">
        <v>14</v>
      </c>
    </row>
    <row r="649" spans="2:8" x14ac:dyDescent="0.3">
      <c r="B649" s="9">
        <v>41129</v>
      </c>
      <c r="C649" s="29" t="str">
        <f t="shared" si="10"/>
        <v/>
      </c>
      <c r="D649" s="8">
        <v>0.5</v>
      </c>
      <c r="E649" s="28" t="s">
        <v>14</v>
      </c>
      <c r="F649" s="7" t="s">
        <v>14</v>
      </c>
      <c r="G649" s="27" t="s">
        <v>14</v>
      </c>
      <c r="H649" s="27" t="s">
        <v>14</v>
      </c>
    </row>
    <row r="650" spans="2:8" x14ac:dyDescent="0.3">
      <c r="B650" s="11">
        <v>41130</v>
      </c>
      <c r="C650" s="29" t="str">
        <f t="shared" si="10"/>
        <v/>
      </c>
      <c r="D650" s="8">
        <v>0.5</v>
      </c>
      <c r="E650" s="28" t="s">
        <v>14</v>
      </c>
      <c r="F650" s="7" t="s">
        <v>14</v>
      </c>
      <c r="G650" s="27" t="s">
        <v>14</v>
      </c>
      <c r="H650" s="27" t="s">
        <v>14</v>
      </c>
    </row>
    <row r="651" spans="2:8" x14ac:dyDescent="0.3">
      <c r="B651" s="9">
        <v>41131</v>
      </c>
      <c r="C651" s="29" t="str">
        <f t="shared" si="10"/>
        <v/>
      </c>
      <c r="D651" s="8">
        <v>0.5</v>
      </c>
      <c r="E651" s="28" t="s">
        <v>14</v>
      </c>
      <c r="F651" s="7" t="s">
        <v>14</v>
      </c>
      <c r="G651" s="27" t="s">
        <v>14</v>
      </c>
      <c r="H651" s="27" t="s">
        <v>14</v>
      </c>
    </row>
    <row r="652" spans="2:8" x14ac:dyDescent="0.3">
      <c r="B652" s="11">
        <v>41134</v>
      </c>
      <c r="C652" s="29" t="str">
        <f t="shared" si="10"/>
        <v/>
      </c>
      <c r="D652" s="8">
        <v>0.5</v>
      </c>
      <c r="E652" s="28" t="s">
        <v>14</v>
      </c>
      <c r="F652" s="7" t="s">
        <v>14</v>
      </c>
      <c r="G652" s="27" t="s">
        <v>14</v>
      </c>
      <c r="H652" s="27" t="s">
        <v>14</v>
      </c>
    </row>
    <row r="653" spans="2:8" x14ac:dyDescent="0.3">
      <c r="B653" s="9">
        <v>41135</v>
      </c>
      <c r="C653" s="29" t="str">
        <f t="shared" si="10"/>
        <v/>
      </c>
      <c r="D653" s="8">
        <v>0.5</v>
      </c>
      <c r="E653" s="28" t="s">
        <v>14</v>
      </c>
      <c r="F653" s="7" t="s">
        <v>14</v>
      </c>
      <c r="G653" s="27" t="s">
        <v>14</v>
      </c>
      <c r="H653" s="27" t="s">
        <v>14</v>
      </c>
    </row>
    <row r="654" spans="2:8" x14ac:dyDescent="0.3">
      <c r="B654" s="11">
        <v>41136</v>
      </c>
      <c r="C654" s="29" t="str">
        <f t="shared" si="10"/>
        <v/>
      </c>
      <c r="D654" s="8">
        <v>0.5</v>
      </c>
      <c r="E654" s="28" t="s">
        <v>14</v>
      </c>
      <c r="F654" s="7" t="s">
        <v>14</v>
      </c>
      <c r="G654" s="27" t="s">
        <v>14</v>
      </c>
      <c r="H654" s="27" t="s">
        <v>14</v>
      </c>
    </row>
    <row r="655" spans="2:8" x14ac:dyDescent="0.3">
      <c r="B655" s="9">
        <v>41137</v>
      </c>
      <c r="C655" s="29" t="str">
        <f t="shared" si="10"/>
        <v/>
      </c>
      <c r="D655" s="8">
        <v>0.5</v>
      </c>
      <c r="E655" s="28" t="s">
        <v>14</v>
      </c>
      <c r="F655" s="7" t="s">
        <v>14</v>
      </c>
      <c r="G655" s="27" t="s">
        <v>14</v>
      </c>
      <c r="H655" s="27" t="s">
        <v>14</v>
      </c>
    </row>
    <row r="656" spans="2:8" x14ac:dyDescent="0.3">
      <c r="B656" s="11">
        <v>41138</v>
      </c>
      <c r="C656" s="29" t="str">
        <f t="shared" si="10"/>
        <v/>
      </c>
      <c r="D656" s="8">
        <v>0.5</v>
      </c>
      <c r="E656" s="28" t="s">
        <v>14</v>
      </c>
      <c r="F656" s="7" t="s">
        <v>14</v>
      </c>
      <c r="G656" s="27" t="s">
        <v>14</v>
      </c>
      <c r="H656" s="27" t="s">
        <v>14</v>
      </c>
    </row>
    <row r="657" spans="2:8" x14ac:dyDescent="0.3">
      <c r="B657" s="9">
        <v>41141</v>
      </c>
      <c r="C657" s="29" t="str">
        <f t="shared" si="10"/>
        <v/>
      </c>
      <c r="D657" s="8">
        <v>0.5</v>
      </c>
      <c r="E657" s="28" t="s">
        <v>14</v>
      </c>
      <c r="F657" s="7" t="s">
        <v>14</v>
      </c>
      <c r="G657" s="27" t="s">
        <v>14</v>
      </c>
      <c r="H657" s="27" t="s">
        <v>14</v>
      </c>
    </row>
    <row r="658" spans="2:8" x14ac:dyDescent="0.3">
      <c r="B658" s="11">
        <v>41142</v>
      </c>
      <c r="C658" s="29" t="str">
        <f t="shared" si="10"/>
        <v/>
      </c>
      <c r="D658" s="8">
        <v>0.5</v>
      </c>
      <c r="E658" s="28" t="s">
        <v>14</v>
      </c>
      <c r="F658" s="7" t="s">
        <v>14</v>
      </c>
      <c r="G658" s="27" t="s">
        <v>14</v>
      </c>
      <c r="H658" s="27" t="s">
        <v>14</v>
      </c>
    </row>
    <row r="659" spans="2:8" x14ac:dyDescent="0.3">
      <c r="B659" s="9">
        <v>41143</v>
      </c>
      <c r="C659" s="29" t="str">
        <f t="shared" si="10"/>
        <v/>
      </c>
      <c r="D659" s="8">
        <v>0.5</v>
      </c>
      <c r="E659" s="28" t="s">
        <v>14</v>
      </c>
      <c r="F659" s="7" t="s">
        <v>14</v>
      </c>
      <c r="G659" s="27" t="s">
        <v>14</v>
      </c>
      <c r="H659" s="27" t="s">
        <v>14</v>
      </c>
    </row>
    <row r="660" spans="2:8" x14ac:dyDescent="0.3">
      <c r="B660" s="11">
        <v>41144</v>
      </c>
      <c r="C660" s="29" t="str">
        <f t="shared" si="10"/>
        <v/>
      </c>
      <c r="D660" s="8">
        <v>0.5</v>
      </c>
      <c r="E660" s="28" t="s">
        <v>14</v>
      </c>
      <c r="F660" s="7" t="s">
        <v>14</v>
      </c>
      <c r="G660" s="27" t="s">
        <v>14</v>
      </c>
      <c r="H660" s="27" t="s">
        <v>14</v>
      </c>
    </row>
    <row r="661" spans="2:8" x14ac:dyDescent="0.3">
      <c r="B661" s="9">
        <v>41145</v>
      </c>
      <c r="C661" s="29" t="str">
        <f t="shared" si="10"/>
        <v/>
      </c>
      <c r="D661" s="8">
        <v>0.5</v>
      </c>
      <c r="E661" s="28" t="s">
        <v>14</v>
      </c>
      <c r="F661" s="7" t="s">
        <v>14</v>
      </c>
      <c r="G661" s="27" t="s">
        <v>14</v>
      </c>
      <c r="H661" s="27" t="s">
        <v>14</v>
      </c>
    </row>
    <row r="662" spans="2:8" x14ac:dyDescent="0.3">
      <c r="B662" s="11">
        <v>41148</v>
      </c>
      <c r="C662" s="29" t="str">
        <f t="shared" si="10"/>
        <v/>
      </c>
      <c r="D662" s="8">
        <v>0.5</v>
      </c>
      <c r="E662" s="28" t="s">
        <v>14</v>
      </c>
      <c r="F662" s="7" t="s">
        <v>14</v>
      </c>
      <c r="G662" s="27" t="s">
        <v>14</v>
      </c>
      <c r="H662" s="27" t="s">
        <v>14</v>
      </c>
    </row>
    <row r="663" spans="2:8" x14ac:dyDescent="0.3">
      <c r="B663" s="9">
        <v>41149</v>
      </c>
      <c r="C663" s="29" t="str">
        <f t="shared" si="10"/>
        <v/>
      </c>
      <c r="D663" s="8">
        <v>0.5</v>
      </c>
      <c r="E663" s="28" t="s">
        <v>14</v>
      </c>
      <c r="F663" s="7" t="s">
        <v>14</v>
      </c>
      <c r="G663" s="27" t="s">
        <v>14</v>
      </c>
      <c r="H663" s="27" t="s">
        <v>14</v>
      </c>
    </row>
    <row r="664" spans="2:8" x14ac:dyDescent="0.3">
      <c r="B664" s="11">
        <v>41150</v>
      </c>
      <c r="C664" s="29" t="str">
        <f t="shared" si="10"/>
        <v/>
      </c>
      <c r="D664" s="8">
        <v>0.5</v>
      </c>
      <c r="E664" s="28" t="s">
        <v>14</v>
      </c>
      <c r="F664" s="7" t="s">
        <v>14</v>
      </c>
      <c r="G664" s="27" t="s">
        <v>14</v>
      </c>
      <c r="H664" s="27" t="s">
        <v>14</v>
      </c>
    </row>
    <row r="665" spans="2:8" x14ac:dyDescent="0.3">
      <c r="B665" s="9">
        <v>41151</v>
      </c>
      <c r="C665" s="29" t="str">
        <f t="shared" si="10"/>
        <v/>
      </c>
      <c r="D665" s="8">
        <v>0.5</v>
      </c>
      <c r="E665" s="28" t="s">
        <v>14</v>
      </c>
      <c r="F665" s="7" t="s">
        <v>14</v>
      </c>
      <c r="G665" s="27" t="s">
        <v>14</v>
      </c>
      <c r="H665" s="27" t="s">
        <v>14</v>
      </c>
    </row>
    <row r="666" spans="2:8" x14ac:dyDescent="0.3">
      <c r="B666" s="11">
        <v>41152</v>
      </c>
      <c r="C666" s="29" t="str">
        <f t="shared" si="10"/>
        <v/>
      </c>
      <c r="D666" s="8">
        <v>0.5</v>
      </c>
      <c r="E666" s="28">
        <v>0.5</v>
      </c>
      <c r="F666" s="7" t="s">
        <v>14</v>
      </c>
      <c r="G666" s="27" t="s">
        <v>14</v>
      </c>
      <c r="H666" s="27" t="s">
        <v>14</v>
      </c>
    </row>
    <row r="667" spans="2:8" x14ac:dyDescent="0.3">
      <c r="B667" s="9">
        <v>41155</v>
      </c>
      <c r="C667" s="29" t="str">
        <f t="shared" si="10"/>
        <v/>
      </c>
      <c r="D667" s="8">
        <v>0.5</v>
      </c>
      <c r="E667" s="28" t="s">
        <v>14</v>
      </c>
      <c r="F667" s="7" t="s">
        <v>14</v>
      </c>
      <c r="G667" s="27" t="s">
        <v>14</v>
      </c>
      <c r="H667" s="27" t="s">
        <v>14</v>
      </c>
    </row>
    <row r="668" spans="2:8" x14ac:dyDescent="0.3">
      <c r="B668" s="11">
        <v>41156</v>
      </c>
      <c r="C668" s="29" t="str">
        <f t="shared" si="10"/>
        <v/>
      </c>
      <c r="D668" s="8">
        <v>0.5</v>
      </c>
      <c r="E668" s="28" t="s">
        <v>14</v>
      </c>
      <c r="F668" s="7" t="s">
        <v>14</v>
      </c>
      <c r="G668" s="27" t="s">
        <v>14</v>
      </c>
      <c r="H668" s="27" t="s">
        <v>14</v>
      </c>
    </row>
    <row r="669" spans="2:8" x14ac:dyDescent="0.3">
      <c r="B669" s="9">
        <v>41157</v>
      </c>
      <c r="C669" s="29" t="str">
        <f t="shared" si="10"/>
        <v/>
      </c>
      <c r="D669" s="8">
        <v>0.5</v>
      </c>
      <c r="E669" s="28" t="s">
        <v>14</v>
      </c>
      <c r="F669" s="7" t="s">
        <v>14</v>
      </c>
      <c r="G669" s="27" t="s">
        <v>14</v>
      </c>
      <c r="H669" s="27" t="s">
        <v>14</v>
      </c>
    </row>
    <row r="670" spans="2:8" x14ac:dyDescent="0.3">
      <c r="B670" s="11">
        <v>41158</v>
      </c>
      <c r="C670" s="29" t="str">
        <f t="shared" si="10"/>
        <v/>
      </c>
      <c r="D670" s="8">
        <v>0.5</v>
      </c>
      <c r="E670" s="28" t="s">
        <v>14</v>
      </c>
      <c r="F670" s="7" t="s">
        <v>14</v>
      </c>
      <c r="G670" s="27" t="s">
        <v>14</v>
      </c>
      <c r="H670" s="27" t="s">
        <v>14</v>
      </c>
    </row>
    <row r="671" spans="2:8" x14ac:dyDescent="0.3">
      <c r="B671" s="9">
        <v>41162</v>
      </c>
      <c r="C671" s="29" t="str">
        <f t="shared" si="10"/>
        <v/>
      </c>
      <c r="D671" s="8">
        <v>0.5</v>
      </c>
      <c r="E671" s="28" t="s">
        <v>14</v>
      </c>
      <c r="F671" s="7" t="s">
        <v>14</v>
      </c>
      <c r="G671" s="27" t="s">
        <v>14</v>
      </c>
      <c r="H671" s="27" t="s">
        <v>14</v>
      </c>
    </row>
    <row r="672" spans="2:8" x14ac:dyDescent="0.3">
      <c r="B672" s="11">
        <v>41163</v>
      </c>
      <c r="C672" s="29" t="str">
        <f t="shared" si="10"/>
        <v/>
      </c>
      <c r="D672" s="8">
        <v>0.5</v>
      </c>
      <c r="E672" s="28" t="s">
        <v>14</v>
      </c>
      <c r="F672" s="7" t="s">
        <v>14</v>
      </c>
      <c r="G672" s="27" t="s">
        <v>14</v>
      </c>
      <c r="H672" s="27" t="s">
        <v>14</v>
      </c>
    </row>
    <row r="673" spans="2:8" x14ac:dyDescent="0.3">
      <c r="B673" s="9">
        <v>41164</v>
      </c>
      <c r="C673" s="29" t="str">
        <f t="shared" si="10"/>
        <v/>
      </c>
      <c r="D673" s="8">
        <v>0.5</v>
      </c>
      <c r="E673" s="28" t="s">
        <v>14</v>
      </c>
      <c r="F673" s="7" t="s">
        <v>14</v>
      </c>
      <c r="G673" s="27" t="s">
        <v>14</v>
      </c>
      <c r="H673" s="27" t="s">
        <v>14</v>
      </c>
    </row>
    <row r="674" spans="2:8" x14ac:dyDescent="0.3">
      <c r="B674" s="11">
        <v>41165</v>
      </c>
      <c r="C674" s="29" t="str">
        <f t="shared" si="10"/>
        <v/>
      </c>
      <c r="D674" s="8">
        <v>0.5</v>
      </c>
      <c r="E674" s="28" t="s">
        <v>14</v>
      </c>
      <c r="F674" s="7" t="s">
        <v>14</v>
      </c>
      <c r="G674" s="27" t="s">
        <v>14</v>
      </c>
      <c r="H674" s="27" t="s">
        <v>14</v>
      </c>
    </row>
    <row r="675" spans="2:8" x14ac:dyDescent="0.3">
      <c r="B675" s="9">
        <v>41166</v>
      </c>
      <c r="C675" s="29" t="str">
        <f t="shared" si="10"/>
        <v/>
      </c>
      <c r="D675" s="8">
        <v>0.5</v>
      </c>
      <c r="E675" s="28" t="s">
        <v>14</v>
      </c>
      <c r="F675" s="7" t="s">
        <v>14</v>
      </c>
      <c r="G675" s="27" t="s">
        <v>14</v>
      </c>
      <c r="H675" s="27" t="s">
        <v>14</v>
      </c>
    </row>
    <row r="676" spans="2:8" x14ac:dyDescent="0.3">
      <c r="B676" s="11">
        <v>41169</v>
      </c>
      <c r="C676" s="29" t="str">
        <f t="shared" si="10"/>
        <v/>
      </c>
      <c r="D676" s="8">
        <v>0.5</v>
      </c>
      <c r="E676" s="28" t="s">
        <v>14</v>
      </c>
      <c r="F676" s="7" t="s">
        <v>14</v>
      </c>
      <c r="G676" s="27" t="s">
        <v>14</v>
      </c>
      <c r="H676" s="27" t="s">
        <v>14</v>
      </c>
    </row>
    <row r="677" spans="2:8" x14ac:dyDescent="0.3">
      <c r="B677" s="9">
        <v>41170</v>
      </c>
      <c r="C677" s="29" t="str">
        <f t="shared" si="10"/>
        <v/>
      </c>
      <c r="D677" s="8">
        <v>0.5</v>
      </c>
      <c r="E677" s="28" t="s">
        <v>14</v>
      </c>
      <c r="F677" s="7" t="s">
        <v>14</v>
      </c>
      <c r="G677" s="27" t="s">
        <v>14</v>
      </c>
      <c r="H677" s="27" t="s">
        <v>14</v>
      </c>
    </row>
    <row r="678" spans="2:8" x14ac:dyDescent="0.3">
      <c r="B678" s="11">
        <v>41171</v>
      </c>
      <c r="C678" s="29" t="str">
        <f t="shared" si="10"/>
        <v/>
      </c>
      <c r="D678" s="8">
        <v>0.5</v>
      </c>
      <c r="E678" s="28" t="s">
        <v>14</v>
      </c>
      <c r="F678" s="7" t="s">
        <v>14</v>
      </c>
      <c r="G678" s="27" t="s">
        <v>14</v>
      </c>
      <c r="H678" s="27" t="s">
        <v>14</v>
      </c>
    </row>
    <row r="679" spans="2:8" x14ac:dyDescent="0.3">
      <c r="B679" s="9">
        <v>41172</v>
      </c>
      <c r="C679" s="29" t="str">
        <f t="shared" si="10"/>
        <v/>
      </c>
      <c r="D679" s="8">
        <v>0.5</v>
      </c>
      <c r="E679" s="28" t="s">
        <v>14</v>
      </c>
      <c r="F679" s="7" t="s">
        <v>14</v>
      </c>
      <c r="G679" s="27" t="s">
        <v>14</v>
      </c>
      <c r="H679" s="27" t="s">
        <v>14</v>
      </c>
    </row>
    <row r="680" spans="2:8" x14ac:dyDescent="0.3">
      <c r="B680" s="11">
        <v>41173</v>
      </c>
      <c r="C680" s="29" t="str">
        <f t="shared" si="10"/>
        <v/>
      </c>
      <c r="D680" s="8">
        <v>0.5</v>
      </c>
      <c r="E680" s="28" t="s">
        <v>14</v>
      </c>
      <c r="F680" s="7" t="s">
        <v>14</v>
      </c>
      <c r="G680" s="27" t="s">
        <v>14</v>
      </c>
      <c r="H680" s="27" t="s">
        <v>14</v>
      </c>
    </row>
    <row r="681" spans="2:8" x14ac:dyDescent="0.3">
      <c r="B681" s="9">
        <v>41176</v>
      </c>
      <c r="C681" s="29" t="str">
        <f t="shared" si="10"/>
        <v/>
      </c>
      <c r="D681" s="8">
        <v>0.5</v>
      </c>
      <c r="E681" s="28" t="s">
        <v>14</v>
      </c>
      <c r="F681" s="7" t="s">
        <v>14</v>
      </c>
      <c r="G681" s="27" t="s">
        <v>14</v>
      </c>
      <c r="H681" s="27" t="s">
        <v>14</v>
      </c>
    </row>
    <row r="682" spans="2:8" x14ac:dyDescent="0.3">
      <c r="B682" s="11">
        <v>41177</v>
      </c>
      <c r="C682" s="29" t="str">
        <f t="shared" si="10"/>
        <v/>
      </c>
      <c r="D682" s="8">
        <v>0.5</v>
      </c>
      <c r="E682" s="28" t="s">
        <v>14</v>
      </c>
      <c r="F682" s="7" t="s">
        <v>14</v>
      </c>
      <c r="G682" s="27" t="s">
        <v>14</v>
      </c>
      <c r="H682" s="27" t="s">
        <v>14</v>
      </c>
    </row>
    <row r="683" spans="2:8" x14ac:dyDescent="0.3">
      <c r="B683" s="9">
        <v>41178</v>
      </c>
      <c r="C683" s="29" t="str">
        <f t="shared" si="10"/>
        <v/>
      </c>
      <c r="D683" s="8">
        <v>0.5</v>
      </c>
      <c r="E683" s="28" t="s">
        <v>14</v>
      </c>
      <c r="F683" s="7" t="s">
        <v>14</v>
      </c>
      <c r="G683" s="27" t="s">
        <v>14</v>
      </c>
      <c r="H683" s="27" t="s">
        <v>14</v>
      </c>
    </row>
    <row r="684" spans="2:8" x14ac:dyDescent="0.3">
      <c r="B684" s="11">
        <v>41179</v>
      </c>
      <c r="C684" s="29" t="str">
        <f t="shared" si="10"/>
        <v/>
      </c>
      <c r="D684" s="8">
        <v>0.5</v>
      </c>
      <c r="E684" s="28" t="s">
        <v>14</v>
      </c>
      <c r="F684" s="7" t="s">
        <v>14</v>
      </c>
      <c r="G684" s="27" t="s">
        <v>14</v>
      </c>
      <c r="H684" s="27" t="s">
        <v>14</v>
      </c>
    </row>
    <row r="685" spans="2:8" x14ac:dyDescent="0.3">
      <c r="B685" s="9">
        <v>41180</v>
      </c>
      <c r="C685" s="29">
        <f t="shared" si="10"/>
        <v>0</v>
      </c>
      <c r="D685" s="8">
        <v>0.5</v>
      </c>
      <c r="E685" s="28">
        <v>0.5</v>
      </c>
      <c r="F685" s="7">
        <v>0.5</v>
      </c>
    </row>
    <row r="686" spans="2:8" x14ac:dyDescent="0.3">
      <c r="B686" s="11">
        <v>41183</v>
      </c>
      <c r="C686" s="29" t="str">
        <f t="shared" si="10"/>
        <v/>
      </c>
      <c r="D686" s="8">
        <v>0.5</v>
      </c>
      <c r="E686" s="28" t="s">
        <v>14</v>
      </c>
      <c r="F686" s="7" t="s">
        <v>14</v>
      </c>
      <c r="G686" s="27" t="s">
        <v>14</v>
      </c>
      <c r="H686" s="27" t="s">
        <v>14</v>
      </c>
    </row>
    <row r="687" spans="2:8" x14ac:dyDescent="0.3">
      <c r="B687" s="9">
        <v>41184</v>
      </c>
      <c r="C687" s="29" t="str">
        <f t="shared" si="10"/>
        <v/>
      </c>
      <c r="D687" s="8">
        <v>0.5</v>
      </c>
      <c r="E687" s="28" t="s">
        <v>14</v>
      </c>
      <c r="F687" s="7" t="s">
        <v>14</v>
      </c>
      <c r="G687" s="27" t="s">
        <v>14</v>
      </c>
      <c r="H687" s="27" t="s">
        <v>14</v>
      </c>
    </row>
    <row r="688" spans="2:8" x14ac:dyDescent="0.3">
      <c r="B688" s="11">
        <v>41185</v>
      </c>
      <c r="C688" s="29" t="str">
        <f t="shared" si="10"/>
        <v/>
      </c>
      <c r="D688" s="8">
        <v>0.5</v>
      </c>
      <c r="E688" s="28" t="s">
        <v>14</v>
      </c>
      <c r="F688" s="7" t="s">
        <v>14</v>
      </c>
      <c r="G688" s="27" t="s">
        <v>14</v>
      </c>
      <c r="H688" s="27" t="s">
        <v>14</v>
      </c>
    </row>
    <row r="689" spans="2:8" x14ac:dyDescent="0.3">
      <c r="B689" s="9">
        <v>41186</v>
      </c>
      <c r="C689" s="29" t="str">
        <f t="shared" si="10"/>
        <v/>
      </c>
      <c r="D689" s="8">
        <v>0.5</v>
      </c>
      <c r="E689" s="28" t="s">
        <v>14</v>
      </c>
      <c r="F689" s="7" t="s">
        <v>14</v>
      </c>
      <c r="G689" s="27" t="s">
        <v>14</v>
      </c>
      <c r="H689" s="27" t="s">
        <v>14</v>
      </c>
    </row>
    <row r="690" spans="2:8" x14ac:dyDescent="0.3">
      <c r="B690" s="11">
        <v>41187</v>
      </c>
      <c r="C690" s="29" t="str">
        <f t="shared" si="10"/>
        <v/>
      </c>
      <c r="D690" s="8">
        <v>0.5</v>
      </c>
      <c r="E690" s="28" t="s">
        <v>14</v>
      </c>
      <c r="F690" s="7" t="s">
        <v>14</v>
      </c>
      <c r="G690" s="27" t="s">
        <v>14</v>
      </c>
      <c r="H690" s="27" t="s">
        <v>14</v>
      </c>
    </row>
    <row r="691" spans="2:8" x14ac:dyDescent="0.3">
      <c r="B691" s="9">
        <v>41190</v>
      </c>
      <c r="C691" s="29" t="str">
        <f t="shared" si="10"/>
        <v/>
      </c>
      <c r="D691" s="8">
        <v>0.5</v>
      </c>
      <c r="E691" s="28" t="s">
        <v>14</v>
      </c>
      <c r="F691" s="7" t="s">
        <v>14</v>
      </c>
      <c r="G691" s="27" t="s">
        <v>14</v>
      </c>
      <c r="H691" s="27" t="s">
        <v>14</v>
      </c>
    </row>
    <row r="692" spans="2:8" x14ac:dyDescent="0.3">
      <c r="B692" s="11">
        <v>41191</v>
      </c>
      <c r="C692" s="29" t="str">
        <f t="shared" si="10"/>
        <v/>
      </c>
      <c r="D692" s="8">
        <v>0.5</v>
      </c>
      <c r="E692" s="28" t="s">
        <v>14</v>
      </c>
      <c r="F692" s="7" t="s">
        <v>14</v>
      </c>
      <c r="G692" s="27" t="s">
        <v>14</v>
      </c>
      <c r="H692" s="27" t="s">
        <v>14</v>
      </c>
    </row>
    <row r="693" spans="2:8" x14ac:dyDescent="0.3">
      <c r="B693" s="9">
        <v>41192</v>
      </c>
      <c r="C693" s="29" t="str">
        <f t="shared" si="10"/>
        <v/>
      </c>
      <c r="D693" s="8">
        <v>0.5</v>
      </c>
      <c r="E693" s="28" t="s">
        <v>14</v>
      </c>
      <c r="F693" s="7" t="s">
        <v>14</v>
      </c>
      <c r="G693" s="27" t="s">
        <v>14</v>
      </c>
      <c r="H693" s="27" t="s">
        <v>14</v>
      </c>
    </row>
    <row r="694" spans="2:8" x14ac:dyDescent="0.3">
      <c r="B694" s="11">
        <v>41193</v>
      </c>
      <c r="C694" s="29" t="str">
        <f t="shared" si="10"/>
        <v/>
      </c>
      <c r="D694" s="8">
        <v>0.5</v>
      </c>
      <c r="E694" s="28" t="s">
        <v>14</v>
      </c>
      <c r="F694" s="7" t="s">
        <v>14</v>
      </c>
      <c r="G694" s="27" t="s">
        <v>14</v>
      </c>
      <c r="H694" s="27" t="s">
        <v>14</v>
      </c>
    </row>
    <row r="695" spans="2:8" x14ac:dyDescent="0.3">
      <c r="B695" s="9">
        <v>41197</v>
      </c>
      <c r="C695" s="29" t="str">
        <f t="shared" si="10"/>
        <v/>
      </c>
      <c r="D695" s="8">
        <v>0.5</v>
      </c>
      <c r="E695" s="28" t="s">
        <v>14</v>
      </c>
      <c r="F695" s="7" t="s">
        <v>14</v>
      </c>
      <c r="G695" s="27" t="s">
        <v>14</v>
      </c>
      <c r="H695" s="27" t="s">
        <v>14</v>
      </c>
    </row>
    <row r="696" spans="2:8" x14ac:dyDescent="0.3">
      <c r="B696" s="11">
        <v>41198</v>
      </c>
      <c r="C696" s="29" t="str">
        <f t="shared" si="10"/>
        <v/>
      </c>
      <c r="D696" s="8">
        <v>0.5</v>
      </c>
      <c r="E696" s="28" t="s">
        <v>14</v>
      </c>
      <c r="F696" s="7" t="s">
        <v>14</v>
      </c>
      <c r="G696" s="27" t="s">
        <v>14</v>
      </c>
      <c r="H696" s="27" t="s">
        <v>14</v>
      </c>
    </row>
    <row r="697" spans="2:8" x14ac:dyDescent="0.3">
      <c r="B697" s="9">
        <v>41199</v>
      </c>
      <c r="C697" s="29" t="str">
        <f t="shared" si="10"/>
        <v/>
      </c>
      <c r="D697" s="8">
        <v>0.5</v>
      </c>
      <c r="E697" s="28" t="s">
        <v>14</v>
      </c>
      <c r="F697" s="7" t="s">
        <v>14</v>
      </c>
      <c r="G697" s="27" t="s">
        <v>14</v>
      </c>
      <c r="H697" s="27" t="s">
        <v>14</v>
      </c>
    </row>
    <row r="698" spans="2:8" x14ac:dyDescent="0.3">
      <c r="B698" s="11">
        <v>41200</v>
      </c>
      <c r="C698" s="29" t="str">
        <f t="shared" si="10"/>
        <v/>
      </c>
      <c r="D698" s="8">
        <v>0.5</v>
      </c>
      <c r="E698" s="28" t="s">
        <v>14</v>
      </c>
      <c r="F698" s="7" t="s">
        <v>14</v>
      </c>
      <c r="G698" s="27" t="s">
        <v>14</v>
      </c>
      <c r="H698" s="27" t="s">
        <v>14</v>
      </c>
    </row>
    <row r="699" spans="2:8" x14ac:dyDescent="0.3">
      <c r="B699" s="9">
        <v>41201</v>
      </c>
      <c r="C699" s="29" t="str">
        <f t="shared" si="10"/>
        <v/>
      </c>
      <c r="D699" s="8">
        <v>0.5</v>
      </c>
      <c r="E699" s="28" t="s">
        <v>14</v>
      </c>
      <c r="F699" s="7" t="s">
        <v>14</v>
      </c>
      <c r="G699" s="27" t="s">
        <v>14</v>
      </c>
      <c r="H699" s="27" t="s">
        <v>14</v>
      </c>
    </row>
    <row r="700" spans="2:8" x14ac:dyDescent="0.3">
      <c r="B700" s="11">
        <v>41204</v>
      </c>
      <c r="C700" s="29" t="str">
        <f t="shared" si="10"/>
        <v/>
      </c>
      <c r="D700" s="8">
        <v>0.5</v>
      </c>
      <c r="E700" s="28" t="s">
        <v>14</v>
      </c>
      <c r="F700" s="7" t="s">
        <v>14</v>
      </c>
      <c r="G700" s="27" t="s">
        <v>14</v>
      </c>
      <c r="H700" s="27" t="s">
        <v>14</v>
      </c>
    </row>
    <row r="701" spans="2:8" x14ac:dyDescent="0.3">
      <c r="B701" s="9">
        <v>41205</v>
      </c>
      <c r="C701" s="29" t="str">
        <f t="shared" si="10"/>
        <v/>
      </c>
      <c r="D701" s="8">
        <v>0.5</v>
      </c>
      <c r="E701" s="28" t="s">
        <v>14</v>
      </c>
      <c r="F701" s="7" t="s">
        <v>14</v>
      </c>
      <c r="G701" s="27" t="s">
        <v>14</v>
      </c>
      <c r="H701" s="27" t="s">
        <v>14</v>
      </c>
    </row>
    <row r="702" spans="2:8" x14ac:dyDescent="0.3">
      <c r="B702" s="11">
        <v>41206</v>
      </c>
      <c r="C702" s="29" t="str">
        <f t="shared" si="10"/>
        <v/>
      </c>
      <c r="D702" s="8">
        <v>0.5</v>
      </c>
      <c r="E702" s="28" t="s">
        <v>14</v>
      </c>
      <c r="F702" s="7" t="s">
        <v>14</v>
      </c>
      <c r="G702" s="27" t="s">
        <v>14</v>
      </c>
      <c r="H702" s="27" t="s">
        <v>14</v>
      </c>
    </row>
    <row r="703" spans="2:8" x14ac:dyDescent="0.3">
      <c r="B703" s="9">
        <v>41207</v>
      </c>
      <c r="C703" s="29" t="str">
        <f t="shared" si="10"/>
        <v/>
      </c>
      <c r="D703" s="8">
        <v>0.5</v>
      </c>
      <c r="E703" s="28" t="s">
        <v>14</v>
      </c>
      <c r="F703" s="7" t="s">
        <v>14</v>
      </c>
      <c r="G703" s="27" t="s">
        <v>14</v>
      </c>
      <c r="H703" s="27" t="s">
        <v>14</v>
      </c>
    </row>
    <row r="704" spans="2:8" x14ac:dyDescent="0.3">
      <c r="B704" s="11">
        <v>41208</v>
      </c>
      <c r="C704" s="29" t="str">
        <f t="shared" si="10"/>
        <v/>
      </c>
      <c r="D704" s="8">
        <v>0.5</v>
      </c>
      <c r="E704" s="28" t="s">
        <v>14</v>
      </c>
      <c r="F704" s="7" t="s">
        <v>14</v>
      </c>
      <c r="G704" s="27" t="s">
        <v>14</v>
      </c>
      <c r="H704" s="27" t="s">
        <v>14</v>
      </c>
    </row>
    <row r="705" spans="2:8" x14ac:dyDescent="0.3">
      <c r="B705" s="9">
        <v>41211</v>
      </c>
      <c r="C705" s="29" t="str">
        <f t="shared" si="10"/>
        <v/>
      </c>
      <c r="D705" s="8">
        <v>0.5</v>
      </c>
      <c r="E705" s="28" t="s">
        <v>14</v>
      </c>
      <c r="F705" s="7" t="s">
        <v>14</v>
      </c>
      <c r="G705" s="27" t="s">
        <v>14</v>
      </c>
      <c r="H705" s="27" t="s">
        <v>14</v>
      </c>
    </row>
    <row r="706" spans="2:8" x14ac:dyDescent="0.3">
      <c r="B706" s="11">
        <v>41212</v>
      </c>
      <c r="C706" s="29" t="str">
        <f t="shared" si="10"/>
        <v/>
      </c>
      <c r="D706" s="8">
        <v>0.5</v>
      </c>
      <c r="E706" s="28" t="s">
        <v>14</v>
      </c>
      <c r="F706" s="7" t="s">
        <v>14</v>
      </c>
      <c r="G706" s="27" t="s">
        <v>14</v>
      </c>
      <c r="H706" s="27" t="s">
        <v>14</v>
      </c>
    </row>
    <row r="707" spans="2:8" x14ac:dyDescent="0.3">
      <c r="B707" s="9">
        <v>41213</v>
      </c>
      <c r="C707" s="29" t="str">
        <f t="shared" ref="C707:C770" si="11">INDEX(D707:H707,MATCH($A$1,$D$1:$H$1,0))</f>
        <v/>
      </c>
      <c r="D707" s="8">
        <v>0.5</v>
      </c>
      <c r="E707" s="28">
        <v>0.5</v>
      </c>
      <c r="F707" s="7" t="s">
        <v>14</v>
      </c>
      <c r="G707" s="27" t="s">
        <v>14</v>
      </c>
      <c r="H707" s="27" t="s">
        <v>14</v>
      </c>
    </row>
    <row r="708" spans="2:8" x14ac:dyDescent="0.3">
      <c r="B708" s="11">
        <v>41214</v>
      </c>
      <c r="C708" s="29" t="str">
        <f t="shared" si="11"/>
        <v/>
      </c>
      <c r="D708" s="8">
        <v>0.5</v>
      </c>
      <c r="E708" s="28" t="s">
        <v>14</v>
      </c>
      <c r="F708" s="7" t="s">
        <v>14</v>
      </c>
      <c r="G708" s="27" t="s">
        <v>14</v>
      </c>
      <c r="H708" s="27" t="s">
        <v>14</v>
      </c>
    </row>
    <row r="709" spans="2:8" x14ac:dyDescent="0.3">
      <c r="B709" s="9">
        <v>41218</v>
      </c>
      <c r="C709" s="29" t="str">
        <f t="shared" si="11"/>
        <v/>
      </c>
      <c r="D709" s="8">
        <v>0.5</v>
      </c>
      <c r="E709" s="28" t="s">
        <v>14</v>
      </c>
      <c r="F709" s="7" t="s">
        <v>14</v>
      </c>
      <c r="G709" s="27" t="s">
        <v>14</v>
      </c>
      <c r="H709" s="27" t="s">
        <v>14</v>
      </c>
    </row>
    <row r="710" spans="2:8" x14ac:dyDescent="0.3">
      <c r="B710" s="11">
        <v>41219</v>
      </c>
      <c r="C710" s="29" t="str">
        <f t="shared" si="11"/>
        <v/>
      </c>
      <c r="D710" s="8">
        <v>0.5</v>
      </c>
      <c r="E710" s="28" t="s">
        <v>14</v>
      </c>
      <c r="F710" s="7" t="s">
        <v>14</v>
      </c>
      <c r="G710" s="27" t="s">
        <v>14</v>
      </c>
      <c r="H710" s="27" t="s">
        <v>14</v>
      </c>
    </row>
    <row r="711" spans="2:8" x14ac:dyDescent="0.3">
      <c r="B711" s="9">
        <v>41220</v>
      </c>
      <c r="C711" s="29" t="str">
        <f t="shared" si="11"/>
        <v/>
      </c>
      <c r="D711" s="8">
        <v>0.5</v>
      </c>
      <c r="E711" s="28" t="s">
        <v>14</v>
      </c>
      <c r="F711" s="7" t="s">
        <v>14</v>
      </c>
      <c r="G711" s="27" t="s">
        <v>14</v>
      </c>
      <c r="H711" s="27" t="s">
        <v>14</v>
      </c>
    </row>
    <row r="712" spans="2:8" x14ac:dyDescent="0.3">
      <c r="B712" s="11">
        <v>41221</v>
      </c>
      <c r="C712" s="29" t="str">
        <f t="shared" si="11"/>
        <v/>
      </c>
      <c r="D712" s="8">
        <v>0.5</v>
      </c>
      <c r="E712" s="28" t="s">
        <v>14</v>
      </c>
      <c r="F712" s="7" t="s">
        <v>14</v>
      </c>
      <c r="G712" s="27" t="s">
        <v>14</v>
      </c>
      <c r="H712" s="27" t="s">
        <v>14</v>
      </c>
    </row>
    <row r="713" spans="2:8" x14ac:dyDescent="0.3">
      <c r="B713" s="9">
        <v>41222</v>
      </c>
      <c r="C713" s="29" t="str">
        <f t="shared" si="11"/>
        <v/>
      </c>
      <c r="D713" s="8">
        <v>0.5</v>
      </c>
      <c r="E713" s="28" t="s">
        <v>14</v>
      </c>
      <c r="F713" s="7" t="s">
        <v>14</v>
      </c>
      <c r="G713" s="27" t="s">
        <v>14</v>
      </c>
      <c r="H713" s="27" t="s">
        <v>14</v>
      </c>
    </row>
    <row r="714" spans="2:8" x14ac:dyDescent="0.3">
      <c r="B714" s="11">
        <v>41225</v>
      </c>
      <c r="C714" s="29" t="str">
        <f t="shared" si="11"/>
        <v/>
      </c>
      <c r="D714" s="8">
        <v>0.5</v>
      </c>
      <c r="E714" s="28" t="s">
        <v>14</v>
      </c>
      <c r="F714" s="7" t="s">
        <v>14</v>
      </c>
      <c r="G714" s="27" t="s">
        <v>14</v>
      </c>
      <c r="H714" s="27" t="s">
        <v>14</v>
      </c>
    </row>
    <row r="715" spans="2:8" x14ac:dyDescent="0.3">
      <c r="B715" s="9">
        <v>41226</v>
      </c>
      <c r="C715" s="29" t="str">
        <f t="shared" si="11"/>
        <v/>
      </c>
      <c r="D715" s="8">
        <v>0.5</v>
      </c>
      <c r="E715" s="28" t="s">
        <v>14</v>
      </c>
      <c r="F715" s="7" t="s">
        <v>14</v>
      </c>
      <c r="G715" s="27" t="s">
        <v>14</v>
      </c>
      <c r="H715" s="27" t="s">
        <v>14</v>
      </c>
    </row>
    <row r="716" spans="2:8" x14ac:dyDescent="0.3">
      <c r="B716" s="11">
        <v>41227</v>
      </c>
      <c r="C716" s="29" t="str">
        <f t="shared" si="11"/>
        <v/>
      </c>
      <c r="D716" s="8">
        <v>0.5</v>
      </c>
      <c r="E716" s="28" t="s">
        <v>14</v>
      </c>
      <c r="F716" s="7" t="s">
        <v>14</v>
      </c>
      <c r="G716" s="27" t="s">
        <v>14</v>
      </c>
      <c r="H716" s="27" t="s">
        <v>14</v>
      </c>
    </row>
    <row r="717" spans="2:8" x14ac:dyDescent="0.3">
      <c r="B717" s="9">
        <v>41229</v>
      </c>
      <c r="C717" s="29" t="str">
        <f t="shared" si="11"/>
        <v/>
      </c>
      <c r="D717" s="8">
        <v>0.5</v>
      </c>
      <c r="E717" s="28" t="s">
        <v>14</v>
      </c>
      <c r="F717" s="7" t="s">
        <v>14</v>
      </c>
      <c r="G717" s="27" t="s">
        <v>14</v>
      </c>
      <c r="H717" s="27" t="s">
        <v>14</v>
      </c>
    </row>
    <row r="718" spans="2:8" x14ac:dyDescent="0.3">
      <c r="B718" s="11">
        <v>41232</v>
      </c>
      <c r="C718" s="29" t="str">
        <f t="shared" si="11"/>
        <v/>
      </c>
      <c r="D718" s="8">
        <v>0.5</v>
      </c>
      <c r="E718" s="28" t="s">
        <v>14</v>
      </c>
      <c r="F718" s="7" t="s">
        <v>14</v>
      </c>
      <c r="G718" s="27" t="s">
        <v>14</v>
      </c>
      <c r="H718" s="27" t="s">
        <v>14</v>
      </c>
    </row>
    <row r="719" spans="2:8" x14ac:dyDescent="0.3">
      <c r="B719" s="9">
        <v>41234</v>
      </c>
      <c r="C719" s="29" t="str">
        <f t="shared" si="11"/>
        <v/>
      </c>
      <c r="D719" s="8">
        <v>0.5</v>
      </c>
      <c r="E719" s="28" t="s">
        <v>14</v>
      </c>
      <c r="F719" s="7" t="s">
        <v>14</v>
      </c>
      <c r="G719" s="27" t="s">
        <v>14</v>
      </c>
      <c r="H719" s="27" t="s">
        <v>14</v>
      </c>
    </row>
    <row r="720" spans="2:8" x14ac:dyDescent="0.3">
      <c r="B720" s="11">
        <v>41235</v>
      </c>
      <c r="C720" s="29" t="str">
        <f t="shared" si="11"/>
        <v/>
      </c>
      <c r="D720" s="8">
        <v>0.5</v>
      </c>
      <c r="E720" s="28" t="s">
        <v>14</v>
      </c>
      <c r="F720" s="7" t="s">
        <v>14</v>
      </c>
      <c r="G720" s="27" t="s">
        <v>14</v>
      </c>
      <c r="H720" s="27" t="s">
        <v>14</v>
      </c>
    </row>
    <row r="721" spans="2:8" x14ac:dyDescent="0.3">
      <c r="B721" s="9">
        <v>41236</v>
      </c>
      <c r="C721" s="29" t="str">
        <f t="shared" si="11"/>
        <v/>
      </c>
      <c r="D721" s="8">
        <v>0.5</v>
      </c>
      <c r="E721" s="28" t="s">
        <v>14</v>
      </c>
      <c r="F721" s="7" t="s">
        <v>14</v>
      </c>
      <c r="G721" s="27" t="s">
        <v>14</v>
      </c>
      <c r="H721" s="27" t="s">
        <v>14</v>
      </c>
    </row>
    <row r="722" spans="2:8" x14ac:dyDescent="0.3">
      <c r="B722" s="11">
        <v>41239</v>
      </c>
      <c r="C722" s="29" t="str">
        <f t="shared" si="11"/>
        <v/>
      </c>
      <c r="D722" s="8">
        <v>0.5</v>
      </c>
      <c r="E722" s="28" t="s">
        <v>14</v>
      </c>
      <c r="F722" s="7" t="s">
        <v>14</v>
      </c>
      <c r="G722" s="27" t="s">
        <v>14</v>
      </c>
      <c r="H722" s="27" t="s">
        <v>14</v>
      </c>
    </row>
    <row r="723" spans="2:8" x14ac:dyDescent="0.3">
      <c r="B723" s="9">
        <v>41240</v>
      </c>
      <c r="C723" s="29" t="str">
        <f t="shared" si="11"/>
        <v/>
      </c>
      <c r="D723" s="8">
        <v>0.5</v>
      </c>
      <c r="E723" s="28" t="s">
        <v>14</v>
      </c>
      <c r="F723" s="7" t="s">
        <v>14</v>
      </c>
      <c r="G723" s="27" t="s">
        <v>14</v>
      </c>
      <c r="H723" s="27" t="s">
        <v>14</v>
      </c>
    </row>
    <row r="724" spans="2:8" x14ac:dyDescent="0.3">
      <c r="B724" s="11">
        <v>41241</v>
      </c>
      <c r="C724" s="29" t="str">
        <f t="shared" si="11"/>
        <v/>
      </c>
      <c r="D724" s="8">
        <v>0.5</v>
      </c>
      <c r="E724" s="28" t="s">
        <v>14</v>
      </c>
      <c r="F724" s="7" t="s">
        <v>14</v>
      </c>
      <c r="G724" s="27" t="s">
        <v>14</v>
      </c>
      <c r="H724" s="27" t="s">
        <v>14</v>
      </c>
    </row>
    <row r="725" spans="2:8" x14ac:dyDescent="0.3">
      <c r="B725" s="9">
        <v>41242</v>
      </c>
      <c r="C725" s="29" t="str">
        <f t="shared" si="11"/>
        <v/>
      </c>
      <c r="D725" s="8">
        <v>0.5</v>
      </c>
      <c r="E725" s="28" t="s">
        <v>14</v>
      </c>
      <c r="F725" s="7" t="s">
        <v>14</v>
      </c>
      <c r="G725" s="27" t="s">
        <v>14</v>
      </c>
      <c r="H725" s="27" t="s">
        <v>14</v>
      </c>
    </row>
    <row r="726" spans="2:8" x14ac:dyDescent="0.3">
      <c r="B726" s="11">
        <v>41243</v>
      </c>
      <c r="C726" s="29" t="str">
        <f t="shared" si="11"/>
        <v/>
      </c>
      <c r="D726" s="8">
        <v>0.5</v>
      </c>
      <c r="E726" s="28">
        <v>0.5</v>
      </c>
      <c r="F726" s="7" t="s">
        <v>14</v>
      </c>
      <c r="G726" s="27" t="s">
        <v>14</v>
      </c>
      <c r="H726" s="27" t="s">
        <v>14</v>
      </c>
    </row>
    <row r="727" spans="2:8" x14ac:dyDescent="0.3">
      <c r="B727" s="9">
        <v>41246</v>
      </c>
      <c r="C727" s="29" t="str">
        <f t="shared" si="11"/>
        <v/>
      </c>
      <c r="D727" s="8">
        <v>0.5</v>
      </c>
      <c r="E727" s="28" t="s">
        <v>14</v>
      </c>
      <c r="F727" s="7" t="s">
        <v>14</v>
      </c>
      <c r="G727" s="27" t="s">
        <v>14</v>
      </c>
      <c r="H727" s="27" t="s">
        <v>14</v>
      </c>
    </row>
    <row r="728" spans="2:8" x14ac:dyDescent="0.3">
      <c r="B728" s="11">
        <v>41247</v>
      </c>
      <c r="C728" s="29" t="str">
        <f t="shared" si="11"/>
        <v/>
      </c>
      <c r="D728" s="8">
        <v>0.5</v>
      </c>
      <c r="E728" s="28" t="s">
        <v>14</v>
      </c>
      <c r="F728" s="7" t="s">
        <v>14</v>
      </c>
      <c r="G728" s="27" t="s">
        <v>14</v>
      </c>
      <c r="H728" s="27" t="s">
        <v>14</v>
      </c>
    </row>
    <row r="729" spans="2:8" x14ac:dyDescent="0.3">
      <c r="B729" s="9">
        <v>41248</v>
      </c>
      <c r="C729" s="29" t="str">
        <f t="shared" si="11"/>
        <v/>
      </c>
      <c r="D729" s="8">
        <v>0.5</v>
      </c>
      <c r="E729" s="28" t="s">
        <v>14</v>
      </c>
      <c r="F729" s="7" t="s">
        <v>14</v>
      </c>
      <c r="G729" s="27" t="s">
        <v>14</v>
      </c>
      <c r="H729" s="27" t="s">
        <v>14</v>
      </c>
    </row>
    <row r="730" spans="2:8" x14ac:dyDescent="0.3">
      <c r="B730" s="11">
        <v>41249</v>
      </c>
      <c r="C730" s="29" t="str">
        <f t="shared" si="11"/>
        <v/>
      </c>
      <c r="D730" s="8">
        <v>0.5</v>
      </c>
      <c r="E730" s="28" t="s">
        <v>14</v>
      </c>
      <c r="F730" s="7" t="s">
        <v>14</v>
      </c>
      <c r="G730" s="27" t="s">
        <v>14</v>
      </c>
      <c r="H730" s="27" t="s">
        <v>14</v>
      </c>
    </row>
    <row r="731" spans="2:8" x14ac:dyDescent="0.3">
      <c r="B731" s="9">
        <v>41250</v>
      </c>
      <c r="C731" s="29" t="str">
        <f t="shared" si="11"/>
        <v/>
      </c>
      <c r="D731" s="8">
        <v>0.5</v>
      </c>
      <c r="E731" s="28" t="s">
        <v>14</v>
      </c>
      <c r="F731" s="7" t="s">
        <v>14</v>
      </c>
      <c r="G731" s="27" t="s">
        <v>14</v>
      </c>
      <c r="H731" s="27" t="s">
        <v>14</v>
      </c>
    </row>
    <row r="732" spans="2:8" x14ac:dyDescent="0.3">
      <c r="B732" s="11">
        <v>41253</v>
      </c>
      <c r="C732" s="29" t="str">
        <f t="shared" si="11"/>
        <v/>
      </c>
      <c r="D732" s="8">
        <v>0.5</v>
      </c>
      <c r="E732" s="28" t="s">
        <v>14</v>
      </c>
      <c r="F732" s="7" t="s">
        <v>14</v>
      </c>
      <c r="G732" s="27" t="s">
        <v>14</v>
      </c>
      <c r="H732" s="27" t="s">
        <v>14</v>
      </c>
    </row>
    <row r="733" spans="2:8" x14ac:dyDescent="0.3">
      <c r="B733" s="9">
        <v>41254</v>
      </c>
      <c r="C733" s="29" t="str">
        <f t="shared" si="11"/>
        <v/>
      </c>
      <c r="D733" s="8">
        <v>0.5</v>
      </c>
      <c r="E733" s="28" t="s">
        <v>14</v>
      </c>
      <c r="F733" s="7" t="s">
        <v>14</v>
      </c>
      <c r="G733" s="27" t="s">
        <v>14</v>
      </c>
      <c r="H733" s="27" t="s">
        <v>14</v>
      </c>
    </row>
    <row r="734" spans="2:8" x14ac:dyDescent="0.3">
      <c r="B734" s="11">
        <v>41255</v>
      </c>
      <c r="C734" s="29" t="str">
        <f t="shared" si="11"/>
        <v/>
      </c>
      <c r="D734" s="8">
        <v>0.5</v>
      </c>
      <c r="E734" s="28" t="s">
        <v>14</v>
      </c>
      <c r="F734" s="7" t="s">
        <v>14</v>
      </c>
      <c r="G734" s="27" t="s">
        <v>14</v>
      </c>
      <c r="H734" s="27" t="s">
        <v>14</v>
      </c>
    </row>
    <row r="735" spans="2:8" x14ac:dyDescent="0.3">
      <c r="B735" s="9">
        <v>41256</v>
      </c>
      <c r="C735" s="29" t="str">
        <f t="shared" si="11"/>
        <v/>
      </c>
      <c r="D735" s="8">
        <v>0.5</v>
      </c>
      <c r="E735" s="28" t="s">
        <v>14</v>
      </c>
      <c r="F735" s="7" t="s">
        <v>14</v>
      </c>
      <c r="G735" s="27" t="s">
        <v>14</v>
      </c>
      <c r="H735" s="27" t="s">
        <v>14</v>
      </c>
    </row>
    <row r="736" spans="2:8" x14ac:dyDescent="0.3">
      <c r="B736" s="11">
        <v>41257</v>
      </c>
      <c r="C736" s="29" t="str">
        <f t="shared" si="11"/>
        <v/>
      </c>
      <c r="D736" s="8">
        <v>0.5</v>
      </c>
      <c r="E736" s="28" t="s">
        <v>14</v>
      </c>
      <c r="F736" s="7" t="s">
        <v>14</v>
      </c>
      <c r="G736" s="27" t="s">
        <v>14</v>
      </c>
      <c r="H736" s="27" t="s">
        <v>14</v>
      </c>
    </row>
    <row r="737" spans="2:8" x14ac:dyDescent="0.3">
      <c r="B737" s="9">
        <v>41260</v>
      </c>
      <c r="C737" s="29" t="str">
        <f t="shared" si="11"/>
        <v/>
      </c>
      <c r="D737" s="8">
        <v>0.5</v>
      </c>
      <c r="E737" s="28" t="s">
        <v>14</v>
      </c>
      <c r="F737" s="7" t="s">
        <v>14</v>
      </c>
      <c r="G737" s="27" t="s">
        <v>14</v>
      </c>
      <c r="H737" s="27" t="s">
        <v>14</v>
      </c>
    </row>
    <row r="738" spans="2:8" x14ac:dyDescent="0.3">
      <c r="B738" s="11">
        <v>41261</v>
      </c>
      <c r="C738" s="29" t="str">
        <f t="shared" si="11"/>
        <v/>
      </c>
      <c r="D738" s="8">
        <v>0.5</v>
      </c>
      <c r="E738" s="28" t="s">
        <v>14</v>
      </c>
      <c r="F738" s="7" t="s">
        <v>14</v>
      </c>
      <c r="G738" s="27" t="s">
        <v>14</v>
      </c>
      <c r="H738" s="27" t="s">
        <v>14</v>
      </c>
    </row>
    <row r="739" spans="2:8" x14ac:dyDescent="0.3">
      <c r="B739" s="9">
        <v>41262</v>
      </c>
      <c r="C739" s="29" t="str">
        <f t="shared" si="11"/>
        <v/>
      </c>
      <c r="D739" s="8">
        <v>0.5</v>
      </c>
      <c r="E739" s="28" t="s">
        <v>14</v>
      </c>
      <c r="F739" s="7" t="s">
        <v>14</v>
      </c>
      <c r="G739" s="27" t="s">
        <v>14</v>
      </c>
      <c r="H739" s="27" t="s">
        <v>14</v>
      </c>
    </row>
    <row r="740" spans="2:8" x14ac:dyDescent="0.3">
      <c r="B740" s="11">
        <v>41263</v>
      </c>
      <c r="C740" s="29" t="str">
        <f t="shared" si="11"/>
        <v/>
      </c>
      <c r="D740" s="8">
        <v>0.5</v>
      </c>
      <c r="E740" s="28" t="s">
        <v>14</v>
      </c>
      <c r="F740" s="7" t="s">
        <v>14</v>
      </c>
      <c r="G740" s="27" t="s">
        <v>14</v>
      </c>
      <c r="H740" s="27" t="s">
        <v>14</v>
      </c>
    </row>
    <row r="741" spans="2:8" x14ac:dyDescent="0.3">
      <c r="B741" s="9">
        <v>41264</v>
      </c>
      <c r="C741" s="29" t="str">
        <f t="shared" si="11"/>
        <v/>
      </c>
      <c r="D741" s="8">
        <v>0.5</v>
      </c>
      <c r="E741" s="28" t="s">
        <v>14</v>
      </c>
      <c r="F741" s="7" t="s">
        <v>14</v>
      </c>
      <c r="G741" s="27" t="s">
        <v>14</v>
      </c>
      <c r="H741" s="27" t="s">
        <v>14</v>
      </c>
    </row>
    <row r="742" spans="2:8" x14ac:dyDescent="0.3">
      <c r="B742" s="11">
        <v>41269</v>
      </c>
      <c r="C742" s="29" t="str">
        <f t="shared" si="11"/>
        <v/>
      </c>
      <c r="D742" s="8">
        <v>0.5</v>
      </c>
      <c r="E742" s="28" t="s">
        <v>14</v>
      </c>
      <c r="F742" s="7" t="s">
        <v>14</v>
      </c>
      <c r="G742" s="27" t="s">
        <v>14</v>
      </c>
      <c r="H742" s="27" t="s">
        <v>14</v>
      </c>
    </row>
    <row r="743" spans="2:8" x14ac:dyDescent="0.3">
      <c r="B743" s="9">
        <v>41270</v>
      </c>
      <c r="C743" s="29" t="str">
        <f t="shared" si="11"/>
        <v/>
      </c>
      <c r="D743" s="8">
        <v>0.5</v>
      </c>
      <c r="E743" s="28" t="s">
        <v>14</v>
      </c>
      <c r="F743" s="7" t="s">
        <v>14</v>
      </c>
      <c r="G743" s="27" t="s">
        <v>14</v>
      </c>
      <c r="H743" s="27" t="s">
        <v>14</v>
      </c>
    </row>
    <row r="744" spans="2:8" x14ac:dyDescent="0.3">
      <c r="B744" s="11">
        <v>41271</v>
      </c>
      <c r="C744" s="29">
        <f t="shared" si="11"/>
        <v>0.5</v>
      </c>
      <c r="D744" s="8">
        <v>0.5</v>
      </c>
      <c r="E744" s="28">
        <v>0.5</v>
      </c>
      <c r="F744" s="7">
        <v>0.5</v>
      </c>
      <c r="G744" s="27">
        <v>0.5</v>
      </c>
      <c r="H744" s="27">
        <v>0.5</v>
      </c>
    </row>
    <row r="745" spans="2:8" x14ac:dyDescent="0.3">
      <c r="B745" s="9">
        <v>41276</v>
      </c>
      <c r="C745" s="29" t="str">
        <f t="shared" si="11"/>
        <v/>
      </c>
      <c r="D745" s="8">
        <v>0.5</v>
      </c>
      <c r="E745" s="28" t="s">
        <v>14</v>
      </c>
      <c r="F745" s="7" t="s">
        <v>14</v>
      </c>
      <c r="G745" s="27" t="s">
        <v>14</v>
      </c>
      <c r="H745" s="27" t="s">
        <v>14</v>
      </c>
    </row>
    <row r="746" spans="2:8" x14ac:dyDescent="0.3">
      <c r="B746" s="11">
        <v>41277</v>
      </c>
      <c r="C746" s="29" t="str">
        <f t="shared" si="11"/>
        <v/>
      </c>
      <c r="D746" s="8">
        <v>0.5</v>
      </c>
      <c r="E746" s="28" t="s">
        <v>14</v>
      </c>
      <c r="F746" s="7" t="s">
        <v>14</v>
      </c>
      <c r="G746" s="27" t="s">
        <v>14</v>
      </c>
      <c r="H746" s="27" t="s">
        <v>14</v>
      </c>
    </row>
    <row r="747" spans="2:8" x14ac:dyDescent="0.3">
      <c r="B747" s="9">
        <v>41278</v>
      </c>
      <c r="C747" s="29" t="str">
        <f t="shared" si="11"/>
        <v/>
      </c>
      <c r="D747" s="8">
        <v>0.5</v>
      </c>
      <c r="E747" s="28" t="s">
        <v>14</v>
      </c>
      <c r="F747" s="7" t="s">
        <v>14</v>
      </c>
      <c r="G747" s="27" t="s">
        <v>14</v>
      </c>
      <c r="H747" s="27" t="s">
        <v>14</v>
      </c>
    </row>
    <row r="748" spans="2:8" x14ac:dyDescent="0.3">
      <c r="B748" s="11">
        <v>41281</v>
      </c>
      <c r="C748" s="29" t="str">
        <f t="shared" si="11"/>
        <v/>
      </c>
      <c r="D748" s="8">
        <v>0.5</v>
      </c>
      <c r="E748" s="28" t="s">
        <v>14</v>
      </c>
      <c r="F748" s="7" t="s">
        <v>14</v>
      </c>
      <c r="G748" s="27" t="s">
        <v>14</v>
      </c>
      <c r="H748" s="27" t="s">
        <v>14</v>
      </c>
    </row>
    <row r="749" spans="2:8" x14ac:dyDescent="0.3">
      <c r="B749" s="9">
        <v>41282</v>
      </c>
      <c r="C749" s="29" t="str">
        <f t="shared" si="11"/>
        <v/>
      </c>
      <c r="D749" s="8">
        <v>0.5</v>
      </c>
      <c r="E749" s="28" t="s">
        <v>14</v>
      </c>
      <c r="F749" s="7" t="s">
        <v>14</v>
      </c>
      <c r="G749" s="27" t="s">
        <v>14</v>
      </c>
      <c r="H749" s="27" t="s">
        <v>14</v>
      </c>
    </row>
    <row r="750" spans="2:8" x14ac:dyDescent="0.3">
      <c r="B750" s="11">
        <v>41283</v>
      </c>
      <c r="C750" s="29" t="str">
        <f t="shared" si="11"/>
        <v/>
      </c>
      <c r="D750" s="8">
        <v>0.5</v>
      </c>
      <c r="E750" s="28" t="s">
        <v>14</v>
      </c>
      <c r="F750" s="7" t="s">
        <v>14</v>
      </c>
      <c r="G750" s="27" t="s">
        <v>14</v>
      </c>
      <c r="H750" s="27" t="s">
        <v>14</v>
      </c>
    </row>
    <row r="751" spans="2:8" x14ac:dyDescent="0.3">
      <c r="B751" s="9">
        <v>41284</v>
      </c>
      <c r="C751" s="29" t="str">
        <f t="shared" si="11"/>
        <v/>
      </c>
      <c r="D751" s="8">
        <v>0.5</v>
      </c>
      <c r="E751" s="28" t="s">
        <v>14</v>
      </c>
      <c r="F751" s="7" t="s">
        <v>14</v>
      </c>
      <c r="G751" s="27" t="s">
        <v>14</v>
      </c>
      <c r="H751" s="27" t="s">
        <v>14</v>
      </c>
    </row>
    <row r="752" spans="2:8" x14ac:dyDescent="0.3">
      <c r="B752" s="11">
        <v>41285</v>
      </c>
      <c r="C752" s="29" t="str">
        <f t="shared" si="11"/>
        <v/>
      </c>
      <c r="D752" s="8">
        <v>0.5</v>
      </c>
      <c r="E752" s="28" t="s">
        <v>14</v>
      </c>
      <c r="F752" s="7" t="s">
        <v>14</v>
      </c>
      <c r="G752" s="27" t="s">
        <v>14</v>
      </c>
      <c r="H752" s="27" t="s">
        <v>14</v>
      </c>
    </row>
    <row r="753" spans="2:8" x14ac:dyDescent="0.3">
      <c r="B753" s="9">
        <v>41288</v>
      </c>
      <c r="C753" s="29" t="str">
        <f t="shared" si="11"/>
        <v/>
      </c>
      <c r="D753" s="8">
        <v>0.5</v>
      </c>
      <c r="E753" s="28" t="s">
        <v>14</v>
      </c>
      <c r="F753" s="7" t="s">
        <v>14</v>
      </c>
      <c r="G753" s="27" t="s">
        <v>14</v>
      </c>
      <c r="H753" s="27" t="s">
        <v>14</v>
      </c>
    </row>
    <row r="754" spans="2:8" x14ac:dyDescent="0.3">
      <c r="B754" s="11">
        <v>41289</v>
      </c>
      <c r="C754" s="29" t="str">
        <f t="shared" si="11"/>
        <v/>
      </c>
      <c r="D754" s="8">
        <v>0.5</v>
      </c>
      <c r="E754" s="28" t="s">
        <v>14</v>
      </c>
      <c r="F754" s="7" t="s">
        <v>14</v>
      </c>
      <c r="G754" s="27" t="s">
        <v>14</v>
      </c>
      <c r="H754" s="27" t="s">
        <v>14</v>
      </c>
    </row>
    <row r="755" spans="2:8" x14ac:dyDescent="0.3">
      <c r="B755" s="9">
        <v>41290</v>
      </c>
      <c r="C755" s="29" t="str">
        <f t="shared" si="11"/>
        <v/>
      </c>
      <c r="D755" s="8">
        <v>0.5</v>
      </c>
      <c r="E755" s="28" t="s">
        <v>14</v>
      </c>
      <c r="F755" s="7" t="s">
        <v>14</v>
      </c>
      <c r="G755" s="27" t="s">
        <v>14</v>
      </c>
      <c r="H755" s="27" t="s">
        <v>14</v>
      </c>
    </row>
    <row r="756" spans="2:8" x14ac:dyDescent="0.3">
      <c r="B756" s="11">
        <v>41291</v>
      </c>
      <c r="C756" s="29" t="str">
        <f t="shared" si="11"/>
        <v/>
      </c>
      <c r="D756" s="8">
        <v>0.5</v>
      </c>
      <c r="E756" s="28" t="s">
        <v>14</v>
      </c>
      <c r="F756" s="7" t="s">
        <v>14</v>
      </c>
      <c r="G756" s="27" t="s">
        <v>14</v>
      </c>
      <c r="H756" s="27" t="s">
        <v>14</v>
      </c>
    </row>
    <row r="757" spans="2:8" x14ac:dyDescent="0.3">
      <c r="B757" s="9">
        <v>41292</v>
      </c>
      <c r="C757" s="29" t="str">
        <f t="shared" si="11"/>
        <v/>
      </c>
      <c r="D757" s="8">
        <v>0.5</v>
      </c>
      <c r="E757" s="28" t="s">
        <v>14</v>
      </c>
      <c r="F757" s="7" t="s">
        <v>14</v>
      </c>
      <c r="G757" s="27" t="s">
        <v>14</v>
      </c>
      <c r="H757" s="27" t="s">
        <v>14</v>
      </c>
    </row>
    <row r="758" spans="2:8" x14ac:dyDescent="0.3">
      <c r="B758" s="11">
        <v>41295</v>
      </c>
      <c r="C758" s="29" t="str">
        <f t="shared" si="11"/>
        <v/>
      </c>
      <c r="D758" s="8">
        <v>0.5</v>
      </c>
      <c r="E758" s="28" t="s">
        <v>14</v>
      </c>
      <c r="F758" s="7" t="s">
        <v>14</v>
      </c>
      <c r="G758" s="27" t="s">
        <v>14</v>
      </c>
      <c r="H758" s="27" t="s">
        <v>14</v>
      </c>
    </row>
    <row r="759" spans="2:8" x14ac:dyDescent="0.3">
      <c r="B759" s="9">
        <v>41296</v>
      </c>
      <c r="C759" s="29" t="str">
        <f t="shared" si="11"/>
        <v/>
      </c>
      <c r="D759" s="8">
        <v>0.5</v>
      </c>
      <c r="E759" s="28" t="s">
        <v>14</v>
      </c>
      <c r="F759" s="7" t="s">
        <v>14</v>
      </c>
      <c r="G759" s="27" t="s">
        <v>14</v>
      </c>
      <c r="H759" s="27" t="s">
        <v>14</v>
      </c>
    </row>
    <row r="760" spans="2:8" x14ac:dyDescent="0.3">
      <c r="B760" s="11">
        <v>41297</v>
      </c>
      <c r="C760" s="29" t="str">
        <f t="shared" si="11"/>
        <v/>
      </c>
      <c r="D760" s="8">
        <v>0.5</v>
      </c>
      <c r="E760" s="28" t="s">
        <v>14</v>
      </c>
      <c r="F760" s="7" t="s">
        <v>14</v>
      </c>
      <c r="G760" s="27" t="s">
        <v>14</v>
      </c>
      <c r="H760" s="27" t="s">
        <v>14</v>
      </c>
    </row>
    <row r="761" spans="2:8" x14ac:dyDescent="0.3">
      <c r="B761" s="9">
        <v>41298</v>
      </c>
      <c r="C761" s="29" t="str">
        <f t="shared" si="11"/>
        <v/>
      </c>
      <c r="D761" s="8">
        <v>0.5</v>
      </c>
      <c r="E761" s="28" t="s">
        <v>14</v>
      </c>
      <c r="F761" s="7" t="s">
        <v>14</v>
      </c>
      <c r="G761" s="27" t="s">
        <v>14</v>
      </c>
      <c r="H761" s="27" t="s">
        <v>14</v>
      </c>
    </row>
    <row r="762" spans="2:8" x14ac:dyDescent="0.3">
      <c r="B762" s="11">
        <v>41302</v>
      </c>
      <c r="C762" s="29" t="str">
        <f t="shared" si="11"/>
        <v/>
      </c>
      <c r="D762" s="8">
        <v>0.5</v>
      </c>
      <c r="E762" s="28" t="s">
        <v>14</v>
      </c>
      <c r="F762" s="7" t="s">
        <v>14</v>
      </c>
      <c r="G762" s="27" t="s">
        <v>14</v>
      </c>
      <c r="H762" s="27" t="s">
        <v>14</v>
      </c>
    </row>
    <row r="763" spans="2:8" x14ac:dyDescent="0.3">
      <c r="B763" s="9">
        <v>41303</v>
      </c>
      <c r="C763" s="29" t="str">
        <f t="shared" si="11"/>
        <v/>
      </c>
      <c r="D763" s="8">
        <v>0.5</v>
      </c>
      <c r="E763" s="28" t="s">
        <v>14</v>
      </c>
      <c r="F763" s="7" t="s">
        <v>14</v>
      </c>
      <c r="G763" s="27" t="s">
        <v>14</v>
      </c>
      <c r="H763" s="27" t="s">
        <v>14</v>
      </c>
    </row>
    <row r="764" spans="2:8" x14ac:dyDescent="0.3">
      <c r="B764" s="11">
        <v>41304</v>
      </c>
      <c r="C764" s="29" t="str">
        <f t="shared" si="11"/>
        <v/>
      </c>
      <c r="D764" s="8">
        <v>0.5</v>
      </c>
      <c r="E764" s="28" t="s">
        <v>14</v>
      </c>
      <c r="F764" s="7" t="s">
        <v>14</v>
      </c>
      <c r="G764" s="27" t="s">
        <v>14</v>
      </c>
      <c r="H764" s="27" t="s">
        <v>14</v>
      </c>
    </row>
    <row r="765" spans="2:8" x14ac:dyDescent="0.3">
      <c r="B765" s="9">
        <v>41305</v>
      </c>
      <c r="C765" s="29" t="str">
        <f t="shared" si="11"/>
        <v/>
      </c>
      <c r="D765" s="8">
        <v>0.5</v>
      </c>
      <c r="E765" s="28">
        <v>0.5</v>
      </c>
      <c r="F765" s="7" t="s">
        <v>14</v>
      </c>
      <c r="G765" s="27" t="s">
        <v>14</v>
      </c>
      <c r="H765" s="27" t="s">
        <v>14</v>
      </c>
    </row>
    <row r="766" spans="2:8" x14ac:dyDescent="0.3">
      <c r="B766" s="11">
        <v>41306</v>
      </c>
      <c r="C766" s="29" t="str">
        <f t="shared" si="11"/>
        <v/>
      </c>
      <c r="D766" s="8">
        <v>0.5</v>
      </c>
      <c r="E766" s="28" t="s">
        <v>14</v>
      </c>
      <c r="F766" s="7" t="s">
        <v>14</v>
      </c>
      <c r="G766" s="27" t="s">
        <v>14</v>
      </c>
      <c r="H766" s="27" t="s">
        <v>14</v>
      </c>
    </row>
    <row r="767" spans="2:8" x14ac:dyDescent="0.3">
      <c r="B767" s="9">
        <v>41309</v>
      </c>
      <c r="C767" s="29" t="str">
        <f t="shared" si="11"/>
        <v/>
      </c>
      <c r="D767" s="8">
        <v>0.5</v>
      </c>
      <c r="E767" s="28" t="s">
        <v>14</v>
      </c>
      <c r="F767" s="7" t="s">
        <v>14</v>
      </c>
      <c r="G767" s="27" t="s">
        <v>14</v>
      </c>
      <c r="H767" s="27" t="s">
        <v>14</v>
      </c>
    </row>
    <row r="768" spans="2:8" x14ac:dyDescent="0.3">
      <c r="B768" s="11">
        <v>41310</v>
      </c>
      <c r="C768" s="29" t="str">
        <f t="shared" si="11"/>
        <v/>
      </c>
      <c r="D768" s="8">
        <v>0.5</v>
      </c>
      <c r="E768" s="28" t="s">
        <v>14</v>
      </c>
      <c r="F768" s="7" t="s">
        <v>14</v>
      </c>
      <c r="G768" s="27" t="s">
        <v>14</v>
      </c>
      <c r="H768" s="27" t="s">
        <v>14</v>
      </c>
    </row>
    <row r="769" spans="2:8" x14ac:dyDescent="0.3">
      <c r="B769" s="9">
        <v>41311</v>
      </c>
      <c r="C769" s="29" t="str">
        <f t="shared" si="11"/>
        <v/>
      </c>
      <c r="D769" s="8">
        <v>0.5</v>
      </c>
      <c r="E769" s="28" t="s">
        <v>14</v>
      </c>
      <c r="F769" s="7" t="s">
        <v>14</v>
      </c>
      <c r="G769" s="27" t="s">
        <v>14</v>
      </c>
      <c r="H769" s="27" t="s">
        <v>14</v>
      </c>
    </row>
    <row r="770" spans="2:8" x14ac:dyDescent="0.3">
      <c r="B770" s="11">
        <v>41312</v>
      </c>
      <c r="C770" s="29" t="str">
        <f t="shared" si="11"/>
        <v/>
      </c>
      <c r="D770" s="8">
        <v>0.5</v>
      </c>
      <c r="E770" s="28" t="s">
        <v>14</v>
      </c>
      <c r="F770" s="7" t="s">
        <v>14</v>
      </c>
      <c r="G770" s="27" t="s">
        <v>14</v>
      </c>
      <c r="H770" s="27" t="s">
        <v>14</v>
      </c>
    </row>
    <row r="771" spans="2:8" x14ac:dyDescent="0.3">
      <c r="B771" s="9">
        <v>41313</v>
      </c>
      <c r="C771" s="29" t="str">
        <f t="shared" ref="C771:C834" si="12">INDEX(D771:H771,MATCH($A$1,$D$1:$H$1,0))</f>
        <v/>
      </c>
      <c r="D771" s="8">
        <v>0.5</v>
      </c>
      <c r="E771" s="28" t="s">
        <v>14</v>
      </c>
      <c r="F771" s="7" t="s">
        <v>14</v>
      </c>
      <c r="G771" s="27" t="s">
        <v>14</v>
      </c>
      <c r="H771" s="27" t="s">
        <v>14</v>
      </c>
    </row>
    <row r="772" spans="2:8" x14ac:dyDescent="0.3">
      <c r="B772" s="11">
        <v>41318</v>
      </c>
      <c r="C772" s="29" t="str">
        <f t="shared" si="12"/>
        <v/>
      </c>
      <c r="D772" s="8">
        <v>0.5</v>
      </c>
      <c r="E772" s="28" t="s">
        <v>14</v>
      </c>
      <c r="F772" s="7" t="s">
        <v>14</v>
      </c>
      <c r="G772" s="27" t="s">
        <v>14</v>
      </c>
      <c r="H772" s="27" t="s">
        <v>14</v>
      </c>
    </row>
    <row r="773" spans="2:8" x14ac:dyDescent="0.3">
      <c r="B773" s="9">
        <v>41319</v>
      </c>
      <c r="C773" s="29" t="str">
        <f t="shared" si="12"/>
        <v/>
      </c>
      <c r="D773" s="8">
        <v>0.5</v>
      </c>
      <c r="E773" s="28" t="s">
        <v>14</v>
      </c>
      <c r="F773" s="7" t="s">
        <v>14</v>
      </c>
      <c r="G773" s="27" t="s">
        <v>14</v>
      </c>
      <c r="H773" s="27" t="s">
        <v>14</v>
      </c>
    </row>
    <row r="774" spans="2:8" x14ac:dyDescent="0.3">
      <c r="B774" s="11">
        <v>41320</v>
      </c>
      <c r="C774" s="29" t="str">
        <f t="shared" si="12"/>
        <v/>
      </c>
      <c r="D774" s="8">
        <v>0.5</v>
      </c>
      <c r="E774" s="28" t="s">
        <v>14</v>
      </c>
      <c r="F774" s="7" t="s">
        <v>14</v>
      </c>
      <c r="G774" s="27" t="s">
        <v>14</v>
      </c>
      <c r="H774" s="27" t="s">
        <v>14</v>
      </c>
    </row>
    <row r="775" spans="2:8" x14ac:dyDescent="0.3">
      <c r="B775" s="9">
        <v>41323</v>
      </c>
      <c r="C775" s="29" t="str">
        <f t="shared" si="12"/>
        <v/>
      </c>
      <c r="D775" s="8">
        <v>0.5</v>
      </c>
      <c r="E775" s="28" t="s">
        <v>14</v>
      </c>
      <c r="F775" s="7" t="s">
        <v>14</v>
      </c>
      <c r="G775" s="27" t="s">
        <v>14</v>
      </c>
      <c r="H775" s="27" t="s">
        <v>14</v>
      </c>
    </row>
    <row r="776" spans="2:8" x14ac:dyDescent="0.3">
      <c r="B776" s="11">
        <v>41324</v>
      </c>
      <c r="C776" s="29" t="str">
        <f t="shared" si="12"/>
        <v/>
      </c>
      <c r="D776" s="8">
        <v>0.5</v>
      </c>
      <c r="E776" s="28" t="s">
        <v>14</v>
      </c>
      <c r="F776" s="7" t="s">
        <v>14</v>
      </c>
      <c r="G776" s="27" t="s">
        <v>14</v>
      </c>
      <c r="H776" s="27" t="s">
        <v>14</v>
      </c>
    </row>
    <row r="777" spans="2:8" x14ac:dyDescent="0.3">
      <c r="B777" s="9">
        <v>41325</v>
      </c>
      <c r="C777" s="29" t="str">
        <f t="shared" si="12"/>
        <v/>
      </c>
      <c r="D777" s="8">
        <v>0.5</v>
      </c>
      <c r="E777" s="28" t="s">
        <v>14</v>
      </c>
      <c r="F777" s="7" t="s">
        <v>14</v>
      </c>
      <c r="G777" s="27" t="s">
        <v>14</v>
      </c>
      <c r="H777" s="27" t="s">
        <v>14</v>
      </c>
    </row>
    <row r="778" spans="2:8" x14ac:dyDescent="0.3">
      <c r="B778" s="11">
        <v>41326</v>
      </c>
      <c r="C778" s="29" t="str">
        <f t="shared" si="12"/>
        <v/>
      </c>
      <c r="D778" s="8">
        <v>0.5</v>
      </c>
      <c r="E778" s="28" t="s">
        <v>14</v>
      </c>
      <c r="F778" s="7" t="s">
        <v>14</v>
      </c>
      <c r="G778" s="27" t="s">
        <v>14</v>
      </c>
      <c r="H778" s="27" t="s">
        <v>14</v>
      </c>
    </row>
    <row r="779" spans="2:8" x14ac:dyDescent="0.3">
      <c r="B779" s="9">
        <v>41327</v>
      </c>
      <c r="C779" s="29" t="str">
        <f t="shared" si="12"/>
        <v/>
      </c>
      <c r="D779" s="8">
        <v>0.5</v>
      </c>
      <c r="E779" s="28" t="s">
        <v>14</v>
      </c>
      <c r="F779" s="7" t="s">
        <v>14</v>
      </c>
      <c r="G779" s="27" t="s">
        <v>14</v>
      </c>
      <c r="H779" s="27" t="s">
        <v>14</v>
      </c>
    </row>
    <row r="780" spans="2:8" x14ac:dyDescent="0.3">
      <c r="B780" s="11">
        <v>41330</v>
      </c>
      <c r="C780" s="29" t="str">
        <f t="shared" si="12"/>
        <v/>
      </c>
      <c r="D780" s="8">
        <v>0.5</v>
      </c>
      <c r="E780" s="28" t="s">
        <v>14</v>
      </c>
      <c r="F780" s="7" t="s">
        <v>14</v>
      </c>
      <c r="G780" s="27" t="s">
        <v>14</v>
      </c>
      <c r="H780" s="27" t="s">
        <v>14</v>
      </c>
    </row>
    <row r="781" spans="2:8" x14ac:dyDescent="0.3">
      <c r="B781" s="9">
        <v>41331</v>
      </c>
      <c r="C781" s="29" t="str">
        <f t="shared" si="12"/>
        <v/>
      </c>
      <c r="D781" s="8">
        <v>0.5</v>
      </c>
      <c r="E781" s="28" t="s">
        <v>14</v>
      </c>
      <c r="F781" s="7" t="s">
        <v>14</v>
      </c>
      <c r="G781" s="27" t="s">
        <v>14</v>
      </c>
      <c r="H781" s="27" t="s">
        <v>14</v>
      </c>
    </row>
    <row r="782" spans="2:8" x14ac:dyDescent="0.3">
      <c r="B782" s="11">
        <v>41332</v>
      </c>
      <c r="C782" s="29" t="str">
        <f t="shared" si="12"/>
        <v/>
      </c>
      <c r="D782" s="8">
        <v>0.5</v>
      </c>
      <c r="E782" s="28" t="s">
        <v>14</v>
      </c>
      <c r="F782" s="7" t="s">
        <v>14</v>
      </c>
      <c r="G782" s="27" t="s">
        <v>14</v>
      </c>
      <c r="H782" s="27" t="s">
        <v>14</v>
      </c>
    </row>
    <row r="783" spans="2:8" x14ac:dyDescent="0.3">
      <c r="B783" s="9">
        <v>41333</v>
      </c>
      <c r="C783" s="29" t="str">
        <f t="shared" si="12"/>
        <v/>
      </c>
      <c r="D783" s="8">
        <v>0.5</v>
      </c>
      <c r="E783" s="28">
        <v>0.5</v>
      </c>
      <c r="F783" s="7" t="s">
        <v>14</v>
      </c>
      <c r="G783" s="27" t="s">
        <v>14</v>
      </c>
      <c r="H783" s="27" t="s">
        <v>14</v>
      </c>
    </row>
    <row r="784" spans="2:8" x14ac:dyDescent="0.3">
      <c r="B784" s="11">
        <v>41334</v>
      </c>
      <c r="C784" s="29" t="str">
        <f t="shared" si="12"/>
        <v/>
      </c>
      <c r="D784" s="8">
        <v>0.5</v>
      </c>
      <c r="E784" s="28" t="s">
        <v>14</v>
      </c>
      <c r="F784" s="7" t="s">
        <v>14</v>
      </c>
      <c r="G784" s="27" t="s">
        <v>14</v>
      </c>
      <c r="H784" s="27" t="s">
        <v>14</v>
      </c>
    </row>
    <row r="785" spans="2:8" x14ac:dyDescent="0.3">
      <c r="B785" s="9">
        <v>41337</v>
      </c>
      <c r="C785" s="29" t="str">
        <f t="shared" si="12"/>
        <v/>
      </c>
      <c r="D785" s="8">
        <v>0.5</v>
      </c>
      <c r="E785" s="28" t="s">
        <v>14</v>
      </c>
      <c r="F785" s="7" t="s">
        <v>14</v>
      </c>
      <c r="G785" s="27" t="s">
        <v>14</v>
      </c>
      <c r="H785" s="27" t="s">
        <v>14</v>
      </c>
    </row>
    <row r="786" spans="2:8" x14ac:dyDescent="0.3">
      <c r="B786" s="11">
        <v>41338</v>
      </c>
      <c r="C786" s="29" t="str">
        <f t="shared" si="12"/>
        <v/>
      </c>
      <c r="D786" s="8">
        <v>0.5</v>
      </c>
      <c r="E786" s="28" t="s">
        <v>14</v>
      </c>
      <c r="F786" s="7" t="s">
        <v>14</v>
      </c>
      <c r="G786" s="27" t="s">
        <v>14</v>
      </c>
      <c r="H786" s="27" t="s">
        <v>14</v>
      </c>
    </row>
    <row r="787" spans="2:8" x14ac:dyDescent="0.3">
      <c r="B787" s="9">
        <v>41339</v>
      </c>
      <c r="C787" s="29" t="str">
        <f t="shared" si="12"/>
        <v/>
      </c>
      <c r="D787" s="8">
        <v>0.5</v>
      </c>
      <c r="E787" s="28" t="s">
        <v>14</v>
      </c>
      <c r="F787" s="7" t="s">
        <v>14</v>
      </c>
      <c r="G787" s="27" t="s">
        <v>14</v>
      </c>
      <c r="H787" s="27" t="s">
        <v>14</v>
      </c>
    </row>
    <row r="788" spans="2:8" x14ac:dyDescent="0.3">
      <c r="B788" s="11">
        <v>41340</v>
      </c>
      <c r="C788" s="29" t="str">
        <f t="shared" si="12"/>
        <v/>
      </c>
      <c r="D788" s="8">
        <v>0.5</v>
      </c>
      <c r="E788" s="28" t="s">
        <v>14</v>
      </c>
      <c r="F788" s="7" t="s">
        <v>14</v>
      </c>
      <c r="G788" s="27" t="s">
        <v>14</v>
      </c>
      <c r="H788" s="27" t="s">
        <v>14</v>
      </c>
    </row>
    <row r="789" spans="2:8" x14ac:dyDescent="0.3">
      <c r="B789" s="9">
        <v>41341</v>
      </c>
      <c r="C789" s="29" t="str">
        <f t="shared" si="12"/>
        <v/>
      </c>
      <c r="D789" s="8">
        <v>0.5</v>
      </c>
      <c r="E789" s="28" t="s">
        <v>14</v>
      </c>
      <c r="F789" s="7" t="s">
        <v>14</v>
      </c>
      <c r="G789" s="27" t="s">
        <v>14</v>
      </c>
      <c r="H789" s="27" t="s">
        <v>14</v>
      </c>
    </row>
    <row r="790" spans="2:8" x14ac:dyDescent="0.3">
      <c r="B790" s="11">
        <v>41344</v>
      </c>
      <c r="C790" s="29" t="str">
        <f t="shared" si="12"/>
        <v/>
      </c>
      <c r="D790" s="8">
        <v>0.5</v>
      </c>
      <c r="E790" s="28" t="s">
        <v>14</v>
      </c>
      <c r="F790" s="7" t="s">
        <v>14</v>
      </c>
      <c r="G790" s="27" t="s">
        <v>14</v>
      </c>
      <c r="H790" s="27" t="s">
        <v>14</v>
      </c>
    </row>
    <row r="791" spans="2:8" x14ac:dyDescent="0.3">
      <c r="B791" s="9">
        <v>41345</v>
      </c>
      <c r="C791" s="29" t="str">
        <f t="shared" si="12"/>
        <v/>
      </c>
      <c r="D791" s="8">
        <v>0.5</v>
      </c>
      <c r="E791" s="28" t="s">
        <v>14</v>
      </c>
      <c r="F791" s="7" t="s">
        <v>14</v>
      </c>
      <c r="G791" s="27" t="s">
        <v>14</v>
      </c>
      <c r="H791" s="27" t="s">
        <v>14</v>
      </c>
    </row>
    <row r="792" spans="2:8" x14ac:dyDescent="0.3">
      <c r="B792" s="11">
        <v>41346</v>
      </c>
      <c r="C792" s="29" t="str">
        <f t="shared" si="12"/>
        <v/>
      </c>
      <c r="D792" s="8">
        <v>0.5</v>
      </c>
      <c r="E792" s="28" t="s">
        <v>14</v>
      </c>
      <c r="F792" s="7" t="s">
        <v>14</v>
      </c>
      <c r="G792" s="27" t="s">
        <v>14</v>
      </c>
      <c r="H792" s="27" t="s">
        <v>14</v>
      </c>
    </row>
    <row r="793" spans="2:8" x14ac:dyDescent="0.3">
      <c r="B793" s="9">
        <v>41347</v>
      </c>
      <c r="C793" s="29" t="str">
        <f t="shared" si="12"/>
        <v/>
      </c>
      <c r="D793" s="8">
        <v>0.5</v>
      </c>
      <c r="E793" s="28" t="s">
        <v>14</v>
      </c>
      <c r="F793" s="7" t="s">
        <v>14</v>
      </c>
      <c r="G793" s="27" t="s">
        <v>14</v>
      </c>
      <c r="H793" s="27" t="s">
        <v>14</v>
      </c>
    </row>
    <row r="794" spans="2:8" x14ac:dyDescent="0.3">
      <c r="B794" s="11">
        <v>41348</v>
      </c>
      <c r="C794" s="29" t="str">
        <f t="shared" si="12"/>
        <v/>
      </c>
      <c r="D794" s="8">
        <v>0.5</v>
      </c>
      <c r="E794" s="28" t="s">
        <v>14</v>
      </c>
      <c r="F794" s="7" t="s">
        <v>14</v>
      </c>
      <c r="G794" s="27" t="s">
        <v>14</v>
      </c>
      <c r="H794" s="27" t="s">
        <v>14</v>
      </c>
    </row>
    <row r="795" spans="2:8" x14ac:dyDescent="0.3">
      <c r="B795" s="9">
        <v>41351</v>
      </c>
      <c r="C795" s="29" t="str">
        <f t="shared" si="12"/>
        <v/>
      </c>
      <c r="D795" s="8">
        <v>0.5</v>
      </c>
      <c r="E795" s="28" t="s">
        <v>14</v>
      </c>
      <c r="F795" s="7" t="s">
        <v>14</v>
      </c>
      <c r="G795" s="27" t="s">
        <v>14</v>
      </c>
      <c r="H795" s="27" t="s">
        <v>14</v>
      </c>
    </row>
    <row r="796" spans="2:8" x14ac:dyDescent="0.3">
      <c r="B796" s="11">
        <v>41352</v>
      </c>
      <c r="C796" s="29" t="str">
        <f t="shared" si="12"/>
        <v/>
      </c>
      <c r="D796" s="8">
        <v>0.5</v>
      </c>
      <c r="E796" s="28" t="s">
        <v>14</v>
      </c>
      <c r="F796" s="7" t="s">
        <v>14</v>
      </c>
      <c r="G796" s="27" t="s">
        <v>14</v>
      </c>
      <c r="H796" s="27" t="s">
        <v>14</v>
      </c>
    </row>
    <row r="797" spans="2:8" x14ac:dyDescent="0.3">
      <c r="B797" s="9">
        <v>41353</v>
      </c>
      <c r="C797" s="29" t="str">
        <f t="shared" si="12"/>
        <v/>
      </c>
      <c r="D797" s="8">
        <v>0.5</v>
      </c>
      <c r="E797" s="28" t="s">
        <v>14</v>
      </c>
      <c r="F797" s="7" t="s">
        <v>14</v>
      </c>
      <c r="G797" s="27" t="s">
        <v>14</v>
      </c>
      <c r="H797" s="27" t="s">
        <v>14</v>
      </c>
    </row>
    <row r="798" spans="2:8" x14ac:dyDescent="0.3">
      <c r="B798" s="11">
        <v>41354</v>
      </c>
      <c r="C798" s="29" t="str">
        <f t="shared" si="12"/>
        <v/>
      </c>
      <c r="D798" s="8">
        <v>0.5</v>
      </c>
      <c r="E798" s="28" t="s">
        <v>14</v>
      </c>
      <c r="F798" s="7" t="s">
        <v>14</v>
      </c>
      <c r="G798" s="27" t="s">
        <v>14</v>
      </c>
      <c r="H798" s="27" t="s">
        <v>14</v>
      </c>
    </row>
    <row r="799" spans="2:8" x14ac:dyDescent="0.3">
      <c r="B799" s="9">
        <v>41355</v>
      </c>
      <c r="C799" s="29" t="str">
        <f t="shared" si="12"/>
        <v/>
      </c>
      <c r="D799" s="8">
        <v>0.5</v>
      </c>
      <c r="E799" s="28" t="s">
        <v>14</v>
      </c>
      <c r="F799" s="7" t="s">
        <v>14</v>
      </c>
      <c r="G799" s="27" t="s">
        <v>14</v>
      </c>
      <c r="H799" s="27" t="s">
        <v>14</v>
      </c>
    </row>
    <row r="800" spans="2:8" x14ac:dyDescent="0.3">
      <c r="B800" s="11">
        <v>41358</v>
      </c>
      <c r="C800" s="29" t="str">
        <f t="shared" si="12"/>
        <v/>
      </c>
      <c r="D800" s="8">
        <v>0.5</v>
      </c>
      <c r="E800" s="28" t="s">
        <v>14</v>
      </c>
      <c r="F800" s="7" t="s">
        <v>14</v>
      </c>
      <c r="G800" s="27" t="s">
        <v>14</v>
      </c>
      <c r="H800" s="27" t="s">
        <v>14</v>
      </c>
    </row>
    <row r="801" spans="2:8" x14ac:dyDescent="0.3">
      <c r="B801" s="9">
        <v>41359</v>
      </c>
      <c r="C801" s="29" t="str">
        <f t="shared" si="12"/>
        <v/>
      </c>
      <c r="D801" s="8">
        <v>0.5</v>
      </c>
      <c r="E801" s="28" t="s">
        <v>14</v>
      </c>
      <c r="F801" s="7" t="s">
        <v>14</v>
      </c>
      <c r="G801" s="27" t="s">
        <v>14</v>
      </c>
      <c r="H801" s="27" t="s">
        <v>14</v>
      </c>
    </row>
    <row r="802" spans="2:8" x14ac:dyDescent="0.3">
      <c r="B802" s="11">
        <v>41360</v>
      </c>
      <c r="C802" s="29" t="str">
        <f t="shared" si="12"/>
        <v/>
      </c>
      <c r="D802" s="8">
        <v>0.5</v>
      </c>
      <c r="E802" s="28" t="s">
        <v>14</v>
      </c>
      <c r="F802" s="7" t="s">
        <v>14</v>
      </c>
      <c r="G802" s="27" t="s">
        <v>14</v>
      </c>
      <c r="H802" s="27" t="s">
        <v>14</v>
      </c>
    </row>
    <row r="803" spans="2:8" x14ac:dyDescent="0.3">
      <c r="B803" s="9">
        <v>41361</v>
      </c>
      <c r="C803" s="29">
        <f t="shared" si="12"/>
        <v>0</v>
      </c>
      <c r="D803" s="8">
        <v>0.5</v>
      </c>
      <c r="E803" s="28">
        <v>0.5</v>
      </c>
      <c r="F803" s="7">
        <v>0.5</v>
      </c>
    </row>
    <row r="804" spans="2:8" x14ac:dyDescent="0.3">
      <c r="B804" s="11">
        <v>41365</v>
      </c>
      <c r="C804" s="29" t="str">
        <f t="shared" si="12"/>
        <v/>
      </c>
      <c r="D804" s="8">
        <v>0.5</v>
      </c>
      <c r="E804" s="28" t="s">
        <v>14</v>
      </c>
      <c r="F804" s="7" t="s">
        <v>14</v>
      </c>
      <c r="G804" s="27" t="s">
        <v>14</v>
      </c>
      <c r="H804" s="27" t="s">
        <v>14</v>
      </c>
    </row>
    <row r="805" spans="2:8" x14ac:dyDescent="0.3">
      <c r="B805" s="9">
        <v>41366</v>
      </c>
      <c r="C805" s="29" t="str">
        <f t="shared" si="12"/>
        <v/>
      </c>
      <c r="D805" s="8">
        <v>0.5</v>
      </c>
      <c r="E805" s="28" t="s">
        <v>14</v>
      </c>
      <c r="F805" s="7" t="s">
        <v>14</v>
      </c>
      <c r="G805" s="27" t="s">
        <v>14</v>
      </c>
      <c r="H805" s="27" t="s">
        <v>14</v>
      </c>
    </row>
    <row r="806" spans="2:8" x14ac:dyDescent="0.3">
      <c r="B806" s="11">
        <v>41367</v>
      </c>
      <c r="C806" s="29" t="str">
        <f t="shared" si="12"/>
        <v/>
      </c>
      <c r="D806" s="8">
        <v>0.5</v>
      </c>
      <c r="E806" s="28" t="s">
        <v>14</v>
      </c>
      <c r="F806" s="7" t="s">
        <v>14</v>
      </c>
      <c r="G806" s="27" t="s">
        <v>14</v>
      </c>
      <c r="H806" s="27" t="s">
        <v>14</v>
      </c>
    </row>
    <row r="807" spans="2:8" x14ac:dyDescent="0.3">
      <c r="B807" s="9">
        <v>41368</v>
      </c>
      <c r="C807" s="29" t="str">
        <f t="shared" si="12"/>
        <v/>
      </c>
      <c r="D807" s="8">
        <v>0.5</v>
      </c>
      <c r="E807" s="28" t="s">
        <v>14</v>
      </c>
      <c r="F807" s="7" t="s">
        <v>14</v>
      </c>
      <c r="G807" s="27" t="s">
        <v>14</v>
      </c>
      <c r="H807" s="27" t="s">
        <v>14</v>
      </c>
    </row>
    <row r="808" spans="2:8" x14ac:dyDescent="0.3">
      <c r="B808" s="11">
        <v>41369</v>
      </c>
      <c r="C808" s="29" t="str">
        <f t="shared" si="12"/>
        <v/>
      </c>
      <c r="D808" s="8">
        <v>0.5</v>
      </c>
      <c r="E808" s="28" t="s">
        <v>14</v>
      </c>
      <c r="F808" s="7" t="s">
        <v>14</v>
      </c>
      <c r="G808" s="27" t="s">
        <v>14</v>
      </c>
      <c r="H808" s="27" t="s">
        <v>14</v>
      </c>
    </row>
    <row r="809" spans="2:8" x14ac:dyDescent="0.3">
      <c r="B809" s="9">
        <v>41372</v>
      </c>
      <c r="C809" s="29" t="str">
        <f t="shared" si="12"/>
        <v/>
      </c>
      <c r="D809" s="8">
        <v>0.5</v>
      </c>
      <c r="E809" s="28" t="s">
        <v>14</v>
      </c>
      <c r="F809" s="7" t="s">
        <v>14</v>
      </c>
      <c r="G809" s="27" t="s">
        <v>14</v>
      </c>
      <c r="H809" s="27" t="s">
        <v>14</v>
      </c>
    </row>
    <row r="810" spans="2:8" x14ac:dyDescent="0.3">
      <c r="B810" s="11">
        <v>41373</v>
      </c>
      <c r="C810" s="29" t="str">
        <f t="shared" si="12"/>
        <v/>
      </c>
      <c r="D810" s="8">
        <v>0.5</v>
      </c>
      <c r="E810" s="28" t="s">
        <v>14</v>
      </c>
      <c r="F810" s="7" t="s">
        <v>14</v>
      </c>
      <c r="G810" s="27" t="s">
        <v>14</v>
      </c>
      <c r="H810" s="27" t="s">
        <v>14</v>
      </c>
    </row>
    <row r="811" spans="2:8" x14ac:dyDescent="0.3">
      <c r="B811" s="9">
        <v>41374</v>
      </c>
      <c r="C811" s="29" t="str">
        <f t="shared" si="12"/>
        <v/>
      </c>
      <c r="D811" s="8">
        <v>0.5</v>
      </c>
      <c r="E811" s="28" t="s">
        <v>14</v>
      </c>
      <c r="F811" s="7" t="s">
        <v>14</v>
      </c>
      <c r="G811" s="27" t="s">
        <v>14</v>
      </c>
      <c r="H811" s="27" t="s">
        <v>14</v>
      </c>
    </row>
    <row r="812" spans="2:8" x14ac:dyDescent="0.3">
      <c r="B812" s="11">
        <v>41375</v>
      </c>
      <c r="C812" s="29" t="str">
        <f t="shared" si="12"/>
        <v/>
      </c>
      <c r="D812" s="8">
        <v>0.5</v>
      </c>
      <c r="E812" s="28" t="s">
        <v>14</v>
      </c>
      <c r="F812" s="7" t="s">
        <v>14</v>
      </c>
      <c r="G812" s="27" t="s">
        <v>14</v>
      </c>
      <c r="H812" s="27" t="s">
        <v>14</v>
      </c>
    </row>
    <row r="813" spans="2:8" x14ac:dyDescent="0.3">
      <c r="B813" s="9">
        <v>41376</v>
      </c>
      <c r="C813" s="29" t="str">
        <f t="shared" si="12"/>
        <v/>
      </c>
      <c r="D813" s="8">
        <v>0.5</v>
      </c>
      <c r="E813" s="28" t="s">
        <v>14</v>
      </c>
      <c r="F813" s="7" t="s">
        <v>14</v>
      </c>
      <c r="G813" s="27" t="s">
        <v>14</v>
      </c>
      <c r="H813" s="27" t="s">
        <v>14</v>
      </c>
    </row>
    <row r="814" spans="2:8" x14ac:dyDescent="0.3">
      <c r="B814" s="11">
        <v>41379</v>
      </c>
      <c r="C814" s="29" t="str">
        <f t="shared" si="12"/>
        <v/>
      </c>
      <c r="D814" s="8">
        <v>0.5</v>
      </c>
      <c r="E814" s="28" t="s">
        <v>14</v>
      </c>
      <c r="F814" s="7" t="s">
        <v>14</v>
      </c>
      <c r="G814" s="27" t="s">
        <v>14</v>
      </c>
      <c r="H814" s="27" t="s">
        <v>14</v>
      </c>
    </row>
    <row r="815" spans="2:8" x14ac:dyDescent="0.3">
      <c r="B815" s="9">
        <v>41380</v>
      </c>
      <c r="C815" s="29" t="str">
        <f t="shared" si="12"/>
        <v/>
      </c>
      <c r="D815" s="8">
        <v>0.5</v>
      </c>
      <c r="E815" s="28" t="s">
        <v>14</v>
      </c>
      <c r="F815" s="7" t="s">
        <v>14</v>
      </c>
      <c r="G815" s="27" t="s">
        <v>14</v>
      </c>
      <c r="H815" s="27" t="s">
        <v>14</v>
      </c>
    </row>
    <row r="816" spans="2:8" x14ac:dyDescent="0.3">
      <c r="B816" s="11">
        <v>41381</v>
      </c>
      <c r="C816" s="29" t="str">
        <f t="shared" si="12"/>
        <v/>
      </c>
      <c r="D816" s="8">
        <v>0.5</v>
      </c>
      <c r="E816" s="28" t="s">
        <v>14</v>
      </c>
      <c r="F816" s="7" t="s">
        <v>14</v>
      </c>
      <c r="G816" s="27" t="s">
        <v>14</v>
      </c>
      <c r="H816" s="27" t="s">
        <v>14</v>
      </c>
    </row>
    <row r="817" spans="2:8" x14ac:dyDescent="0.3">
      <c r="B817" s="9">
        <v>41382</v>
      </c>
      <c r="C817" s="29" t="str">
        <f t="shared" si="12"/>
        <v/>
      </c>
      <c r="D817" s="8">
        <v>0.5</v>
      </c>
      <c r="E817" s="28" t="s">
        <v>14</v>
      </c>
      <c r="F817" s="7" t="s">
        <v>14</v>
      </c>
      <c r="G817" s="27" t="s">
        <v>14</v>
      </c>
      <c r="H817" s="27" t="s">
        <v>14</v>
      </c>
    </row>
    <row r="818" spans="2:8" x14ac:dyDescent="0.3">
      <c r="B818" s="11">
        <v>41383</v>
      </c>
      <c r="C818" s="29" t="str">
        <f t="shared" si="12"/>
        <v/>
      </c>
      <c r="D818" s="8">
        <v>0.5</v>
      </c>
      <c r="E818" s="28" t="s">
        <v>14</v>
      </c>
      <c r="F818" s="7" t="s">
        <v>14</v>
      </c>
      <c r="G818" s="27" t="s">
        <v>14</v>
      </c>
      <c r="H818" s="27" t="s">
        <v>14</v>
      </c>
    </row>
    <row r="819" spans="2:8" x14ac:dyDescent="0.3">
      <c r="B819" s="9">
        <v>41386</v>
      </c>
      <c r="C819" s="29" t="str">
        <f t="shared" si="12"/>
        <v/>
      </c>
      <c r="D819" s="8">
        <v>0.5</v>
      </c>
      <c r="E819" s="28" t="s">
        <v>14</v>
      </c>
      <c r="F819" s="7" t="s">
        <v>14</v>
      </c>
      <c r="G819" s="27" t="s">
        <v>14</v>
      </c>
      <c r="H819" s="27" t="s">
        <v>14</v>
      </c>
    </row>
    <row r="820" spans="2:8" x14ac:dyDescent="0.3">
      <c r="B820" s="11">
        <v>41387</v>
      </c>
      <c r="C820" s="29" t="str">
        <f t="shared" si="12"/>
        <v/>
      </c>
      <c r="D820" s="8">
        <v>0.5</v>
      </c>
      <c r="E820" s="28" t="s">
        <v>14</v>
      </c>
      <c r="F820" s="7" t="s">
        <v>14</v>
      </c>
      <c r="G820" s="27" t="s">
        <v>14</v>
      </c>
      <c r="H820" s="27" t="s">
        <v>14</v>
      </c>
    </row>
    <row r="821" spans="2:8" x14ac:dyDescent="0.3">
      <c r="B821" s="9">
        <v>41388</v>
      </c>
      <c r="C821" s="29" t="str">
        <f t="shared" si="12"/>
        <v/>
      </c>
      <c r="D821" s="8">
        <v>0.5</v>
      </c>
      <c r="E821" s="28" t="s">
        <v>14</v>
      </c>
      <c r="F821" s="7" t="s">
        <v>14</v>
      </c>
      <c r="G821" s="27" t="s">
        <v>14</v>
      </c>
      <c r="H821" s="27" t="s">
        <v>14</v>
      </c>
    </row>
    <row r="822" spans="2:8" x14ac:dyDescent="0.3">
      <c r="B822" s="11">
        <v>41389</v>
      </c>
      <c r="C822" s="29" t="str">
        <f t="shared" si="12"/>
        <v/>
      </c>
      <c r="D822" s="8">
        <v>0.5</v>
      </c>
      <c r="E822" s="28" t="s">
        <v>14</v>
      </c>
      <c r="F822" s="7" t="s">
        <v>14</v>
      </c>
      <c r="G822" s="27" t="s">
        <v>14</v>
      </c>
      <c r="H822" s="27" t="s">
        <v>14</v>
      </c>
    </row>
    <row r="823" spans="2:8" x14ac:dyDescent="0.3">
      <c r="B823" s="9">
        <v>41390</v>
      </c>
      <c r="C823" s="29" t="str">
        <f t="shared" si="12"/>
        <v/>
      </c>
      <c r="D823" s="8">
        <v>0.5</v>
      </c>
      <c r="E823" s="28" t="s">
        <v>14</v>
      </c>
      <c r="F823" s="7" t="s">
        <v>14</v>
      </c>
      <c r="G823" s="27" t="s">
        <v>14</v>
      </c>
      <c r="H823" s="27" t="s">
        <v>14</v>
      </c>
    </row>
    <row r="824" spans="2:8" x14ac:dyDescent="0.3">
      <c r="B824" s="11">
        <v>41393</v>
      </c>
      <c r="C824" s="29" t="str">
        <f t="shared" si="12"/>
        <v/>
      </c>
      <c r="D824" s="8">
        <v>0.5</v>
      </c>
      <c r="E824" s="28" t="s">
        <v>14</v>
      </c>
      <c r="F824" s="7" t="s">
        <v>14</v>
      </c>
      <c r="G824" s="27" t="s">
        <v>14</v>
      </c>
      <c r="H824" s="27" t="s">
        <v>14</v>
      </c>
    </row>
    <row r="825" spans="2:8" x14ac:dyDescent="0.3">
      <c r="B825" s="9">
        <v>41394</v>
      </c>
      <c r="C825" s="29" t="str">
        <f t="shared" si="12"/>
        <v/>
      </c>
      <c r="D825" s="8">
        <v>0.5</v>
      </c>
      <c r="E825" s="28">
        <v>0.5</v>
      </c>
      <c r="F825" s="7" t="s">
        <v>14</v>
      </c>
      <c r="G825" s="27" t="s">
        <v>14</v>
      </c>
      <c r="H825" s="27" t="s">
        <v>14</v>
      </c>
    </row>
    <row r="826" spans="2:8" x14ac:dyDescent="0.3">
      <c r="B826" s="11">
        <v>41396</v>
      </c>
      <c r="C826" s="29" t="str">
        <f t="shared" si="12"/>
        <v/>
      </c>
      <c r="D826" s="8">
        <v>0.5</v>
      </c>
      <c r="E826" s="28" t="s">
        <v>14</v>
      </c>
      <c r="F826" s="7" t="s">
        <v>14</v>
      </c>
      <c r="G826" s="27" t="s">
        <v>14</v>
      </c>
      <c r="H826" s="27" t="s">
        <v>14</v>
      </c>
    </row>
    <row r="827" spans="2:8" x14ac:dyDescent="0.3">
      <c r="B827" s="9">
        <v>41397</v>
      </c>
      <c r="C827" s="29" t="str">
        <f t="shared" si="12"/>
        <v/>
      </c>
      <c r="D827" s="8">
        <v>0.5</v>
      </c>
      <c r="E827" s="28" t="s">
        <v>14</v>
      </c>
      <c r="F827" s="7" t="s">
        <v>14</v>
      </c>
      <c r="G827" s="27" t="s">
        <v>14</v>
      </c>
      <c r="H827" s="27" t="s">
        <v>14</v>
      </c>
    </row>
    <row r="828" spans="2:8" x14ac:dyDescent="0.3">
      <c r="B828" s="11">
        <v>41400</v>
      </c>
      <c r="C828" s="29" t="str">
        <f t="shared" si="12"/>
        <v/>
      </c>
      <c r="D828" s="8">
        <v>0.5</v>
      </c>
      <c r="E828" s="28" t="s">
        <v>14</v>
      </c>
      <c r="F828" s="7" t="s">
        <v>14</v>
      </c>
      <c r="G828" s="27" t="s">
        <v>14</v>
      </c>
      <c r="H828" s="27" t="s">
        <v>14</v>
      </c>
    </row>
    <row r="829" spans="2:8" x14ac:dyDescent="0.3">
      <c r="B829" s="9">
        <v>41401</v>
      </c>
      <c r="C829" s="29" t="str">
        <f t="shared" si="12"/>
        <v/>
      </c>
      <c r="D829" s="8">
        <v>0.5</v>
      </c>
      <c r="E829" s="28" t="s">
        <v>14</v>
      </c>
      <c r="F829" s="7" t="s">
        <v>14</v>
      </c>
      <c r="G829" s="27" t="s">
        <v>14</v>
      </c>
      <c r="H829" s="27" t="s">
        <v>14</v>
      </c>
    </row>
    <row r="830" spans="2:8" x14ac:dyDescent="0.3">
      <c r="B830" s="11">
        <v>41402</v>
      </c>
      <c r="C830" s="29" t="str">
        <f t="shared" si="12"/>
        <v/>
      </c>
      <c r="D830" s="8">
        <v>0.5</v>
      </c>
      <c r="E830" s="28" t="s">
        <v>14</v>
      </c>
      <c r="F830" s="7" t="s">
        <v>14</v>
      </c>
      <c r="G830" s="27" t="s">
        <v>14</v>
      </c>
      <c r="H830" s="27" t="s">
        <v>14</v>
      </c>
    </row>
    <row r="831" spans="2:8" x14ac:dyDescent="0.3">
      <c r="B831" s="9">
        <v>41403</v>
      </c>
      <c r="C831" s="29" t="str">
        <f t="shared" si="12"/>
        <v/>
      </c>
      <c r="D831" s="8">
        <v>0.5</v>
      </c>
      <c r="E831" s="28" t="s">
        <v>14</v>
      </c>
      <c r="F831" s="7" t="s">
        <v>14</v>
      </c>
      <c r="G831" s="27" t="s">
        <v>14</v>
      </c>
      <c r="H831" s="27" t="s">
        <v>14</v>
      </c>
    </row>
    <row r="832" spans="2:8" x14ac:dyDescent="0.3">
      <c r="B832" s="11">
        <v>41404</v>
      </c>
      <c r="C832" s="29" t="str">
        <f t="shared" si="12"/>
        <v/>
      </c>
      <c r="D832" s="8">
        <v>0.5</v>
      </c>
      <c r="E832" s="28" t="s">
        <v>14</v>
      </c>
      <c r="F832" s="7" t="s">
        <v>14</v>
      </c>
      <c r="G832" s="27" t="s">
        <v>14</v>
      </c>
      <c r="H832" s="27" t="s">
        <v>14</v>
      </c>
    </row>
    <row r="833" spans="2:8" x14ac:dyDescent="0.3">
      <c r="B833" s="9">
        <v>41407</v>
      </c>
      <c r="C833" s="29" t="str">
        <f t="shared" si="12"/>
        <v/>
      </c>
      <c r="D833" s="8">
        <v>0.5</v>
      </c>
      <c r="E833" s="28" t="s">
        <v>14</v>
      </c>
      <c r="F833" s="7" t="s">
        <v>14</v>
      </c>
      <c r="G833" s="27" t="s">
        <v>14</v>
      </c>
      <c r="H833" s="27" t="s">
        <v>14</v>
      </c>
    </row>
    <row r="834" spans="2:8" x14ac:dyDescent="0.3">
      <c r="B834" s="11">
        <v>41408</v>
      </c>
      <c r="C834" s="29" t="str">
        <f t="shared" si="12"/>
        <v/>
      </c>
      <c r="D834" s="8">
        <v>0.5</v>
      </c>
      <c r="E834" s="28" t="s">
        <v>14</v>
      </c>
      <c r="F834" s="7" t="s">
        <v>14</v>
      </c>
      <c r="G834" s="27" t="s">
        <v>14</v>
      </c>
      <c r="H834" s="27" t="s">
        <v>14</v>
      </c>
    </row>
    <row r="835" spans="2:8" x14ac:dyDescent="0.3">
      <c r="B835" s="9">
        <v>41409</v>
      </c>
      <c r="C835" s="29" t="str">
        <f t="shared" ref="C835:C898" si="13">INDEX(D835:H835,MATCH($A$1,$D$1:$H$1,0))</f>
        <v/>
      </c>
      <c r="D835" s="8">
        <v>0.5</v>
      </c>
      <c r="E835" s="28" t="s">
        <v>14</v>
      </c>
      <c r="F835" s="7" t="s">
        <v>14</v>
      </c>
      <c r="G835" s="27" t="s">
        <v>14</v>
      </c>
      <c r="H835" s="27" t="s">
        <v>14</v>
      </c>
    </row>
    <row r="836" spans="2:8" x14ac:dyDescent="0.3">
      <c r="B836" s="11">
        <v>41410</v>
      </c>
      <c r="C836" s="29" t="str">
        <f t="shared" si="13"/>
        <v/>
      </c>
      <c r="D836" s="8">
        <v>0.5</v>
      </c>
      <c r="E836" s="28" t="s">
        <v>14</v>
      </c>
      <c r="F836" s="7" t="s">
        <v>14</v>
      </c>
      <c r="G836" s="27" t="s">
        <v>14</v>
      </c>
      <c r="H836" s="27" t="s">
        <v>14</v>
      </c>
    </row>
    <row r="837" spans="2:8" x14ac:dyDescent="0.3">
      <c r="B837" s="9">
        <v>41411</v>
      </c>
      <c r="C837" s="29" t="str">
        <f t="shared" si="13"/>
        <v/>
      </c>
      <c r="D837" s="8">
        <v>0.5</v>
      </c>
      <c r="E837" s="28" t="s">
        <v>14</v>
      </c>
      <c r="F837" s="7" t="s">
        <v>14</v>
      </c>
      <c r="G837" s="27" t="s">
        <v>14</v>
      </c>
      <c r="H837" s="27" t="s">
        <v>14</v>
      </c>
    </row>
    <row r="838" spans="2:8" x14ac:dyDescent="0.3">
      <c r="B838" s="11">
        <v>41414</v>
      </c>
      <c r="C838" s="29" t="str">
        <f t="shared" si="13"/>
        <v/>
      </c>
      <c r="D838" s="8">
        <v>0.5</v>
      </c>
      <c r="E838" s="28" t="s">
        <v>14</v>
      </c>
      <c r="F838" s="7" t="s">
        <v>14</v>
      </c>
      <c r="G838" s="27" t="s">
        <v>14</v>
      </c>
      <c r="H838" s="27" t="s">
        <v>14</v>
      </c>
    </row>
    <row r="839" spans="2:8" x14ac:dyDescent="0.3">
      <c r="B839" s="9">
        <v>41415</v>
      </c>
      <c r="C839" s="29" t="str">
        <f t="shared" si="13"/>
        <v/>
      </c>
      <c r="D839" s="8">
        <v>0.5</v>
      </c>
      <c r="E839" s="28" t="s">
        <v>14</v>
      </c>
      <c r="F839" s="7" t="s">
        <v>14</v>
      </c>
      <c r="G839" s="27" t="s">
        <v>14</v>
      </c>
      <c r="H839" s="27" t="s">
        <v>14</v>
      </c>
    </row>
    <row r="840" spans="2:8" x14ac:dyDescent="0.3">
      <c r="B840" s="11">
        <v>41416</v>
      </c>
      <c r="C840" s="29" t="str">
        <f t="shared" si="13"/>
        <v/>
      </c>
      <c r="D840" s="8">
        <v>0.5</v>
      </c>
      <c r="E840" s="28" t="s">
        <v>14</v>
      </c>
      <c r="F840" s="7" t="s">
        <v>14</v>
      </c>
      <c r="G840" s="27" t="s">
        <v>14</v>
      </c>
      <c r="H840" s="27" t="s">
        <v>14</v>
      </c>
    </row>
    <row r="841" spans="2:8" x14ac:dyDescent="0.3">
      <c r="B841" s="9">
        <v>41417</v>
      </c>
      <c r="C841" s="29" t="str">
        <f t="shared" si="13"/>
        <v/>
      </c>
      <c r="D841" s="8">
        <v>0.5</v>
      </c>
      <c r="E841" s="28" t="s">
        <v>14</v>
      </c>
      <c r="F841" s="7" t="s">
        <v>14</v>
      </c>
      <c r="G841" s="27" t="s">
        <v>14</v>
      </c>
      <c r="H841" s="27" t="s">
        <v>14</v>
      </c>
    </row>
    <row r="842" spans="2:8" x14ac:dyDescent="0.3">
      <c r="B842" s="11">
        <v>41418</v>
      </c>
      <c r="C842" s="29" t="str">
        <f t="shared" si="13"/>
        <v/>
      </c>
      <c r="D842" s="8">
        <v>0.5</v>
      </c>
      <c r="E842" s="28" t="s">
        <v>14</v>
      </c>
      <c r="F842" s="7" t="s">
        <v>14</v>
      </c>
      <c r="G842" s="27" t="s">
        <v>14</v>
      </c>
      <c r="H842" s="27" t="s">
        <v>14</v>
      </c>
    </row>
    <row r="843" spans="2:8" x14ac:dyDescent="0.3">
      <c r="B843" s="9">
        <v>41421</v>
      </c>
      <c r="C843" s="29" t="str">
        <f t="shared" si="13"/>
        <v/>
      </c>
      <c r="D843" s="8">
        <v>0.5</v>
      </c>
      <c r="E843" s="28" t="s">
        <v>14</v>
      </c>
      <c r="F843" s="7" t="s">
        <v>14</v>
      </c>
      <c r="G843" s="27" t="s">
        <v>14</v>
      </c>
      <c r="H843" s="27" t="s">
        <v>14</v>
      </c>
    </row>
    <row r="844" spans="2:8" x14ac:dyDescent="0.3">
      <c r="B844" s="11">
        <v>41422</v>
      </c>
      <c r="C844" s="29" t="str">
        <f t="shared" si="13"/>
        <v/>
      </c>
      <c r="D844" s="8">
        <v>0.5</v>
      </c>
      <c r="E844" s="28" t="s">
        <v>14</v>
      </c>
      <c r="F844" s="7" t="s">
        <v>14</v>
      </c>
      <c r="G844" s="27" t="s">
        <v>14</v>
      </c>
      <c r="H844" s="27" t="s">
        <v>14</v>
      </c>
    </row>
    <row r="845" spans="2:8" x14ac:dyDescent="0.3">
      <c r="B845" s="9">
        <v>41423</v>
      </c>
      <c r="C845" s="29" t="str">
        <f t="shared" si="13"/>
        <v/>
      </c>
      <c r="D845" s="8">
        <v>0.5</v>
      </c>
      <c r="E845" s="28" t="s">
        <v>14</v>
      </c>
      <c r="F845" s="7" t="s">
        <v>14</v>
      </c>
      <c r="G845" s="27" t="s">
        <v>14</v>
      </c>
      <c r="H845" s="27" t="s">
        <v>14</v>
      </c>
    </row>
    <row r="846" spans="2:8" x14ac:dyDescent="0.3">
      <c r="B846" s="11">
        <v>41425</v>
      </c>
      <c r="C846" s="29" t="str">
        <f t="shared" si="13"/>
        <v/>
      </c>
      <c r="D846" s="8">
        <v>0.5</v>
      </c>
      <c r="E846" s="28">
        <v>0.5</v>
      </c>
      <c r="F846" s="7" t="s">
        <v>14</v>
      </c>
      <c r="G846" s="27" t="s">
        <v>14</v>
      </c>
      <c r="H846" s="27" t="s">
        <v>14</v>
      </c>
    </row>
    <row r="847" spans="2:8" x14ac:dyDescent="0.3">
      <c r="B847" s="9">
        <v>41428</v>
      </c>
      <c r="C847" s="29" t="str">
        <f t="shared" si="13"/>
        <v/>
      </c>
      <c r="D847" s="8">
        <v>0.5</v>
      </c>
      <c r="E847" s="28" t="s">
        <v>14</v>
      </c>
      <c r="F847" s="7" t="s">
        <v>14</v>
      </c>
      <c r="G847" s="27" t="s">
        <v>14</v>
      </c>
      <c r="H847" s="27" t="s">
        <v>14</v>
      </c>
    </row>
    <row r="848" spans="2:8" x14ac:dyDescent="0.3">
      <c r="B848" s="11">
        <v>41429</v>
      </c>
      <c r="C848" s="29" t="str">
        <f t="shared" si="13"/>
        <v/>
      </c>
      <c r="D848" s="8">
        <v>0.5</v>
      </c>
      <c r="E848" s="28" t="s">
        <v>14</v>
      </c>
      <c r="F848" s="7" t="s">
        <v>14</v>
      </c>
      <c r="G848" s="27" t="s">
        <v>14</v>
      </c>
      <c r="H848" s="27" t="s">
        <v>14</v>
      </c>
    </row>
    <row r="849" spans="2:8" x14ac:dyDescent="0.3">
      <c r="B849" s="9">
        <v>41430</v>
      </c>
      <c r="C849" s="29" t="str">
        <f t="shared" si="13"/>
        <v/>
      </c>
      <c r="D849" s="8">
        <v>0.5</v>
      </c>
      <c r="E849" s="28" t="s">
        <v>14</v>
      </c>
      <c r="F849" s="7" t="s">
        <v>14</v>
      </c>
      <c r="G849" s="27" t="s">
        <v>14</v>
      </c>
      <c r="H849" s="27" t="s">
        <v>14</v>
      </c>
    </row>
    <row r="850" spans="2:8" x14ac:dyDescent="0.3">
      <c r="B850" s="11">
        <v>41431</v>
      </c>
      <c r="C850" s="29" t="str">
        <f t="shared" si="13"/>
        <v/>
      </c>
      <c r="D850" s="8">
        <v>0.5</v>
      </c>
      <c r="E850" s="28" t="s">
        <v>14</v>
      </c>
      <c r="F850" s="7" t="s">
        <v>14</v>
      </c>
      <c r="G850" s="27" t="s">
        <v>14</v>
      </c>
      <c r="H850" s="27" t="s">
        <v>14</v>
      </c>
    </row>
    <row r="851" spans="2:8" x14ac:dyDescent="0.3">
      <c r="B851" s="9">
        <v>41432</v>
      </c>
      <c r="C851" s="29" t="str">
        <f t="shared" si="13"/>
        <v/>
      </c>
      <c r="D851" s="8">
        <v>0.5</v>
      </c>
      <c r="E851" s="28" t="s">
        <v>14</v>
      </c>
      <c r="F851" s="7" t="s">
        <v>14</v>
      </c>
      <c r="G851" s="27" t="s">
        <v>14</v>
      </c>
      <c r="H851" s="27" t="s">
        <v>14</v>
      </c>
    </row>
    <row r="852" spans="2:8" x14ac:dyDescent="0.3">
      <c r="B852" s="11">
        <v>41435</v>
      </c>
      <c r="C852" s="29" t="str">
        <f t="shared" si="13"/>
        <v/>
      </c>
      <c r="D852" s="8">
        <v>0.5</v>
      </c>
      <c r="E852" s="28" t="s">
        <v>14</v>
      </c>
      <c r="F852" s="7" t="s">
        <v>14</v>
      </c>
      <c r="G852" s="27" t="s">
        <v>14</v>
      </c>
      <c r="H852" s="27" t="s">
        <v>14</v>
      </c>
    </row>
    <row r="853" spans="2:8" x14ac:dyDescent="0.3">
      <c r="B853" s="9">
        <v>41436</v>
      </c>
      <c r="C853" s="29" t="str">
        <f t="shared" si="13"/>
        <v/>
      </c>
      <c r="D853" s="8">
        <v>0.5</v>
      </c>
      <c r="E853" s="28" t="s">
        <v>14</v>
      </c>
      <c r="F853" s="7" t="s">
        <v>14</v>
      </c>
      <c r="G853" s="27" t="s">
        <v>14</v>
      </c>
      <c r="H853" s="27" t="s">
        <v>14</v>
      </c>
    </row>
    <row r="854" spans="2:8" x14ac:dyDescent="0.3">
      <c r="B854" s="11">
        <v>41437</v>
      </c>
      <c r="C854" s="29" t="str">
        <f t="shared" si="13"/>
        <v/>
      </c>
      <c r="D854" s="8">
        <v>0.5</v>
      </c>
      <c r="E854" s="28" t="s">
        <v>14</v>
      </c>
      <c r="F854" s="7" t="s">
        <v>14</v>
      </c>
      <c r="G854" s="27" t="s">
        <v>14</v>
      </c>
      <c r="H854" s="27" t="s">
        <v>14</v>
      </c>
    </row>
    <row r="855" spans="2:8" x14ac:dyDescent="0.3">
      <c r="B855" s="9">
        <v>41438</v>
      </c>
      <c r="C855" s="29" t="str">
        <f t="shared" si="13"/>
        <v/>
      </c>
      <c r="D855" s="8">
        <v>0.5</v>
      </c>
      <c r="E855" s="28" t="s">
        <v>14</v>
      </c>
      <c r="F855" s="7" t="s">
        <v>14</v>
      </c>
      <c r="G855" s="27" t="s">
        <v>14</v>
      </c>
      <c r="H855" s="27" t="s">
        <v>14</v>
      </c>
    </row>
    <row r="856" spans="2:8" x14ac:dyDescent="0.3">
      <c r="B856" s="11">
        <v>41439</v>
      </c>
      <c r="C856" s="29" t="str">
        <f t="shared" si="13"/>
        <v/>
      </c>
      <c r="D856" s="8">
        <v>0.5</v>
      </c>
      <c r="E856" s="28" t="s">
        <v>14</v>
      </c>
      <c r="F856" s="7" t="s">
        <v>14</v>
      </c>
      <c r="G856" s="27" t="s">
        <v>14</v>
      </c>
      <c r="H856" s="27" t="s">
        <v>14</v>
      </c>
    </row>
    <row r="857" spans="2:8" x14ac:dyDescent="0.3">
      <c r="B857" s="9">
        <v>41442</v>
      </c>
      <c r="C857" s="29" t="str">
        <f t="shared" si="13"/>
        <v/>
      </c>
      <c r="D857" s="8">
        <v>0.5</v>
      </c>
      <c r="E857" s="28" t="s">
        <v>14</v>
      </c>
      <c r="F857" s="7" t="s">
        <v>14</v>
      </c>
      <c r="G857" s="27" t="s">
        <v>14</v>
      </c>
      <c r="H857" s="27" t="s">
        <v>14</v>
      </c>
    </row>
    <row r="858" spans="2:8" x14ac:dyDescent="0.3">
      <c r="B858" s="11">
        <v>41443</v>
      </c>
      <c r="C858" s="29" t="str">
        <f t="shared" si="13"/>
        <v/>
      </c>
      <c r="D858" s="8">
        <v>0.5</v>
      </c>
      <c r="E858" s="28" t="s">
        <v>14</v>
      </c>
      <c r="F858" s="7" t="s">
        <v>14</v>
      </c>
      <c r="G858" s="27" t="s">
        <v>14</v>
      </c>
      <c r="H858" s="27" t="s">
        <v>14</v>
      </c>
    </row>
    <row r="859" spans="2:8" x14ac:dyDescent="0.3">
      <c r="B859" s="9">
        <v>41444</v>
      </c>
      <c r="C859" s="29" t="str">
        <f t="shared" si="13"/>
        <v/>
      </c>
      <c r="D859" s="8">
        <v>0.5</v>
      </c>
      <c r="E859" s="28" t="s">
        <v>14</v>
      </c>
      <c r="F859" s="7" t="s">
        <v>14</v>
      </c>
      <c r="G859" s="27" t="s">
        <v>14</v>
      </c>
      <c r="H859" s="27" t="s">
        <v>14</v>
      </c>
    </row>
    <row r="860" spans="2:8" x14ac:dyDescent="0.3">
      <c r="B860" s="11">
        <v>41445</v>
      </c>
      <c r="C860" s="29" t="str">
        <f t="shared" si="13"/>
        <v/>
      </c>
      <c r="D860" s="8">
        <v>0.5</v>
      </c>
      <c r="E860" s="28" t="s">
        <v>14</v>
      </c>
      <c r="F860" s="7" t="s">
        <v>14</v>
      </c>
      <c r="G860" s="27" t="s">
        <v>14</v>
      </c>
      <c r="H860" s="27" t="s">
        <v>14</v>
      </c>
    </row>
    <row r="861" spans="2:8" x14ac:dyDescent="0.3">
      <c r="B861" s="9">
        <v>41446</v>
      </c>
      <c r="C861" s="29" t="str">
        <f t="shared" si="13"/>
        <v/>
      </c>
      <c r="D861" s="8">
        <v>0.5</v>
      </c>
      <c r="E861" s="28" t="s">
        <v>14</v>
      </c>
      <c r="F861" s="7" t="s">
        <v>14</v>
      </c>
      <c r="G861" s="27" t="s">
        <v>14</v>
      </c>
      <c r="H861" s="27" t="s">
        <v>14</v>
      </c>
    </row>
    <row r="862" spans="2:8" x14ac:dyDescent="0.3">
      <c r="B862" s="11">
        <v>41449</v>
      </c>
      <c r="C862" s="29" t="str">
        <f t="shared" si="13"/>
        <v/>
      </c>
      <c r="D862" s="8">
        <v>0.5</v>
      </c>
      <c r="E862" s="28" t="s">
        <v>14</v>
      </c>
      <c r="F862" s="7" t="s">
        <v>14</v>
      </c>
      <c r="G862" s="27" t="s">
        <v>14</v>
      </c>
      <c r="H862" s="27" t="s">
        <v>14</v>
      </c>
    </row>
    <row r="863" spans="2:8" x14ac:dyDescent="0.3">
      <c r="B863" s="9">
        <v>41450</v>
      </c>
      <c r="C863" s="29" t="str">
        <f t="shared" si="13"/>
        <v/>
      </c>
      <c r="D863" s="8">
        <v>0.5</v>
      </c>
      <c r="E863" s="28" t="s">
        <v>14</v>
      </c>
      <c r="F863" s="7" t="s">
        <v>14</v>
      </c>
      <c r="G863" s="27" t="s">
        <v>14</v>
      </c>
      <c r="H863" s="27" t="s">
        <v>14</v>
      </c>
    </row>
    <row r="864" spans="2:8" x14ac:dyDescent="0.3">
      <c r="B864" s="11">
        <v>41451</v>
      </c>
      <c r="C864" s="29" t="str">
        <f t="shared" si="13"/>
        <v/>
      </c>
      <c r="D864" s="8">
        <v>0.5</v>
      </c>
      <c r="E864" s="28" t="s">
        <v>14</v>
      </c>
      <c r="F864" s="7" t="s">
        <v>14</v>
      </c>
      <c r="G864" s="27" t="s">
        <v>14</v>
      </c>
      <c r="H864" s="27" t="s">
        <v>14</v>
      </c>
    </row>
    <row r="865" spans="2:8" x14ac:dyDescent="0.3">
      <c r="B865" s="9">
        <v>41452</v>
      </c>
      <c r="C865" s="29" t="str">
        <f t="shared" si="13"/>
        <v/>
      </c>
      <c r="D865" s="8">
        <v>0.5</v>
      </c>
      <c r="E865" s="28" t="s">
        <v>14</v>
      </c>
      <c r="F865" s="7" t="s">
        <v>14</v>
      </c>
      <c r="G865" s="27" t="s">
        <v>14</v>
      </c>
      <c r="H865" s="27" t="s">
        <v>14</v>
      </c>
    </row>
    <row r="866" spans="2:8" x14ac:dyDescent="0.3">
      <c r="B866" s="11">
        <v>41453</v>
      </c>
      <c r="C866" s="29">
        <f t="shared" si="13"/>
        <v>0</v>
      </c>
      <c r="D866" s="8">
        <v>0.5</v>
      </c>
      <c r="E866" s="28">
        <v>0.5</v>
      </c>
      <c r="F866" s="7">
        <v>0.5</v>
      </c>
      <c r="G866" s="27">
        <v>0.5</v>
      </c>
    </row>
    <row r="867" spans="2:8" x14ac:dyDescent="0.3">
      <c r="B867" s="9">
        <v>41456</v>
      </c>
      <c r="C867" s="29" t="str">
        <f t="shared" si="13"/>
        <v/>
      </c>
      <c r="D867" s="8">
        <v>0.5</v>
      </c>
      <c r="E867" s="28" t="s">
        <v>14</v>
      </c>
      <c r="F867" s="7" t="s">
        <v>14</v>
      </c>
      <c r="G867" s="27" t="s">
        <v>14</v>
      </c>
      <c r="H867" s="27" t="s">
        <v>14</v>
      </c>
    </row>
    <row r="868" spans="2:8" x14ac:dyDescent="0.3">
      <c r="B868" s="11">
        <v>41457</v>
      </c>
      <c r="C868" s="29" t="str">
        <f t="shared" si="13"/>
        <v/>
      </c>
      <c r="D868" s="8">
        <v>0.5</v>
      </c>
      <c r="E868" s="28" t="s">
        <v>14</v>
      </c>
      <c r="F868" s="7" t="s">
        <v>14</v>
      </c>
      <c r="G868" s="27" t="s">
        <v>14</v>
      </c>
      <c r="H868" s="27" t="s">
        <v>14</v>
      </c>
    </row>
    <row r="869" spans="2:8" x14ac:dyDescent="0.3">
      <c r="B869" s="9">
        <v>41458</v>
      </c>
      <c r="C869" s="29" t="str">
        <f t="shared" si="13"/>
        <v/>
      </c>
      <c r="D869" s="8">
        <v>0.5</v>
      </c>
      <c r="E869" s="28" t="s">
        <v>14</v>
      </c>
      <c r="F869" s="7" t="s">
        <v>14</v>
      </c>
      <c r="G869" s="27" t="s">
        <v>14</v>
      </c>
      <c r="H869" s="27" t="s">
        <v>14</v>
      </c>
    </row>
    <row r="870" spans="2:8" x14ac:dyDescent="0.3">
      <c r="B870" s="11">
        <v>41459</v>
      </c>
      <c r="C870" s="29" t="str">
        <f t="shared" si="13"/>
        <v/>
      </c>
      <c r="D870" s="8">
        <v>0.5</v>
      </c>
      <c r="E870" s="28" t="s">
        <v>14</v>
      </c>
      <c r="F870" s="7" t="s">
        <v>14</v>
      </c>
      <c r="G870" s="27" t="s">
        <v>14</v>
      </c>
      <c r="H870" s="27" t="s">
        <v>14</v>
      </c>
    </row>
    <row r="871" spans="2:8" x14ac:dyDescent="0.3">
      <c r="B871" s="9">
        <v>41460</v>
      </c>
      <c r="C871" s="29" t="str">
        <f t="shared" si="13"/>
        <v/>
      </c>
      <c r="D871" s="8">
        <v>0.5</v>
      </c>
      <c r="E871" s="28" t="s">
        <v>14</v>
      </c>
      <c r="F871" s="7" t="s">
        <v>14</v>
      </c>
      <c r="G871" s="27" t="s">
        <v>14</v>
      </c>
      <c r="H871" s="27" t="s">
        <v>14</v>
      </c>
    </row>
    <row r="872" spans="2:8" x14ac:dyDescent="0.3">
      <c r="B872" s="11">
        <v>41463</v>
      </c>
      <c r="C872" s="29" t="str">
        <f t="shared" si="13"/>
        <v/>
      </c>
      <c r="D872" s="8">
        <v>0.5</v>
      </c>
      <c r="E872" s="28" t="s">
        <v>14</v>
      </c>
      <c r="F872" s="7" t="s">
        <v>14</v>
      </c>
      <c r="G872" s="27" t="s">
        <v>14</v>
      </c>
      <c r="H872" s="27" t="s">
        <v>14</v>
      </c>
    </row>
    <row r="873" spans="2:8" x14ac:dyDescent="0.3">
      <c r="B873" s="9">
        <v>41465</v>
      </c>
      <c r="C873" s="29" t="str">
        <f t="shared" si="13"/>
        <v/>
      </c>
      <c r="D873" s="8">
        <v>0.5</v>
      </c>
      <c r="E873" s="28" t="s">
        <v>14</v>
      </c>
      <c r="F873" s="7" t="s">
        <v>14</v>
      </c>
      <c r="G873" s="27" t="s">
        <v>14</v>
      </c>
      <c r="H873" s="27" t="s">
        <v>14</v>
      </c>
    </row>
    <row r="874" spans="2:8" x14ac:dyDescent="0.3">
      <c r="B874" s="11">
        <v>41466</v>
      </c>
      <c r="C874" s="29" t="str">
        <f t="shared" si="13"/>
        <v/>
      </c>
      <c r="D874" s="8">
        <v>0.5</v>
      </c>
      <c r="E874" s="28" t="s">
        <v>14</v>
      </c>
      <c r="F874" s="7" t="s">
        <v>14</v>
      </c>
      <c r="G874" s="27" t="s">
        <v>14</v>
      </c>
      <c r="H874" s="27" t="s">
        <v>14</v>
      </c>
    </row>
    <row r="875" spans="2:8" x14ac:dyDescent="0.3">
      <c r="B875" s="9">
        <v>41467</v>
      </c>
      <c r="C875" s="29" t="str">
        <f t="shared" si="13"/>
        <v/>
      </c>
      <c r="D875" s="8">
        <v>0.5</v>
      </c>
      <c r="E875" s="28" t="s">
        <v>14</v>
      </c>
      <c r="F875" s="7" t="s">
        <v>14</v>
      </c>
      <c r="G875" s="27" t="s">
        <v>14</v>
      </c>
      <c r="H875" s="27" t="s">
        <v>14</v>
      </c>
    </row>
    <row r="876" spans="2:8" x14ac:dyDescent="0.3">
      <c r="B876" s="11">
        <v>41470</v>
      </c>
      <c r="C876" s="29" t="str">
        <f t="shared" si="13"/>
        <v/>
      </c>
      <c r="D876" s="8">
        <v>0.5</v>
      </c>
      <c r="E876" s="28" t="s">
        <v>14</v>
      </c>
      <c r="F876" s="7" t="s">
        <v>14</v>
      </c>
      <c r="G876" s="27" t="s">
        <v>14</v>
      </c>
      <c r="H876" s="27" t="s">
        <v>14</v>
      </c>
    </row>
    <row r="877" spans="2:8" x14ac:dyDescent="0.3">
      <c r="B877" s="9">
        <v>41471</v>
      </c>
      <c r="C877" s="29" t="str">
        <f t="shared" si="13"/>
        <v/>
      </c>
      <c r="D877" s="8">
        <v>0.5</v>
      </c>
      <c r="E877" s="28" t="s">
        <v>14</v>
      </c>
      <c r="F877" s="7" t="s">
        <v>14</v>
      </c>
      <c r="G877" s="27" t="s">
        <v>14</v>
      </c>
      <c r="H877" s="27" t="s">
        <v>14</v>
      </c>
    </row>
    <row r="878" spans="2:8" x14ac:dyDescent="0.3">
      <c r="B878" s="11">
        <v>41472</v>
      </c>
      <c r="C878" s="29" t="str">
        <f t="shared" si="13"/>
        <v/>
      </c>
      <c r="D878" s="8">
        <v>0.5</v>
      </c>
      <c r="E878" s="28" t="s">
        <v>14</v>
      </c>
      <c r="F878" s="7" t="s">
        <v>14</v>
      </c>
      <c r="G878" s="27" t="s">
        <v>14</v>
      </c>
      <c r="H878" s="27" t="s">
        <v>14</v>
      </c>
    </row>
    <row r="879" spans="2:8" x14ac:dyDescent="0.3">
      <c r="B879" s="9">
        <v>41473</v>
      </c>
      <c r="C879" s="29" t="str">
        <f t="shared" si="13"/>
        <v/>
      </c>
      <c r="D879" s="8">
        <v>0.5</v>
      </c>
      <c r="E879" s="28" t="s">
        <v>14</v>
      </c>
      <c r="F879" s="7" t="s">
        <v>14</v>
      </c>
      <c r="G879" s="27" t="s">
        <v>14</v>
      </c>
      <c r="H879" s="27" t="s">
        <v>14</v>
      </c>
    </row>
    <row r="880" spans="2:8" x14ac:dyDescent="0.3">
      <c r="B880" s="11">
        <v>41474</v>
      </c>
      <c r="C880" s="29" t="str">
        <f t="shared" si="13"/>
        <v/>
      </c>
      <c r="D880" s="8">
        <v>0.5</v>
      </c>
      <c r="E880" s="28" t="s">
        <v>14</v>
      </c>
      <c r="F880" s="7" t="s">
        <v>14</v>
      </c>
      <c r="G880" s="27" t="s">
        <v>14</v>
      </c>
      <c r="H880" s="27" t="s">
        <v>14</v>
      </c>
    </row>
    <row r="881" spans="2:8" x14ac:dyDescent="0.3">
      <c r="B881" s="9">
        <v>41477</v>
      </c>
      <c r="C881" s="29" t="str">
        <f t="shared" si="13"/>
        <v/>
      </c>
      <c r="D881" s="8">
        <v>0.5</v>
      </c>
      <c r="E881" s="28" t="s">
        <v>14</v>
      </c>
      <c r="F881" s="7" t="s">
        <v>14</v>
      </c>
      <c r="G881" s="27" t="s">
        <v>14</v>
      </c>
      <c r="H881" s="27" t="s">
        <v>14</v>
      </c>
    </row>
    <row r="882" spans="2:8" x14ac:dyDescent="0.3">
      <c r="B882" s="11">
        <v>41478</v>
      </c>
      <c r="C882" s="29" t="str">
        <f t="shared" si="13"/>
        <v/>
      </c>
      <c r="D882" s="8">
        <v>0.5</v>
      </c>
      <c r="E882" s="28" t="s">
        <v>14</v>
      </c>
      <c r="F882" s="7" t="s">
        <v>14</v>
      </c>
      <c r="G882" s="27" t="s">
        <v>14</v>
      </c>
      <c r="H882" s="27" t="s">
        <v>14</v>
      </c>
    </row>
    <row r="883" spans="2:8" x14ac:dyDescent="0.3">
      <c r="B883" s="9">
        <v>41479</v>
      </c>
      <c r="C883" s="29" t="str">
        <f t="shared" si="13"/>
        <v/>
      </c>
      <c r="D883" s="8">
        <v>0.5</v>
      </c>
      <c r="E883" s="28" t="s">
        <v>14</v>
      </c>
      <c r="F883" s="7" t="s">
        <v>14</v>
      </c>
      <c r="G883" s="27" t="s">
        <v>14</v>
      </c>
      <c r="H883" s="27" t="s">
        <v>14</v>
      </c>
    </row>
    <row r="884" spans="2:8" x14ac:dyDescent="0.3">
      <c r="B884" s="11">
        <v>41480</v>
      </c>
      <c r="C884" s="29" t="str">
        <f t="shared" si="13"/>
        <v/>
      </c>
      <c r="D884" s="8">
        <v>0.5</v>
      </c>
      <c r="E884" s="28" t="s">
        <v>14</v>
      </c>
      <c r="F884" s="7" t="s">
        <v>14</v>
      </c>
      <c r="G884" s="27" t="s">
        <v>14</v>
      </c>
      <c r="H884" s="27" t="s">
        <v>14</v>
      </c>
    </row>
    <row r="885" spans="2:8" x14ac:dyDescent="0.3">
      <c r="B885" s="9">
        <v>41481</v>
      </c>
      <c r="C885" s="29" t="str">
        <f t="shared" si="13"/>
        <v/>
      </c>
      <c r="D885" s="8">
        <v>0.5</v>
      </c>
      <c r="E885" s="28" t="s">
        <v>14</v>
      </c>
      <c r="F885" s="7" t="s">
        <v>14</v>
      </c>
      <c r="G885" s="27" t="s">
        <v>14</v>
      </c>
      <c r="H885" s="27" t="s">
        <v>14</v>
      </c>
    </row>
    <row r="886" spans="2:8" x14ac:dyDescent="0.3">
      <c r="B886" s="11">
        <v>41484</v>
      </c>
      <c r="C886" s="29" t="str">
        <f t="shared" si="13"/>
        <v/>
      </c>
      <c r="D886" s="8">
        <v>0.5</v>
      </c>
      <c r="E886" s="28" t="s">
        <v>14</v>
      </c>
      <c r="F886" s="7" t="s">
        <v>14</v>
      </c>
      <c r="G886" s="27" t="s">
        <v>14</v>
      </c>
      <c r="H886" s="27" t="s">
        <v>14</v>
      </c>
    </row>
    <row r="887" spans="2:8" x14ac:dyDescent="0.3">
      <c r="B887" s="9">
        <v>41485</v>
      </c>
      <c r="C887" s="29" t="str">
        <f t="shared" si="13"/>
        <v/>
      </c>
      <c r="D887" s="8">
        <v>0.5</v>
      </c>
      <c r="E887" s="28" t="s">
        <v>14</v>
      </c>
      <c r="F887" s="7" t="s">
        <v>14</v>
      </c>
      <c r="G887" s="27" t="s">
        <v>14</v>
      </c>
      <c r="H887" s="27" t="s">
        <v>14</v>
      </c>
    </row>
    <row r="888" spans="2:8" x14ac:dyDescent="0.3">
      <c r="B888" s="11">
        <v>41486</v>
      </c>
      <c r="C888" s="29" t="str">
        <f t="shared" si="13"/>
        <v/>
      </c>
      <c r="D888" s="8">
        <v>0.5</v>
      </c>
      <c r="E888" s="28">
        <v>0.5</v>
      </c>
      <c r="F888" s="7" t="s">
        <v>14</v>
      </c>
      <c r="G888" s="27" t="s">
        <v>14</v>
      </c>
      <c r="H888" s="27" t="s">
        <v>14</v>
      </c>
    </row>
    <row r="889" spans="2:8" x14ac:dyDescent="0.3">
      <c r="B889" s="9">
        <v>41487</v>
      </c>
      <c r="C889" s="29" t="str">
        <f t="shared" si="13"/>
        <v/>
      </c>
      <c r="D889" s="8">
        <v>0.5</v>
      </c>
      <c r="E889" s="28" t="s">
        <v>14</v>
      </c>
      <c r="F889" s="7" t="s">
        <v>14</v>
      </c>
      <c r="G889" s="27" t="s">
        <v>14</v>
      </c>
      <c r="H889" s="27" t="s">
        <v>14</v>
      </c>
    </row>
    <row r="890" spans="2:8" x14ac:dyDescent="0.3">
      <c r="B890" s="11">
        <v>41488</v>
      </c>
      <c r="C890" s="29" t="str">
        <f t="shared" si="13"/>
        <v/>
      </c>
      <c r="D890" s="8">
        <v>0.5</v>
      </c>
      <c r="E890" s="28" t="s">
        <v>14</v>
      </c>
      <c r="F890" s="7" t="s">
        <v>14</v>
      </c>
      <c r="G890" s="27" t="s">
        <v>14</v>
      </c>
      <c r="H890" s="27" t="s">
        <v>14</v>
      </c>
    </row>
    <row r="891" spans="2:8" x14ac:dyDescent="0.3">
      <c r="B891" s="9">
        <v>41491</v>
      </c>
      <c r="C891" s="29" t="str">
        <f t="shared" si="13"/>
        <v/>
      </c>
      <c r="D891" s="8">
        <v>0.5</v>
      </c>
      <c r="E891" s="28" t="s">
        <v>14</v>
      </c>
      <c r="F891" s="7" t="s">
        <v>14</v>
      </c>
      <c r="G891" s="27" t="s">
        <v>14</v>
      </c>
      <c r="H891" s="27" t="s">
        <v>14</v>
      </c>
    </row>
    <row r="892" spans="2:8" x14ac:dyDescent="0.3">
      <c r="B892" s="11">
        <v>41492</v>
      </c>
      <c r="C892" s="29" t="str">
        <f t="shared" si="13"/>
        <v/>
      </c>
      <c r="D892" s="8">
        <v>0.5</v>
      </c>
      <c r="E892" s="28" t="s">
        <v>14</v>
      </c>
      <c r="F892" s="7" t="s">
        <v>14</v>
      </c>
      <c r="G892" s="27" t="s">
        <v>14</v>
      </c>
      <c r="H892" s="27" t="s">
        <v>14</v>
      </c>
    </row>
    <row r="893" spans="2:8" x14ac:dyDescent="0.3">
      <c r="B893" s="9">
        <v>41493</v>
      </c>
      <c r="C893" s="29" t="str">
        <f t="shared" si="13"/>
        <v/>
      </c>
      <c r="D893" s="8">
        <v>0.5</v>
      </c>
      <c r="E893" s="28" t="s">
        <v>14</v>
      </c>
      <c r="F893" s="7" t="s">
        <v>14</v>
      </c>
      <c r="G893" s="27" t="s">
        <v>14</v>
      </c>
      <c r="H893" s="27" t="s">
        <v>14</v>
      </c>
    </row>
    <row r="894" spans="2:8" x14ac:dyDescent="0.3">
      <c r="B894" s="11">
        <v>41494</v>
      </c>
      <c r="C894" s="29" t="str">
        <f t="shared" si="13"/>
        <v/>
      </c>
      <c r="D894" s="8">
        <v>0.5</v>
      </c>
      <c r="E894" s="28" t="s">
        <v>14</v>
      </c>
      <c r="F894" s="7" t="s">
        <v>14</v>
      </c>
      <c r="G894" s="27" t="s">
        <v>14</v>
      </c>
      <c r="H894" s="27" t="s">
        <v>14</v>
      </c>
    </row>
    <row r="895" spans="2:8" x14ac:dyDescent="0.3">
      <c r="B895" s="9">
        <v>41495</v>
      </c>
      <c r="C895" s="29" t="str">
        <f t="shared" si="13"/>
        <v/>
      </c>
      <c r="D895" s="8">
        <v>0.5</v>
      </c>
      <c r="E895" s="28" t="s">
        <v>14</v>
      </c>
      <c r="F895" s="7" t="s">
        <v>14</v>
      </c>
      <c r="G895" s="27" t="s">
        <v>14</v>
      </c>
      <c r="H895" s="27" t="s">
        <v>14</v>
      </c>
    </row>
    <row r="896" spans="2:8" x14ac:dyDescent="0.3">
      <c r="B896" s="11">
        <v>41498</v>
      </c>
      <c r="C896" s="29" t="str">
        <f t="shared" si="13"/>
        <v/>
      </c>
      <c r="D896" s="8">
        <v>0.5</v>
      </c>
      <c r="E896" s="28" t="s">
        <v>14</v>
      </c>
      <c r="F896" s="7" t="s">
        <v>14</v>
      </c>
      <c r="G896" s="27" t="s">
        <v>14</v>
      </c>
      <c r="H896" s="27" t="s">
        <v>14</v>
      </c>
    </row>
    <row r="897" spans="2:8" x14ac:dyDescent="0.3">
      <c r="B897" s="9">
        <v>41499</v>
      </c>
      <c r="C897" s="29" t="str">
        <f t="shared" si="13"/>
        <v/>
      </c>
      <c r="D897" s="8">
        <v>0.5</v>
      </c>
      <c r="E897" s="28" t="s">
        <v>14</v>
      </c>
      <c r="F897" s="7" t="s">
        <v>14</v>
      </c>
      <c r="G897" s="27" t="s">
        <v>14</v>
      </c>
      <c r="H897" s="27" t="s">
        <v>14</v>
      </c>
    </row>
    <row r="898" spans="2:8" x14ac:dyDescent="0.3">
      <c r="B898" s="11">
        <v>41500</v>
      </c>
      <c r="C898" s="29" t="str">
        <f t="shared" si="13"/>
        <v/>
      </c>
      <c r="D898" s="8">
        <v>0.5</v>
      </c>
      <c r="E898" s="28" t="s">
        <v>14</v>
      </c>
      <c r="F898" s="7" t="s">
        <v>14</v>
      </c>
      <c r="G898" s="27" t="s">
        <v>14</v>
      </c>
      <c r="H898" s="27" t="s">
        <v>14</v>
      </c>
    </row>
    <row r="899" spans="2:8" x14ac:dyDescent="0.3">
      <c r="B899" s="9">
        <v>41501</v>
      </c>
      <c r="C899" s="29" t="str">
        <f t="shared" ref="C899:C962" si="14">INDEX(D899:H899,MATCH($A$1,$D$1:$H$1,0))</f>
        <v/>
      </c>
      <c r="D899" s="8">
        <v>0.5</v>
      </c>
      <c r="E899" s="28" t="s">
        <v>14</v>
      </c>
      <c r="F899" s="7" t="s">
        <v>14</v>
      </c>
      <c r="G899" s="27" t="s">
        <v>14</v>
      </c>
      <c r="H899" s="27" t="s">
        <v>14</v>
      </c>
    </row>
    <row r="900" spans="2:8" x14ac:dyDescent="0.3">
      <c r="B900" s="11">
        <v>41502</v>
      </c>
      <c r="C900" s="29" t="str">
        <f t="shared" si="14"/>
        <v/>
      </c>
      <c r="D900" s="8">
        <v>0.5</v>
      </c>
      <c r="E900" s="28" t="s">
        <v>14</v>
      </c>
      <c r="F900" s="7" t="s">
        <v>14</v>
      </c>
      <c r="G900" s="27" t="s">
        <v>14</v>
      </c>
      <c r="H900" s="27" t="s">
        <v>14</v>
      </c>
    </row>
    <row r="901" spans="2:8" x14ac:dyDescent="0.3">
      <c r="B901" s="9">
        <v>41505</v>
      </c>
      <c r="C901" s="29" t="str">
        <f t="shared" si="14"/>
        <v/>
      </c>
      <c r="D901" s="8">
        <v>0.5</v>
      </c>
      <c r="E901" s="28" t="s">
        <v>14</v>
      </c>
      <c r="F901" s="7" t="s">
        <v>14</v>
      </c>
      <c r="G901" s="27" t="s">
        <v>14</v>
      </c>
      <c r="H901" s="27" t="s">
        <v>14</v>
      </c>
    </row>
    <row r="902" spans="2:8" x14ac:dyDescent="0.3">
      <c r="B902" s="11">
        <v>41506</v>
      </c>
      <c r="C902" s="29" t="str">
        <f t="shared" si="14"/>
        <v/>
      </c>
      <c r="D902" s="8">
        <v>0.5</v>
      </c>
      <c r="E902" s="28" t="s">
        <v>14</v>
      </c>
      <c r="F902" s="7" t="s">
        <v>14</v>
      </c>
      <c r="G902" s="27" t="s">
        <v>14</v>
      </c>
      <c r="H902" s="27" t="s">
        <v>14</v>
      </c>
    </row>
    <row r="903" spans="2:8" x14ac:dyDescent="0.3">
      <c r="B903" s="9">
        <v>41507</v>
      </c>
      <c r="C903" s="29" t="str">
        <f t="shared" si="14"/>
        <v/>
      </c>
      <c r="D903" s="8">
        <v>0.5</v>
      </c>
      <c r="E903" s="28" t="s">
        <v>14</v>
      </c>
      <c r="F903" s="7" t="s">
        <v>14</v>
      </c>
      <c r="G903" s="27" t="s">
        <v>14</v>
      </c>
      <c r="H903" s="27" t="s">
        <v>14</v>
      </c>
    </row>
    <row r="904" spans="2:8" x14ac:dyDescent="0.3">
      <c r="B904" s="11">
        <v>41508</v>
      </c>
      <c r="C904" s="29" t="str">
        <f t="shared" si="14"/>
        <v/>
      </c>
      <c r="D904" s="8">
        <v>0.5</v>
      </c>
      <c r="E904" s="28" t="s">
        <v>14</v>
      </c>
      <c r="F904" s="7" t="s">
        <v>14</v>
      </c>
      <c r="G904" s="27" t="s">
        <v>14</v>
      </c>
      <c r="H904" s="27" t="s">
        <v>14</v>
      </c>
    </row>
    <row r="905" spans="2:8" x14ac:dyDescent="0.3">
      <c r="B905" s="9">
        <v>41509</v>
      </c>
      <c r="C905" s="29" t="str">
        <f t="shared" si="14"/>
        <v/>
      </c>
      <c r="D905" s="8">
        <v>0.5</v>
      </c>
      <c r="E905" s="28" t="s">
        <v>14</v>
      </c>
      <c r="F905" s="7" t="s">
        <v>14</v>
      </c>
      <c r="G905" s="27" t="s">
        <v>14</v>
      </c>
      <c r="H905" s="27" t="s">
        <v>14</v>
      </c>
    </row>
    <row r="906" spans="2:8" x14ac:dyDescent="0.3">
      <c r="B906" s="11">
        <v>41512</v>
      </c>
      <c r="C906" s="29" t="str">
        <f t="shared" si="14"/>
        <v/>
      </c>
      <c r="D906" s="8">
        <v>0.5</v>
      </c>
      <c r="E906" s="28" t="s">
        <v>14</v>
      </c>
      <c r="F906" s="7" t="s">
        <v>14</v>
      </c>
      <c r="G906" s="27" t="s">
        <v>14</v>
      </c>
      <c r="H906" s="27" t="s">
        <v>14</v>
      </c>
    </row>
    <row r="907" spans="2:8" x14ac:dyDescent="0.3">
      <c r="B907" s="9">
        <v>41513</v>
      </c>
      <c r="C907" s="29" t="str">
        <f t="shared" si="14"/>
        <v/>
      </c>
      <c r="D907" s="8">
        <v>0.5</v>
      </c>
      <c r="E907" s="28" t="s">
        <v>14</v>
      </c>
      <c r="F907" s="7" t="s">
        <v>14</v>
      </c>
      <c r="G907" s="27" t="s">
        <v>14</v>
      </c>
      <c r="H907" s="27" t="s">
        <v>14</v>
      </c>
    </row>
    <row r="908" spans="2:8" x14ac:dyDescent="0.3">
      <c r="B908" s="11">
        <v>41514</v>
      </c>
      <c r="C908" s="29" t="str">
        <f t="shared" si="14"/>
        <v/>
      </c>
      <c r="D908" s="8">
        <v>0.5</v>
      </c>
      <c r="E908" s="28" t="s">
        <v>14</v>
      </c>
      <c r="F908" s="7" t="s">
        <v>14</v>
      </c>
      <c r="G908" s="27" t="s">
        <v>14</v>
      </c>
      <c r="H908" s="27" t="s">
        <v>14</v>
      </c>
    </row>
    <row r="909" spans="2:8" x14ac:dyDescent="0.3">
      <c r="B909" s="9">
        <v>41515</v>
      </c>
      <c r="C909" s="29" t="str">
        <f t="shared" si="14"/>
        <v/>
      </c>
      <c r="D909" s="8">
        <v>0.5</v>
      </c>
      <c r="E909" s="28" t="s">
        <v>14</v>
      </c>
      <c r="F909" s="7" t="s">
        <v>14</v>
      </c>
      <c r="G909" s="27" t="s">
        <v>14</v>
      </c>
      <c r="H909" s="27" t="s">
        <v>14</v>
      </c>
    </row>
    <row r="910" spans="2:8" x14ac:dyDescent="0.3">
      <c r="B910" s="11">
        <v>41516</v>
      </c>
      <c r="C910" s="29" t="str">
        <f t="shared" si="14"/>
        <v/>
      </c>
      <c r="D910" s="8">
        <v>0.5</v>
      </c>
      <c r="E910" s="28">
        <v>0.5</v>
      </c>
      <c r="F910" s="7" t="s">
        <v>14</v>
      </c>
      <c r="G910" s="27" t="s">
        <v>14</v>
      </c>
      <c r="H910" s="27" t="s">
        <v>14</v>
      </c>
    </row>
    <row r="911" spans="2:8" x14ac:dyDescent="0.3">
      <c r="B911" s="9">
        <v>41519</v>
      </c>
      <c r="C911" s="29" t="str">
        <f t="shared" si="14"/>
        <v/>
      </c>
      <c r="D911" s="8">
        <v>0.5</v>
      </c>
      <c r="E911" s="28" t="s">
        <v>14</v>
      </c>
      <c r="F911" s="7" t="s">
        <v>14</v>
      </c>
      <c r="G911" s="27" t="s">
        <v>14</v>
      </c>
      <c r="H911" s="27" t="s">
        <v>14</v>
      </c>
    </row>
    <row r="912" spans="2:8" x14ac:dyDescent="0.3">
      <c r="B912" s="11">
        <v>41520</v>
      </c>
      <c r="C912" s="29" t="str">
        <f t="shared" si="14"/>
        <v/>
      </c>
      <c r="D912" s="8">
        <v>0.5</v>
      </c>
      <c r="E912" s="28" t="s">
        <v>14</v>
      </c>
      <c r="F912" s="7" t="s">
        <v>14</v>
      </c>
      <c r="G912" s="27" t="s">
        <v>14</v>
      </c>
      <c r="H912" s="27" t="s">
        <v>14</v>
      </c>
    </row>
    <row r="913" spans="2:8" x14ac:dyDescent="0.3">
      <c r="B913" s="9">
        <v>41521</v>
      </c>
      <c r="C913" s="29" t="str">
        <f t="shared" si="14"/>
        <v/>
      </c>
      <c r="D913" s="8">
        <v>0.5</v>
      </c>
      <c r="E913" s="28" t="s">
        <v>14</v>
      </c>
      <c r="F913" s="7" t="s">
        <v>14</v>
      </c>
      <c r="G913" s="27" t="s">
        <v>14</v>
      </c>
      <c r="H913" s="27" t="s">
        <v>14</v>
      </c>
    </row>
    <row r="914" spans="2:8" x14ac:dyDescent="0.3">
      <c r="B914" s="11">
        <v>41522</v>
      </c>
      <c r="C914" s="29" t="str">
        <f t="shared" si="14"/>
        <v/>
      </c>
      <c r="D914" s="8">
        <v>0.5</v>
      </c>
      <c r="E914" s="28" t="s">
        <v>14</v>
      </c>
      <c r="F914" s="7" t="s">
        <v>14</v>
      </c>
      <c r="G914" s="27" t="s">
        <v>14</v>
      </c>
      <c r="H914" s="27" t="s">
        <v>14</v>
      </c>
    </row>
    <row r="915" spans="2:8" x14ac:dyDescent="0.3">
      <c r="B915" s="9">
        <v>41523</v>
      </c>
      <c r="C915" s="29" t="str">
        <f t="shared" si="14"/>
        <v/>
      </c>
      <c r="D915" s="8">
        <v>0.5</v>
      </c>
      <c r="E915" s="28" t="s">
        <v>14</v>
      </c>
      <c r="F915" s="7" t="s">
        <v>14</v>
      </c>
      <c r="G915" s="27" t="s">
        <v>14</v>
      </c>
      <c r="H915" s="27" t="s">
        <v>14</v>
      </c>
    </row>
    <row r="916" spans="2:8" x14ac:dyDescent="0.3">
      <c r="B916" s="11">
        <v>41526</v>
      </c>
      <c r="C916" s="29" t="str">
        <f t="shared" si="14"/>
        <v/>
      </c>
      <c r="D916" s="8">
        <v>0.5</v>
      </c>
      <c r="E916" s="28" t="s">
        <v>14</v>
      </c>
      <c r="F916" s="7" t="s">
        <v>14</v>
      </c>
      <c r="G916" s="27" t="s">
        <v>14</v>
      </c>
      <c r="H916" s="27" t="s">
        <v>14</v>
      </c>
    </row>
    <row r="917" spans="2:8" x14ac:dyDescent="0.3">
      <c r="B917" s="9">
        <v>41527</v>
      </c>
      <c r="C917" s="29" t="str">
        <f t="shared" si="14"/>
        <v/>
      </c>
      <c r="D917" s="8">
        <v>0.5</v>
      </c>
      <c r="E917" s="28" t="s">
        <v>14</v>
      </c>
      <c r="F917" s="7" t="s">
        <v>14</v>
      </c>
      <c r="G917" s="27" t="s">
        <v>14</v>
      </c>
      <c r="H917" s="27" t="s">
        <v>14</v>
      </c>
    </row>
    <row r="918" spans="2:8" x14ac:dyDescent="0.3">
      <c r="B918" s="11">
        <v>41528</v>
      </c>
      <c r="C918" s="29" t="str">
        <f t="shared" si="14"/>
        <v/>
      </c>
      <c r="D918" s="8">
        <v>0.5</v>
      </c>
      <c r="E918" s="28" t="s">
        <v>14</v>
      </c>
      <c r="F918" s="7" t="s">
        <v>14</v>
      </c>
      <c r="G918" s="27" t="s">
        <v>14</v>
      </c>
      <c r="H918" s="27" t="s">
        <v>14</v>
      </c>
    </row>
    <row r="919" spans="2:8" x14ac:dyDescent="0.3">
      <c r="B919" s="9">
        <v>41529</v>
      </c>
      <c r="C919" s="29" t="str">
        <f t="shared" si="14"/>
        <v/>
      </c>
      <c r="D919" s="8">
        <v>0.5</v>
      </c>
      <c r="E919" s="28" t="s">
        <v>14</v>
      </c>
      <c r="F919" s="7" t="s">
        <v>14</v>
      </c>
      <c r="G919" s="27" t="s">
        <v>14</v>
      </c>
      <c r="H919" s="27" t="s">
        <v>14</v>
      </c>
    </row>
    <row r="920" spans="2:8" x14ac:dyDescent="0.3">
      <c r="B920" s="11">
        <v>41530</v>
      </c>
      <c r="C920" s="29" t="str">
        <f t="shared" si="14"/>
        <v/>
      </c>
      <c r="D920" s="8">
        <v>0.5</v>
      </c>
      <c r="E920" s="28" t="s">
        <v>14</v>
      </c>
      <c r="F920" s="7" t="s">
        <v>14</v>
      </c>
      <c r="G920" s="27" t="s">
        <v>14</v>
      </c>
      <c r="H920" s="27" t="s">
        <v>14</v>
      </c>
    </row>
    <row r="921" spans="2:8" x14ac:dyDescent="0.3">
      <c r="B921" s="9">
        <v>41533</v>
      </c>
      <c r="C921" s="29" t="str">
        <f t="shared" si="14"/>
        <v/>
      </c>
      <c r="D921" s="8">
        <v>0.5</v>
      </c>
      <c r="E921" s="28" t="s">
        <v>14</v>
      </c>
      <c r="F921" s="7" t="s">
        <v>14</v>
      </c>
      <c r="G921" s="27" t="s">
        <v>14</v>
      </c>
      <c r="H921" s="27" t="s">
        <v>14</v>
      </c>
    </row>
    <row r="922" spans="2:8" x14ac:dyDescent="0.3">
      <c r="B922" s="11">
        <v>41534</v>
      </c>
      <c r="C922" s="29" t="str">
        <f t="shared" si="14"/>
        <v/>
      </c>
      <c r="D922" s="8">
        <v>0.5</v>
      </c>
      <c r="E922" s="28" t="s">
        <v>14</v>
      </c>
      <c r="F922" s="7" t="s">
        <v>14</v>
      </c>
      <c r="G922" s="27" t="s">
        <v>14</v>
      </c>
      <c r="H922" s="27" t="s">
        <v>14</v>
      </c>
    </row>
    <row r="923" spans="2:8" x14ac:dyDescent="0.3">
      <c r="B923" s="9">
        <v>41535</v>
      </c>
      <c r="C923" s="29" t="str">
        <f t="shared" si="14"/>
        <v/>
      </c>
      <c r="D923" s="8">
        <v>0.5</v>
      </c>
      <c r="E923" s="28" t="s">
        <v>14</v>
      </c>
      <c r="F923" s="7" t="s">
        <v>14</v>
      </c>
      <c r="G923" s="27" t="s">
        <v>14</v>
      </c>
      <c r="H923" s="27" t="s">
        <v>14</v>
      </c>
    </row>
    <row r="924" spans="2:8" x14ac:dyDescent="0.3">
      <c r="B924" s="11">
        <v>41536</v>
      </c>
      <c r="C924" s="29" t="str">
        <f t="shared" si="14"/>
        <v/>
      </c>
      <c r="D924" s="8">
        <v>0.5</v>
      </c>
      <c r="E924" s="28" t="s">
        <v>14</v>
      </c>
      <c r="F924" s="7" t="s">
        <v>14</v>
      </c>
      <c r="G924" s="27" t="s">
        <v>14</v>
      </c>
      <c r="H924" s="27" t="s">
        <v>14</v>
      </c>
    </row>
    <row r="925" spans="2:8" x14ac:dyDescent="0.3">
      <c r="B925" s="9">
        <v>41537</v>
      </c>
      <c r="C925" s="29" t="str">
        <f t="shared" si="14"/>
        <v/>
      </c>
      <c r="D925" s="8">
        <v>0.5</v>
      </c>
      <c r="E925" s="28" t="s">
        <v>14</v>
      </c>
      <c r="F925" s="7" t="s">
        <v>14</v>
      </c>
      <c r="G925" s="27" t="s">
        <v>14</v>
      </c>
      <c r="H925" s="27" t="s">
        <v>14</v>
      </c>
    </row>
    <row r="926" spans="2:8" x14ac:dyDescent="0.3">
      <c r="B926" s="11">
        <v>41540</v>
      </c>
      <c r="C926" s="29" t="str">
        <f t="shared" si="14"/>
        <v/>
      </c>
      <c r="D926" s="8">
        <v>0.5</v>
      </c>
      <c r="E926" s="28" t="s">
        <v>14</v>
      </c>
      <c r="F926" s="7" t="s">
        <v>14</v>
      </c>
      <c r="G926" s="27" t="s">
        <v>14</v>
      </c>
      <c r="H926" s="27" t="s">
        <v>14</v>
      </c>
    </row>
    <row r="927" spans="2:8" x14ac:dyDescent="0.3">
      <c r="B927" s="9">
        <v>41541</v>
      </c>
      <c r="C927" s="29" t="str">
        <f t="shared" si="14"/>
        <v/>
      </c>
      <c r="D927" s="8">
        <v>0.5</v>
      </c>
      <c r="E927" s="28" t="s">
        <v>14</v>
      </c>
      <c r="F927" s="7" t="s">
        <v>14</v>
      </c>
      <c r="G927" s="27" t="s">
        <v>14</v>
      </c>
      <c r="H927" s="27" t="s">
        <v>14</v>
      </c>
    </row>
    <row r="928" spans="2:8" x14ac:dyDescent="0.3">
      <c r="B928" s="11">
        <v>41542</v>
      </c>
      <c r="C928" s="29" t="str">
        <f t="shared" si="14"/>
        <v/>
      </c>
      <c r="D928" s="8">
        <v>0.5</v>
      </c>
      <c r="E928" s="28" t="s">
        <v>14</v>
      </c>
      <c r="F928" s="7" t="s">
        <v>14</v>
      </c>
      <c r="G928" s="27" t="s">
        <v>14</v>
      </c>
      <c r="H928" s="27" t="s">
        <v>14</v>
      </c>
    </row>
    <row r="929" spans="2:8" x14ac:dyDescent="0.3">
      <c r="B929" s="9">
        <v>41543</v>
      </c>
      <c r="C929" s="29" t="str">
        <f t="shared" si="14"/>
        <v/>
      </c>
      <c r="D929" s="8">
        <v>0.5</v>
      </c>
      <c r="E929" s="28" t="s">
        <v>14</v>
      </c>
      <c r="F929" s="7" t="s">
        <v>14</v>
      </c>
      <c r="G929" s="27" t="s">
        <v>14</v>
      </c>
      <c r="H929" s="27" t="s">
        <v>14</v>
      </c>
    </row>
    <row r="930" spans="2:8" x14ac:dyDescent="0.3">
      <c r="B930" s="11">
        <v>41544</v>
      </c>
      <c r="C930" s="29" t="str">
        <f t="shared" si="14"/>
        <v/>
      </c>
      <c r="D930" s="8">
        <v>0.5</v>
      </c>
      <c r="E930" s="28" t="s">
        <v>14</v>
      </c>
      <c r="F930" s="7" t="s">
        <v>14</v>
      </c>
      <c r="G930" s="27" t="s">
        <v>14</v>
      </c>
      <c r="H930" s="27" t="s">
        <v>14</v>
      </c>
    </row>
    <row r="931" spans="2:8" x14ac:dyDescent="0.3">
      <c r="B931" s="9">
        <v>41547</v>
      </c>
      <c r="C931" s="29">
        <f t="shared" si="14"/>
        <v>0</v>
      </c>
      <c r="D931" s="8">
        <v>0.5</v>
      </c>
      <c r="E931" s="28">
        <v>0.5</v>
      </c>
      <c r="F931" s="7">
        <v>0.5</v>
      </c>
    </row>
    <row r="932" spans="2:8" x14ac:dyDescent="0.3">
      <c r="B932" s="11">
        <v>41548</v>
      </c>
      <c r="C932" s="29" t="str">
        <f t="shared" si="14"/>
        <v/>
      </c>
      <c r="D932" s="8">
        <v>0.5</v>
      </c>
      <c r="E932" s="28" t="s">
        <v>14</v>
      </c>
      <c r="F932" s="7" t="s">
        <v>14</v>
      </c>
      <c r="G932" s="27" t="s">
        <v>14</v>
      </c>
      <c r="H932" s="27" t="s">
        <v>14</v>
      </c>
    </row>
    <row r="933" spans="2:8" x14ac:dyDescent="0.3">
      <c r="B933" s="9">
        <v>41549</v>
      </c>
      <c r="C933" s="29" t="str">
        <f t="shared" si="14"/>
        <v/>
      </c>
      <c r="D933" s="8">
        <v>0.5</v>
      </c>
      <c r="E933" s="28" t="s">
        <v>14</v>
      </c>
      <c r="F933" s="7" t="s">
        <v>14</v>
      </c>
      <c r="G933" s="27" t="s">
        <v>14</v>
      </c>
      <c r="H933" s="27" t="s">
        <v>14</v>
      </c>
    </row>
    <row r="934" spans="2:8" x14ac:dyDescent="0.3">
      <c r="B934" s="11">
        <v>41550</v>
      </c>
      <c r="C934" s="29" t="str">
        <f t="shared" si="14"/>
        <v/>
      </c>
      <c r="D934" s="8">
        <v>0.5</v>
      </c>
      <c r="E934" s="28" t="s">
        <v>14</v>
      </c>
      <c r="F934" s="7" t="s">
        <v>14</v>
      </c>
      <c r="G934" s="27" t="s">
        <v>14</v>
      </c>
      <c r="H934" s="27" t="s">
        <v>14</v>
      </c>
    </row>
    <row r="935" spans="2:8" x14ac:dyDescent="0.3">
      <c r="B935" s="9">
        <v>41551</v>
      </c>
      <c r="C935" s="29" t="str">
        <f t="shared" si="14"/>
        <v/>
      </c>
      <c r="D935" s="8">
        <v>0.5</v>
      </c>
      <c r="E935" s="28" t="s">
        <v>14</v>
      </c>
      <c r="F935" s="7" t="s">
        <v>14</v>
      </c>
      <c r="G935" s="27" t="s">
        <v>14</v>
      </c>
      <c r="H935" s="27" t="s">
        <v>14</v>
      </c>
    </row>
    <row r="936" spans="2:8" x14ac:dyDescent="0.3">
      <c r="B936" s="11">
        <v>41554</v>
      </c>
      <c r="C936" s="29" t="str">
        <f t="shared" si="14"/>
        <v/>
      </c>
      <c r="D936" s="8">
        <v>0.5</v>
      </c>
      <c r="E936" s="28" t="s">
        <v>14</v>
      </c>
      <c r="F936" s="7" t="s">
        <v>14</v>
      </c>
      <c r="G936" s="27" t="s">
        <v>14</v>
      </c>
      <c r="H936" s="27" t="s">
        <v>14</v>
      </c>
    </row>
    <row r="937" spans="2:8" x14ac:dyDescent="0.3">
      <c r="B937" s="9">
        <v>41555</v>
      </c>
      <c r="C937" s="29" t="str">
        <f t="shared" si="14"/>
        <v/>
      </c>
      <c r="D937" s="8">
        <v>0.5</v>
      </c>
      <c r="E937" s="28" t="s">
        <v>14</v>
      </c>
      <c r="F937" s="7" t="s">
        <v>14</v>
      </c>
      <c r="G937" s="27" t="s">
        <v>14</v>
      </c>
      <c r="H937" s="27" t="s">
        <v>14</v>
      </c>
    </row>
    <row r="938" spans="2:8" x14ac:dyDescent="0.3">
      <c r="B938" s="11">
        <v>41556</v>
      </c>
      <c r="C938" s="29" t="str">
        <f t="shared" si="14"/>
        <v/>
      </c>
      <c r="D938" s="8">
        <v>0.5</v>
      </c>
      <c r="E938" s="28" t="s">
        <v>14</v>
      </c>
      <c r="F938" s="7" t="s">
        <v>14</v>
      </c>
      <c r="G938" s="27" t="s">
        <v>14</v>
      </c>
      <c r="H938" s="27" t="s">
        <v>14</v>
      </c>
    </row>
    <row r="939" spans="2:8" x14ac:dyDescent="0.3">
      <c r="B939" s="9">
        <v>41557</v>
      </c>
      <c r="C939" s="29" t="str">
        <f t="shared" si="14"/>
        <v/>
      </c>
      <c r="D939" s="8">
        <v>0.5</v>
      </c>
      <c r="E939" s="28" t="s">
        <v>14</v>
      </c>
      <c r="F939" s="7" t="s">
        <v>14</v>
      </c>
      <c r="G939" s="27" t="s">
        <v>14</v>
      </c>
      <c r="H939" s="27" t="s">
        <v>14</v>
      </c>
    </row>
    <row r="940" spans="2:8" x14ac:dyDescent="0.3">
      <c r="B940" s="11">
        <v>41558</v>
      </c>
      <c r="C940" s="29" t="str">
        <f t="shared" si="14"/>
        <v/>
      </c>
      <c r="D940" s="8">
        <v>0.5</v>
      </c>
      <c r="E940" s="28" t="s">
        <v>14</v>
      </c>
      <c r="F940" s="7" t="s">
        <v>14</v>
      </c>
      <c r="G940" s="27" t="s">
        <v>14</v>
      </c>
      <c r="H940" s="27" t="s">
        <v>14</v>
      </c>
    </row>
    <row r="941" spans="2:8" x14ac:dyDescent="0.3">
      <c r="B941" s="9">
        <v>41561</v>
      </c>
      <c r="C941" s="29" t="str">
        <f t="shared" si="14"/>
        <v/>
      </c>
      <c r="D941" s="8">
        <v>0.5</v>
      </c>
      <c r="E941" s="28" t="s">
        <v>14</v>
      </c>
      <c r="F941" s="7" t="s">
        <v>14</v>
      </c>
      <c r="G941" s="27" t="s">
        <v>14</v>
      </c>
      <c r="H941" s="27" t="s">
        <v>14</v>
      </c>
    </row>
    <row r="942" spans="2:8" x14ac:dyDescent="0.3">
      <c r="B942" s="11">
        <v>41562</v>
      </c>
      <c r="C942" s="29" t="str">
        <f t="shared" si="14"/>
        <v/>
      </c>
      <c r="D942" s="8">
        <v>0.5</v>
      </c>
      <c r="E942" s="28" t="s">
        <v>14</v>
      </c>
      <c r="F942" s="7" t="s">
        <v>14</v>
      </c>
      <c r="G942" s="27" t="s">
        <v>14</v>
      </c>
      <c r="H942" s="27" t="s">
        <v>14</v>
      </c>
    </row>
    <row r="943" spans="2:8" x14ac:dyDescent="0.3">
      <c r="B943" s="9">
        <v>41563</v>
      </c>
      <c r="C943" s="29" t="str">
        <f t="shared" si="14"/>
        <v/>
      </c>
      <c r="D943" s="8">
        <v>0.5</v>
      </c>
      <c r="E943" s="28" t="s">
        <v>14</v>
      </c>
      <c r="F943" s="7" t="s">
        <v>14</v>
      </c>
      <c r="G943" s="27" t="s">
        <v>14</v>
      </c>
      <c r="H943" s="27" t="s">
        <v>14</v>
      </c>
    </row>
    <row r="944" spans="2:8" x14ac:dyDescent="0.3">
      <c r="B944" s="11">
        <v>41564</v>
      </c>
      <c r="C944" s="29" t="str">
        <f t="shared" si="14"/>
        <v/>
      </c>
      <c r="D944" s="8">
        <v>0.5</v>
      </c>
      <c r="E944" s="28" t="s">
        <v>14</v>
      </c>
      <c r="F944" s="7" t="s">
        <v>14</v>
      </c>
      <c r="G944" s="27" t="s">
        <v>14</v>
      </c>
      <c r="H944" s="27" t="s">
        <v>14</v>
      </c>
    </row>
    <row r="945" spans="2:8" x14ac:dyDescent="0.3">
      <c r="B945" s="9">
        <v>41565</v>
      </c>
      <c r="C945" s="29" t="str">
        <f t="shared" si="14"/>
        <v/>
      </c>
      <c r="D945" s="8">
        <v>0.5</v>
      </c>
      <c r="E945" s="28" t="s">
        <v>14</v>
      </c>
      <c r="F945" s="7" t="s">
        <v>14</v>
      </c>
      <c r="G945" s="27" t="s">
        <v>14</v>
      </c>
      <c r="H945" s="27" t="s">
        <v>14</v>
      </c>
    </row>
    <row r="946" spans="2:8" x14ac:dyDescent="0.3">
      <c r="B946" s="11">
        <v>41568</v>
      </c>
      <c r="C946" s="29" t="str">
        <f t="shared" si="14"/>
        <v/>
      </c>
      <c r="D946" s="8">
        <v>0.5</v>
      </c>
      <c r="E946" s="28" t="s">
        <v>14</v>
      </c>
      <c r="F946" s="7" t="s">
        <v>14</v>
      </c>
      <c r="G946" s="27" t="s">
        <v>14</v>
      </c>
      <c r="H946" s="27" t="s">
        <v>14</v>
      </c>
    </row>
    <row r="947" spans="2:8" x14ac:dyDescent="0.3">
      <c r="B947" s="9">
        <v>41569</v>
      </c>
      <c r="C947" s="29" t="str">
        <f t="shared" si="14"/>
        <v/>
      </c>
      <c r="D947" s="8">
        <v>0.5</v>
      </c>
      <c r="E947" s="28" t="s">
        <v>14</v>
      </c>
      <c r="F947" s="7" t="s">
        <v>14</v>
      </c>
      <c r="G947" s="27" t="s">
        <v>14</v>
      </c>
      <c r="H947" s="27" t="s">
        <v>14</v>
      </c>
    </row>
    <row r="948" spans="2:8" x14ac:dyDescent="0.3">
      <c r="B948" s="11">
        <v>41570</v>
      </c>
      <c r="C948" s="29" t="str">
        <f t="shared" si="14"/>
        <v/>
      </c>
      <c r="D948" s="8">
        <v>0.5</v>
      </c>
      <c r="E948" s="28" t="s">
        <v>14</v>
      </c>
      <c r="F948" s="7" t="s">
        <v>14</v>
      </c>
      <c r="G948" s="27" t="s">
        <v>14</v>
      </c>
      <c r="H948" s="27" t="s">
        <v>14</v>
      </c>
    </row>
    <row r="949" spans="2:8" x14ac:dyDescent="0.3">
      <c r="B949" s="9">
        <v>41571</v>
      </c>
      <c r="C949" s="29" t="str">
        <f t="shared" si="14"/>
        <v/>
      </c>
      <c r="D949" s="8">
        <v>0.5</v>
      </c>
      <c r="E949" s="28" t="s">
        <v>14</v>
      </c>
      <c r="F949" s="7" t="s">
        <v>14</v>
      </c>
      <c r="G949" s="27" t="s">
        <v>14</v>
      </c>
      <c r="H949" s="27" t="s">
        <v>14</v>
      </c>
    </row>
    <row r="950" spans="2:8" x14ac:dyDescent="0.3">
      <c r="B950" s="11">
        <v>41572</v>
      </c>
      <c r="C950" s="29" t="str">
        <f t="shared" si="14"/>
        <v/>
      </c>
      <c r="D950" s="8">
        <v>0.5</v>
      </c>
      <c r="E950" s="28" t="s">
        <v>14</v>
      </c>
      <c r="F950" s="7" t="s">
        <v>14</v>
      </c>
      <c r="G950" s="27" t="s">
        <v>14</v>
      </c>
      <c r="H950" s="27" t="s">
        <v>14</v>
      </c>
    </row>
    <row r="951" spans="2:8" x14ac:dyDescent="0.3">
      <c r="B951" s="9">
        <v>41575</v>
      </c>
      <c r="C951" s="29" t="str">
        <f t="shared" si="14"/>
        <v/>
      </c>
      <c r="D951" s="8">
        <v>0.5</v>
      </c>
      <c r="E951" s="28" t="s">
        <v>14</v>
      </c>
      <c r="F951" s="7" t="s">
        <v>14</v>
      </c>
      <c r="G951" s="27" t="s">
        <v>14</v>
      </c>
      <c r="H951" s="27" t="s">
        <v>14</v>
      </c>
    </row>
    <row r="952" spans="2:8" x14ac:dyDescent="0.3">
      <c r="B952" s="11">
        <v>41576</v>
      </c>
      <c r="C952" s="29" t="str">
        <f t="shared" si="14"/>
        <v/>
      </c>
      <c r="D952" s="8">
        <v>0.5</v>
      </c>
      <c r="E952" s="28" t="s">
        <v>14</v>
      </c>
      <c r="F952" s="7" t="s">
        <v>14</v>
      </c>
      <c r="G952" s="27" t="s">
        <v>14</v>
      </c>
      <c r="H952" s="27" t="s">
        <v>14</v>
      </c>
    </row>
    <row r="953" spans="2:8" x14ac:dyDescent="0.3">
      <c r="B953" s="9">
        <v>41577</v>
      </c>
      <c r="C953" s="29" t="str">
        <f t="shared" si="14"/>
        <v/>
      </c>
      <c r="D953" s="8">
        <v>0.5</v>
      </c>
      <c r="E953" s="28" t="s">
        <v>14</v>
      </c>
      <c r="F953" s="7" t="s">
        <v>14</v>
      </c>
      <c r="G953" s="27" t="s">
        <v>14</v>
      </c>
      <c r="H953" s="27" t="s">
        <v>14</v>
      </c>
    </row>
    <row r="954" spans="2:8" x14ac:dyDescent="0.3">
      <c r="B954" s="11">
        <v>41578</v>
      </c>
      <c r="C954" s="29" t="str">
        <f t="shared" si="14"/>
        <v/>
      </c>
      <c r="D954" s="8">
        <v>0.5</v>
      </c>
      <c r="E954" s="28">
        <v>0.5</v>
      </c>
      <c r="F954" s="7" t="s">
        <v>14</v>
      </c>
      <c r="G954" s="27" t="s">
        <v>14</v>
      </c>
      <c r="H954" s="27" t="s">
        <v>14</v>
      </c>
    </row>
    <row r="955" spans="2:8" x14ac:dyDescent="0.3">
      <c r="B955" s="9">
        <v>41579</v>
      </c>
      <c r="C955" s="29" t="str">
        <f t="shared" si="14"/>
        <v/>
      </c>
      <c r="D955" s="8">
        <v>0.5</v>
      </c>
      <c r="E955" s="28" t="s">
        <v>14</v>
      </c>
      <c r="F955" s="7" t="s">
        <v>14</v>
      </c>
      <c r="G955" s="27" t="s">
        <v>14</v>
      </c>
      <c r="H955" s="27" t="s">
        <v>14</v>
      </c>
    </row>
    <row r="956" spans="2:8" x14ac:dyDescent="0.3">
      <c r="B956" s="11">
        <v>41582</v>
      </c>
      <c r="C956" s="29" t="str">
        <f t="shared" si="14"/>
        <v/>
      </c>
      <c r="D956" s="8">
        <v>0.5</v>
      </c>
      <c r="E956" s="28" t="s">
        <v>14</v>
      </c>
      <c r="F956" s="7" t="s">
        <v>14</v>
      </c>
      <c r="G956" s="27" t="s">
        <v>14</v>
      </c>
      <c r="H956" s="27" t="s">
        <v>14</v>
      </c>
    </row>
    <row r="957" spans="2:8" x14ac:dyDescent="0.3">
      <c r="B957" s="9">
        <v>41583</v>
      </c>
      <c r="C957" s="29" t="str">
        <f t="shared" si="14"/>
        <v/>
      </c>
      <c r="D957" s="8">
        <v>0.5</v>
      </c>
      <c r="E957" s="28" t="s">
        <v>14</v>
      </c>
      <c r="F957" s="7" t="s">
        <v>14</v>
      </c>
      <c r="G957" s="27" t="s">
        <v>14</v>
      </c>
      <c r="H957" s="27" t="s">
        <v>14</v>
      </c>
    </row>
    <row r="958" spans="2:8" x14ac:dyDescent="0.3">
      <c r="B958" s="11">
        <v>41584</v>
      </c>
      <c r="C958" s="29" t="str">
        <f t="shared" si="14"/>
        <v/>
      </c>
      <c r="D958" s="8">
        <v>0.5</v>
      </c>
      <c r="E958" s="28" t="s">
        <v>14</v>
      </c>
      <c r="F958" s="7" t="s">
        <v>14</v>
      </c>
      <c r="G958" s="27" t="s">
        <v>14</v>
      </c>
      <c r="H958" s="27" t="s">
        <v>14</v>
      </c>
    </row>
    <row r="959" spans="2:8" x14ac:dyDescent="0.3">
      <c r="B959" s="9">
        <v>41585</v>
      </c>
      <c r="C959" s="29" t="str">
        <f t="shared" si="14"/>
        <v/>
      </c>
      <c r="D959" s="8">
        <v>0.5</v>
      </c>
      <c r="E959" s="28" t="s">
        <v>14</v>
      </c>
      <c r="F959" s="7" t="s">
        <v>14</v>
      </c>
      <c r="G959" s="27" t="s">
        <v>14</v>
      </c>
      <c r="H959" s="27" t="s">
        <v>14</v>
      </c>
    </row>
    <row r="960" spans="2:8" x14ac:dyDescent="0.3">
      <c r="B960" s="11">
        <v>41586</v>
      </c>
      <c r="C960" s="29" t="str">
        <f t="shared" si="14"/>
        <v/>
      </c>
      <c r="D960" s="8">
        <v>0.5</v>
      </c>
      <c r="E960" s="28" t="s">
        <v>14</v>
      </c>
      <c r="F960" s="7" t="s">
        <v>14</v>
      </c>
      <c r="G960" s="27" t="s">
        <v>14</v>
      </c>
      <c r="H960" s="27" t="s">
        <v>14</v>
      </c>
    </row>
    <row r="961" spans="2:8" x14ac:dyDescent="0.3">
      <c r="B961" s="9">
        <v>41589</v>
      </c>
      <c r="C961" s="29" t="str">
        <f t="shared" si="14"/>
        <v/>
      </c>
      <c r="D961" s="8">
        <v>0.5</v>
      </c>
      <c r="E961" s="28" t="s">
        <v>14</v>
      </c>
      <c r="F961" s="7" t="s">
        <v>14</v>
      </c>
      <c r="G961" s="27" t="s">
        <v>14</v>
      </c>
      <c r="H961" s="27" t="s">
        <v>14</v>
      </c>
    </row>
    <row r="962" spans="2:8" x14ac:dyDescent="0.3">
      <c r="B962" s="11">
        <v>41590</v>
      </c>
      <c r="C962" s="29" t="str">
        <f t="shared" si="14"/>
        <v/>
      </c>
      <c r="D962" s="8">
        <v>0.5</v>
      </c>
      <c r="E962" s="28" t="s">
        <v>14</v>
      </c>
      <c r="F962" s="7" t="s">
        <v>14</v>
      </c>
      <c r="G962" s="27" t="s">
        <v>14</v>
      </c>
      <c r="H962" s="27" t="s">
        <v>14</v>
      </c>
    </row>
    <row r="963" spans="2:8" x14ac:dyDescent="0.3">
      <c r="B963" s="9">
        <v>41591</v>
      </c>
      <c r="C963" s="29" t="str">
        <f t="shared" ref="C963:C1026" si="15">INDEX(D963:H963,MATCH($A$1,$D$1:$H$1,0))</f>
        <v/>
      </c>
      <c r="D963" s="8">
        <v>0.5</v>
      </c>
      <c r="E963" s="28" t="s">
        <v>14</v>
      </c>
      <c r="F963" s="7" t="s">
        <v>14</v>
      </c>
      <c r="G963" s="27" t="s">
        <v>14</v>
      </c>
      <c r="H963" s="27" t="s">
        <v>14</v>
      </c>
    </row>
    <row r="964" spans="2:8" x14ac:dyDescent="0.3">
      <c r="B964" s="11">
        <v>41592</v>
      </c>
      <c r="C964" s="29" t="str">
        <f t="shared" si="15"/>
        <v/>
      </c>
      <c r="D964" s="8">
        <v>0.5</v>
      </c>
      <c r="E964" s="28" t="s">
        <v>14</v>
      </c>
      <c r="F964" s="7" t="s">
        <v>14</v>
      </c>
      <c r="G964" s="27" t="s">
        <v>14</v>
      </c>
      <c r="H964" s="27" t="s">
        <v>14</v>
      </c>
    </row>
    <row r="965" spans="2:8" x14ac:dyDescent="0.3">
      <c r="B965" s="9">
        <v>41596</v>
      </c>
      <c r="C965" s="29" t="str">
        <f t="shared" si="15"/>
        <v/>
      </c>
      <c r="D965" s="8">
        <v>0.5</v>
      </c>
      <c r="E965" s="28" t="s">
        <v>14</v>
      </c>
      <c r="F965" s="7" t="s">
        <v>14</v>
      </c>
      <c r="G965" s="27" t="s">
        <v>14</v>
      </c>
      <c r="H965" s="27" t="s">
        <v>14</v>
      </c>
    </row>
    <row r="966" spans="2:8" x14ac:dyDescent="0.3">
      <c r="B966" s="11">
        <v>41597</v>
      </c>
      <c r="C966" s="29" t="str">
        <f t="shared" si="15"/>
        <v/>
      </c>
      <c r="D966" s="8">
        <v>0.5</v>
      </c>
      <c r="E966" s="28" t="s">
        <v>14</v>
      </c>
      <c r="F966" s="7" t="s">
        <v>14</v>
      </c>
      <c r="G966" s="27" t="s">
        <v>14</v>
      </c>
      <c r="H966" s="27" t="s">
        <v>14</v>
      </c>
    </row>
    <row r="967" spans="2:8" x14ac:dyDescent="0.3">
      <c r="B967" s="9">
        <v>41599</v>
      </c>
      <c r="C967" s="29" t="str">
        <f t="shared" si="15"/>
        <v/>
      </c>
      <c r="D967" s="8">
        <v>0.5</v>
      </c>
      <c r="E967" s="28" t="s">
        <v>14</v>
      </c>
      <c r="F967" s="7" t="s">
        <v>14</v>
      </c>
      <c r="G967" s="27" t="s">
        <v>14</v>
      </c>
      <c r="H967" s="27" t="s">
        <v>14</v>
      </c>
    </row>
    <row r="968" spans="2:8" x14ac:dyDescent="0.3">
      <c r="B968" s="11">
        <v>41600</v>
      </c>
      <c r="C968" s="29" t="str">
        <f t="shared" si="15"/>
        <v/>
      </c>
      <c r="D968" s="8">
        <v>0.5</v>
      </c>
      <c r="E968" s="28" t="s">
        <v>14</v>
      </c>
      <c r="F968" s="7" t="s">
        <v>14</v>
      </c>
      <c r="G968" s="27" t="s">
        <v>14</v>
      </c>
      <c r="H968" s="27" t="s">
        <v>14</v>
      </c>
    </row>
    <row r="969" spans="2:8" x14ac:dyDescent="0.3">
      <c r="B969" s="9">
        <v>41603</v>
      </c>
      <c r="C969" s="29" t="str">
        <f t="shared" si="15"/>
        <v/>
      </c>
      <c r="D969" s="8">
        <v>0.5</v>
      </c>
      <c r="E969" s="28" t="s">
        <v>14</v>
      </c>
      <c r="F969" s="7" t="s">
        <v>14</v>
      </c>
      <c r="G969" s="27" t="s">
        <v>14</v>
      </c>
      <c r="H969" s="27" t="s">
        <v>14</v>
      </c>
    </row>
    <row r="970" spans="2:8" x14ac:dyDescent="0.3">
      <c r="B970" s="11">
        <v>41604</v>
      </c>
      <c r="C970" s="29" t="str">
        <f t="shared" si="15"/>
        <v/>
      </c>
      <c r="D970" s="8">
        <v>0.5</v>
      </c>
      <c r="E970" s="28" t="s">
        <v>14</v>
      </c>
      <c r="F970" s="7" t="s">
        <v>14</v>
      </c>
      <c r="G970" s="27" t="s">
        <v>14</v>
      </c>
      <c r="H970" s="27" t="s">
        <v>14</v>
      </c>
    </row>
    <row r="971" spans="2:8" x14ac:dyDescent="0.3">
      <c r="B971" s="9">
        <v>41605</v>
      </c>
      <c r="C971" s="29" t="str">
        <f t="shared" si="15"/>
        <v/>
      </c>
      <c r="D971" s="8">
        <v>0.5</v>
      </c>
      <c r="E971" s="28" t="s">
        <v>14</v>
      </c>
      <c r="F971" s="7" t="s">
        <v>14</v>
      </c>
      <c r="G971" s="27" t="s">
        <v>14</v>
      </c>
      <c r="H971" s="27" t="s">
        <v>14</v>
      </c>
    </row>
    <row r="972" spans="2:8" x14ac:dyDescent="0.3">
      <c r="B972" s="11">
        <v>41606</v>
      </c>
      <c r="C972" s="29" t="str">
        <f t="shared" si="15"/>
        <v/>
      </c>
      <c r="D972" s="8">
        <v>0.5</v>
      </c>
      <c r="E972" s="28" t="s">
        <v>14</v>
      </c>
      <c r="F972" s="7" t="s">
        <v>14</v>
      </c>
      <c r="G972" s="27" t="s">
        <v>14</v>
      </c>
      <c r="H972" s="27" t="s">
        <v>14</v>
      </c>
    </row>
    <row r="973" spans="2:8" x14ac:dyDescent="0.3">
      <c r="B973" s="9">
        <v>41607</v>
      </c>
      <c r="C973" s="29" t="str">
        <f t="shared" si="15"/>
        <v/>
      </c>
      <c r="D973" s="8">
        <v>0.5</v>
      </c>
      <c r="E973" s="28">
        <v>0.5</v>
      </c>
      <c r="F973" s="7" t="s">
        <v>14</v>
      </c>
      <c r="G973" s="27" t="s">
        <v>14</v>
      </c>
      <c r="H973" s="27" t="s">
        <v>14</v>
      </c>
    </row>
    <row r="974" spans="2:8" x14ac:dyDescent="0.3">
      <c r="B974" s="11">
        <v>41610</v>
      </c>
      <c r="C974" s="29" t="str">
        <f t="shared" si="15"/>
        <v/>
      </c>
      <c r="D974" s="8">
        <v>0.5</v>
      </c>
      <c r="E974" s="28" t="s">
        <v>14</v>
      </c>
      <c r="F974" s="7" t="s">
        <v>14</v>
      </c>
      <c r="G974" s="27" t="s">
        <v>14</v>
      </c>
      <c r="H974" s="27" t="s">
        <v>14</v>
      </c>
    </row>
    <row r="975" spans="2:8" x14ac:dyDescent="0.3">
      <c r="B975" s="9">
        <v>41611</v>
      </c>
      <c r="C975" s="29" t="str">
        <f t="shared" si="15"/>
        <v/>
      </c>
      <c r="D975" s="8">
        <v>0.5</v>
      </c>
      <c r="E975" s="28" t="s">
        <v>14</v>
      </c>
      <c r="F975" s="7" t="s">
        <v>14</v>
      </c>
      <c r="G975" s="27" t="s">
        <v>14</v>
      </c>
      <c r="H975" s="27" t="s">
        <v>14</v>
      </c>
    </row>
    <row r="976" spans="2:8" x14ac:dyDescent="0.3">
      <c r="B976" s="11">
        <v>41612</v>
      </c>
      <c r="C976" s="29" t="str">
        <f t="shared" si="15"/>
        <v/>
      </c>
      <c r="D976" s="8">
        <v>0.5</v>
      </c>
      <c r="E976" s="28" t="s">
        <v>14</v>
      </c>
      <c r="F976" s="7" t="s">
        <v>14</v>
      </c>
      <c r="G976" s="27" t="s">
        <v>14</v>
      </c>
      <c r="H976" s="27" t="s">
        <v>14</v>
      </c>
    </row>
    <row r="977" spans="2:8" x14ac:dyDescent="0.3">
      <c r="B977" s="9">
        <v>41613</v>
      </c>
      <c r="C977" s="29" t="str">
        <f t="shared" si="15"/>
        <v/>
      </c>
      <c r="D977" s="8">
        <v>0.5</v>
      </c>
      <c r="E977" s="28" t="s">
        <v>14</v>
      </c>
      <c r="F977" s="7" t="s">
        <v>14</v>
      </c>
      <c r="G977" s="27" t="s">
        <v>14</v>
      </c>
      <c r="H977" s="27" t="s">
        <v>14</v>
      </c>
    </row>
    <row r="978" spans="2:8" x14ac:dyDescent="0.3">
      <c r="B978" s="11">
        <v>41614</v>
      </c>
      <c r="C978" s="29" t="str">
        <f t="shared" si="15"/>
        <v/>
      </c>
      <c r="D978" s="8">
        <v>0.5</v>
      </c>
      <c r="E978" s="28" t="s">
        <v>14</v>
      </c>
      <c r="F978" s="7" t="s">
        <v>14</v>
      </c>
      <c r="G978" s="27" t="s">
        <v>14</v>
      </c>
      <c r="H978" s="27" t="s">
        <v>14</v>
      </c>
    </row>
    <row r="979" spans="2:8" x14ac:dyDescent="0.3">
      <c r="B979" s="9">
        <v>41617</v>
      </c>
      <c r="C979" s="29" t="str">
        <f t="shared" si="15"/>
        <v/>
      </c>
      <c r="D979" s="8">
        <v>0.5</v>
      </c>
      <c r="E979" s="28" t="s">
        <v>14</v>
      </c>
      <c r="F979" s="7" t="s">
        <v>14</v>
      </c>
      <c r="G979" s="27" t="s">
        <v>14</v>
      </c>
      <c r="H979" s="27" t="s">
        <v>14</v>
      </c>
    </row>
    <row r="980" spans="2:8" x14ac:dyDescent="0.3">
      <c r="B980" s="11">
        <v>41618</v>
      </c>
      <c r="C980" s="29" t="str">
        <f t="shared" si="15"/>
        <v/>
      </c>
      <c r="D980" s="8">
        <v>0.5</v>
      </c>
      <c r="E980" s="28" t="s">
        <v>14</v>
      </c>
      <c r="F980" s="7" t="s">
        <v>14</v>
      </c>
      <c r="G980" s="27" t="s">
        <v>14</v>
      </c>
      <c r="H980" s="27" t="s">
        <v>14</v>
      </c>
    </row>
    <row r="981" spans="2:8" x14ac:dyDescent="0.3">
      <c r="B981" s="9">
        <v>41619</v>
      </c>
      <c r="C981" s="29" t="str">
        <f t="shared" si="15"/>
        <v/>
      </c>
      <c r="D981" s="8">
        <v>0.5</v>
      </c>
      <c r="E981" s="28" t="s">
        <v>14</v>
      </c>
      <c r="F981" s="7" t="s">
        <v>14</v>
      </c>
      <c r="G981" s="27" t="s">
        <v>14</v>
      </c>
      <c r="H981" s="27" t="s">
        <v>14</v>
      </c>
    </row>
    <row r="982" spans="2:8" x14ac:dyDescent="0.3">
      <c r="B982" s="11">
        <v>41620</v>
      </c>
      <c r="C982" s="29" t="str">
        <f t="shared" si="15"/>
        <v/>
      </c>
      <c r="D982" s="8">
        <v>0.5</v>
      </c>
      <c r="E982" s="28" t="s">
        <v>14</v>
      </c>
      <c r="F982" s="7" t="s">
        <v>14</v>
      </c>
      <c r="G982" s="27" t="s">
        <v>14</v>
      </c>
      <c r="H982" s="27" t="s">
        <v>14</v>
      </c>
    </row>
    <row r="983" spans="2:8" x14ac:dyDescent="0.3">
      <c r="B983" s="9">
        <v>41621</v>
      </c>
      <c r="C983" s="29" t="str">
        <f t="shared" si="15"/>
        <v/>
      </c>
      <c r="D983" s="8">
        <v>0.5</v>
      </c>
      <c r="E983" s="28" t="s">
        <v>14</v>
      </c>
      <c r="F983" s="7" t="s">
        <v>14</v>
      </c>
      <c r="G983" s="27" t="s">
        <v>14</v>
      </c>
      <c r="H983" s="27" t="s">
        <v>14</v>
      </c>
    </row>
    <row r="984" spans="2:8" x14ac:dyDescent="0.3">
      <c r="B984" s="11">
        <v>41624</v>
      </c>
      <c r="C984" s="29" t="str">
        <f t="shared" si="15"/>
        <v/>
      </c>
      <c r="D984" s="8">
        <v>0.5</v>
      </c>
      <c r="E984" s="28" t="s">
        <v>14</v>
      </c>
      <c r="F984" s="7" t="s">
        <v>14</v>
      </c>
      <c r="G984" s="27" t="s">
        <v>14</v>
      </c>
      <c r="H984" s="27" t="s">
        <v>14</v>
      </c>
    </row>
    <row r="985" spans="2:8" x14ac:dyDescent="0.3">
      <c r="B985" s="9">
        <v>41625</v>
      </c>
      <c r="C985" s="29" t="str">
        <f t="shared" si="15"/>
        <v/>
      </c>
      <c r="D985" s="8">
        <v>0.5</v>
      </c>
      <c r="E985" s="28" t="s">
        <v>14</v>
      </c>
      <c r="F985" s="7" t="s">
        <v>14</v>
      </c>
      <c r="G985" s="27" t="s">
        <v>14</v>
      </c>
      <c r="H985" s="27" t="s">
        <v>14</v>
      </c>
    </row>
    <row r="986" spans="2:8" x14ac:dyDescent="0.3">
      <c r="B986" s="11">
        <v>41626</v>
      </c>
      <c r="C986" s="29" t="str">
        <f t="shared" si="15"/>
        <v/>
      </c>
      <c r="D986" s="8">
        <v>0.5</v>
      </c>
      <c r="E986" s="28" t="s">
        <v>14</v>
      </c>
      <c r="F986" s="7" t="s">
        <v>14</v>
      </c>
      <c r="G986" s="27" t="s">
        <v>14</v>
      </c>
      <c r="H986" s="27" t="s">
        <v>14</v>
      </c>
    </row>
    <row r="987" spans="2:8" x14ac:dyDescent="0.3">
      <c r="B987" s="9">
        <v>41627</v>
      </c>
      <c r="C987" s="29" t="str">
        <f t="shared" si="15"/>
        <v/>
      </c>
      <c r="D987" s="8">
        <v>0.5</v>
      </c>
      <c r="E987" s="28" t="s">
        <v>14</v>
      </c>
      <c r="F987" s="7" t="s">
        <v>14</v>
      </c>
      <c r="G987" s="27" t="s">
        <v>14</v>
      </c>
      <c r="H987" s="27" t="s">
        <v>14</v>
      </c>
    </row>
    <row r="988" spans="2:8" x14ac:dyDescent="0.3">
      <c r="B988" s="11">
        <v>41628</v>
      </c>
      <c r="C988" s="29" t="str">
        <f t="shared" si="15"/>
        <v/>
      </c>
      <c r="D988" s="8">
        <v>0.5</v>
      </c>
      <c r="E988" s="28" t="s">
        <v>14</v>
      </c>
      <c r="F988" s="7" t="s">
        <v>14</v>
      </c>
      <c r="G988" s="27" t="s">
        <v>14</v>
      </c>
      <c r="H988" s="27" t="s">
        <v>14</v>
      </c>
    </row>
    <row r="989" spans="2:8" x14ac:dyDescent="0.3">
      <c r="B989" s="9">
        <v>41631</v>
      </c>
      <c r="C989" s="29" t="str">
        <f t="shared" si="15"/>
        <v/>
      </c>
      <c r="D989" s="8">
        <v>0.5</v>
      </c>
      <c r="E989" s="28" t="s">
        <v>14</v>
      </c>
      <c r="F989" s="7" t="s">
        <v>14</v>
      </c>
      <c r="G989" s="27" t="s">
        <v>14</v>
      </c>
      <c r="H989" s="27" t="s">
        <v>14</v>
      </c>
    </row>
    <row r="990" spans="2:8" x14ac:dyDescent="0.3">
      <c r="B990" s="11">
        <v>41634</v>
      </c>
      <c r="C990" s="29" t="str">
        <f t="shared" si="15"/>
        <v/>
      </c>
      <c r="D990" s="8">
        <v>0.5</v>
      </c>
      <c r="E990" s="28" t="s">
        <v>14</v>
      </c>
      <c r="F990" s="7" t="s">
        <v>14</v>
      </c>
      <c r="G990" s="27" t="s">
        <v>14</v>
      </c>
      <c r="H990" s="27" t="s">
        <v>14</v>
      </c>
    </row>
    <row r="991" spans="2:8" x14ac:dyDescent="0.3">
      <c r="B991" s="9">
        <v>41635</v>
      </c>
      <c r="C991" s="29" t="str">
        <f t="shared" si="15"/>
        <v/>
      </c>
      <c r="D991" s="8">
        <v>0.5</v>
      </c>
      <c r="E991" s="28" t="s">
        <v>14</v>
      </c>
      <c r="F991" s="7" t="s">
        <v>14</v>
      </c>
      <c r="G991" s="27" t="s">
        <v>14</v>
      </c>
      <c r="H991" s="27" t="s">
        <v>14</v>
      </c>
    </row>
    <row r="992" spans="2:8" x14ac:dyDescent="0.3">
      <c r="B992" s="11">
        <v>41638</v>
      </c>
      <c r="C992" s="29">
        <f t="shared" si="15"/>
        <v>0.5</v>
      </c>
      <c r="D992" s="8">
        <v>0.5</v>
      </c>
      <c r="E992" s="28">
        <v>0.5</v>
      </c>
      <c r="F992" s="7">
        <v>0.5</v>
      </c>
      <c r="G992" s="27">
        <v>0.5</v>
      </c>
      <c r="H992" s="27">
        <v>0.5</v>
      </c>
    </row>
    <row r="993" spans="2:8" x14ac:dyDescent="0.3">
      <c r="B993" s="9">
        <v>41641</v>
      </c>
      <c r="C993" s="29" t="str">
        <f t="shared" si="15"/>
        <v/>
      </c>
      <c r="D993" s="8">
        <v>0.5</v>
      </c>
      <c r="E993" s="28" t="s">
        <v>14</v>
      </c>
      <c r="F993" s="7" t="s">
        <v>14</v>
      </c>
      <c r="G993" s="27" t="s">
        <v>14</v>
      </c>
      <c r="H993" s="27" t="s">
        <v>14</v>
      </c>
    </row>
    <row r="994" spans="2:8" x14ac:dyDescent="0.3">
      <c r="B994" s="11">
        <v>41642</v>
      </c>
      <c r="C994" s="29" t="str">
        <f t="shared" si="15"/>
        <v/>
      </c>
      <c r="D994" s="8">
        <v>0.5</v>
      </c>
      <c r="E994" s="28" t="s">
        <v>14</v>
      </c>
      <c r="F994" s="7" t="s">
        <v>14</v>
      </c>
      <c r="G994" s="27" t="s">
        <v>14</v>
      </c>
      <c r="H994" s="27" t="s">
        <v>14</v>
      </c>
    </row>
    <row r="995" spans="2:8" x14ac:dyDescent="0.3">
      <c r="B995" s="9">
        <v>41645</v>
      </c>
      <c r="C995" s="29" t="str">
        <f t="shared" si="15"/>
        <v/>
      </c>
      <c r="D995" s="8">
        <v>0.5</v>
      </c>
      <c r="E995" s="28" t="s">
        <v>14</v>
      </c>
      <c r="F995" s="7" t="s">
        <v>14</v>
      </c>
      <c r="G995" s="27" t="s">
        <v>14</v>
      </c>
      <c r="H995" s="27" t="s">
        <v>14</v>
      </c>
    </row>
    <row r="996" spans="2:8" x14ac:dyDescent="0.3">
      <c r="B996" s="11">
        <v>41646</v>
      </c>
      <c r="C996" s="29" t="str">
        <f t="shared" si="15"/>
        <v/>
      </c>
      <c r="D996" s="8">
        <v>0.5</v>
      </c>
      <c r="E996" s="28" t="s">
        <v>14</v>
      </c>
      <c r="F996" s="7" t="s">
        <v>14</v>
      </c>
      <c r="G996" s="27" t="s">
        <v>14</v>
      </c>
      <c r="H996" s="27" t="s">
        <v>14</v>
      </c>
    </row>
    <row r="997" spans="2:8" x14ac:dyDescent="0.3">
      <c r="B997" s="9">
        <v>41647</v>
      </c>
      <c r="C997" s="29" t="str">
        <f t="shared" si="15"/>
        <v/>
      </c>
      <c r="D997" s="8">
        <v>0.5</v>
      </c>
      <c r="E997" s="28" t="s">
        <v>14</v>
      </c>
      <c r="F997" s="7" t="s">
        <v>14</v>
      </c>
      <c r="G997" s="27" t="s">
        <v>14</v>
      </c>
      <c r="H997" s="27" t="s">
        <v>14</v>
      </c>
    </row>
    <row r="998" spans="2:8" x14ac:dyDescent="0.3">
      <c r="B998" s="11">
        <v>41648</v>
      </c>
      <c r="C998" s="29" t="str">
        <f t="shared" si="15"/>
        <v/>
      </c>
      <c r="D998" s="8">
        <v>0.5</v>
      </c>
      <c r="E998" s="28" t="s">
        <v>14</v>
      </c>
      <c r="F998" s="7" t="s">
        <v>14</v>
      </c>
      <c r="G998" s="27" t="s">
        <v>14</v>
      </c>
      <c r="H998" s="27" t="s">
        <v>14</v>
      </c>
    </row>
    <row r="999" spans="2:8" x14ac:dyDescent="0.3">
      <c r="B999" s="9">
        <v>41649</v>
      </c>
      <c r="C999" s="29" t="str">
        <f t="shared" si="15"/>
        <v/>
      </c>
      <c r="D999" s="8">
        <v>0.5</v>
      </c>
      <c r="E999" s="28" t="s">
        <v>14</v>
      </c>
      <c r="F999" s="7" t="s">
        <v>14</v>
      </c>
      <c r="G999" s="27" t="s">
        <v>14</v>
      </c>
      <c r="H999" s="27" t="s">
        <v>14</v>
      </c>
    </row>
    <row r="1000" spans="2:8" x14ac:dyDescent="0.3">
      <c r="B1000" s="11">
        <v>41652</v>
      </c>
      <c r="C1000" s="29" t="str">
        <f t="shared" si="15"/>
        <v/>
      </c>
      <c r="D1000" s="8">
        <v>0.5</v>
      </c>
      <c r="E1000" s="28" t="s">
        <v>14</v>
      </c>
      <c r="F1000" s="7" t="s">
        <v>14</v>
      </c>
      <c r="G1000" s="27" t="s">
        <v>14</v>
      </c>
      <c r="H1000" s="27" t="s">
        <v>14</v>
      </c>
    </row>
    <row r="1001" spans="2:8" x14ac:dyDescent="0.3">
      <c r="B1001" s="9">
        <v>41653</v>
      </c>
      <c r="C1001" s="29" t="str">
        <f t="shared" si="15"/>
        <v/>
      </c>
      <c r="D1001" s="8">
        <v>0.5</v>
      </c>
      <c r="E1001" s="28" t="s">
        <v>14</v>
      </c>
      <c r="F1001" s="7" t="s">
        <v>14</v>
      </c>
      <c r="G1001" s="27" t="s">
        <v>14</v>
      </c>
      <c r="H1001" s="27" t="s">
        <v>14</v>
      </c>
    </row>
    <row r="1002" spans="2:8" x14ac:dyDescent="0.3">
      <c r="B1002" s="11">
        <v>41654</v>
      </c>
      <c r="C1002" s="29" t="str">
        <f t="shared" si="15"/>
        <v/>
      </c>
      <c r="D1002" s="8">
        <v>0.5</v>
      </c>
      <c r="E1002" s="28" t="s">
        <v>14</v>
      </c>
      <c r="F1002" s="7" t="s">
        <v>14</v>
      </c>
      <c r="G1002" s="27" t="s">
        <v>14</v>
      </c>
      <c r="H1002" s="27" t="s">
        <v>14</v>
      </c>
    </row>
    <row r="1003" spans="2:8" x14ac:dyDescent="0.3">
      <c r="B1003" s="9">
        <v>41655</v>
      </c>
      <c r="C1003" s="29" t="str">
        <f t="shared" si="15"/>
        <v/>
      </c>
      <c r="D1003" s="8">
        <v>0.5</v>
      </c>
      <c r="E1003" s="28" t="s">
        <v>14</v>
      </c>
      <c r="F1003" s="7" t="s">
        <v>14</v>
      </c>
      <c r="G1003" s="27" t="s">
        <v>14</v>
      </c>
      <c r="H1003" s="27" t="s">
        <v>14</v>
      </c>
    </row>
    <row r="1004" spans="2:8" x14ac:dyDescent="0.3">
      <c r="B1004" s="11">
        <v>41656</v>
      </c>
      <c r="C1004" s="29" t="str">
        <f t="shared" si="15"/>
        <v/>
      </c>
      <c r="D1004" s="8">
        <v>0.5</v>
      </c>
      <c r="E1004" s="28" t="s">
        <v>14</v>
      </c>
      <c r="F1004" s="7" t="s">
        <v>14</v>
      </c>
      <c r="G1004" s="27" t="s">
        <v>14</v>
      </c>
      <c r="H1004" s="27" t="s">
        <v>14</v>
      </c>
    </row>
    <row r="1005" spans="2:8" x14ac:dyDescent="0.3">
      <c r="B1005" s="9">
        <v>41659</v>
      </c>
      <c r="C1005" s="29" t="str">
        <f t="shared" si="15"/>
        <v/>
      </c>
      <c r="D1005" s="8">
        <v>0.5</v>
      </c>
      <c r="E1005" s="28" t="s">
        <v>14</v>
      </c>
      <c r="F1005" s="7" t="s">
        <v>14</v>
      </c>
      <c r="G1005" s="27" t="s">
        <v>14</v>
      </c>
      <c r="H1005" s="27" t="s">
        <v>14</v>
      </c>
    </row>
    <row r="1006" spans="2:8" x14ac:dyDescent="0.3">
      <c r="B1006" s="11">
        <v>41660</v>
      </c>
      <c r="C1006" s="29" t="str">
        <f t="shared" si="15"/>
        <v/>
      </c>
      <c r="D1006" s="8">
        <v>0.5</v>
      </c>
      <c r="E1006" s="28" t="s">
        <v>14</v>
      </c>
      <c r="F1006" s="7" t="s">
        <v>14</v>
      </c>
      <c r="G1006" s="27" t="s">
        <v>14</v>
      </c>
      <c r="H1006" s="27" t="s">
        <v>14</v>
      </c>
    </row>
    <row r="1007" spans="2:8" x14ac:dyDescent="0.3">
      <c r="B1007" s="9">
        <v>41661</v>
      </c>
      <c r="C1007" s="29" t="str">
        <f t="shared" si="15"/>
        <v/>
      </c>
      <c r="D1007" s="8">
        <v>0.5</v>
      </c>
      <c r="E1007" s="28" t="s">
        <v>14</v>
      </c>
      <c r="F1007" s="7" t="s">
        <v>14</v>
      </c>
      <c r="G1007" s="27" t="s">
        <v>14</v>
      </c>
      <c r="H1007" s="27" t="s">
        <v>14</v>
      </c>
    </row>
    <row r="1008" spans="2:8" x14ac:dyDescent="0.3">
      <c r="B1008" s="11">
        <v>41662</v>
      </c>
      <c r="C1008" s="29" t="str">
        <f t="shared" si="15"/>
        <v/>
      </c>
      <c r="D1008" s="8">
        <v>0.5</v>
      </c>
      <c r="E1008" s="28" t="s">
        <v>14</v>
      </c>
      <c r="F1008" s="7" t="s">
        <v>14</v>
      </c>
      <c r="G1008" s="27" t="s">
        <v>14</v>
      </c>
      <c r="H1008" s="27" t="s">
        <v>14</v>
      </c>
    </row>
    <row r="1009" spans="2:8" x14ac:dyDescent="0.3">
      <c r="B1009" s="9">
        <v>41663</v>
      </c>
      <c r="C1009" s="29" t="str">
        <f t="shared" si="15"/>
        <v/>
      </c>
      <c r="D1009" s="8">
        <v>0.5</v>
      </c>
      <c r="E1009" s="28" t="s">
        <v>14</v>
      </c>
      <c r="F1009" s="7" t="s">
        <v>14</v>
      </c>
      <c r="G1009" s="27" t="s">
        <v>14</v>
      </c>
      <c r="H1009" s="27" t="s">
        <v>14</v>
      </c>
    </row>
    <row r="1010" spans="2:8" x14ac:dyDescent="0.3">
      <c r="B1010" s="11">
        <v>41666</v>
      </c>
      <c r="C1010" s="29" t="str">
        <f t="shared" si="15"/>
        <v/>
      </c>
      <c r="D1010" s="8">
        <v>0.5</v>
      </c>
      <c r="E1010" s="28" t="s">
        <v>14</v>
      </c>
      <c r="F1010" s="7" t="s">
        <v>14</v>
      </c>
      <c r="G1010" s="27" t="s">
        <v>14</v>
      </c>
      <c r="H1010" s="27" t="s">
        <v>14</v>
      </c>
    </row>
    <row r="1011" spans="2:8" x14ac:dyDescent="0.3">
      <c r="B1011" s="9">
        <v>41667</v>
      </c>
      <c r="C1011" s="29" t="str">
        <f t="shared" si="15"/>
        <v/>
      </c>
      <c r="D1011" s="8">
        <v>0.5</v>
      </c>
      <c r="E1011" s="28" t="s">
        <v>14</v>
      </c>
      <c r="F1011" s="7" t="s">
        <v>14</v>
      </c>
      <c r="G1011" s="27" t="s">
        <v>14</v>
      </c>
      <c r="H1011" s="27" t="s">
        <v>14</v>
      </c>
    </row>
    <row r="1012" spans="2:8" x14ac:dyDescent="0.3">
      <c r="B1012" s="11">
        <v>41668</v>
      </c>
      <c r="C1012" s="29" t="str">
        <f t="shared" si="15"/>
        <v/>
      </c>
      <c r="D1012" s="8">
        <v>0.5</v>
      </c>
      <c r="E1012" s="28" t="s">
        <v>14</v>
      </c>
      <c r="F1012" s="7" t="s">
        <v>14</v>
      </c>
      <c r="G1012" s="27" t="s">
        <v>14</v>
      </c>
      <c r="H1012" s="27" t="s">
        <v>14</v>
      </c>
    </row>
    <row r="1013" spans="2:8" x14ac:dyDescent="0.3">
      <c r="B1013" s="9">
        <v>41669</v>
      </c>
      <c r="C1013" s="29" t="str">
        <f t="shared" si="15"/>
        <v/>
      </c>
      <c r="D1013" s="8">
        <v>0.5</v>
      </c>
      <c r="E1013" s="28" t="s">
        <v>14</v>
      </c>
      <c r="F1013" s="7" t="s">
        <v>14</v>
      </c>
      <c r="G1013" s="27" t="s">
        <v>14</v>
      </c>
      <c r="H1013" s="27" t="s">
        <v>14</v>
      </c>
    </row>
    <row r="1014" spans="2:8" x14ac:dyDescent="0.3">
      <c r="B1014" s="11">
        <v>41670</v>
      </c>
      <c r="C1014" s="29" t="str">
        <f t="shared" si="15"/>
        <v/>
      </c>
      <c r="D1014" s="8">
        <v>0.5</v>
      </c>
      <c r="E1014" s="28">
        <v>0.5</v>
      </c>
      <c r="F1014" s="7" t="s">
        <v>14</v>
      </c>
      <c r="G1014" s="27" t="s">
        <v>14</v>
      </c>
      <c r="H1014" s="27" t="s">
        <v>14</v>
      </c>
    </row>
    <row r="1015" spans="2:8" x14ac:dyDescent="0.3">
      <c r="B1015" s="9">
        <v>41673</v>
      </c>
      <c r="C1015" s="29" t="str">
        <f t="shared" si="15"/>
        <v/>
      </c>
      <c r="D1015" s="8">
        <v>0.5</v>
      </c>
      <c r="E1015" s="28" t="s">
        <v>14</v>
      </c>
      <c r="F1015" s="7" t="s">
        <v>14</v>
      </c>
      <c r="G1015" s="27" t="s">
        <v>14</v>
      </c>
      <c r="H1015" s="27" t="s">
        <v>14</v>
      </c>
    </row>
    <row r="1016" spans="2:8" x14ac:dyDescent="0.3">
      <c r="B1016" s="11">
        <v>41674</v>
      </c>
      <c r="C1016" s="29" t="str">
        <f t="shared" si="15"/>
        <v/>
      </c>
      <c r="D1016" s="8">
        <v>0.5</v>
      </c>
      <c r="E1016" s="28" t="s">
        <v>14</v>
      </c>
      <c r="F1016" s="7" t="s">
        <v>14</v>
      </c>
      <c r="G1016" s="27" t="s">
        <v>14</v>
      </c>
      <c r="H1016" s="27" t="s">
        <v>14</v>
      </c>
    </row>
    <row r="1017" spans="2:8" x14ac:dyDescent="0.3">
      <c r="B1017" s="9">
        <v>41675</v>
      </c>
      <c r="C1017" s="29" t="str">
        <f t="shared" si="15"/>
        <v/>
      </c>
      <c r="D1017" s="8">
        <v>0.5</v>
      </c>
      <c r="E1017" s="28" t="s">
        <v>14</v>
      </c>
      <c r="F1017" s="7" t="s">
        <v>14</v>
      </c>
      <c r="G1017" s="27" t="s">
        <v>14</v>
      </c>
      <c r="H1017" s="27" t="s">
        <v>14</v>
      </c>
    </row>
    <row r="1018" spans="2:8" x14ac:dyDescent="0.3">
      <c r="B1018" s="11">
        <v>41676</v>
      </c>
      <c r="C1018" s="29" t="str">
        <f t="shared" si="15"/>
        <v/>
      </c>
      <c r="D1018" s="8">
        <v>0.5</v>
      </c>
      <c r="E1018" s="28" t="s">
        <v>14</v>
      </c>
      <c r="F1018" s="7" t="s">
        <v>14</v>
      </c>
      <c r="G1018" s="27" t="s">
        <v>14</v>
      </c>
      <c r="H1018" s="27" t="s">
        <v>14</v>
      </c>
    </row>
    <row r="1019" spans="2:8" x14ac:dyDescent="0.3">
      <c r="B1019" s="9">
        <v>41677</v>
      </c>
      <c r="C1019" s="29" t="str">
        <f t="shared" si="15"/>
        <v/>
      </c>
      <c r="D1019" s="8">
        <v>0.5</v>
      </c>
      <c r="E1019" s="28" t="s">
        <v>14</v>
      </c>
      <c r="F1019" s="7" t="s">
        <v>14</v>
      </c>
      <c r="G1019" s="27" t="s">
        <v>14</v>
      </c>
      <c r="H1019" s="27" t="s">
        <v>14</v>
      </c>
    </row>
    <row r="1020" spans="2:8" x14ac:dyDescent="0.3">
      <c r="B1020" s="11">
        <v>41680</v>
      </c>
      <c r="C1020" s="29" t="str">
        <f t="shared" si="15"/>
        <v/>
      </c>
      <c r="D1020" s="8">
        <v>0.5</v>
      </c>
      <c r="E1020" s="28" t="s">
        <v>14</v>
      </c>
      <c r="F1020" s="7" t="s">
        <v>14</v>
      </c>
      <c r="G1020" s="27" t="s">
        <v>14</v>
      </c>
      <c r="H1020" s="27" t="s">
        <v>14</v>
      </c>
    </row>
    <row r="1021" spans="2:8" x14ac:dyDescent="0.3">
      <c r="B1021" s="9">
        <v>41681</v>
      </c>
      <c r="C1021" s="29" t="str">
        <f t="shared" si="15"/>
        <v/>
      </c>
      <c r="D1021" s="8">
        <v>0.5</v>
      </c>
      <c r="E1021" s="28" t="s">
        <v>14</v>
      </c>
      <c r="F1021" s="7" t="s">
        <v>14</v>
      </c>
      <c r="G1021" s="27" t="s">
        <v>14</v>
      </c>
      <c r="H1021" s="27" t="s">
        <v>14</v>
      </c>
    </row>
    <row r="1022" spans="2:8" x14ac:dyDescent="0.3">
      <c r="B1022" s="11">
        <v>41682</v>
      </c>
      <c r="C1022" s="29" t="str">
        <f t="shared" si="15"/>
        <v/>
      </c>
      <c r="D1022" s="8">
        <v>0.5</v>
      </c>
      <c r="E1022" s="28" t="s">
        <v>14</v>
      </c>
      <c r="F1022" s="7" t="s">
        <v>14</v>
      </c>
      <c r="G1022" s="27" t="s">
        <v>14</v>
      </c>
      <c r="H1022" s="27" t="s">
        <v>14</v>
      </c>
    </row>
    <row r="1023" spans="2:8" x14ac:dyDescent="0.3">
      <c r="B1023" s="9">
        <v>41683</v>
      </c>
      <c r="C1023" s="29" t="str">
        <f t="shared" si="15"/>
        <v/>
      </c>
      <c r="D1023" s="8">
        <v>0.5</v>
      </c>
      <c r="E1023" s="28" t="s">
        <v>14</v>
      </c>
      <c r="F1023" s="7" t="s">
        <v>14</v>
      </c>
      <c r="G1023" s="27" t="s">
        <v>14</v>
      </c>
      <c r="H1023" s="27" t="s">
        <v>14</v>
      </c>
    </row>
    <row r="1024" spans="2:8" x14ac:dyDescent="0.3">
      <c r="B1024" s="11">
        <v>41684</v>
      </c>
      <c r="C1024" s="29" t="str">
        <f t="shared" si="15"/>
        <v/>
      </c>
      <c r="D1024" s="8">
        <v>0.5</v>
      </c>
      <c r="E1024" s="28" t="s">
        <v>14</v>
      </c>
      <c r="F1024" s="7" t="s">
        <v>14</v>
      </c>
      <c r="G1024" s="27" t="s">
        <v>14</v>
      </c>
      <c r="H1024" s="27" t="s">
        <v>14</v>
      </c>
    </row>
    <row r="1025" spans="2:8" x14ac:dyDescent="0.3">
      <c r="B1025" s="9">
        <v>41687</v>
      </c>
      <c r="C1025" s="29" t="str">
        <f t="shared" si="15"/>
        <v/>
      </c>
      <c r="D1025" s="8">
        <v>0.5</v>
      </c>
      <c r="E1025" s="28" t="s">
        <v>14</v>
      </c>
      <c r="F1025" s="7" t="s">
        <v>14</v>
      </c>
      <c r="G1025" s="27" t="s">
        <v>14</v>
      </c>
      <c r="H1025" s="27" t="s">
        <v>14</v>
      </c>
    </row>
    <row r="1026" spans="2:8" x14ac:dyDescent="0.3">
      <c r="B1026" s="11">
        <v>41688</v>
      </c>
      <c r="C1026" s="29" t="str">
        <f t="shared" si="15"/>
        <v/>
      </c>
      <c r="D1026" s="8">
        <v>0.5</v>
      </c>
      <c r="E1026" s="28" t="s">
        <v>14</v>
      </c>
      <c r="F1026" s="7" t="s">
        <v>14</v>
      </c>
      <c r="G1026" s="27" t="s">
        <v>14</v>
      </c>
      <c r="H1026" s="27" t="s">
        <v>14</v>
      </c>
    </row>
    <row r="1027" spans="2:8" x14ac:dyDescent="0.3">
      <c r="B1027" s="9">
        <v>41689</v>
      </c>
      <c r="C1027" s="29" t="str">
        <f t="shared" ref="C1027:C1090" si="16">INDEX(D1027:H1027,MATCH($A$1,$D$1:$H$1,0))</f>
        <v/>
      </c>
      <c r="D1027" s="8">
        <v>0.5</v>
      </c>
      <c r="E1027" s="28" t="s">
        <v>14</v>
      </c>
      <c r="F1027" s="7" t="s">
        <v>14</v>
      </c>
      <c r="G1027" s="27" t="s">
        <v>14</v>
      </c>
      <c r="H1027" s="27" t="s">
        <v>14</v>
      </c>
    </row>
    <row r="1028" spans="2:8" x14ac:dyDescent="0.3">
      <c r="B1028" s="11">
        <v>41690</v>
      </c>
      <c r="C1028" s="29" t="str">
        <f t="shared" si="16"/>
        <v/>
      </c>
      <c r="D1028" s="8">
        <v>0.5</v>
      </c>
      <c r="E1028" s="28" t="s">
        <v>14</v>
      </c>
      <c r="F1028" s="7" t="s">
        <v>14</v>
      </c>
      <c r="G1028" s="27" t="s">
        <v>14</v>
      </c>
      <c r="H1028" s="27" t="s">
        <v>14</v>
      </c>
    </row>
    <row r="1029" spans="2:8" x14ac:dyDescent="0.3">
      <c r="B1029" s="9">
        <v>41691</v>
      </c>
      <c r="C1029" s="29" t="str">
        <f t="shared" si="16"/>
        <v/>
      </c>
      <c r="D1029" s="8">
        <v>0.5</v>
      </c>
      <c r="E1029" s="28" t="s">
        <v>14</v>
      </c>
      <c r="F1029" s="7" t="s">
        <v>14</v>
      </c>
      <c r="G1029" s="27" t="s">
        <v>14</v>
      </c>
      <c r="H1029" s="27" t="s">
        <v>14</v>
      </c>
    </row>
    <row r="1030" spans="2:8" x14ac:dyDescent="0.3">
      <c r="B1030" s="11">
        <v>41694</v>
      </c>
      <c r="C1030" s="29" t="str">
        <f t="shared" si="16"/>
        <v/>
      </c>
      <c r="D1030" s="8">
        <v>0.5</v>
      </c>
      <c r="E1030" s="28" t="s">
        <v>14</v>
      </c>
      <c r="F1030" s="7" t="s">
        <v>14</v>
      </c>
      <c r="G1030" s="27" t="s">
        <v>14</v>
      </c>
      <c r="H1030" s="27" t="s">
        <v>14</v>
      </c>
    </row>
    <row r="1031" spans="2:8" x14ac:dyDescent="0.3">
      <c r="B1031" s="9">
        <v>41695</v>
      </c>
      <c r="C1031" s="29" t="str">
        <f t="shared" si="16"/>
        <v/>
      </c>
      <c r="D1031" s="8">
        <v>0.5</v>
      </c>
      <c r="E1031" s="28" t="s">
        <v>14</v>
      </c>
      <c r="F1031" s="7" t="s">
        <v>14</v>
      </c>
      <c r="G1031" s="27" t="s">
        <v>14</v>
      </c>
      <c r="H1031" s="27" t="s">
        <v>14</v>
      </c>
    </row>
    <row r="1032" spans="2:8" x14ac:dyDescent="0.3">
      <c r="B1032" s="11">
        <v>41696</v>
      </c>
      <c r="C1032" s="29" t="str">
        <f t="shared" si="16"/>
        <v/>
      </c>
      <c r="D1032" s="8">
        <v>0.5</v>
      </c>
      <c r="E1032" s="28" t="s">
        <v>14</v>
      </c>
      <c r="F1032" s="7" t="s">
        <v>14</v>
      </c>
      <c r="G1032" s="27" t="s">
        <v>14</v>
      </c>
      <c r="H1032" s="27" t="s">
        <v>14</v>
      </c>
    </row>
    <row r="1033" spans="2:8" x14ac:dyDescent="0.3">
      <c r="B1033" s="9">
        <v>41697</v>
      </c>
      <c r="C1033" s="29" t="str">
        <f t="shared" si="16"/>
        <v/>
      </c>
      <c r="D1033" s="8">
        <v>0.5</v>
      </c>
      <c r="E1033" s="28" t="s">
        <v>14</v>
      </c>
      <c r="F1033" s="7" t="s">
        <v>14</v>
      </c>
      <c r="G1033" s="27" t="s">
        <v>14</v>
      </c>
      <c r="H1033" s="27" t="s">
        <v>14</v>
      </c>
    </row>
    <row r="1034" spans="2:8" x14ac:dyDescent="0.3">
      <c r="B1034" s="11">
        <v>41698</v>
      </c>
      <c r="C1034" s="29" t="str">
        <f t="shared" si="16"/>
        <v/>
      </c>
      <c r="D1034" s="8">
        <v>0.5</v>
      </c>
      <c r="E1034" s="28">
        <v>0.5</v>
      </c>
      <c r="F1034" s="7" t="s">
        <v>14</v>
      </c>
      <c r="G1034" s="27" t="s">
        <v>14</v>
      </c>
      <c r="H1034" s="27" t="s">
        <v>14</v>
      </c>
    </row>
    <row r="1035" spans="2:8" x14ac:dyDescent="0.3">
      <c r="B1035" s="9">
        <v>41703</v>
      </c>
      <c r="C1035" s="29" t="str">
        <f t="shared" si="16"/>
        <v/>
      </c>
      <c r="D1035" s="8">
        <v>0.5</v>
      </c>
      <c r="E1035" s="28" t="s">
        <v>14</v>
      </c>
      <c r="F1035" s="7" t="s">
        <v>14</v>
      </c>
      <c r="G1035" s="27" t="s">
        <v>14</v>
      </c>
      <c r="H1035" s="27" t="s">
        <v>14</v>
      </c>
    </row>
    <row r="1036" spans="2:8" x14ac:dyDescent="0.3">
      <c r="B1036" s="11">
        <v>41704</v>
      </c>
      <c r="C1036" s="29" t="str">
        <f t="shared" si="16"/>
        <v/>
      </c>
      <c r="D1036" s="8">
        <v>0.5</v>
      </c>
      <c r="E1036" s="28" t="s">
        <v>14</v>
      </c>
      <c r="F1036" s="7" t="s">
        <v>14</v>
      </c>
      <c r="G1036" s="27" t="s">
        <v>14</v>
      </c>
      <c r="H1036" s="27" t="s">
        <v>14</v>
      </c>
    </row>
    <row r="1037" spans="2:8" x14ac:dyDescent="0.3">
      <c r="B1037" s="9">
        <v>41705</v>
      </c>
      <c r="C1037" s="29" t="str">
        <f t="shared" si="16"/>
        <v/>
      </c>
      <c r="D1037" s="8">
        <v>0.5</v>
      </c>
      <c r="E1037" s="28" t="s">
        <v>14</v>
      </c>
      <c r="F1037" s="7" t="s">
        <v>14</v>
      </c>
      <c r="G1037" s="27" t="s">
        <v>14</v>
      </c>
      <c r="H1037" s="27" t="s">
        <v>14</v>
      </c>
    </row>
    <row r="1038" spans="2:8" x14ac:dyDescent="0.3">
      <c r="B1038" s="11">
        <v>41708</v>
      </c>
      <c r="C1038" s="29" t="str">
        <f t="shared" si="16"/>
        <v/>
      </c>
      <c r="D1038" s="8">
        <v>0.5</v>
      </c>
      <c r="E1038" s="28" t="s">
        <v>14</v>
      </c>
      <c r="F1038" s="7" t="s">
        <v>14</v>
      </c>
      <c r="G1038" s="27" t="s">
        <v>14</v>
      </c>
      <c r="H1038" s="27" t="s">
        <v>14</v>
      </c>
    </row>
    <row r="1039" spans="2:8" x14ac:dyDescent="0.3">
      <c r="B1039" s="9">
        <v>41709</v>
      </c>
      <c r="C1039" s="29" t="str">
        <f t="shared" si="16"/>
        <v/>
      </c>
      <c r="D1039" s="8">
        <v>0.5</v>
      </c>
      <c r="E1039" s="28" t="s">
        <v>14</v>
      </c>
      <c r="F1039" s="7" t="s">
        <v>14</v>
      </c>
      <c r="G1039" s="27" t="s">
        <v>14</v>
      </c>
      <c r="H1039" s="27" t="s">
        <v>14</v>
      </c>
    </row>
    <row r="1040" spans="2:8" x14ac:dyDescent="0.3">
      <c r="B1040" s="11">
        <v>41710</v>
      </c>
      <c r="C1040" s="29" t="str">
        <f t="shared" si="16"/>
        <v/>
      </c>
      <c r="D1040" s="8">
        <v>0.5</v>
      </c>
      <c r="E1040" s="28" t="s">
        <v>14</v>
      </c>
      <c r="F1040" s="7" t="s">
        <v>14</v>
      </c>
      <c r="G1040" s="27" t="s">
        <v>14</v>
      </c>
      <c r="H1040" s="27" t="s">
        <v>14</v>
      </c>
    </row>
    <row r="1041" spans="2:8" x14ac:dyDescent="0.3">
      <c r="B1041" s="9">
        <v>41711</v>
      </c>
      <c r="C1041" s="29" t="str">
        <f t="shared" si="16"/>
        <v/>
      </c>
      <c r="D1041" s="8">
        <v>0.5</v>
      </c>
      <c r="E1041" s="28" t="s">
        <v>14</v>
      </c>
      <c r="F1041" s="7" t="s">
        <v>14</v>
      </c>
      <c r="G1041" s="27" t="s">
        <v>14</v>
      </c>
      <c r="H1041" s="27" t="s">
        <v>14</v>
      </c>
    </row>
    <row r="1042" spans="2:8" x14ac:dyDescent="0.3">
      <c r="B1042" s="11">
        <v>41712</v>
      </c>
      <c r="C1042" s="29" t="str">
        <f t="shared" si="16"/>
        <v/>
      </c>
      <c r="D1042" s="8">
        <v>0.5</v>
      </c>
      <c r="E1042" s="28" t="s">
        <v>14</v>
      </c>
      <c r="F1042" s="7" t="s">
        <v>14</v>
      </c>
      <c r="G1042" s="27" t="s">
        <v>14</v>
      </c>
      <c r="H1042" s="27" t="s">
        <v>14</v>
      </c>
    </row>
    <row r="1043" spans="2:8" x14ac:dyDescent="0.3">
      <c r="B1043" s="9">
        <v>41715</v>
      </c>
      <c r="C1043" s="29" t="str">
        <f t="shared" si="16"/>
        <v/>
      </c>
      <c r="D1043" s="8">
        <v>0.5</v>
      </c>
      <c r="E1043" s="28" t="s">
        <v>14</v>
      </c>
      <c r="F1043" s="7" t="s">
        <v>14</v>
      </c>
      <c r="G1043" s="27" t="s">
        <v>14</v>
      </c>
      <c r="H1043" s="27" t="s">
        <v>14</v>
      </c>
    </row>
    <row r="1044" spans="2:8" x14ac:dyDescent="0.3">
      <c r="B1044" s="11">
        <v>41716</v>
      </c>
      <c r="C1044" s="29" t="str">
        <f t="shared" si="16"/>
        <v/>
      </c>
      <c r="D1044" s="8">
        <v>0.5</v>
      </c>
      <c r="E1044" s="28" t="s">
        <v>14</v>
      </c>
      <c r="F1044" s="7" t="s">
        <v>14</v>
      </c>
      <c r="G1044" s="27" t="s">
        <v>14</v>
      </c>
      <c r="H1044" s="27" t="s">
        <v>14</v>
      </c>
    </row>
    <row r="1045" spans="2:8" x14ac:dyDescent="0.3">
      <c r="B1045" s="9">
        <v>41717</v>
      </c>
      <c r="C1045" s="29" t="str">
        <f t="shared" si="16"/>
        <v/>
      </c>
      <c r="D1045" s="8">
        <v>0.5</v>
      </c>
      <c r="E1045" s="28" t="s">
        <v>14</v>
      </c>
      <c r="F1045" s="7" t="s">
        <v>14</v>
      </c>
      <c r="G1045" s="27" t="s">
        <v>14</v>
      </c>
      <c r="H1045" s="27" t="s">
        <v>14</v>
      </c>
    </row>
    <row r="1046" spans="2:8" x14ac:dyDescent="0.3">
      <c r="B1046" s="11">
        <v>41718</v>
      </c>
      <c r="C1046" s="29" t="str">
        <f t="shared" si="16"/>
        <v/>
      </c>
      <c r="D1046" s="8">
        <v>0.5</v>
      </c>
      <c r="E1046" s="28" t="s">
        <v>14</v>
      </c>
      <c r="F1046" s="7" t="s">
        <v>14</v>
      </c>
      <c r="G1046" s="27" t="s">
        <v>14</v>
      </c>
      <c r="H1046" s="27" t="s">
        <v>14</v>
      </c>
    </row>
    <row r="1047" spans="2:8" x14ac:dyDescent="0.3">
      <c r="B1047" s="9">
        <v>41719</v>
      </c>
      <c r="C1047" s="29" t="str">
        <f t="shared" si="16"/>
        <v/>
      </c>
      <c r="D1047" s="8">
        <v>0.5</v>
      </c>
      <c r="E1047" s="28" t="s">
        <v>14</v>
      </c>
      <c r="F1047" s="7" t="s">
        <v>14</v>
      </c>
      <c r="G1047" s="27" t="s">
        <v>14</v>
      </c>
      <c r="H1047" s="27" t="s">
        <v>14</v>
      </c>
    </row>
    <row r="1048" spans="2:8" x14ac:dyDescent="0.3">
      <c r="B1048" s="11">
        <v>41722</v>
      </c>
      <c r="C1048" s="29" t="str">
        <f t="shared" si="16"/>
        <v/>
      </c>
      <c r="D1048" s="8">
        <v>0.5</v>
      </c>
      <c r="E1048" s="28" t="s">
        <v>14</v>
      </c>
      <c r="F1048" s="7" t="s">
        <v>14</v>
      </c>
      <c r="G1048" s="27" t="s">
        <v>14</v>
      </c>
      <c r="H1048" s="27" t="s">
        <v>14</v>
      </c>
    </row>
    <row r="1049" spans="2:8" x14ac:dyDescent="0.3">
      <c r="B1049" s="9">
        <v>41723</v>
      </c>
      <c r="C1049" s="29" t="str">
        <f t="shared" si="16"/>
        <v/>
      </c>
      <c r="D1049" s="8">
        <v>0.5</v>
      </c>
      <c r="E1049" s="28" t="s">
        <v>14</v>
      </c>
      <c r="F1049" s="7" t="s">
        <v>14</v>
      </c>
      <c r="G1049" s="27" t="s">
        <v>14</v>
      </c>
      <c r="H1049" s="27" t="s">
        <v>14</v>
      </c>
    </row>
    <row r="1050" spans="2:8" x14ac:dyDescent="0.3">
      <c r="B1050" s="11">
        <v>41724</v>
      </c>
      <c r="C1050" s="29" t="str">
        <f t="shared" si="16"/>
        <v/>
      </c>
      <c r="D1050" s="8">
        <v>0.5</v>
      </c>
      <c r="E1050" s="28" t="s">
        <v>14</v>
      </c>
      <c r="F1050" s="7" t="s">
        <v>14</v>
      </c>
      <c r="G1050" s="27" t="s">
        <v>14</v>
      </c>
      <c r="H1050" s="27" t="s">
        <v>14</v>
      </c>
    </row>
    <row r="1051" spans="2:8" x14ac:dyDescent="0.3">
      <c r="B1051" s="9">
        <v>41725</v>
      </c>
      <c r="C1051" s="29" t="str">
        <f t="shared" si="16"/>
        <v/>
      </c>
      <c r="D1051" s="8">
        <v>0.5</v>
      </c>
      <c r="E1051" s="28" t="s">
        <v>14</v>
      </c>
      <c r="F1051" s="7" t="s">
        <v>14</v>
      </c>
      <c r="G1051" s="27" t="s">
        <v>14</v>
      </c>
      <c r="H1051" s="27" t="s">
        <v>14</v>
      </c>
    </row>
    <row r="1052" spans="2:8" x14ac:dyDescent="0.3">
      <c r="B1052" s="11">
        <v>41726</v>
      </c>
      <c r="C1052" s="29" t="str">
        <f t="shared" si="16"/>
        <v/>
      </c>
      <c r="D1052" s="8">
        <v>0.5</v>
      </c>
      <c r="E1052" s="28" t="s">
        <v>14</v>
      </c>
      <c r="F1052" s="7" t="s">
        <v>14</v>
      </c>
      <c r="G1052" s="27" t="s">
        <v>14</v>
      </c>
      <c r="H1052" s="27" t="s">
        <v>14</v>
      </c>
    </row>
    <row r="1053" spans="2:8" x14ac:dyDescent="0.3">
      <c r="B1053" s="9">
        <v>41729</v>
      </c>
      <c r="C1053" s="29">
        <f t="shared" si="16"/>
        <v>0</v>
      </c>
      <c r="D1053" s="8">
        <v>0.5</v>
      </c>
      <c r="E1053" s="28">
        <v>0.5</v>
      </c>
      <c r="F1053" s="7">
        <v>0.5</v>
      </c>
    </row>
    <row r="1054" spans="2:8" x14ac:dyDescent="0.3">
      <c r="B1054" s="11">
        <v>41730</v>
      </c>
      <c r="C1054" s="29" t="str">
        <f t="shared" si="16"/>
        <v/>
      </c>
      <c r="D1054" s="8">
        <v>0.5</v>
      </c>
      <c r="E1054" s="28" t="s">
        <v>14</v>
      </c>
      <c r="F1054" s="7" t="s">
        <v>14</v>
      </c>
      <c r="G1054" s="27" t="s">
        <v>14</v>
      </c>
      <c r="H1054" s="27" t="s">
        <v>14</v>
      </c>
    </row>
    <row r="1055" spans="2:8" x14ac:dyDescent="0.3">
      <c r="B1055" s="9">
        <v>41731</v>
      </c>
      <c r="C1055" s="29" t="str">
        <f t="shared" si="16"/>
        <v/>
      </c>
      <c r="D1055" s="8">
        <v>0.5</v>
      </c>
      <c r="E1055" s="28" t="s">
        <v>14</v>
      </c>
      <c r="F1055" s="7" t="s">
        <v>14</v>
      </c>
      <c r="G1055" s="27" t="s">
        <v>14</v>
      </c>
      <c r="H1055" s="27" t="s">
        <v>14</v>
      </c>
    </row>
    <row r="1056" spans="2:8" x14ac:dyDescent="0.3">
      <c r="B1056" s="11">
        <v>41732</v>
      </c>
      <c r="C1056" s="29" t="str">
        <f t="shared" si="16"/>
        <v/>
      </c>
      <c r="D1056" s="8">
        <v>0.5</v>
      </c>
      <c r="E1056" s="28" t="s">
        <v>14</v>
      </c>
      <c r="F1056" s="7" t="s">
        <v>14</v>
      </c>
      <c r="G1056" s="27" t="s">
        <v>14</v>
      </c>
      <c r="H1056" s="27" t="s">
        <v>14</v>
      </c>
    </row>
    <row r="1057" spans="2:8" x14ac:dyDescent="0.3">
      <c r="B1057" s="9">
        <v>41733</v>
      </c>
      <c r="C1057" s="29" t="str">
        <f t="shared" si="16"/>
        <v/>
      </c>
      <c r="D1057" s="8">
        <v>0.5</v>
      </c>
      <c r="E1057" s="28" t="s">
        <v>14</v>
      </c>
      <c r="F1057" s="7" t="s">
        <v>14</v>
      </c>
      <c r="G1057" s="27" t="s">
        <v>14</v>
      </c>
      <c r="H1057" s="27" t="s">
        <v>14</v>
      </c>
    </row>
    <row r="1058" spans="2:8" x14ac:dyDescent="0.3">
      <c r="B1058" s="11">
        <v>41736</v>
      </c>
      <c r="C1058" s="29" t="str">
        <f t="shared" si="16"/>
        <v/>
      </c>
      <c r="D1058" s="8">
        <v>0.5</v>
      </c>
      <c r="E1058" s="28" t="s">
        <v>14</v>
      </c>
      <c r="F1058" s="7" t="s">
        <v>14</v>
      </c>
      <c r="G1058" s="27" t="s">
        <v>14</v>
      </c>
      <c r="H1058" s="27" t="s">
        <v>14</v>
      </c>
    </row>
    <row r="1059" spans="2:8" x14ac:dyDescent="0.3">
      <c r="B1059" s="9">
        <v>41737</v>
      </c>
      <c r="C1059" s="29" t="str">
        <f t="shared" si="16"/>
        <v/>
      </c>
      <c r="D1059" s="8">
        <v>0.5</v>
      </c>
      <c r="E1059" s="28" t="s">
        <v>14</v>
      </c>
      <c r="F1059" s="7" t="s">
        <v>14</v>
      </c>
      <c r="G1059" s="27" t="s">
        <v>14</v>
      </c>
      <c r="H1059" s="27" t="s">
        <v>14</v>
      </c>
    </row>
    <row r="1060" spans="2:8" x14ac:dyDescent="0.3">
      <c r="B1060" s="11">
        <v>41738</v>
      </c>
      <c r="C1060" s="29" t="str">
        <f t="shared" si="16"/>
        <v/>
      </c>
      <c r="D1060" s="8">
        <v>0.5</v>
      </c>
      <c r="E1060" s="28" t="s">
        <v>14</v>
      </c>
      <c r="F1060" s="7" t="s">
        <v>14</v>
      </c>
      <c r="G1060" s="27" t="s">
        <v>14</v>
      </c>
      <c r="H1060" s="27" t="s">
        <v>14</v>
      </c>
    </row>
    <row r="1061" spans="2:8" x14ac:dyDescent="0.3">
      <c r="B1061" s="9">
        <v>41739</v>
      </c>
      <c r="C1061" s="29" t="str">
        <f t="shared" si="16"/>
        <v/>
      </c>
      <c r="D1061" s="8">
        <v>0.5</v>
      </c>
      <c r="E1061" s="28" t="s">
        <v>14</v>
      </c>
      <c r="F1061" s="7" t="s">
        <v>14</v>
      </c>
      <c r="G1061" s="27" t="s">
        <v>14</v>
      </c>
      <c r="H1061" s="27" t="s">
        <v>14</v>
      </c>
    </row>
    <row r="1062" spans="2:8" x14ac:dyDescent="0.3">
      <c r="B1062" s="11">
        <v>41740</v>
      </c>
      <c r="C1062" s="29" t="str">
        <f t="shared" si="16"/>
        <v/>
      </c>
      <c r="D1062" s="8">
        <v>0.5</v>
      </c>
      <c r="E1062" s="28" t="s">
        <v>14</v>
      </c>
      <c r="F1062" s="7" t="s">
        <v>14</v>
      </c>
      <c r="G1062" s="27" t="s">
        <v>14</v>
      </c>
      <c r="H1062" s="27" t="s">
        <v>14</v>
      </c>
    </row>
    <row r="1063" spans="2:8" x14ac:dyDescent="0.3">
      <c r="B1063" s="9">
        <v>41743</v>
      </c>
      <c r="C1063" s="29" t="str">
        <f t="shared" si="16"/>
        <v/>
      </c>
      <c r="D1063" s="8">
        <v>0.5</v>
      </c>
      <c r="E1063" s="28" t="s">
        <v>14</v>
      </c>
      <c r="F1063" s="7" t="s">
        <v>14</v>
      </c>
      <c r="G1063" s="27" t="s">
        <v>14</v>
      </c>
      <c r="H1063" s="27" t="s">
        <v>14</v>
      </c>
    </row>
    <row r="1064" spans="2:8" x14ac:dyDescent="0.3">
      <c r="B1064" s="11">
        <v>41744</v>
      </c>
      <c r="C1064" s="29" t="str">
        <f t="shared" si="16"/>
        <v/>
      </c>
      <c r="D1064" s="8">
        <v>0.5</v>
      </c>
      <c r="E1064" s="28" t="s">
        <v>14</v>
      </c>
      <c r="F1064" s="7" t="s">
        <v>14</v>
      </c>
      <c r="G1064" s="27" t="s">
        <v>14</v>
      </c>
      <c r="H1064" s="27" t="s">
        <v>14</v>
      </c>
    </row>
    <row r="1065" spans="2:8" x14ac:dyDescent="0.3">
      <c r="B1065" s="9">
        <v>41745</v>
      </c>
      <c r="C1065" s="29" t="str">
        <f t="shared" si="16"/>
        <v/>
      </c>
      <c r="D1065" s="8">
        <v>0.5</v>
      </c>
      <c r="E1065" s="28" t="s">
        <v>14</v>
      </c>
      <c r="F1065" s="7" t="s">
        <v>14</v>
      </c>
      <c r="G1065" s="27" t="s">
        <v>14</v>
      </c>
      <c r="H1065" s="27" t="s">
        <v>14</v>
      </c>
    </row>
    <row r="1066" spans="2:8" x14ac:dyDescent="0.3">
      <c r="B1066" s="11">
        <v>41746</v>
      </c>
      <c r="C1066" s="29" t="str">
        <f t="shared" si="16"/>
        <v/>
      </c>
      <c r="D1066" s="8">
        <v>0.5</v>
      </c>
      <c r="E1066" s="28" t="s">
        <v>14</v>
      </c>
      <c r="F1066" s="7" t="s">
        <v>14</v>
      </c>
      <c r="G1066" s="27" t="s">
        <v>14</v>
      </c>
      <c r="H1066" s="27" t="s">
        <v>14</v>
      </c>
    </row>
    <row r="1067" spans="2:8" x14ac:dyDescent="0.3">
      <c r="B1067" s="9">
        <v>41751</v>
      </c>
      <c r="C1067" s="29" t="str">
        <f t="shared" si="16"/>
        <v/>
      </c>
      <c r="D1067" s="8">
        <v>0.5</v>
      </c>
      <c r="E1067" s="28" t="s">
        <v>14</v>
      </c>
      <c r="F1067" s="7" t="s">
        <v>14</v>
      </c>
      <c r="G1067" s="27" t="s">
        <v>14</v>
      </c>
      <c r="H1067" s="27" t="s">
        <v>14</v>
      </c>
    </row>
    <row r="1068" spans="2:8" x14ac:dyDescent="0.3">
      <c r="B1068" s="11">
        <v>41752</v>
      </c>
      <c r="C1068" s="29" t="str">
        <f t="shared" si="16"/>
        <v/>
      </c>
      <c r="D1068" s="8">
        <v>0.5</v>
      </c>
      <c r="E1068" s="28" t="s">
        <v>14</v>
      </c>
      <c r="F1068" s="7" t="s">
        <v>14</v>
      </c>
      <c r="G1068" s="27" t="s">
        <v>14</v>
      </c>
      <c r="H1068" s="27" t="s">
        <v>14</v>
      </c>
    </row>
    <row r="1069" spans="2:8" x14ac:dyDescent="0.3">
      <c r="B1069" s="9">
        <v>41753</v>
      </c>
      <c r="C1069" s="29" t="str">
        <f t="shared" si="16"/>
        <v/>
      </c>
      <c r="D1069" s="8">
        <v>0.5</v>
      </c>
      <c r="E1069" s="28" t="s">
        <v>14</v>
      </c>
      <c r="F1069" s="7" t="s">
        <v>14</v>
      </c>
      <c r="G1069" s="27" t="s">
        <v>14</v>
      </c>
      <c r="H1069" s="27" t="s">
        <v>14</v>
      </c>
    </row>
    <row r="1070" spans="2:8" x14ac:dyDescent="0.3">
      <c r="B1070" s="11">
        <v>41754</v>
      </c>
      <c r="C1070" s="29" t="str">
        <f t="shared" si="16"/>
        <v/>
      </c>
      <c r="D1070" s="8">
        <v>0.5</v>
      </c>
      <c r="E1070" s="28" t="s">
        <v>14</v>
      </c>
      <c r="F1070" s="7" t="s">
        <v>14</v>
      </c>
      <c r="G1070" s="27" t="s">
        <v>14</v>
      </c>
      <c r="H1070" s="27" t="s">
        <v>14</v>
      </c>
    </row>
    <row r="1071" spans="2:8" x14ac:dyDescent="0.3">
      <c r="B1071" s="9">
        <v>41757</v>
      </c>
      <c r="C1071" s="29" t="str">
        <f t="shared" si="16"/>
        <v/>
      </c>
      <c r="D1071" s="8">
        <v>0.5</v>
      </c>
      <c r="E1071" s="28" t="s">
        <v>14</v>
      </c>
      <c r="F1071" s="7" t="s">
        <v>14</v>
      </c>
      <c r="G1071" s="27" t="s">
        <v>14</v>
      </c>
      <c r="H1071" s="27" t="s">
        <v>14</v>
      </c>
    </row>
    <row r="1072" spans="2:8" x14ac:dyDescent="0.3">
      <c r="B1072" s="11">
        <v>41758</v>
      </c>
      <c r="C1072" s="29" t="str">
        <f t="shared" si="16"/>
        <v/>
      </c>
      <c r="D1072" s="8">
        <v>0.5</v>
      </c>
      <c r="E1072" s="28" t="s">
        <v>14</v>
      </c>
      <c r="F1072" s="7" t="s">
        <v>14</v>
      </c>
      <c r="G1072" s="27" t="s">
        <v>14</v>
      </c>
      <c r="H1072" s="27" t="s">
        <v>14</v>
      </c>
    </row>
    <row r="1073" spans="2:8" x14ac:dyDescent="0.3">
      <c r="B1073" s="9">
        <v>41759</v>
      </c>
      <c r="C1073" s="29" t="str">
        <f t="shared" si="16"/>
        <v/>
      </c>
      <c r="D1073" s="8">
        <v>0.5</v>
      </c>
      <c r="E1073" s="28">
        <v>0.5</v>
      </c>
      <c r="F1073" s="7" t="s">
        <v>14</v>
      </c>
      <c r="G1073" s="27" t="s">
        <v>14</v>
      </c>
      <c r="H1073" s="27" t="s">
        <v>14</v>
      </c>
    </row>
    <row r="1074" spans="2:8" x14ac:dyDescent="0.3">
      <c r="B1074" s="11">
        <v>41761</v>
      </c>
      <c r="C1074" s="29" t="str">
        <f t="shared" si="16"/>
        <v/>
      </c>
      <c r="D1074" s="8">
        <v>0.5</v>
      </c>
      <c r="E1074" s="28" t="s">
        <v>14</v>
      </c>
      <c r="F1074" s="7" t="s">
        <v>14</v>
      </c>
      <c r="G1074" s="27" t="s">
        <v>14</v>
      </c>
      <c r="H1074" s="27" t="s">
        <v>14</v>
      </c>
    </row>
    <row r="1075" spans="2:8" x14ac:dyDescent="0.3">
      <c r="B1075" s="9">
        <v>41764</v>
      </c>
      <c r="C1075" s="29" t="str">
        <f t="shared" si="16"/>
        <v/>
      </c>
      <c r="D1075" s="8">
        <v>0.5</v>
      </c>
      <c r="E1075" s="28" t="s">
        <v>14</v>
      </c>
      <c r="F1075" s="7" t="s">
        <v>14</v>
      </c>
      <c r="G1075" s="27" t="s">
        <v>14</v>
      </c>
      <c r="H1075" s="27" t="s">
        <v>14</v>
      </c>
    </row>
    <row r="1076" spans="2:8" x14ac:dyDescent="0.3">
      <c r="B1076" s="11">
        <v>41765</v>
      </c>
      <c r="C1076" s="29" t="str">
        <f t="shared" si="16"/>
        <v/>
      </c>
      <c r="D1076" s="8">
        <v>0.5</v>
      </c>
      <c r="E1076" s="28" t="s">
        <v>14</v>
      </c>
      <c r="F1076" s="7" t="s">
        <v>14</v>
      </c>
      <c r="G1076" s="27" t="s">
        <v>14</v>
      </c>
      <c r="H1076" s="27" t="s">
        <v>14</v>
      </c>
    </row>
    <row r="1077" spans="2:8" x14ac:dyDescent="0.3">
      <c r="B1077" s="9">
        <v>41766</v>
      </c>
      <c r="C1077" s="29" t="str">
        <f t="shared" si="16"/>
        <v/>
      </c>
      <c r="D1077" s="8">
        <v>0.5</v>
      </c>
      <c r="E1077" s="28" t="s">
        <v>14</v>
      </c>
      <c r="F1077" s="7" t="s">
        <v>14</v>
      </c>
      <c r="G1077" s="27" t="s">
        <v>14</v>
      </c>
      <c r="H1077" s="27" t="s">
        <v>14</v>
      </c>
    </row>
    <row r="1078" spans="2:8" x14ac:dyDescent="0.3">
      <c r="B1078" s="11">
        <v>41767</v>
      </c>
      <c r="C1078" s="29" t="str">
        <f t="shared" si="16"/>
        <v/>
      </c>
      <c r="D1078" s="8">
        <v>0.5</v>
      </c>
      <c r="E1078" s="28" t="s">
        <v>14</v>
      </c>
      <c r="F1078" s="7" t="s">
        <v>14</v>
      </c>
      <c r="G1078" s="27" t="s">
        <v>14</v>
      </c>
      <c r="H1078" s="27" t="s">
        <v>14</v>
      </c>
    </row>
    <row r="1079" spans="2:8" x14ac:dyDescent="0.3">
      <c r="B1079" s="9">
        <v>41768</v>
      </c>
      <c r="C1079" s="29" t="str">
        <f t="shared" si="16"/>
        <v/>
      </c>
      <c r="D1079" s="8">
        <v>0.5</v>
      </c>
      <c r="E1079" s="28" t="s">
        <v>14</v>
      </c>
      <c r="F1079" s="7" t="s">
        <v>14</v>
      </c>
      <c r="G1079" s="27" t="s">
        <v>14</v>
      </c>
      <c r="H1079" s="27" t="s">
        <v>14</v>
      </c>
    </row>
    <row r="1080" spans="2:8" x14ac:dyDescent="0.3">
      <c r="B1080" s="11">
        <v>41771</v>
      </c>
      <c r="C1080" s="29" t="str">
        <f t="shared" si="16"/>
        <v/>
      </c>
      <c r="D1080" s="8">
        <v>0.5</v>
      </c>
      <c r="E1080" s="28" t="s">
        <v>14</v>
      </c>
      <c r="F1080" s="7" t="s">
        <v>14</v>
      </c>
      <c r="G1080" s="27" t="s">
        <v>14</v>
      </c>
      <c r="H1080" s="27" t="s">
        <v>14</v>
      </c>
    </row>
    <row r="1081" spans="2:8" x14ac:dyDescent="0.3">
      <c r="B1081" s="9">
        <v>41772</v>
      </c>
      <c r="C1081" s="29" t="str">
        <f t="shared" si="16"/>
        <v/>
      </c>
      <c r="D1081" s="8">
        <v>0.5</v>
      </c>
      <c r="E1081" s="28" t="s">
        <v>14</v>
      </c>
      <c r="F1081" s="7" t="s">
        <v>14</v>
      </c>
      <c r="G1081" s="27" t="s">
        <v>14</v>
      </c>
      <c r="H1081" s="27" t="s">
        <v>14</v>
      </c>
    </row>
    <row r="1082" spans="2:8" x14ac:dyDescent="0.3">
      <c r="B1082" s="11">
        <v>41773</v>
      </c>
      <c r="C1082" s="29" t="str">
        <f t="shared" si="16"/>
        <v/>
      </c>
      <c r="D1082" s="8">
        <v>0.5</v>
      </c>
      <c r="E1082" s="28" t="s">
        <v>14</v>
      </c>
      <c r="F1082" s="7" t="s">
        <v>14</v>
      </c>
      <c r="G1082" s="27" t="s">
        <v>14</v>
      </c>
      <c r="H1082" s="27" t="s">
        <v>14</v>
      </c>
    </row>
    <row r="1083" spans="2:8" x14ac:dyDescent="0.3">
      <c r="B1083" s="9">
        <v>41774</v>
      </c>
      <c r="C1083" s="29" t="str">
        <f t="shared" si="16"/>
        <v/>
      </c>
      <c r="D1083" s="8">
        <v>0.5</v>
      </c>
      <c r="E1083" s="28" t="s">
        <v>14</v>
      </c>
      <c r="F1083" s="7" t="s">
        <v>14</v>
      </c>
      <c r="G1083" s="27" t="s">
        <v>14</v>
      </c>
      <c r="H1083" s="27" t="s">
        <v>14</v>
      </c>
    </row>
    <row r="1084" spans="2:8" x14ac:dyDescent="0.3">
      <c r="B1084" s="11">
        <v>41775</v>
      </c>
      <c r="C1084" s="29" t="str">
        <f t="shared" si="16"/>
        <v/>
      </c>
      <c r="D1084" s="8">
        <v>0.5</v>
      </c>
      <c r="E1084" s="28" t="s">
        <v>14</v>
      </c>
      <c r="F1084" s="7" t="s">
        <v>14</v>
      </c>
      <c r="G1084" s="27" t="s">
        <v>14</v>
      </c>
      <c r="H1084" s="27" t="s">
        <v>14</v>
      </c>
    </row>
    <row r="1085" spans="2:8" x14ac:dyDescent="0.3">
      <c r="B1085" s="9">
        <v>41778</v>
      </c>
      <c r="C1085" s="29" t="str">
        <f t="shared" si="16"/>
        <v/>
      </c>
      <c r="D1085" s="8">
        <v>0.5</v>
      </c>
      <c r="E1085" s="28" t="s">
        <v>14</v>
      </c>
      <c r="F1085" s="7" t="s">
        <v>14</v>
      </c>
      <c r="G1085" s="27" t="s">
        <v>14</v>
      </c>
      <c r="H1085" s="27" t="s">
        <v>14</v>
      </c>
    </row>
    <row r="1086" spans="2:8" x14ac:dyDescent="0.3">
      <c r="B1086" s="11">
        <v>41779</v>
      </c>
      <c r="C1086" s="29" t="str">
        <f t="shared" si="16"/>
        <v/>
      </c>
      <c r="D1086" s="8">
        <v>0.5</v>
      </c>
      <c r="E1086" s="28" t="s">
        <v>14</v>
      </c>
      <c r="F1086" s="7" t="s">
        <v>14</v>
      </c>
      <c r="G1086" s="27" t="s">
        <v>14</v>
      </c>
      <c r="H1086" s="27" t="s">
        <v>14</v>
      </c>
    </row>
    <row r="1087" spans="2:8" x14ac:dyDescent="0.3">
      <c r="B1087" s="9">
        <v>41780</v>
      </c>
      <c r="C1087" s="29" t="str">
        <f t="shared" si="16"/>
        <v/>
      </c>
      <c r="D1087" s="8">
        <v>0.5</v>
      </c>
      <c r="E1087" s="28" t="s">
        <v>14</v>
      </c>
      <c r="F1087" s="7" t="s">
        <v>14</v>
      </c>
      <c r="G1087" s="27" t="s">
        <v>14</v>
      </c>
      <c r="H1087" s="27" t="s">
        <v>14</v>
      </c>
    </row>
    <row r="1088" spans="2:8" x14ac:dyDescent="0.3">
      <c r="B1088" s="11">
        <v>41781</v>
      </c>
      <c r="C1088" s="29" t="str">
        <f t="shared" si="16"/>
        <v/>
      </c>
      <c r="D1088" s="8">
        <v>0.5</v>
      </c>
      <c r="E1088" s="28" t="s">
        <v>14</v>
      </c>
      <c r="F1088" s="7" t="s">
        <v>14</v>
      </c>
      <c r="G1088" s="27" t="s">
        <v>14</v>
      </c>
      <c r="H1088" s="27" t="s">
        <v>14</v>
      </c>
    </row>
    <row r="1089" spans="2:8" x14ac:dyDescent="0.3">
      <c r="B1089" s="9">
        <v>41782</v>
      </c>
      <c r="C1089" s="29" t="str">
        <f t="shared" si="16"/>
        <v/>
      </c>
      <c r="D1089" s="8">
        <v>0.5</v>
      </c>
      <c r="E1089" s="28" t="s">
        <v>14</v>
      </c>
      <c r="F1089" s="7" t="s">
        <v>14</v>
      </c>
      <c r="G1089" s="27" t="s">
        <v>14</v>
      </c>
      <c r="H1089" s="27" t="s">
        <v>14</v>
      </c>
    </row>
    <row r="1090" spans="2:8" x14ac:dyDescent="0.3">
      <c r="B1090" s="11">
        <v>41785</v>
      </c>
      <c r="C1090" s="29" t="str">
        <f t="shared" si="16"/>
        <v/>
      </c>
      <c r="D1090" s="8">
        <v>0.5</v>
      </c>
      <c r="E1090" s="28" t="s">
        <v>14</v>
      </c>
      <c r="F1090" s="7" t="s">
        <v>14</v>
      </c>
      <c r="G1090" s="27" t="s">
        <v>14</v>
      </c>
      <c r="H1090" s="27" t="s">
        <v>14</v>
      </c>
    </row>
    <row r="1091" spans="2:8" x14ac:dyDescent="0.3">
      <c r="B1091" s="9">
        <v>41786</v>
      </c>
      <c r="C1091" s="29" t="str">
        <f t="shared" ref="C1091:C1154" si="17">INDEX(D1091:H1091,MATCH($A$1,$D$1:$H$1,0))</f>
        <v/>
      </c>
      <c r="D1091" s="8">
        <v>0.5</v>
      </c>
      <c r="E1091" s="28" t="s">
        <v>14</v>
      </c>
      <c r="F1091" s="7" t="s">
        <v>14</v>
      </c>
      <c r="G1091" s="27" t="s">
        <v>14</v>
      </c>
      <c r="H1091" s="27" t="s">
        <v>14</v>
      </c>
    </row>
    <row r="1092" spans="2:8" x14ac:dyDescent="0.3">
      <c r="B1092" s="11">
        <v>41787</v>
      </c>
      <c r="C1092" s="29" t="str">
        <f t="shared" si="17"/>
        <v/>
      </c>
      <c r="D1092" s="8">
        <v>0.5</v>
      </c>
      <c r="E1092" s="28" t="s">
        <v>14</v>
      </c>
      <c r="F1092" s="7" t="s">
        <v>14</v>
      </c>
      <c r="G1092" s="27" t="s">
        <v>14</v>
      </c>
      <c r="H1092" s="27" t="s">
        <v>14</v>
      </c>
    </row>
    <row r="1093" spans="2:8" x14ac:dyDescent="0.3">
      <c r="B1093" s="9">
        <v>41788</v>
      </c>
      <c r="C1093" s="29" t="str">
        <f t="shared" si="17"/>
        <v/>
      </c>
      <c r="D1093" s="8">
        <v>0.5</v>
      </c>
      <c r="E1093" s="28" t="s">
        <v>14</v>
      </c>
      <c r="F1093" s="7" t="s">
        <v>14</v>
      </c>
      <c r="G1093" s="27" t="s">
        <v>14</v>
      </c>
      <c r="H1093" s="27" t="s">
        <v>14</v>
      </c>
    </row>
    <row r="1094" spans="2:8" x14ac:dyDescent="0.3">
      <c r="B1094" s="11">
        <v>41789</v>
      </c>
      <c r="C1094" s="29" t="str">
        <f t="shared" si="17"/>
        <v/>
      </c>
      <c r="D1094" s="8">
        <v>0.5</v>
      </c>
      <c r="E1094" s="28">
        <v>0.5</v>
      </c>
      <c r="F1094" s="7" t="s">
        <v>14</v>
      </c>
      <c r="G1094" s="27" t="s">
        <v>14</v>
      </c>
      <c r="H1094" s="27" t="s">
        <v>14</v>
      </c>
    </row>
    <row r="1095" spans="2:8" x14ac:dyDescent="0.3">
      <c r="B1095" s="9">
        <v>41792</v>
      </c>
      <c r="C1095" s="29" t="str">
        <f t="shared" si="17"/>
        <v/>
      </c>
      <c r="D1095" s="8">
        <v>0.5</v>
      </c>
      <c r="E1095" s="28" t="s">
        <v>14</v>
      </c>
      <c r="F1095" s="7" t="s">
        <v>14</v>
      </c>
      <c r="G1095" s="27" t="s">
        <v>14</v>
      </c>
      <c r="H1095" s="27" t="s">
        <v>14</v>
      </c>
    </row>
    <row r="1096" spans="2:8" x14ac:dyDescent="0.3">
      <c r="B1096" s="11">
        <v>41793</v>
      </c>
      <c r="C1096" s="29" t="str">
        <f t="shared" si="17"/>
        <v/>
      </c>
      <c r="D1096" s="8">
        <v>0.5</v>
      </c>
      <c r="E1096" s="28" t="s">
        <v>14</v>
      </c>
      <c r="F1096" s="7" t="s">
        <v>14</v>
      </c>
      <c r="G1096" s="27" t="s">
        <v>14</v>
      </c>
      <c r="H1096" s="27" t="s">
        <v>14</v>
      </c>
    </row>
    <row r="1097" spans="2:8" x14ac:dyDescent="0.3">
      <c r="B1097" s="9">
        <v>41794</v>
      </c>
      <c r="C1097" s="29" t="str">
        <f t="shared" si="17"/>
        <v/>
      </c>
      <c r="D1097" s="8">
        <v>0.5</v>
      </c>
      <c r="E1097" s="28" t="s">
        <v>14</v>
      </c>
      <c r="F1097" s="7" t="s">
        <v>14</v>
      </c>
      <c r="G1097" s="27" t="s">
        <v>14</v>
      </c>
      <c r="H1097" s="27" t="s">
        <v>14</v>
      </c>
    </row>
    <row r="1098" spans="2:8" x14ac:dyDescent="0.3">
      <c r="B1098" s="11">
        <v>41795</v>
      </c>
      <c r="C1098" s="29" t="str">
        <f t="shared" si="17"/>
        <v/>
      </c>
      <c r="D1098" s="8">
        <v>0.5</v>
      </c>
      <c r="E1098" s="28" t="s">
        <v>14</v>
      </c>
      <c r="F1098" s="7" t="s">
        <v>14</v>
      </c>
      <c r="G1098" s="27" t="s">
        <v>14</v>
      </c>
      <c r="H1098" s="27" t="s">
        <v>14</v>
      </c>
    </row>
    <row r="1099" spans="2:8" x14ac:dyDescent="0.3">
      <c r="B1099" s="9">
        <v>41796</v>
      </c>
      <c r="C1099" s="29" t="str">
        <f t="shared" si="17"/>
        <v/>
      </c>
      <c r="D1099" s="8">
        <v>0.5</v>
      </c>
      <c r="E1099" s="28" t="s">
        <v>14</v>
      </c>
      <c r="F1099" s="7" t="s">
        <v>14</v>
      </c>
      <c r="G1099" s="27" t="s">
        <v>14</v>
      </c>
      <c r="H1099" s="27" t="s">
        <v>14</v>
      </c>
    </row>
    <row r="1100" spans="2:8" x14ac:dyDescent="0.3">
      <c r="B1100" s="11">
        <v>41799</v>
      </c>
      <c r="C1100" s="29" t="str">
        <f t="shared" si="17"/>
        <v/>
      </c>
      <c r="D1100" s="8">
        <v>0.5</v>
      </c>
      <c r="E1100" s="28" t="s">
        <v>14</v>
      </c>
      <c r="F1100" s="7" t="s">
        <v>14</v>
      </c>
      <c r="G1100" s="27" t="s">
        <v>14</v>
      </c>
      <c r="H1100" s="27" t="s">
        <v>14</v>
      </c>
    </row>
    <row r="1101" spans="2:8" x14ac:dyDescent="0.3">
      <c r="B1101" s="9">
        <v>41800</v>
      </c>
      <c r="C1101" s="29" t="str">
        <f t="shared" si="17"/>
        <v/>
      </c>
      <c r="D1101" s="8">
        <v>0.5</v>
      </c>
      <c r="E1101" s="28" t="s">
        <v>14</v>
      </c>
      <c r="F1101" s="7" t="s">
        <v>14</v>
      </c>
      <c r="G1101" s="27" t="s">
        <v>14</v>
      </c>
      <c r="H1101" s="27" t="s">
        <v>14</v>
      </c>
    </row>
    <row r="1102" spans="2:8" x14ac:dyDescent="0.3">
      <c r="B1102" s="11">
        <v>41801</v>
      </c>
      <c r="C1102" s="29" t="str">
        <f t="shared" si="17"/>
        <v/>
      </c>
      <c r="D1102" s="8">
        <v>0.5</v>
      </c>
      <c r="E1102" s="28" t="s">
        <v>14</v>
      </c>
      <c r="F1102" s="7" t="s">
        <v>14</v>
      </c>
      <c r="G1102" s="27" t="s">
        <v>14</v>
      </c>
      <c r="H1102" s="27" t="s">
        <v>14</v>
      </c>
    </row>
    <row r="1103" spans="2:8" x14ac:dyDescent="0.3">
      <c r="B1103" s="9">
        <v>41803</v>
      </c>
      <c r="C1103" s="29" t="str">
        <f t="shared" si="17"/>
        <v/>
      </c>
      <c r="D1103" s="8">
        <v>0.5</v>
      </c>
      <c r="E1103" s="28" t="s">
        <v>14</v>
      </c>
      <c r="F1103" s="7" t="s">
        <v>14</v>
      </c>
      <c r="G1103" s="27" t="s">
        <v>14</v>
      </c>
      <c r="H1103" s="27" t="s">
        <v>14</v>
      </c>
    </row>
    <row r="1104" spans="2:8" x14ac:dyDescent="0.3">
      <c r="B1104" s="11">
        <v>41806</v>
      </c>
      <c r="C1104" s="29" t="str">
        <f t="shared" si="17"/>
        <v/>
      </c>
      <c r="D1104" s="8">
        <v>0.5</v>
      </c>
      <c r="E1104" s="28" t="s">
        <v>14</v>
      </c>
      <c r="F1104" s="7" t="s">
        <v>14</v>
      </c>
      <c r="G1104" s="27" t="s">
        <v>14</v>
      </c>
      <c r="H1104" s="27" t="s">
        <v>14</v>
      </c>
    </row>
    <row r="1105" spans="2:8" x14ac:dyDescent="0.3">
      <c r="B1105" s="9">
        <v>41807</v>
      </c>
      <c r="C1105" s="29" t="str">
        <f t="shared" si="17"/>
        <v/>
      </c>
      <c r="D1105" s="8">
        <v>0.5</v>
      </c>
      <c r="E1105" s="28" t="s">
        <v>14</v>
      </c>
      <c r="F1105" s="7" t="s">
        <v>14</v>
      </c>
      <c r="G1105" s="27" t="s">
        <v>14</v>
      </c>
      <c r="H1105" s="27" t="s">
        <v>14</v>
      </c>
    </row>
    <row r="1106" spans="2:8" x14ac:dyDescent="0.3">
      <c r="B1106" s="11">
        <v>41808</v>
      </c>
      <c r="C1106" s="29" t="str">
        <f t="shared" si="17"/>
        <v/>
      </c>
      <c r="D1106" s="8">
        <v>0.5</v>
      </c>
      <c r="E1106" s="28" t="s">
        <v>14</v>
      </c>
      <c r="F1106" s="7" t="s">
        <v>14</v>
      </c>
      <c r="G1106" s="27" t="s">
        <v>14</v>
      </c>
      <c r="H1106" s="27" t="s">
        <v>14</v>
      </c>
    </row>
    <row r="1107" spans="2:8" x14ac:dyDescent="0.3">
      <c r="B1107" s="9">
        <v>41810</v>
      </c>
      <c r="C1107" s="29" t="str">
        <f t="shared" si="17"/>
        <v/>
      </c>
      <c r="D1107" s="8">
        <v>0.5</v>
      </c>
      <c r="E1107" s="28" t="s">
        <v>14</v>
      </c>
      <c r="F1107" s="7" t="s">
        <v>14</v>
      </c>
      <c r="G1107" s="27" t="s">
        <v>14</v>
      </c>
      <c r="H1107" s="27" t="s">
        <v>14</v>
      </c>
    </row>
    <row r="1108" spans="2:8" x14ac:dyDescent="0.3">
      <c r="B1108" s="11">
        <v>41813</v>
      </c>
      <c r="C1108" s="29" t="str">
        <f t="shared" si="17"/>
        <v/>
      </c>
      <c r="D1108" s="8">
        <v>0.5</v>
      </c>
      <c r="E1108" s="28" t="s">
        <v>14</v>
      </c>
      <c r="F1108" s="7" t="s">
        <v>14</v>
      </c>
      <c r="G1108" s="27" t="s">
        <v>14</v>
      </c>
      <c r="H1108" s="27" t="s">
        <v>14</v>
      </c>
    </row>
    <row r="1109" spans="2:8" x14ac:dyDescent="0.3">
      <c r="B1109" s="9">
        <v>41814</v>
      </c>
      <c r="C1109" s="29" t="str">
        <f t="shared" si="17"/>
        <v/>
      </c>
      <c r="D1109" s="8">
        <v>0.5</v>
      </c>
      <c r="E1109" s="28" t="s">
        <v>14</v>
      </c>
      <c r="F1109" s="7" t="s">
        <v>14</v>
      </c>
      <c r="G1109" s="27" t="s">
        <v>14</v>
      </c>
      <c r="H1109" s="27" t="s">
        <v>14</v>
      </c>
    </row>
    <row r="1110" spans="2:8" x14ac:dyDescent="0.3">
      <c r="B1110" s="11">
        <v>41815</v>
      </c>
      <c r="C1110" s="29" t="str">
        <f t="shared" si="17"/>
        <v/>
      </c>
      <c r="D1110" s="8">
        <v>0.5</v>
      </c>
      <c r="E1110" s="28" t="s">
        <v>14</v>
      </c>
      <c r="F1110" s="7" t="s">
        <v>14</v>
      </c>
      <c r="G1110" s="27" t="s">
        <v>14</v>
      </c>
      <c r="H1110" s="27" t="s">
        <v>14</v>
      </c>
    </row>
    <row r="1111" spans="2:8" x14ac:dyDescent="0.3">
      <c r="B1111" s="9">
        <v>41816</v>
      </c>
      <c r="C1111" s="29" t="str">
        <f t="shared" si="17"/>
        <v/>
      </c>
      <c r="D1111" s="8">
        <v>0.5</v>
      </c>
      <c r="E1111" s="28" t="s">
        <v>14</v>
      </c>
      <c r="F1111" s="7" t="s">
        <v>14</v>
      </c>
      <c r="G1111" s="27" t="s">
        <v>14</v>
      </c>
      <c r="H1111" s="27" t="s">
        <v>14</v>
      </c>
    </row>
    <row r="1112" spans="2:8" x14ac:dyDescent="0.3">
      <c r="B1112" s="11">
        <v>41817</v>
      </c>
      <c r="C1112" s="29" t="str">
        <f t="shared" si="17"/>
        <v/>
      </c>
      <c r="D1112" s="8">
        <v>0.5</v>
      </c>
      <c r="E1112" s="28" t="s">
        <v>14</v>
      </c>
      <c r="F1112" s="7" t="s">
        <v>14</v>
      </c>
      <c r="G1112" s="27" t="s">
        <v>14</v>
      </c>
      <c r="H1112" s="27" t="s">
        <v>14</v>
      </c>
    </row>
    <row r="1113" spans="2:8" x14ac:dyDescent="0.3">
      <c r="B1113" s="9">
        <v>41820</v>
      </c>
      <c r="C1113" s="29">
        <f t="shared" si="17"/>
        <v>0</v>
      </c>
      <c r="D1113" s="8">
        <v>0.5</v>
      </c>
      <c r="E1113" s="28">
        <v>0.5</v>
      </c>
      <c r="F1113" s="7">
        <v>0.5</v>
      </c>
      <c r="G1113" s="27">
        <v>0.5</v>
      </c>
    </row>
    <row r="1114" spans="2:8" x14ac:dyDescent="0.3">
      <c r="B1114" s="11">
        <v>41821</v>
      </c>
      <c r="C1114" s="29" t="str">
        <f t="shared" si="17"/>
        <v/>
      </c>
      <c r="D1114" s="8">
        <v>0.5</v>
      </c>
      <c r="E1114" s="28" t="s">
        <v>14</v>
      </c>
      <c r="F1114" s="7" t="s">
        <v>14</v>
      </c>
      <c r="G1114" s="27" t="s">
        <v>14</v>
      </c>
      <c r="H1114" s="27" t="s">
        <v>14</v>
      </c>
    </row>
    <row r="1115" spans="2:8" x14ac:dyDescent="0.3">
      <c r="B1115" s="9">
        <v>41822</v>
      </c>
      <c r="C1115" s="29" t="str">
        <f t="shared" si="17"/>
        <v/>
      </c>
      <c r="D1115" s="8">
        <v>0.5</v>
      </c>
      <c r="E1115" s="28" t="s">
        <v>14</v>
      </c>
      <c r="F1115" s="7" t="s">
        <v>14</v>
      </c>
      <c r="G1115" s="27" t="s">
        <v>14</v>
      </c>
      <c r="H1115" s="27" t="s">
        <v>14</v>
      </c>
    </row>
    <row r="1116" spans="2:8" x14ac:dyDescent="0.3">
      <c r="B1116" s="11">
        <v>41823</v>
      </c>
      <c r="C1116" s="29" t="str">
        <f t="shared" si="17"/>
        <v/>
      </c>
      <c r="D1116" s="8">
        <v>0.5</v>
      </c>
      <c r="E1116" s="28" t="s">
        <v>14</v>
      </c>
      <c r="F1116" s="7" t="s">
        <v>14</v>
      </c>
      <c r="G1116" s="27" t="s">
        <v>14</v>
      </c>
      <c r="H1116" s="27" t="s">
        <v>14</v>
      </c>
    </row>
    <row r="1117" spans="2:8" x14ac:dyDescent="0.3">
      <c r="B1117" s="9">
        <v>41824</v>
      </c>
      <c r="C1117" s="29" t="str">
        <f t="shared" si="17"/>
        <v/>
      </c>
      <c r="D1117" s="8">
        <v>0.5</v>
      </c>
      <c r="E1117" s="28" t="s">
        <v>14</v>
      </c>
      <c r="F1117" s="7" t="s">
        <v>14</v>
      </c>
      <c r="G1117" s="27" t="s">
        <v>14</v>
      </c>
      <c r="H1117" s="27" t="s">
        <v>14</v>
      </c>
    </row>
    <row r="1118" spans="2:8" x14ac:dyDescent="0.3">
      <c r="B1118" s="11">
        <v>41827</v>
      </c>
      <c r="C1118" s="29" t="str">
        <f t="shared" si="17"/>
        <v/>
      </c>
      <c r="D1118" s="8">
        <v>0.5</v>
      </c>
      <c r="E1118" s="28" t="s">
        <v>14</v>
      </c>
      <c r="F1118" s="7" t="s">
        <v>14</v>
      </c>
      <c r="G1118" s="27" t="s">
        <v>14</v>
      </c>
      <c r="H1118" s="27" t="s">
        <v>14</v>
      </c>
    </row>
    <row r="1119" spans="2:8" x14ac:dyDescent="0.3">
      <c r="B1119" s="9">
        <v>41828</v>
      </c>
      <c r="C1119" s="29" t="str">
        <f t="shared" si="17"/>
        <v/>
      </c>
      <c r="D1119" s="8">
        <v>0.5</v>
      </c>
      <c r="E1119" s="28" t="s">
        <v>14</v>
      </c>
      <c r="F1119" s="7" t="s">
        <v>14</v>
      </c>
      <c r="G1119" s="27" t="s">
        <v>14</v>
      </c>
      <c r="H1119" s="27" t="s">
        <v>14</v>
      </c>
    </row>
    <row r="1120" spans="2:8" x14ac:dyDescent="0.3">
      <c r="B1120" s="11">
        <v>41830</v>
      </c>
      <c r="C1120" s="29" t="str">
        <f t="shared" si="17"/>
        <v/>
      </c>
      <c r="D1120" s="8">
        <v>0.5</v>
      </c>
      <c r="E1120" s="28" t="s">
        <v>14</v>
      </c>
      <c r="F1120" s="7" t="s">
        <v>14</v>
      </c>
      <c r="G1120" s="27" t="s">
        <v>14</v>
      </c>
      <c r="H1120" s="27" t="s">
        <v>14</v>
      </c>
    </row>
    <row r="1121" spans="2:8" x14ac:dyDescent="0.3">
      <c r="B1121" s="9">
        <v>41831</v>
      </c>
      <c r="C1121" s="29" t="str">
        <f t="shared" si="17"/>
        <v/>
      </c>
      <c r="D1121" s="8">
        <v>0.5</v>
      </c>
      <c r="E1121" s="28" t="s">
        <v>14</v>
      </c>
      <c r="F1121" s="7" t="s">
        <v>14</v>
      </c>
      <c r="G1121" s="27" t="s">
        <v>14</v>
      </c>
      <c r="H1121" s="27" t="s">
        <v>14</v>
      </c>
    </row>
    <row r="1122" spans="2:8" x14ac:dyDescent="0.3">
      <c r="B1122" s="11">
        <v>41834</v>
      </c>
      <c r="C1122" s="29" t="str">
        <f t="shared" si="17"/>
        <v/>
      </c>
      <c r="D1122" s="8">
        <v>0.5</v>
      </c>
      <c r="E1122" s="28" t="s">
        <v>14</v>
      </c>
      <c r="F1122" s="7" t="s">
        <v>14</v>
      </c>
      <c r="G1122" s="27" t="s">
        <v>14</v>
      </c>
      <c r="H1122" s="27" t="s">
        <v>14</v>
      </c>
    </row>
    <row r="1123" spans="2:8" x14ac:dyDescent="0.3">
      <c r="B1123" s="9">
        <v>41835</v>
      </c>
      <c r="C1123" s="29" t="str">
        <f t="shared" si="17"/>
        <v/>
      </c>
      <c r="D1123" s="8">
        <v>0.5</v>
      </c>
      <c r="E1123" s="28" t="s">
        <v>14</v>
      </c>
      <c r="F1123" s="7" t="s">
        <v>14</v>
      </c>
      <c r="G1123" s="27" t="s">
        <v>14</v>
      </c>
      <c r="H1123" s="27" t="s">
        <v>14</v>
      </c>
    </row>
    <row r="1124" spans="2:8" x14ac:dyDescent="0.3">
      <c r="B1124" s="11">
        <v>41836</v>
      </c>
      <c r="C1124" s="29" t="str">
        <f t="shared" si="17"/>
        <v/>
      </c>
      <c r="D1124" s="8">
        <v>0.5</v>
      </c>
      <c r="E1124" s="28" t="s">
        <v>14</v>
      </c>
      <c r="F1124" s="7" t="s">
        <v>14</v>
      </c>
      <c r="G1124" s="27" t="s">
        <v>14</v>
      </c>
      <c r="H1124" s="27" t="s">
        <v>14</v>
      </c>
    </row>
    <row r="1125" spans="2:8" x14ac:dyDescent="0.3">
      <c r="B1125" s="9">
        <v>41837</v>
      </c>
      <c r="C1125" s="29" t="str">
        <f t="shared" si="17"/>
        <v/>
      </c>
      <c r="D1125" s="8">
        <v>0.5</v>
      </c>
      <c r="E1125" s="28" t="s">
        <v>14</v>
      </c>
      <c r="F1125" s="7" t="s">
        <v>14</v>
      </c>
      <c r="G1125" s="27" t="s">
        <v>14</v>
      </c>
      <c r="H1125" s="27" t="s">
        <v>14</v>
      </c>
    </row>
    <row r="1126" spans="2:8" x14ac:dyDescent="0.3">
      <c r="B1126" s="11">
        <v>41838</v>
      </c>
      <c r="C1126" s="29" t="str">
        <f t="shared" si="17"/>
        <v/>
      </c>
      <c r="D1126" s="8">
        <v>0.5</v>
      </c>
      <c r="E1126" s="28" t="s">
        <v>14</v>
      </c>
      <c r="F1126" s="7" t="s">
        <v>14</v>
      </c>
      <c r="G1126" s="27" t="s">
        <v>14</v>
      </c>
      <c r="H1126" s="27" t="s">
        <v>14</v>
      </c>
    </row>
    <row r="1127" spans="2:8" x14ac:dyDescent="0.3">
      <c r="B1127" s="9">
        <v>41841</v>
      </c>
      <c r="C1127" s="29" t="str">
        <f t="shared" si="17"/>
        <v/>
      </c>
      <c r="D1127" s="8">
        <v>0.5</v>
      </c>
      <c r="E1127" s="28" t="s">
        <v>14</v>
      </c>
      <c r="F1127" s="7" t="s">
        <v>14</v>
      </c>
      <c r="G1127" s="27" t="s">
        <v>14</v>
      </c>
      <c r="H1127" s="27" t="s">
        <v>14</v>
      </c>
    </row>
    <row r="1128" spans="2:8" x14ac:dyDescent="0.3">
      <c r="B1128" s="11">
        <v>41842</v>
      </c>
      <c r="C1128" s="29" t="str">
        <f t="shared" si="17"/>
        <v/>
      </c>
      <c r="D1128" s="8">
        <v>0.5</v>
      </c>
      <c r="E1128" s="28" t="s">
        <v>14</v>
      </c>
      <c r="F1128" s="7" t="s">
        <v>14</v>
      </c>
      <c r="G1128" s="27" t="s">
        <v>14</v>
      </c>
      <c r="H1128" s="27" t="s">
        <v>14</v>
      </c>
    </row>
    <row r="1129" spans="2:8" x14ac:dyDescent="0.3">
      <c r="B1129" s="9">
        <v>41843</v>
      </c>
      <c r="C1129" s="29" t="str">
        <f t="shared" si="17"/>
        <v/>
      </c>
      <c r="D1129" s="8">
        <v>0.5</v>
      </c>
      <c r="E1129" s="28" t="s">
        <v>14</v>
      </c>
      <c r="F1129" s="7" t="s">
        <v>14</v>
      </c>
      <c r="G1129" s="27" t="s">
        <v>14</v>
      </c>
      <c r="H1129" s="27" t="s">
        <v>14</v>
      </c>
    </row>
    <row r="1130" spans="2:8" x14ac:dyDescent="0.3">
      <c r="B1130" s="11">
        <v>41844</v>
      </c>
      <c r="C1130" s="29" t="str">
        <f t="shared" si="17"/>
        <v/>
      </c>
      <c r="D1130" s="8">
        <v>0.5</v>
      </c>
      <c r="E1130" s="28" t="s">
        <v>14</v>
      </c>
      <c r="F1130" s="7" t="s">
        <v>14</v>
      </c>
      <c r="G1130" s="27" t="s">
        <v>14</v>
      </c>
      <c r="H1130" s="27" t="s">
        <v>14</v>
      </c>
    </row>
    <row r="1131" spans="2:8" x14ac:dyDescent="0.3">
      <c r="B1131" s="9">
        <v>41845</v>
      </c>
      <c r="C1131" s="29" t="str">
        <f t="shared" si="17"/>
        <v/>
      </c>
      <c r="D1131" s="8">
        <v>0.5</v>
      </c>
      <c r="E1131" s="28" t="s">
        <v>14</v>
      </c>
      <c r="F1131" s="7" t="s">
        <v>14</v>
      </c>
      <c r="G1131" s="27" t="s">
        <v>14</v>
      </c>
      <c r="H1131" s="27" t="s">
        <v>14</v>
      </c>
    </row>
    <row r="1132" spans="2:8" x14ac:dyDescent="0.3">
      <c r="B1132" s="11">
        <v>41848</v>
      </c>
      <c r="C1132" s="29" t="str">
        <f t="shared" si="17"/>
        <v/>
      </c>
      <c r="D1132" s="8">
        <v>0.5</v>
      </c>
      <c r="E1132" s="28" t="s">
        <v>14</v>
      </c>
      <c r="F1132" s="7" t="s">
        <v>14</v>
      </c>
      <c r="G1132" s="27" t="s">
        <v>14</v>
      </c>
      <c r="H1132" s="27" t="s">
        <v>14</v>
      </c>
    </row>
    <row r="1133" spans="2:8" x14ac:dyDescent="0.3">
      <c r="B1133" s="9">
        <v>41849</v>
      </c>
      <c r="C1133" s="29" t="str">
        <f t="shared" si="17"/>
        <v/>
      </c>
      <c r="D1133" s="8">
        <v>0.5</v>
      </c>
      <c r="E1133" s="28" t="s">
        <v>14</v>
      </c>
      <c r="F1133" s="7" t="s">
        <v>14</v>
      </c>
      <c r="G1133" s="27" t="s">
        <v>14</v>
      </c>
      <c r="H1133" s="27" t="s">
        <v>14</v>
      </c>
    </row>
    <row r="1134" spans="2:8" x14ac:dyDescent="0.3">
      <c r="B1134" s="11">
        <v>41850</v>
      </c>
      <c r="C1134" s="29" t="str">
        <f t="shared" si="17"/>
        <v/>
      </c>
      <c r="D1134" s="8">
        <v>0.5</v>
      </c>
      <c r="E1134" s="28" t="s">
        <v>14</v>
      </c>
      <c r="F1134" s="7" t="s">
        <v>14</v>
      </c>
      <c r="G1134" s="27" t="s">
        <v>14</v>
      </c>
      <c r="H1134" s="27" t="s">
        <v>14</v>
      </c>
    </row>
    <row r="1135" spans="2:8" x14ac:dyDescent="0.3">
      <c r="B1135" s="9">
        <v>41851</v>
      </c>
      <c r="C1135" s="29" t="str">
        <f t="shared" si="17"/>
        <v/>
      </c>
      <c r="D1135" s="8">
        <v>0.5</v>
      </c>
      <c r="E1135" s="28">
        <v>0.5</v>
      </c>
      <c r="F1135" s="7" t="s">
        <v>14</v>
      </c>
      <c r="G1135" s="27" t="s">
        <v>14</v>
      </c>
      <c r="H1135" s="27" t="s">
        <v>14</v>
      </c>
    </row>
    <row r="1136" spans="2:8" x14ac:dyDescent="0.3">
      <c r="B1136" s="11">
        <v>41852</v>
      </c>
      <c r="C1136" s="29" t="str">
        <f t="shared" si="17"/>
        <v/>
      </c>
      <c r="D1136" s="8">
        <v>0.5</v>
      </c>
      <c r="E1136" s="28" t="s">
        <v>14</v>
      </c>
      <c r="F1136" s="7" t="s">
        <v>14</v>
      </c>
      <c r="G1136" s="27" t="s">
        <v>14</v>
      </c>
      <c r="H1136" s="27" t="s">
        <v>14</v>
      </c>
    </row>
    <row r="1137" spans="2:8" x14ac:dyDescent="0.3">
      <c r="B1137" s="9">
        <v>41855</v>
      </c>
      <c r="C1137" s="29" t="str">
        <f t="shared" si="17"/>
        <v/>
      </c>
      <c r="D1137" s="8">
        <v>0.5</v>
      </c>
      <c r="E1137" s="28" t="s">
        <v>14</v>
      </c>
      <c r="F1137" s="7" t="s">
        <v>14</v>
      </c>
      <c r="G1137" s="27" t="s">
        <v>14</v>
      </c>
      <c r="H1137" s="27" t="s">
        <v>14</v>
      </c>
    </row>
    <row r="1138" spans="2:8" x14ac:dyDescent="0.3">
      <c r="B1138" s="11">
        <v>41856</v>
      </c>
      <c r="C1138" s="29" t="str">
        <f t="shared" si="17"/>
        <v/>
      </c>
      <c r="D1138" s="8">
        <v>0.5</v>
      </c>
      <c r="E1138" s="28" t="s">
        <v>14</v>
      </c>
      <c r="F1138" s="7" t="s">
        <v>14</v>
      </c>
      <c r="G1138" s="27" t="s">
        <v>14</v>
      </c>
      <c r="H1138" s="27" t="s">
        <v>14</v>
      </c>
    </row>
    <row r="1139" spans="2:8" x14ac:dyDescent="0.3">
      <c r="B1139" s="9">
        <v>41857</v>
      </c>
      <c r="C1139" s="29" t="str">
        <f t="shared" si="17"/>
        <v/>
      </c>
      <c r="D1139" s="8">
        <v>0.5</v>
      </c>
      <c r="E1139" s="28" t="s">
        <v>14</v>
      </c>
      <c r="F1139" s="7" t="s">
        <v>14</v>
      </c>
      <c r="G1139" s="27" t="s">
        <v>14</v>
      </c>
      <c r="H1139" s="27" t="s">
        <v>14</v>
      </c>
    </row>
    <row r="1140" spans="2:8" x14ac:dyDescent="0.3">
      <c r="B1140" s="11">
        <v>41858</v>
      </c>
      <c r="C1140" s="29" t="str">
        <f t="shared" si="17"/>
        <v/>
      </c>
      <c r="D1140" s="8">
        <v>0.5</v>
      </c>
      <c r="E1140" s="28" t="s">
        <v>14</v>
      </c>
      <c r="F1140" s="7" t="s">
        <v>14</v>
      </c>
      <c r="G1140" s="27" t="s">
        <v>14</v>
      </c>
      <c r="H1140" s="27" t="s">
        <v>14</v>
      </c>
    </row>
    <row r="1141" spans="2:8" x14ac:dyDescent="0.3">
      <c r="B1141" s="9">
        <v>41859</v>
      </c>
      <c r="C1141" s="29" t="str">
        <f t="shared" si="17"/>
        <v/>
      </c>
      <c r="D1141" s="8">
        <v>0.5</v>
      </c>
      <c r="E1141" s="28" t="s">
        <v>14</v>
      </c>
      <c r="F1141" s="7" t="s">
        <v>14</v>
      </c>
      <c r="G1141" s="27" t="s">
        <v>14</v>
      </c>
      <c r="H1141" s="27" t="s">
        <v>14</v>
      </c>
    </row>
    <row r="1142" spans="2:8" x14ac:dyDescent="0.3">
      <c r="B1142" s="11">
        <v>41862</v>
      </c>
      <c r="C1142" s="29" t="str">
        <f t="shared" si="17"/>
        <v/>
      </c>
      <c r="D1142" s="8">
        <v>0.5</v>
      </c>
      <c r="E1142" s="28" t="s">
        <v>14</v>
      </c>
      <c r="F1142" s="7" t="s">
        <v>14</v>
      </c>
      <c r="G1142" s="27" t="s">
        <v>14</v>
      </c>
      <c r="H1142" s="27" t="s">
        <v>14</v>
      </c>
    </row>
    <row r="1143" spans="2:8" x14ac:dyDescent="0.3">
      <c r="B1143" s="9">
        <v>41863</v>
      </c>
      <c r="C1143" s="29" t="str">
        <f t="shared" si="17"/>
        <v/>
      </c>
      <c r="D1143" s="8">
        <v>0.5</v>
      </c>
      <c r="E1143" s="28" t="s">
        <v>14</v>
      </c>
      <c r="F1143" s="7" t="s">
        <v>14</v>
      </c>
      <c r="G1143" s="27" t="s">
        <v>14</v>
      </c>
      <c r="H1143" s="27" t="s">
        <v>14</v>
      </c>
    </row>
    <row r="1144" spans="2:8" x14ac:dyDescent="0.3">
      <c r="B1144" s="11">
        <v>41864</v>
      </c>
      <c r="C1144" s="29" t="str">
        <f t="shared" si="17"/>
        <v/>
      </c>
      <c r="D1144" s="8">
        <v>0.5</v>
      </c>
      <c r="E1144" s="28" t="s">
        <v>14</v>
      </c>
      <c r="F1144" s="7" t="s">
        <v>14</v>
      </c>
      <c r="G1144" s="27" t="s">
        <v>14</v>
      </c>
      <c r="H1144" s="27" t="s">
        <v>14</v>
      </c>
    </row>
    <row r="1145" spans="2:8" x14ac:dyDescent="0.3">
      <c r="B1145" s="9">
        <v>41865</v>
      </c>
      <c r="C1145" s="29" t="str">
        <f t="shared" si="17"/>
        <v/>
      </c>
      <c r="D1145" s="8">
        <v>0.5</v>
      </c>
      <c r="E1145" s="28" t="s">
        <v>14</v>
      </c>
      <c r="F1145" s="7" t="s">
        <v>14</v>
      </c>
      <c r="G1145" s="27" t="s">
        <v>14</v>
      </c>
      <c r="H1145" s="27" t="s">
        <v>14</v>
      </c>
    </row>
    <row r="1146" spans="2:8" x14ac:dyDescent="0.3">
      <c r="B1146" s="11">
        <v>41866</v>
      </c>
      <c r="C1146" s="29" t="str">
        <f t="shared" si="17"/>
        <v/>
      </c>
      <c r="D1146" s="8">
        <v>0.5</v>
      </c>
      <c r="E1146" s="28" t="s">
        <v>14</v>
      </c>
      <c r="F1146" s="7" t="s">
        <v>14</v>
      </c>
      <c r="G1146" s="27" t="s">
        <v>14</v>
      </c>
      <c r="H1146" s="27" t="s">
        <v>14</v>
      </c>
    </row>
    <row r="1147" spans="2:8" x14ac:dyDescent="0.3">
      <c r="B1147" s="9">
        <v>41869</v>
      </c>
      <c r="C1147" s="29" t="str">
        <f t="shared" si="17"/>
        <v/>
      </c>
      <c r="D1147" s="8">
        <v>0.5</v>
      </c>
      <c r="E1147" s="28" t="s">
        <v>14</v>
      </c>
      <c r="F1147" s="7" t="s">
        <v>14</v>
      </c>
      <c r="G1147" s="27" t="s">
        <v>14</v>
      </c>
      <c r="H1147" s="27" t="s">
        <v>14</v>
      </c>
    </row>
    <row r="1148" spans="2:8" x14ac:dyDescent="0.3">
      <c r="B1148" s="11">
        <v>41870</v>
      </c>
      <c r="C1148" s="29" t="str">
        <f t="shared" si="17"/>
        <v/>
      </c>
      <c r="D1148" s="8">
        <v>0.5</v>
      </c>
      <c r="E1148" s="28" t="s">
        <v>14</v>
      </c>
      <c r="F1148" s="7" t="s">
        <v>14</v>
      </c>
      <c r="G1148" s="27" t="s">
        <v>14</v>
      </c>
      <c r="H1148" s="27" t="s">
        <v>14</v>
      </c>
    </row>
    <row r="1149" spans="2:8" x14ac:dyDescent="0.3">
      <c r="B1149" s="9">
        <v>41871</v>
      </c>
      <c r="C1149" s="29" t="str">
        <f t="shared" si="17"/>
        <v/>
      </c>
      <c r="D1149" s="8">
        <v>0.5</v>
      </c>
      <c r="E1149" s="28" t="s">
        <v>14</v>
      </c>
      <c r="F1149" s="7" t="s">
        <v>14</v>
      </c>
      <c r="G1149" s="27" t="s">
        <v>14</v>
      </c>
      <c r="H1149" s="27" t="s">
        <v>14</v>
      </c>
    </row>
    <row r="1150" spans="2:8" x14ac:dyDescent="0.3">
      <c r="B1150" s="11">
        <v>41872</v>
      </c>
      <c r="C1150" s="29" t="str">
        <f t="shared" si="17"/>
        <v/>
      </c>
      <c r="D1150" s="8">
        <v>0.5</v>
      </c>
      <c r="E1150" s="28" t="s">
        <v>14</v>
      </c>
      <c r="F1150" s="7" t="s">
        <v>14</v>
      </c>
      <c r="G1150" s="27" t="s">
        <v>14</v>
      </c>
      <c r="H1150" s="27" t="s">
        <v>14</v>
      </c>
    </row>
    <row r="1151" spans="2:8" x14ac:dyDescent="0.3">
      <c r="B1151" s="9">
        <v>41873</v>
      </c>
      <c r="C1151" s="29" t="str">
        <f t="shared" si="17"/>
        <v/>
      </c>
      <c r="D1151" s="8">
        <v>0.5</v>
      </c>
      <c r="E1151" s="28" t="s">
        <v>14</v>
      </c>
      <c r="F1151" s="7" t="s">
        <v>14</v>
      </c>
      <c r="G1151" s="27" t="s">
        <v>14</v>
      </c>
      <c r="H1151" s="27" t="s">
        <v>14</v>
      </c>
    </row>
    <row r="1152" spans="2:8" x14ac:dyDescent="0.3">
      <c r="B1152" s="11">
        <v>41876</v>
      </c>
      <c r="C1152" s="29" t="str">
        <f t="shared" si="17"/>
        <v/>
      </c>
      <c r="D1152" s="8">
        <v>0.5</v>
      </c>
      <c r="E1152" s="28" t="s">
        <v>14</v>
      </c>
      <c r="F1152" s="7" t="s">
        <v>14</v>
      </c>
      <c r="G1152" s="27" t="s">
        <v>14</v>
      </c>
      <c r="H1152" s="27" t="s">
        <v>14</v>
      </c>
    </row>
    <row r="1153" spans="2:8" x14ac:dyDescent="0.3">
      <c r="B1153" s="9">
        <v>41877</v>
      </c>
      <c r="C1153" s="29" t="str">
        <f t="shared" si="17"/>
        <v/>
      </c>
      <c r="D1153" s="8">
        <v>0.5</v>
      </c>
      <c r="E1153" s="28" t="s">
        <v>14</v>
      </c>
      <c r="F1153" s="7" t="s">
        <v>14</v>
      </c>
      <c r="G1153" s="27" t="s">
        <v>14</v>
      </c>
      <c r="H1153" s="27" t="s">
        <v>14</v>
      </c>
    </row>
    <row r="1154" spans="2:8" x14ac:dyDescent="0.3">
      <c r="B1154" s="11">
        <v>41878</v>
      </c>
      <c r="C1154" s="29" t="str">
        <f t="shared" si="17"/>
        <v/>
      </c>
      <c r="D1154" s="8">
        <v>0.5</v>
      </c>
      <c r="E1154" s="28" t="s">
        <v>14</v>
      </c>
      <c r="F1154" s="7" t="s">
        <v>14</v>
      </c>
      <c r="G1154" s="27" t="s">
        <v>14</v>
      </c>
      <c r="H1154" s="27" t="s">
        <v>14</v>
      </c>
    </row>
    <row r="1155" spans="2:8" x14ac:dyDescent="0.3">
      <c r="B1155" s="9">
        <v>41879</v>
      </c>
      <c r="C1155" s="29" t="str">
        <f t="shared" ref="C1155:C1218" si="18">INDEX(D1155:H1155,MATCH($A$1,$D$1:$H$1,0))</f>
        <v/>
      </c>
      <c r="D1155" s="8">
        <v>0.5</v>
      </c>
      <c r="E1155" s="28" t="s">
        <v>14</v>
      </c>
      <c r="F1155" s="7" t="s">
        <v>14</v>
      </c>
      <c r="G1155" s="27" t="s">
        <v>14</v>
      </c>
      <c r="H1155" s="27" t="s">
        <v>14</v>
      </c>
    </row>
    <row r="1156" spans="2:8" x14ac:dyDescent="0.3">
      <c r="B1156" s="11">
        <v>41880</v>
      </c>
      <c r="C1156" s="29" t="str">
        <f t="shared" si="18"/>
        <v/>
      </c>
      <c r="D1156" s="8">
        <v>0.5</v>
      </c>
      <c r="E1156" s="28">
        <v>0.5</v>
      </c>
      <c r="F1156" s="7" t="s">
        <v>14</v>
      </c>
      <c r="G1156" s="27" t="s">
        <v>14</v>
      </c>
      <c r="H1156" s="27" t="s">
        <v>14</v>
      </c>
    </row>
    <row r="1157" spans="2:8" x14ac:dyDescent="0.3">
      <c r="B1157" s="9">
        <v>41883</v>
      </c>
      <c r="C1157" s="29" t="str">
        <f t="shared" si="18"/>
        <v/>
      </c>
      <c r="D1157" s="8">
        <v>0.5</v>
      </c>
      <c r="E1157" s="28" t="s">
        <v>14</v>
      </c>
      <c r="F1157" s="7" t="s">
        <v>14</v>
      </c>
      <c r="G1157" s="27" t="s">
        <v>14</v>
      </c>
      <c r="H1157" s="27" t="s">
        <v>14</v>
      </c>
    </row>
    <row r="1158" spans="2:8" x14ac:dyDescent="0.3">
      <c r="B1158" s="11">
        <v>41884</v>
      </c>
      <c r="C1158" s="29" t="str">
        <f t="shared" si="18"/>
        <v/>
      </c>
      <c r="D1158" s="8">
        <v>0.5</v>
      </c>
      <c r="E1158" s="28" t="s">
        <v>14</v>
      </c>
      <c r="F1158" s="7" t="s">
        <v>14</v>
      </c>
      <c r="G1158" s="27" t="s">
        <v>14</v>
      </c>
      <c r="H1158" s="27" t="s">
        <v>14</v>
      </c>
    </row>
    <row r="1159" spans="2:8" x14ac:dyDescent="0.3">
      <c r="B1159" s="9">
        <v>41885</v>
      </c>
      <c r="C1159" s="29" t="str">
        <f t="shared" si="18"/>
        <v/>
      </c>
      <c r="D1159" s="8">
        <v>0.5</v>
      </c>
      <c r="E1159" s="28" t="s">
        <v>14</v>
      </c>
      <c r="F1159" s="7" t="s">
        <v>14</v>
      </c>
      <c r="G1159" s="27" t="s">
        <v>14</v>
      </c>
      <c r="H1159" s="27" t="s">
        <v>14</v>
      </c>
    </row>
    <row r="1160" spans="2:8" x14ac:dyDescent="0.3">
      <c r="B1160" s="11">
        <v>41886</v>
      </c>
      <c r="C1160" s="29" t="str">
        <f t="shared" si="18"/>
        <v/>
      </c>
      <c r="D1160" s="8">
        <v>0.5</v>
      </c>
      <c r="E1160" s="28" t="s">
        <v>14</v>
      </c>
      <c r="F1160" s="7" t="s">
        <v>14</v>
      </c>
      <c r="G1160" s="27" t="s">
        <v>14</v>
      </c>
      <c r="H1160" s="27" t="s">
        <v>14</v>
      </c>
    </row>
    <row r="1161" spans="2:8" x14ac:dyDescent="0.3">
      <c r="B1161" s="9">
        <v>41887</v>
      </c>
      <c r="C1161" s="29" t="str">
        <f t="shared" si="18"/>
        <v/>
      </c>
      <c r="D1161" s="8">
        <v>0.5</v>
      </c>
      <c r="E1161" s="28" t="s">
        <v>14</v>
      </c>
      <c r="F1161" s="7" t="s">
        <v>14</v>
      </c>
      <c r="G1161" s="27" t="s">
        <v>14</v>
      </c>
      <c r="H1161" s="27" t="s">
        <v>14</v>
      </c>
    </row>
    <row r="1162" spans="2:8" x14ac:dyDescent="0.3">
      <c r="B1162" s="11">
        <v>41890</v>
      </c>
      <c r="C1162" s="29" t="str">
        <f t="shared" si="18"/>
        <v/>
      </c>
      <c r="D1162" s="8">
        <v>0.5</v>
      </c>
      <c r="E1162" s="28" t="s">
        <v>14</v>
      </c>
      <c r="F1162" s="7" t="s">
        <v>14</v>
      </c>
      <c r="G1162" s="27" t="s">
        <v>14</v>
      </c>
      <c r="H1162" s="27" t="s">
        <v>14</v>
      </c>
    </row>
    <row r="1163" spans="2:8" x14ac:dyDescent="0.3">
      <c r="B1163" s="9">
        <v>41891</v>
      </c>
      <c r="C1163" s="29" t="str">
        <f t="shared" si="18"/>
        <v/>
      </c>
      <c r="D1163" s="8">
        <v>0.5</v>
      </c>
      <c r="E1163" s="28" t="s">
        <v>14</v>
      </c>
      <c r="F1163" s="7" t="s">
        <v>14</v>
      </c>
      <c r="G1163" s="27" t="s">
        <v>14</v>
      </c>
      <c r="H1163" s="27" t="s">
        <v>14</v>
      </c>
    </row>
    <row r="1164" spans="2:8" x14ac:dyDescent="0.3">
      <c r="B1164" s="11">
        <v>41892</v>
      </c>
      <c r="C1164" s="29" t="str">
        <f t="shared" si="18"/>
        <v/>
      </c>
      <c r="D1164" s="8">
        <v>0.5</v>
      </c>
      <c r="E1164" s="28" t="s">
        <v>14</v>
      </c>
      <c r="F1164" s="7" t="s">
        <v>14</v>
      </c>
      <c r="G1164" s="27" t="s">
        <v>14</v>
      </c>
      <c r="H1164" s="27" t="s">
        <v>14</v>
      </c>
    </row>
    <row r="1165" spans="2:8" x14ac:dyDescent="0.3">
      <c r="B1165" s="9">
        <v>41893</v>
      </c>
      <c r="C1165" s="29" t="str">
        <f t="shared" si="18"/>
        <v/>
      </c>
      <c r="D1165" s="8">
        <v>0.5</v>
      </c>
      <c r="E1165" s="28" t="s">
        <v>14</v>
      </c>
      <c r="F1165" s="7" t="s">
        <v>14</v>
      </c>
      <c r="G1165" s="27" t="s">
        <v>14</v>
      </c>
      <c r="H1165" s="27" t="s">
        <v>14</v>
      </c>
    </row>
    <row r="1166" spans="2:8" x14ac:dyDescent="0.3">
      <c r="B1166" s="11">
        <v>41894</v>
      </c>
      <c r="C1166" s="29" t="str">
        <f t="shared" si="18"/>
        <v/>
      </c>
      <c r="D1166" s="8">
        <v>0.5</v>
      </c>
      <c r="E1166" s="28" t="s">
        <v>14</v>
      </c>
      <c r="F1166" s="7" t="s">
        <v>14</v>
      </c>
      <c r="G1166" s="27" t="s">
        <v>14</v>
      </c>
      <c r="H1166" s="27" t="s">
        <v>14</v>
      </c>
    </row>
    <row r="1167" spans="2:8" x14ac:dyDescent="0.3">
      <c r="B1167" s="9">
        <v>41897</v>
      </c>
      <c r="C1167" s="29" t="str">
        <f t="shared" si="18"/>
        <v/>
      </c>
      <c r="D1167" s="8">
        <v>0.5</v>
      </c>
      <c r="E1167" s="28" t="s">
        <v>14</v>
      </c>
      <c r="F1167" s="7" t="s">
        <v>14</v>
      </c>
      <c r="G1167" s="27" t="s">
        <v>14</v>
      </c>
      <c r="H1167" s="27" t="s">
        <v>14</v>
      </c>
    </row>
    <row r="1168" spans="2:8" x14ac:dyDescent="0.3">
      <c r="B1168" s="11">
        <v>41898</v>
      </c>
      <c r="C1168" s="29" t="str">
        <f t="shared" si="18"/>
        <v/>
      </c>
      <c r="D1168" s="8">
        <v>0.5</v>
      </c>
      <c r="E1168" s="28" t="s">
        <v>14</v>
      </c>
      <c r="F1168" s="7" t="s">
        <v>14</v>
      </c>
      <c r="G1168" s="27" t="s">
        <v>14</v>
      </c>
      <c r="H1168" s="27" t="s">
        <v>14</v>
      </c>
    </row>
    <row r="1169" spans="2:8" x14ac:dyDescent="0.3">
      <c r="B1169" s="9">
        <v>41899</v>
      </c>
      <c r="C1169" s="29" t="str">
        <f t="shared" si="18"/>
        <v/>
      </c>
      <c r="D1169" s="8">
        <v>0.5</v>
      </c>
      <c r="E1169" s="28" t="s">
        <v>14</v>
      </c>
      <c r="F1169" s="7" t="s">
        <v>14</v>
      </c>
      <c r="G1169" s="27" t="s">
        <v>14</v>
      </c>
      <c r="H1169" s="27" t="s">
        <v>14</v>
      </c>
    </row>
    <row r="1170" spans="2:8" x14ac:dyDescent="0.3">
      <c r="B1170" s="11">
        <v>41900</v>
      </c>
      <c r="C1170" s="29" t="str">
        <f t="shared" si="18"/>
        <v/>
      </c>
      <c r="D1170" s="8">
        <v>0.5</v>
      </c>
      <c r="E1170" s="28" t="s">
        <v>14</v>
      </c>
      <c r="F1170" s="7" t="s">
        <v>14</v>
      </c>
      <c r="G1170" s="27" t="s">
        <v>14</v>
      </c>
      <c r="H1170" s="27" t="s">
        <v>14</v>
      </c>
    </row>
    <row r="1171" spans="2:8" x14ac:dyDescent="0.3">
      <c r="B1171" s="9">
        <v>41901</v>
      </c>
      <c r="C1171" s="29" t="str">
        <f t="shared" si="18"/>
        <v/>
      </c>
      <c r="D1171" s="8">
        <v>0.5</v>
      </c>
      <c r="E1171" s="28" t="s">
        <v>14</v>
      </c>
      <c r="F1171" s="7" t="s">
        <v>14</v>
      </c>
      <c r="G1171" s="27" t="s">
        <v>14</v>
      </c>
      <c r="H1171" s="27" t="s">
        <v>14</v>
      </c>
    </row>
    <row r="1172" spans="2:8" x14ac:dyDescent="0.3">
      <c r="B1172" s="11">
        <v>41904</v>
      </c>
      <c r="C1172" s="29" t="str">
        <f t="shared" si="18"/>
        <v/>
      </c>
      <c r="D1172" s="8">
        <v>0.5</v>
      </c>
      <c r="E1172" s="28" t="s">
        <v>14</v>
      </c>
      <c r="F1172" s="7" t="s">
        <v>14</v>
      </c>
      <c r="G1172" s="27" t="s">
        <v>14</v>
      </c>
      <c r="H1172" s="27" t="s">
        <v>14</v>
      </c>
    </row>
    <row r="1173" spans="2:8" x14ac:dyDescent="0.3">
      <c r="B1173" s="9">
        <v>41905</v>
      </c>
      <c r="C1173" s="29" t="str">
        <f t="shared" si="18"/>
        <v/>
      </c>
      <c r="D1173" s="8">
        <v>0.5</v>
      </c>
      <c r="E1173" s="28" t="s">
        <v>14</v>
      </c>
      <c r="F1173" s="7" t="s">
        <v>14</v>
      </c>
      <c r="G1173" s="27" t="s">
        <v>14</v>
      </c>
      <c r="H1173" s="27" t="s">
        <v>14</v>
      </c>
    </row>
    <row r="1174" spans="2:8" x14ac:dyDescent="0.3">
      <c r="B1174" s="11">
        <v>41906</v>
      </c>
      <c r="C1174" s="29" t="str">
        <f t="shared" si="18"/>
        <v/>
      </c>
      <c r="D1174" s="8">
        <v>0.5</v>
      </c>
      <c r="E1174" s="28" t="s">
        <v>14</v>
      </c>
      <c r="F1174" s="7" t="s">
        <v>14</v>
      </c>
      <c r="G1174" s="27" t="s">
        <v>14</v>
      </c>
      <c r="H1174" s="27" t="s">
        <v>14</v>
      </c>
    </row>
    <row r="1175" spans="2:8" x14ac:dyDescent="0.3">
      <c r="B1175" s="9">
        <v>41907</v>
      </c>
      <c r="C1175" s="29" t="str">
        <f t="shared" si="18"/>
        <v/>
      </c>
      <c r="D1175" s="8">
        <v>0.5</v>
      </c>
      <c r="E1175" s="28" t="s">
        <v>14</v>
      </c>
      <c r="F1175" s="7" t="s">
        <v>14</v>
      </c>
      <c r="G1175" s="27" t="s">
        <v>14</v>
      </c>
      <c r="H1175" s="27" t="s">
        <v>14</v>
      </c>
    </row>
    <row r="1176" spans="2:8" x14ac:dyDescent="0.3">
      <c r="B1176" s="11">
        <v>41908</v>
      </c>
      <c r="C1176" s="29" t="str">
        <f t="shared" si="18"/>
        <v/>
      </c>
      <c r="D1176" s="8">
        <v>0.5</v>
      </c>
      <c r="E1176" s="28" t="s">
        <v>14</v>
      </c>
      <c r="F1176" s="7" t="s">
        <v>14</v>
      </c>
      <c r="G1176" s="27" t="s">
        <v>14</v>
      </c>
      <c r="H1176" s="27" t="s">
        <v>14</v>
      </c>
    </row>
    <row r="1177" spans="2:8" x14ac:dyDescent="0.3">
      <c r="B1177" s="9">
        <v>41911</v>
      </c>
      <c r="C1177" s="29" t="str">
        <f t="shared" si="18"/>
        <v/>
      </c>
      <c r="D1177" s="8">
        <v>0.5</v>
      </c>
      <c r="E1177" s="28" t="s">
        <v>14</v>
      </c>
      <c r="F1177" s="7" t="s">
        <v>14</v>
      </c>
      <c r="G1177" s="27" t="s">
        <v>14</v>
      </c>
      <c r="H1177" s="27" t="s">
        <v>14</v>
      </c>
    </row>
    <row r="1178" spans="2:8" x14ac:dyDescent="0.3">
      <c r="B1178" s="11">
        <v>41912</v>
      </c>
      <c r="C1178" s="29">
        <f t="shared" si="18"/>
        <v>0</v>
      </c>
      <c r="D1178" s="8">
        <v>0.5</v>
      </c>
      <c r="E1178" s="28">
        <v>0.5</v>
      </c>
      <c r="F1178" s="7">
        <v>0.5</v>
      </c>
    </row>
    <row r="1179" spans="2:8" x14ac:dyDescent="0.3">
      <c r="B1179" s="9">
        <v>41913</v>
      </c>
      <c r="C1179" s="29" t="str">
        <f t="shared" si="18"/>
        <v/>
      </c>
      <c r="D1179" s="8">
        <v>0.5</v>
      </c>
      <c r="E1179" s="28" t="s">
        <v>14</v>
      </c>
      <c r="F1179" s="7" t="s">
        <v>14</v>
      </c>
      <c r="G1179" s="27" t="s">
        <v>14</v>
      </c>
      <c r="H1179" s="27" t="s">
        <v>14</v>
      </c>
    </row>
    <row r="1180" spans="2:8" x14ac:dyDescent="0.3">
      <c r="B1180" s="11">
        <v>41914</v>
      </c>
      <c r="C1180" s="29" t="str">
        <f t="shared" si="18"/>
        <v/>
      </c>
      <c r="D1180" s="8">
        <v>0.5</v>
      </c>
      <c r="E1180" s="28" t="s">
        <v>14</v>
      </c>
      <c r="F1180" s="7" t="s">
        <v>14</v>
      </c>
      <c r="G1180" s="27" t="s">
        <v>14</v>
      </c>
      <c r="H1180" s="27" t="s">
        <v>14</v>
      </c>
    </row>
    <row r="1181" spans="2:8" x14ac:dyDescent="0.3">
      <c r="B1181" s="9">
        <v>41915</v>
      </c>
      <c r="C1181" s="29" t="str">
        <f t="shared" si="18"/>
        <v/>
      </c>
      <c r="D1181" s="8">
        <v>0.5</v>
      </c>
      <c r="E1181" s="28" t="s">
        <v>14</v>
      </c>
      <c r="F1181" s="7" t="s">
        <v>14</v>
      </c>
      <c r="G1181" s="27" t="s">
        <v>14</v>
      </c>
      <c r="H1181" s="27" t="s">
        <v>14</v>
      </c>
    </row>
    <row r="1182" spans="2:8" x14ac:dyDescent="0.3">
      <c r="B1182" s="11">
        <v>41918</v>
      </c>
      <c r="C1182" s="29" t="str">
        <f t="shared" si="18"/>
        <v/>
      </c>
      <c r="D1182" s="8">
        <v>0.5</v>
      </c>
      <c r="E1182" s="28" t="s">
        <v>14</v>
      </c>
      <c r="F1182" s="7" t="s">
        <v>14</v>
      </c>
      <c r="G1182" s="27" t="s">
        <v>14</v>
      </c>
      <c r="H1182" s="27" t="s">
        <v>14</v>
      </c>
    </row>
    <row r="1183" spans="2:8" x14ac:dyDescent="0.3">
      <c r="B1183" s="9">
        <v>41919</v>
      </c>
      <c r="C1183" s="29" t="str">
        <f t="shared" si="18"/>
        <v/>
      </c>
      <c r="D1183" s="8">
        <v>0.5</v>
      </c>
      <c r="E1183" s="28" t="s">
        <v>14</v>
      </c>
      <c r="F1183" s="7" t="s">
        <v>14</v>
      </c>
      <c r="G1183" s="27" t="s">
        <v>14</v>
      </c>
      <c r="H1183" s="27" t="s">
        <v>14</v>
      </c>
    </row>
    <row r="1184" spans="2:8" x14ac:dyDescent="0.3">
      <c r="B1184" s="11">
        <v>41920</v>
      </c>
      <c r="C1184" s="29" t="str">
        <f t="shared" si="18"/>
        <v/>
      </c>
      <c r="D1184" s="8">
        <v>0.5</v>
      </c>
      <c r="E1184" s="28" t="s">
        <v>14</v>
      </c>
      <c r="F1184" s="7" t="s">
        <v>14</v>
      </c>
      <c r="G1184" s="27" t="s">
        <v>14</v>
      </c>
      <c r="H1184" s="27" t="s">
        <v>14</v>
      </c>
    </row>
    <row r="1185" spans="2:8" x14ac:dyDescent="0.3">
      <c r="B1185" s="9">
        <v>41921</v>
      </c>
      <c r="C1185" s="29" t="str">
        <f t="shared" si="18"/>
        <v/>
      </c>
      <c r="D1185" s="8">
        <v>0.5</v>
      </c>
      <c r="E1185" s="28" t="s">
        <v>14</v>
      </c>
      <c r="F1185" s="7" t="s">
        <v>14</v>
      </c>
      <c r="G1185" s="27" t="s">
        <v>14</v>
      </c>
      <c r="H1185" s="27" t="s">
        <v>14</v>
      </c>
    </row>
    <row r="1186" spans="2:8" x14ac:dyDescent="0.3">
      <c r="B1186" s="11">
        <v>41922</v>
      </c>
      <c r="C1186" s="29" t="str">
        <f t="shared" si="18"/>
        <v/>
      </c>
      <c r="D1186" s="8">
        <v>0.5</v>
      </c>
      <c r="E1186" s="28" t="s">
        <v>14</v>
      </c>
      <c r="F1186" s="7" t="s">
        <v>14</v>
      </c>
      <c r="G1186" s="27" t="s">
        <v>14</v>
      </c>
      <c r="H1186" s="27" t="s">
        <v>14</v>
      </c>
    </row>
    <row r="1187" spans="2:8" x14ac:dyDescent="0.3">
      <c r="B1187" s="9">
        <v>41925</v>
      </c>
      <c r="C1187" s="29" t="str">
        <f t="shared" si="18"/>
        <v/>
      </c>
      <c r="D1187" s="8">
        <v>0.5</v>
      </c>
      <c r="E1187" s="28" t="s">
        <v>14</v>
      </c>
      <c r="F1187" s="7" t="s">
        <v>14</v>
      </c>
      <c r="G1187" s="27" t="s">
        <v>14</v>
      </c>
      <c r="H1187" s="27" t="s">
        <v>14</v>
      </c>
    </row>
    <row r="1188" spans="2:8" x14ac:dyDescent="0.3">
      <c r="B1188" s="11">
        <v>41926</v>
      </c>
      <c r="C1188" s="29" t="str">
        <f t="shared" si="18"/>
        <v/>
      </c>
      <c r="D1188" s="8">
        <v>0.5</v>
      </c>
      <c r="E1188" s="28" t="s">
        <v>14</v>
      </c>
      <c r="F1188" s="7" t="s">
        <v>14</v>
      </c>
      <c r="G1188" s="27" t="s">
        <v>14</v>
      </c>
      <c r="H1188" s="27" t="s">
        <v>14</v>
      </c>
    </row>
    <row r="1189" spans="2:8" x14ac:dyDescent="0.3">
      <c r="B1189" s="9">
        <v>41927</v>
      </c>
      <c r="C1189" s="29" t="str">
        <f t="shared" si="18"/>
        <v/>
      </c>
      <c r="D1189" s="8">
        <v>0.5</v>
      </c>
      <c r="E1189" s="28" t="s">
        <v>14</v>
      </c>
      <c r="F1189" s="7" t="s">
        <v>14</v>
      </c>
      <c r="G1189" s="27" t="s">
        <v>14</v>
      </c>
      <c r="H1189" s="27" t="s">
        <v>14</v>
      </c>
    </row>
    <row r="1190" spans="2:8" x14ac:dyDescent="0.3">
      <c r="B1190" s="11">
        <v>41928</v>
      </c>
      <c r="C1190" s="29" t="str">
        <f t="shared" si="18"/>
        <v/>
      </c>
      <c r="D1190" s="8">
        <v>0.5</v>
      </c>
      <c r="E1190" s="28" t="s">
        <v>14</v>
      </c>
      <c r="F1190" s="7" t="s">
        <v>14</v>
      </c>
      <c r="G1190" s="27" t="s">
        <v>14</v>
      </c>
      <c r="H1190" s="27" t="s">
        <v>14</v>
      </c>
    </row>
    <row r="1191" spans="2:8" x14ac:dyDescent="0.3">
      <c r="B1191" s="9">
        <v>41929</v>
      </c>
      <c r="C1191" s="29" t="str">
        <f t="shared" si="18"/>
        <v/>
      </c>
      <c r="D1191" s="8">
        <v>0.5</v>
      </c>
      <c r="E1191" s="28" t="s">
        <v>14</v>
      </c>
      <c r="F1191" s="7" t="s">
        <v>14</v>
      </c>
      <c r="G1191" s="27" t="s">
        <v>14</v>
      </c>
      <c r="H1191" s="27" t="s">
        <v>14</v>
      </c>
    </row>
    <row r="1192" spans="2:8" x14ac:dyDescent="0.3">
      <c r="B1192" s="11">
        <v>41932</v>
      </c>
      <c r="C1192" s="29" t="str">
        <f t="shared" si="18"/>
        <v/>
      </c>
      <c r="D1192" s="8">
        <v>0.5</v>
      </c>
      <c r="E1192" s="28" t="s">
        <v>14</v>
      </c>
      <c r="F1192" s="7" t="s">
        <v>14</v>
      </c>
      <c r="G1192" s="27" t="s">
        <v>14</v>
      </c>
      <c r="H1192" s="27" t="s">
        <v>14</v>
      </c>
    </row>
    <row r="1193" spans="2:8" x14ac:dyDescent="0.3">
      <c r="B1193" s="9">
        <v>41933</v>
      </c>
      <c r="C1193" s="29" t="str">
        <f t="shared" si="18"/>
        <v/>
      </c>
      <c r="D1193" s="8">
        <v>0.5</v>
      </c>
      <c r="E1193" s="28" t="s">
        <v>14</v>
      </c>
      <c r="F1193" s="7" t="s">
        <v>14</v>
      </c>
      <c r="G1193" s="27" t="s">
        <v>14</v>
      </c>
      <c r="H1193" s="27" t="s">
        <v>14</v>
      </c>
    </row>
    <row r="1194" spans="2:8" x14ac:dyDescent="0.3">
      <c r="B1194" s="11">
        <v>41934</v>
      </c>
      <c r="C1194" s="29" t="str">
        <f t="shared" si="18"/>
        <v/>
      </c>
      <c r="D1194" s="8">
        <v>0.5</v>
      </c>
      <c r="E1194" s="28" t="s">
        <v>14</v>
      </c>
      <c r="F1194" s="7" t="s">
        <v>14</v>
      </c>
      <c r="G1194" s="27" t="s">
        <v>14</v>
      </c>
      <c r="H1194" s="27" t="s">
        <v>14</v>
      </c>
    </row>
    <row r="1195" spans="2:8" x14ac:dyDescent="0.3">
      <c r="B1195" s="9">
        <v>41935</v>
      </c>
      <c r="C1195" s="29" t="str">
        <f t="shared" si="18"/>
        <v/>
      </c>
      <c r="D1195" s="8">
        <v>0.5</v>
      </c>
      <c r="E1195" s="28" t="s">
        <v>14</v>
      </c>
      <c r="F1195" s="7" t="s">
        <v>14</v>
      </c>
      <c r="G1195" s="27" t="s">
        <v>14</v>
      </c>
      <c r="H1195" s="27" t="s">
        <v>14</v>
      </c>
    </row>
    <row r="1196" spans="2:8" x14ac:dyDescent="0.3">
      <c r="B1196" s="11">
        <v>41936</v>
      </c>
      <c r="C1196" s="29" t="str">
        <f t="shared" si="18"/>
        <v/>
      </c>
      <c r="D1196" s="8">
        <v>0.5</v>
      </c>
      <c r="E1196" s="28" t="s">
        <v>14</v>
      </c>
      <c r="F1196" s="7" t="s">
        <v>14</v>
      </c>
      <c r="G1196" s="27" t="s">
        <v>14</v>
      </c>
      <c r="H1196" s="27" t="s">
        <v>14</v>
      </c>
    </row>
    <row r="1197" spans="2:8" x14ac:dyDescent="0.3">
      <c r="B1197" s="9">
        <v>41939</v>
      </c>
      <c r="C1197" s="29" t="str">
        <f t="shared" si="18"/>
        <v/>
      </c>
      <c r="D1197" s="8">
        <v>0.5</v>
      </c>
      <c r="E1197" s="28" t="s">
        <v>14</v>
      </c>
      <c r="F1197" s="7" t="s">
        <v>14</v>
      </c>
      <c r="G1197" s="27" t="s">
        <v>14</v>
      </c>
      <c r="H1197" s="27" t="s">
        <v>14</v>
      </c>
    </row>
    <row r="1198" spans="2:8" x14ac:dyDescent="0.3">
      <c r="B1198" s="11">
        <v>41940</v>
      </c>
      <c r="C1198" s="29" t="str">
        <f t="shared" si="18"/>
        <v/>
      </c>
      <c r="D1198" s="8">
        <v>0.5</v>
      </c>
      <c r="E1198" s="28" t="s">
        <v>14</v>
      </c>
      <c r="F1198" s="7" t="s">
        <v>14</v>
      </c>
      <c r="G1198" s="27" t="s">
        <v>14</v>
      </c>
      <c r="H1198" s="27" t="s">
        <v>14</v>
      </c>
    </row>
    <row r="1199" spans="2:8" x14ac:dyDescent="0.3">
      <c r="B1199" s="9">
        <v>41941</v>
      </c>
      <c r="C1199" s="29" t="str">
        <f t="shared" si="18"/>
        <v/>
      </c>
      <c r="D1199" s="8">
        <v>0.5</v>
      </c>
      <c r="E1199" s="28" t="s">
        <v>14</v>
      </c>
      <c r="F1199" s="7" t="s">
        <v>14</v>
      </c>
      <c r="G1199" s="27" t="s">
        <v>14</v>
      </c>
      <c r="H1199" s="27" t="s">
        <v>14</v>
      </c>
    </row>
    <row r="1200" spans="2:8" x14ac:dyDescent="0.3">
      <c r="B1200" s="11">
        <v>41942</v>
      </c>
      <c r="C1200" s="29" t="str">
        <f t="shared" si="18"/>
        <v/>
      </c>
      <c r="D1200" s="8">
        <v>0.5</v>
      </c>
      <c r="E1200" s="28" t="s">
        <v>14</v>
      </c>
      <c r="F1200" s="7" t="s">
        <v>14</v>
      </c>
      <c r="G1200" s="27" t="s">
        <v>14</v>
      </c>
      <c r="H1200" s="27" t="s">
        <v>14</v>
      </c>
    </row>
    <row r="1201" spans="2:8" x14ac:dyDescent="0.3">
      <c r="B1201" s="9">
        <v>41943</v>
      </c>
      <c r="C1201" s="29" t="str">
        <f t="shared" si="18"/>
        <v/>
      </c>
      <c r="D1201" s="8">
        <v>0.5</v>
      </c>
      <c r="E1201" s="28">
        <v>0.5</v>
      </c>
      <c r="F1201" s="7" t="s">
        <v>14</v>
      </c>
      <c r="G1201" s="27" t="s">
        <v>14</v>
      </c>
      <c r="H1201" s="27" t="s">
        <v>14</v>
      </c>
    </row>
    <row r="1202" spans="2:8" x14ac:dyDescent="0.3">
      <c r="B1202" s="11">
        <v>41946</v>
      </c>
      <c r="C1202" s="29" t="str">
        <f t="shared" si="18"/>
        <v/>
      </c>
      <c r="D1202" s="8">
        <v>0.5</v>
      </c>
      <c r="E1202" s="28" t="s">
        <v>14</v>
      </c>
      <c r="F1202" s="7" t="s">
        <v>14</v>
      </c>
      <c r="G1202" s="27" t="s">
        <v>14</v>
      </c>
      <c r="H1202" s="27" t="s">
        <v>14</v>
      </c>
    </row>
    <row r="1203" spans="2:8" x14ac:dyDescent="0.3">
      <c r="B1203" s="9">
        <v>41947</v>
      </c>
      <c r="C1203" s="29" t="str">
        <f t="shared" si="18"/>
        <v/>
      </c>
      <c r="D1203" s="8">
        <v>0.5</v>
      </c>
      <c r="E1203" s="28" t="s">
        <v>14</v>
      </c>
      <c r="F1203" s="7" t="s">
        <v>14</v>
      </c>
      <c r="G1203" s="27" t="s">
        <v>14</v>
      </c>
      <c r="H1203" s="27" t="s">
        <v>14</v>
      </c>
    </row>
    <row r="1204" spans="2:8" x14ac:dyDescent="0.3">
      <c r="B1204" s="11">
        <v>41948</v>
      </c>
      <c r="C1204" s="29" t="str">
        <f t="shared" si="18"/>
        <v/>
      </c>
      <c r="D1204" s="8">
        <v>0.5</v>
      </c>
      <c r="E1204" s="28" t="s">
        <v>14</v>
      </c>
      <c r="F1204" s="7" t="s">
        <v>14</v>
      </c>
      <c r="G1204" s="27" t="s">
        <v>14</v>
      </c>
      <c r="H1204" s="27" t="s">
        <v>14</v>
      </c>
    </row>
    <row r="1205" spans="2:8" x14ac:dyDescent="0.3">
      <c r="B1205" s="9">
        <v>41949</v>
      </c>
      <c r="C1205" s="29" t="str">
        <f t="shared" si="18"/>
        <v/>
      </c>
      <c r="D1205" s="8">
        <v>0.5</v>
      </c>
      <c r="E1205" s="28" t="s">
        <v>14</v>
      </c>
      <c r="F1205" s="7" t="s">
        <v>14</v>
      </c>
      <c r="G1205" s="27" t="s">
        <v>14</v>
      </c>
      <c r="H1205" s="27" t="s">
        <v>14</v>
      </c>
    </row>
    <row r="1206" spans="2:8" x14ac:dyDescent="0.3">
      <c r="B1206" s="11">
        <v>41950</v>
      </c>
      <c r="C1206" s="29" t="str">
        <f t="shared" si="18"/>
        <v/>
      </c>
      <c r="D1206" s="8">
        <v>0.5</v>
      </c>
      <c r="E1206" s="28" t="s">
        <v>14</v>
      </c>
      <c r="F1206" s="7" t="s">
        <v>14</v>
      </c>
      <c r="G1206" s="27" t="s">
        <v>14</v>
      </c>
      <c r="H1206" s="27" t="s">
        <v>14</v>
      </c>
    </row>
    <row r="1207" spans="2:8" x14ac:dyDescent="0.3">
      <c r="B1207" s="9">
        <v>41953</v>
      </c>
      <c r="C1207" s="29" t="str">
        <f t="shared" si="18"/>
        <v/>
      </c>
      <c r="D1207" s="8">
        <v>0.5</v>
      </c>
      <c r="E1207" s="28" t="s">
        <v>14</v>
      </c>
      <c r="F1207" s="7" t="s">
        <v>14</v>
      </c>
      <c r="G1207" s="27" t="s">
        <v>14</v>
      </c>
      <c r="H1207" s="27" t="s">
        <v>14</v>
      </c>
    </row>
    <row r="1208" spans="2:8" x14ac:dyDescent="0.3">
      <c r="B1208" s="11">
        <v>41954</v>
      </c>
      <c r="C1208" s="29" t="str">
        <f t="shared" si="18"/>
        <v/>
      </c>
      <c r="D1208" s="8">
        <v>0.5</v>
      </c>
      <c r="E1208" s="28" t="s">
        <v>14</v>
      </c>
      <c r="F1208" s="7" t="s">
        <v>14</v>
      </c>
      <c r="G1208" s="27" t="s">
        <v>14</v>
      </c>
      <c r="H1208" s="27" t="s">
        <v>14</v>
      </c>
    </row>
    <row r="1209" spans="2:8" x14ac:dyDescent="0.3">
      <c r="B1209" s="9">
        <v>41955</v>
      </c>
      <c r="C1209" s="29" t="str">
        <f t="shared" si="18"/>
        <v/>
      </c>
      <c r="D1209" s="8">
        <v>0.5</v>
      </c>
      <c r="E1209" s="28" t="s">
        <v>14</v>
      </c>
      <c r="F1209" s="7" t="s">
        <v>14</v>
      </c>
      <c r="G1209" s="27" t="s">
        <v>14</v>
      </c>
      <c r="H1209" s="27" t="s">
        <v>14</v>
      </c>
    </row>
    <row r="1210" spans="2:8" x14ac:dyDescent="0.3">
      <c r="B1210" s="11">
        <v>41956</v>
      </c>
      <c r="C1210" s="29" t="str">
        <f t="shared" si="18"/>
        <v/>
      </c>
      <c r="D1210" s="8">
        <v>0.5</v>
      </c>
      <c r="E1210" s="28" t="s">
        <v>14</v>
      </c>
      <c r="F1210" s="7" t="s">
        <v>14</v>
      </c>
      <c r="G1210" s="27" t="s">
        <v>14</v>
      </c>
      <c r="H1210" s="27" t="s">
        <v>14</v>
      </c>
    </row>
    <row r="1211" spans="2:8" x14ac:dyDescent="0.3">
      <c r="B1211" s="9">
        <v>41957</v>
      </c>
      <c r="C1211" s="29" t="str">
        <f t="shared" si="18"/>
        <v/>
      </c>
      <c r="D1211" s="8">
        <v>0.5</v>
      </c>
      <c r="E1211" s="28" t="s">
        <v>14</v>
      </c>
      <c r="F1211" s="7" t="s">
        <v>14</v>
      </c>
      <c r="G1211" s="27" t="s">
        <v>14</v>
      </c>
      <c r="H1211" s="27" t="s">
        <v>14</v>
      </c>
    </row>
    <row r="1212" spans="2:8" x14ac:dyDescent="0.3">
      <c r="B1212" s="11">
        <v>41960</v>
      </c>
      <c r="C1212" s="29" t="str">
        <f t="shared" si="18"/>
        <v/>
      </c>
      <c r="D1212" s="8">
        <v>0.5</v>
      </c>
      <c r="E1212" s="28" t="s">
        <v>14</v>
      </c>
      <c r="F1212" s="7" t="s">
        <v>14</v>
      </c>
      <c r="G1212" s="27" t="s">
        <v>14</v>
      </c>
      <c r="H1212" s="27" t="s">
        <v>14</v>
      </c>
    </row>
    <row r="1213" spans="2:8" x14ac:dyDescent="0.3">
      <c r="B1213" s="9">
        <v>41961</v>
      </c>
      <c r="C1213" s="29" t="str">
        <f t="shared" si="18"/>
        <v/>
      </c>
      <c r="D1213" s="8">
        <v>0.5</v>
      </c>
      <c r="E1213" s="28" t="s">
        <v>14</v>
      </c>
      <c r="F1213" s="7" t="s">
        <v>14</v>
      </c>
      <c r="G1213" s="27" t="s">
        <v>14</v>
      </c>
      <c r="H1213" s="27" t="s">
        <v>14</v>
      </c>
    </row>
    <row r="1214" spans="2:8" x14ac:dyDescent="0.3">
      <c r="B1214" s="11">
        <v>41962</v>
      </c>
      <c r="C1214" s="29" t="str">
        <f t="shared" si="18"/>
        <v/>
      </c>
      <c r="D1214" s="8">
        <v>0.5</v>
      </c>
      <c r="E1214" s="28" t="s">
        <v>14</v>
      </c>
      <c r="F1214" s="7" t="s">
        <v>14</v>
      </c>
      <c r="G1214" s="27" t="s">
        <v>14</v>
      </c>
      <c r="H1214" s="27" t="s">
        <v>14</v>
      </c>
    </row>
    <row r="1215" spans="2:8" x14ac:dyDescent="0.3">
      <c r="B1215" s="9">
        <v>41964</v>
      </c>
      <c r="C1215" s="29" t="str">
        <f t="shared" si="18"/>
        <v/>
      </c>
      <c r="D1215" s="8">
        <v>0.5</v>
      </c>
      <c r="E1215" s="28" t="s">
        <v>14</v>
      </c>
      <c r="F1215" s="7" t="s">
        <v>14</v>
      </c>
      <c r="G1215" s="27" t="s">
        <v>14</v>
      </c>
      <c r="H1215" s="27" t="s">
        <v>14</v>
      </c>
    </row>
    <row r="1216" spans="2:8" x14ac:dyDescent="0.3">
      <c r="B1216" s="11">
        <v>41967</v>
      </c>
      <c r="C1216" s="29" t="str">
        <f t="shared" si="18"/>
        <v/>
      </c>
      <c r="D1216" s="8">
        <v>0.5</v>
      </c>
      <c r="E1216" s="28" t="s">
        <v>14</v>
      </c>
      <c r="F1216" s="7" t="s">
        <v>14</v>
      </c>
      <c r="G1216" s="27" t="s">
        <v>14</v>
      </c>
      <c r="H1216" s="27" t="s">
        <v>14</v>
      </c>
    </row>
    <row r="1217" spans="2:8" x14ac:dyDescent="0.3">
      <c r="B1217" s="9">
        <v>41968</v>
      </c>
      <c r="C1217" s="29" t="str">
        <f t="shared" si="18"/>
        <v/>
      </c>
      <c r="D1217" s="8">
        <v>0.5</v>
      </c>
      <c r="E1217" s="28" t="s">
        <v>14</v>
      </c>
      <c r="F1217" s="7" t="s">
        <v>14</v>
      </c>
      <c r="G1217" s="27" t="s">
        <v>14</v>
      </c>
      <c r="H1217" s="27" t="s">
        <v>14</v>
      </c>
    </row>
    <row r="1218" spans="2:8" x14ac:dyDescent="0.3">
      <c r="B1218" s="11">
        <v>41969</v>
      </c>
      <c r="C1218" s="29" t="str">
        <f t="shared" si="18"/>
        <v/>
      </c>
      <c r="D1218" s="8">
        <v>0.5</v>
      </c>
      <c r="E1218" s="28" t="s">
        <v>14</v>
      </c>
      <c r="F1218" s="7" t="s">
        <v>14</v>
      </c>
      <c r="G1218" s="27" t="s">
        <v>14</v>
      </c>
      <c r="H1218" s="27" t="s">
        <v>14</v>
      </c>
    </row>
    <row r="1219" spans="2:8" x14ac:dyDescent="0.3">
      <c r="B1219" s="9">
        <v>41970</v>
      </c>
      <c r="C1219" s="29" t="str">
        <f t="shared" ref="C1219:C1282" si="19">INDEX(D1219:H1219,MATCH($A$1,$D$1:$H$1,0))</f>
        <v/>
      </c>
      <c r="D1219" s="8">
        <v>0.5</v>
      </c>
      <c r="E1219" s="28" t="s">
        <v>14</v>
      </c>
      <c r="F1219" s="7" t="s">
        <v>14</v>
      </c>
      <c r="G1219" s="27" t="s">
        <v>14</v>
      </c>
      <c r="H1219" s="27" t="s">
        <v>14</v>
      </c>
    </row>
    <row r="1220" spans="2:8" x14ac:dyDescent="0.3">
      <c r="B1220" s="11">
        <v>41971</v>
      </c>
      <c r="C1220" s="29" t="str">
        <f t="shared" si="19"/>
        <v/>
      </c>
      <c r="D1220" s="8">
        <v>0.5</v>
      </c>
      <c r="E1220" s="28">
        <v>0.5</v>
      </c>
      <c r="F1220" s="7" t="s">
        <v>14</v>
      </c>
      <c r="G1220" s="27" t="s">
        <v>14</v>
      </c>
      <c r="H1220" s="27" t="s">
        <v>14</v>
      </c>
    </row>
    <row r="1221" spans="2:8" x14ac:dyDescent="0.3">
      <c r="B1221" s="9">
        <v>41974</v>
      </c>
      <c r="C1221" s="29" t="str">
        <f t="shared" si="19"/>
        <v/>
      </c>
      <c r="D1221" s="8">
        <v>0.5</v>
      </c>
      <c r="E1221" s="28" t="s">
        <v>14</v>
      </c>
      <c r="F1221" s="7" t="s">
        <v>14</v>
      </c>
      <c r="G1221" s="27" t="s">
        <v>14</v>
      </c>
      <c r="H1221" s="27" t="s">
        <v>14</v>
      </c>
    </row>
    <row r="1222" spans="2:8" x14ac:dyDescent="0.3">
      <c r="B1222" s="11">
        <v>41975</v>
      </c>
      <c r="C1222" s="29" t="str">
        <f t="shared" si="19"/>
        <v/>
      </c>
      <c r="D1222" s="8">
        <v>0.5</v>
      </c>
      <c r="E1222" s="28" t="s">
        <v>14</v>
      </c>
      <c r="F1222" s="7" t="s">
        <v>14</v>
      </c>
      <c r="G1222" s="27" t="s">
        <v>14</v>
      </c>
      <c r="H1222" s="27" t="s">
        <v>14</v>
      </c>
    </row>
    <row r="1223" spans="2:8" x14ac:dyDescent="0.3">
      <c r="B1223" s="9">
        <v>41976</v>
      </c>
      <c r="C1223" s="29" t="str">
        <f t="shared" si="19"/>
        <v/>
      </c>
      <c r="D1223" s="8">
        <v>0.5</v>
      </c>
      <c r="E1223" s="28" t="s">
        <v>14</v>
      </c>
      <c r="F1223" s="7" t="s">
        <v>14</v>
      </c>
      <c r="G1223" s="27" t="s">
        <v>14</v>
      </c>
      <c r="H1223" s="27" t="s">
        <v>14</v>
      </c>
    </row>
    <row r="1224" spans="2:8" x14ac:dyDescent="0.3">
      <c r="B1224" s="11">
        <v>41977</v>
      </c>
      <c r="C1224" s="29" t="str">
        <f t="shared" si="19"/>
        <v/>
      </c>
      <c r="D1224" s="8">
        <v>0.5</v>
      </c>
      <c r="E1224" s="28" t="s">
        <v>14</v>
      </c>
      <c r="F1224" s="7" t="s">
        <v>14</v>
      </c>
      <c r="G1224" s="27" t="s">
        <v>14</v>
      </c>
      <c r="H1224" s="27" t="s">
        <v>14</v>
      </c>
    </row>
    <row r="1225" spans="2:8" x14ac:dyDescent="0.3">
      <c r="B1225" s="9">
        <v>41978</v>
      </c>
      <c r="C1225" s="29" t="str">
        <f t="shared" si="19"/>
        <v/>
      </c>
      <c r="D1225" s="8">
        <v>0.5</v>
      </c>
      <c r="E1225" s="28" t="s">
        <v>14</v>
      </c>
      <c r="F1225" s="7" t="s">
        <v>14</v>
      </c>
      <c r="G1225" s="27" t="s">
        <v>14</v>
      </c>
      <c r="H1225" s="27" t="s">
        <v>14</v>
      </c>
    </row>
    <row r="1226" spans="2:8" x14ac:dyDescent="0.3">
      <c r="B1226" s="11">
        <v>41981</v>
      </c>
      <c r="C1226" s="29" t="str">
        <f t="shared" si="19"/>
        <v/>
      </c>
      <c r="D1226" s="8">
        <v>0.5</v>
      </c>
      <c r="E1226" s="28" t="s">
        <v>14</v>
      </c>
      <c r="F1226" s="7" t="s">
        <v>14</v>
      </c>
      <c r="G1226" s="27" t="s">
        <v>14</v>
      </c>
      <c r="H1226" s="27" t="s">
        <v>14</v>
      </c>
    </row>
    <row r="1227" spans="2:8" x14ac:dyDescent="0.3">
      <c r="B1227" s="9">
        <v>41982</v>
      </c>
      <c r="C1227" s="29" t="str">
        <f t="shared" si="19"/>
        <v/>
      </c>
      <c r="D1227" s="8">
        <v>0.5</v>
      </c>
      <c r="E1227" s="28" t="s">
        <v>14</v>
      </c>
      <c r="F1227" s="7" t="s">
        <v>14</v>
      </c>
      <c r="G1227" s="27" t="s">
        <v>14</v>
      </c>
      <c r="H1227" s="27" t="s">
        <v>14</v>
      </c>
    </row>
    <row r="1228" spans="2:8" x14ac:dyDescent="0.3">
      <c r="B1228" s="11">
        <v>41983</v>
      </c>
      <c r="C1228" s="29" t="str">
        <f t="shared" si="19"/>
        <v/>
      </c>
      <c r="D1228" s="8">
        <v>0.5</v>
      </c>
      <c r="E1228" s="28" t="s">
        <v>14</v>
      </c>
      <c r="F1228" s="7" t="s">
        <v>14</v>
      </c>
      <c r="G1228" s="27" t="s">
        <v>14</v>
      </c>
      <c r="H1228" s="27" t="s">
        <v>14</v>
      </c>
    </row>
    <row r="1229" spans="2:8" x14ac:dyDescent="0.3">
      <c r="B1229" s="9">
        <v>41984</v>
      </c>
      <c r="C1229" s="29" t="str">
        <f t="shared" si="19"/>
        <v/>
      </c>
      <c r="D1229" s="8">
        <v>0.5</v>
      </c>
      <c r="E1229" s="28" t="s">
        <v>14</v>
      </c>
      <c r="F1229" s="7" t="s">
        <v>14</v>
      </c>
      <c r="G1229" s="27" t="s">
        <v>14</v>
      </c>
      <c r="H1229" s="27" t="s">
        <v>14</v>
      </c>
    </row>
    <row r="1230" spans="2:8" x14ac:dyDescent="0.3">
      <c r="B1230" s="11">
        <v>41985</v>
      </c>
      <c r="C1230" s="29" t="str">
        <f t="shared" si="19"/>
        <v/>
      </c>
      <c r="D1230" s="8">
        <v>0.5</v>
      </c>
      <c r="E1230" s="28" t="s">
        <v>14</v>
      </c>
      <c r="F1230" s="7" t="s">
        <v>14</v>
      </c>
      <c r="G1230" s="27" t="s">
        <v>14</v>
      </c>
      <c r="H1230" s="27" t="s">
        <v>14</v>
      </c>
    </row>
    <row r="1231" spans="2:8" x14ac:dyDescent="0.3">
      <c r="B1231" s="9">
        <v>41988</v>
      </c>
      <c r="C1231" s="29" t="str">
        <f t="shared" si="19"/>
        <v/>
      </c>
      <c r="D1231" s="8">
        <v>0.5</v>
      </c>
      <c r="E1231" s="28" t="s">
        <v>14</v>
      </c>
      <c r="F1231" s="7" t="s">
        <v>14</v>
      </c>
      <c r="G1231" s="27" t="s">
        <v>14</v>
      </c>
      <c r="H1231" s="27" t="s">
        <v>14</v>
      </c>
    </row>
    <row r="1232" spans="2:8" x14ac:dyDescent="0.3">
      <c r="B1232" s="11">
        <v>41989</v>
      </c>
      <c r="C1232" s="29" t="str">
        <f t="shared" si="19"/>
        <v/>
      </c>
      <c r="D1232" s="8">
        <v>0.5</v>
      </c>
      <c r="E1232" s="28" t="s">
        <v>14</v>
      </c>
      <c r="F1232" s="7" t="s">
        <v>14</v>
      </c>
      <c r="G1232" s="27" t="s">
        <v>14</v>
      </c>
      <c r="H1232" s="27" t="s">
        <v>14</v>
      </c>
    </row>
    <row r="1233" spans="2:8" x14ac:dyDescent="0.3">
      <c r="B1233" s="9">
        <v>41990</v>
      </c>
      <c r="C1233" s="29" t="str">
        <f t="shared" si="19"/>
        <v/>
      </c>
      <c r="D1233" s="8">
        <v>0.5</v>
      </c>
      <c r="E1233" s="28" t="s">
        <v>14</v>
      </c>
      <c r="F1233" s="7" t="s">
        <v>14</v>
      </c>
      <c r="G1233" s="27" t="s">
        <v>14</v>
      </c>
      <c r="H1233" s="27" t="s">
        <v>14</v>
      </c>
    </row>
    <row r="1234" spans="2:8" x14ac:dyDescent="0.3">
      <c r="B1234" s="11">
        <v>41991</v>
      </c>
      <c r="C1234" s="29" t="str">
        <f t="shared" si="19"/>
        <v/>
      </c>
      <c r="D1234" s="8">
        <v>0.5</v>
      </c>
      <c r="E1234" s="28" t="s">
        <v>14</v>
      </c>
      <c r="F1234" s="7" t="s">
        <v>14</v>
      </c>
      <c r="G1234" s="27" t="s">
        <v>14</v>
      </c>
      <c r="H1234" s="27" t="s">
        <v>14</v>
      </c>
    </row>
    <row r="1235" spans="2:8" x14ac:dyDescent="0.3">
      <c r="B1235" s="9">
        <v>41992</v>
      </c>
      <c r="C1235" s="29" t="str">
        <f t="shared" si="19"/>
        <v/>
      </c>
      <c r="D1235" s="8">
        <v>0.5</v>
      </c>
      <c r="E1235" s="28" t="s">
        <v>14</v>
      </c>
      <c r="F1235" s="7" t="s">
        <v>14</v>
      </c>
      <c r="G1235" s="27" t="s">
        <v>14</v>
      </c>
      <c r="H1235" s="27" t="s">
        <v>14</v>
      </c>
    </row>
    <row r="1236" spans="2:8" x14ac:dyDescent="0.3">
      <c r="B1236" s="11">
        <v>41995</v>
      </c>
      <c r="C1236" s="29" t="str">
        <f t="shared" si="19"/>
        <v/>
      </c>
      <c r="D1236" s="8">
        <v>0.5</v>
      </c>
      <c r="E1236" s="28" t="s">
        <v>14</v>
      </c>
      <c r="F1236" s="7" t="s">
        <v>14</v>
      </c>
      <c r="G1236" s="27" t="s">
        <v>14</v>
      </c>
      <c r="H1236" s="27" t="s">
        <v>14</v>
      </c>
    </row>
    <row r="1237" spans="2:8" x14ac:dyDescent="0.3">
      <c r="B1237" s="9">
        <v>41996</v>
      </c>
      <c r="C1237" s="29" t="str">
        <f t="shared" si="19"/>
        <v/>
      </c>
      <c r="D1237" s="8">
        <v>0.5</v>
      </c>
      <c r="E1237" s="28" t="s">
        <v>14</v>
      </c>
      <c r="F1237" s="7" t="s">
        <v>14</v>
      </c>
      <c r="G1237" s="27" t="s">
        <v>14</v>
      </c>
      <c r="H1237" s="27" t="s">
        <v>14</v>
      </c>
    </row>
    <row r="1238" spans="2:8" x14ac:dyDescent="0.3">
      <c r="B1238" s="11">
        <v>41999</v>
      </c>
      <c r="C1238" s="29" t="str">
        <f t="shared" si="19"/>
        <v/>
      </c>
      <c r="D1238" s="8">
        <v>0.5</v>
      </c>
      <c r="E1238" s="28" t="s">
        <v>14</v>
      </c>
      <c r="F1238" s="7" t="s">
        <v>14</v>
      </c>
      <c r="G1238" s="27" t="s">
        <v>14</v>
      </c>
      <c r="H1238" s="27" t="s">
        <v>14</v>
      </c>
    </row>
    <row r="1239" spans="2:8" x14ac:dyDescent="0.3">
      <c r="B1239" s="9">
        <v>42002</v>
      </c>
      <c r="C1239" s="29" t="str">
        <f t="shared" si="19"/>
        <v/>
      </c>
      <c r="D1239" s="8">
        <v>0.5</v>
      </c>
      <c r="E1239" s="28" t="s">
        <v>14</v>
      </c>
      <c r="F1239" s="7" t="s">
        <v>14</v>
      </c>
      <c r="G1239" s="27" t="s">
        <v>14</v>
      </c>
      <c r="H1239" s="27" t="s">
        <v>14</v>
      </c>
    </row>
    <row r="1240" spans="2:8" x14ac:dyDescent="0.3">
      <c r="B1240" s="11">
        <v>42003</v>
      </c>
      <c r="C1240" s="29">
        <f t="shared" si="19"/>
        <v>0.5</v>
      </c>
      <c r="D1240" s="8">
        <v>0.5</v>
      </c>
      <c r="E1240" s="28">
        <v>0.5</v>
      </c>
      <c r="F1240" s="7">
        <v>0.5</v>
      </c>
      <c r="G1240" s="27">
        <v>0.5</v>
      </c>
      <c r="H1240" s="27">
        <v>0.5</v>
      </c>
    </row>
    <row r="1241" spans="2:8" x14ac:dyDescent="0.3">
      <c r="B1241" s="9">
        <v>42006</v>
      </c>
      <c r="C1241" s="29" t="str">
        <f t="shared" si="19"/>
        <v/>
      </c>
      <c r="D1241" s="8">
        <v>0.5</v>
      </c>
      <c r="E1241" s="28" t="s">
        <v>14</v>
      </c>
      <c r="F1241" s="7" t="s">
        <v>14</v>
      </c>
      <c r="G1241" s="27" t="s">
        <v>14</v>
      </c>
      <c r="H1241" s="27" t="s">
        <v>14</v>
      </c>
    </row>
    <row r="1242" spans="2:8" x14ac:dyDescent="0.3">
      <c r="B1242" s="11">
        <v>42009</v>
      </c>
      <c r="C1242" s="29" t="str">
        <f t="shared" si="19"/>
        <v/>
      </c>
      <c r="D1242" s="8">
        <v>0.5</v>
      </c>
      <c r="E1242" s="28" t="s">
        <v>14</v>
      </c>
      <c r="F1242" s="7" t="s">
        <v>14</v>
      </c>
      <c r="G1242" s="27" t="s">
        <v>14</v>
      </c>
      <c r="H1242" s="27" t="s">
        <v>14</v>
      </c>
    </row>
    <row r="1243" spans="2:8" x14ac:dyDescent="0.3">
      <c r="B1243" s="9">
        <v>42010</v>
      </c>
      <c r="C1243" s="29" t="str">
        <f t="shared" si="19"/>
        <v/>
      </c>
      <c r="D1243" s="8">
        <v>0.5</v>
      </c>
      <c r="E1243" s="28" t="s">
        <v>14</v>
      </c>
      <c r="F1243" s="7" t="s">
        <v>14</v>
      </c>
      <c r="G1243" s="27" t="s">
        <v>14</v>
      </c>
      <c r="H1243" s="27" t="s">
        <v>14</v>
      </c>
    </row>
    <row r="1244" spans="2:8" x14ac:dyDescent="0.3">
      <c r="B1244" s="11">
        <v>42011</v>
      </c>
      <c r="C1244" s="29" t="str">
        <f t="shared" si="19"/>
        <v/>
      </c>
      <c r="D1244" s="8">
        <v>0.5</v>
      </c>
      <c r="E1244" s="28" t="s">
        <v>14</v>
      </c>
      <c r="F1244" s="7" t="s">
        <v>14</v>
      </c>
      <c r="G1244" s="27" t="s">
        <v>14</v>
      </c>
      <c r="H1244" s="27" t="s">
        <v>14</v>
      </c>
    </row>
    <row r="1245" spans="2:8" x14ac:dyDescent="0.3">
      <c r="B1245" s="9">
        <v>42012</v>
      </c>
      <c r="C1245" s="29" t="str">
        <f t="shared" si="19"/>
        <v/>
      </c>
      <c r="D1245" s="8">
        <v>0.5</v>
      </c>
      <c r="E1245" s="28" t="s">
        <v>14</v>
      </c>
      <c r="F1245" s="7" t="s">
        <v>14</v>
      </c>
      <c r="G1245" s="27" t="s">
        <v>14</v>
      </c>
      <c r="H1245" s="27" t="s">
        <v>14</v>
      </c>
    </row>
    <row r="1246" spans="2:8" x14ac:dyDescent="0.3">
      <c r="B1246" s="11">
        <v>42013</v>
      </c>
      <c r="C1246" s="29" t="str">
        <f t="shared" si="19"/>
        <v/>
      </c>
      <c r="D1246" s="8">
        <v>0.5</v>
      </c>
      <c r="E1246" s="28" t="s">
        <v>14</v>
      </c>
      <c r="F1246" s="7" t="s">
        <v>14</v>
      </c>
      <c r="G1246" s="27" t="s">
        <v>14</v>
      </c>
      <c r="H1246" s="27" t="s">
        <v>14</v>
      </c>
    </row>
    <row r="1247" spans="2:8" x14ac:dyDescent="0.3">
      <c r="B1247" s="9">
        <v>42016</v>
      </c>
      <c r="C1247" s="29" t="str">
        <f t="shared" si="19"/>
        <v/>
      </c>
      <c r="D1247" s="8">
        <v>0.5</v>
      </c>
      <c r="E1247" s="28" t="s">
        <v>14</v>
      </c>
      <c r="F1247" s="7" t="s">
        <v>14</v>
      </c>
      <c r="G1247" s="27" t="s">
        <v>14</v>
      </c>
      <c r="H1247" s="27" t="s">
        <v>14</v>
      </c>
    </row>
    <row r="1248" spans="2:8" x14ac:dyDescent="0.3">
      <c r="B1248" s="11">
        <v>42017</v>
      </c>
      <c r="C1248" s="29" t="str">
        <f t="shared" si="19"/>
        <v/>
      </c>
      <c r="D1248" s="8">
        <v>0.5</v>
      </c>
      <c r="E1248" s="28" t="s">
        <v>14</v>
      </c>
      <c r="F1248" s="7" t="s">
        <v>14</v>
      </c>
      <c r="G1248" s="27" t="s">
        <v>14</v>
      </c>
      <c r="H1248" s="27" t="s">
        <v>14</v>
      </c>
    </row>
    <row r="1249" spans="2:8" x14ac:dyDescent="0.3">
      <c r="B1249" s="9">
        <v>42018</v>
      </c>
      <c r="C1249" s="29" t="str">
        <f t="shared" si="19"/>
        <v/>
      </c>
      <c r="D1249" s="8">
        <v>0.5</v>
      </c>
      <c r="E1249" s="28" t="s">
        <v>14</v>
      </c>
      <c r="F1249" s="7" t="s">
        <v>14</v>
      </c>
      <c r="G1249" s="27" t="s">
        <v>14</v>
      </c>
      <c r="H1249" s="27" t="s">
        <v>14</v>
      </c>
    </row>
    <row r="1250" spans="2:8" x14ac:dyDescent="0.3">
      <c r="B1250" s="11">
        <v>42019</v>
      </c>
      <c r="C1250" s="29" t="str">
        <f t="shared" si="19"/>
        <v/>
      </c>
      <c r="D1250" s="8">
        <v>0.5</v>
      </c>
      <c r="E1250" s="28" t="s">
        <v>14</v>
      </c>
      <c r="F1250" s="7" t="s">
        <v>14</v>
      </c>
      <c r="G1250" s="27" t="s">
        <v>14</v>
      </c>
      <c r="H1250" s="27" t="s">
        <v>14</v>
      </c>
    </row>
    <row r="1251" spans="2:8" x14ac:dyDescent="0.3">
      <c r="B1251" s="9">
        <v>42020</v>
      </c>
      <c r="C1251" s="29" t="str">
        <f t="shared" si="19"/>
        <v/>
      </c>
      <c r="D1251" s="8">
        <v>0.5</v>
      </c>
      <c r="E1251" s="28" t="s">
        <v>14</v>
      </c>
      <c r="F1251" s="7" t="s">
        <v>14</v>
      </c>
      <c r="G1251" s="27" t="s">
        <v>14</v>
      </c>
      <c r="H1251" s="27" t="s">
        <v>14</v>
      </c>
    </row>
    <row r="1252" spans="2:8" x14ac:dyDescent="0.3">
      <c r="B1252" s="11">
        <v>42023</v>
      </c>
      <c r="C1252" s="29" t="str">
        <f t="shared" si="19"/>
        <v/>
      </c>
      <c r="D1252" s="8">
        <v>0.5</v>
      </c>
      <c r="E1252" s="28" t="s">
        <v>14</v>
      </c>
      <c r="F1252" s="7" t="s">
        <v>14</v>
      </c>
      <c r="G1252" s="27" t="s">
        <v>14</v>
      </c>
      <c r="H1252" s="27" t="s">
        <v>14</v>
      </c>
    </row>
    <row r="1253" spans="2:8" x14ac:dyDescent="0.3">
      <c r="B1253" s="9">
        <v>42024</v>
      </c>
      <c r="C1253" s="29" t="str">
        <f t="shared" si="19"/>
        <v/>
      </c>
      <c r="D1253" s="8">
        <v>0.5</v>
      </c>
      <c r="E1253" s="28" t="s">
        <v>14</v>
      </c>
      <c r="F1253" s="7" t="s">
        <v>14</v>
      </c>
      <c r="G1253" s="27" t="s">
        <v>14</v>
      </c>
      <c r="H1253" s="27" t="s">
        <v>14</v>
      </c>
    </row>
    <row r="1254" spans="2:8" x14ac:dyDescent="0.3">
      <c r="B1254" s="11">
        <v>42025</v>
      </c>
      <c r="C1254" s="29" t="str">
        <f t="shared" si="19"/>
        <v/>
      </c>
      <c r="D1254" s="8">
        <v>0.5</v>
      </c>
      <c r="E1254" s="28" t="s">
        <v>14</v>
      </c>
      <c r="F1254" s="7" t="s">
        <v>14</v>
      </c>
      <c r="G1254" s="27" t="s">
        <v>14</v>
      </c>
      <c r="H1254" s="27" t="s">
        <v>14</v>
      </c>
    </row>
    <row r="1255" spans="2:8" x14ac:dyDescent="0.3">
      <c r="B1255" s="9">
        <v>42026</v>
      </c>
      <c r="C1255" s="29" t="str">
        <f t="shared" si="19"/>
        <v/>
      </c>
      <c r="D1255" s="8">
        <v>0.5</v>
      </c>
      <c r="E1255" s="28" t="s">
        <v>14</v>
      </c>
      <c r="F1255" s="7" t="s">
        <v>14</v>
      </c>
      <c r="G1255" s="27" t="s">
        <v>14</v>
      </c>
      <c r="H1255" s="27" t="s">
        <v>14</v>
      </c>
    </row>
    <row r="1256" spans="2:8" x14ac:dyDescent="0.3">
      <c r="B1256" s="11">
        <v>42027</v>
      </c>
      <c r="C1256" s="29" t="str">
        <f t="shared" si="19"/>
        <v/>
      </c>
      <c r="D1256" s="8">
        <v>0.5</v>
      </c>
      <c r="E1256" s="28" t="s">
        <v>14</v>
      </c>
      <c r="F1256" s="7" t="s">
        <v>14</v>
      </c>
      <c r="G1256" s="27" t="s">
        <v>14</v>
      </c>
      <c r="H1256" s="27" t="s">
        <v>14</v>
      </c>
    </row>
    <row r="1257" spans="2:8" x14ac:dyDescent="0.3">
      <c r="B1257" s="9">
        <v>42030</v>
      </c>
      <c r="C1257" s="29" t="str">
        <f t="shared" si="19"/>
        <v/>
      </c>
      <c r="D1257" s="8">
        <v>0.5</v>
      </c>
      <c r="E1257" s="28" t="s">
        <v>14</v>
      </c>
      <c r="F1257" s="7" t="s">
        <v>14</v>
      </c>
      <c r="G1257" s="27" t="s">
        <v>14</v>
      </c>
      <c r="H1257" s="27" t="s">
        <v>14</v>
      </c>
    </row>
    <row r="1258" spans="2:8" x14ac:dyDescent="0.3">
      <c r="B1258" s="11">
        <v>42031</v>
      </c>
      <c r="C1258" s="29" t="str">
        <f t="shared" si="19"/>
        <v/>
      </c>
      <c r="D1258" s="8">
        <v>0.5</v>
      </c>
      <c r="E1258" s="28" t="s">
        <v>14</v>
      </c>
      <c r="F1258" s="7" t="s">
        <v>14</v>
      </c>
      <c r="G1258" s="27" t="s">
        <v>14</v>
      </c>
      <c r="H1258" s="27" t="s">
        <v>14</v>
      </c>
    </row>
    <row r="1259" spans="2:8" x14ac:dyDescent="0.3">
      <c r="B1259" s="9">
        <v>42032</v>
      </c>
      <c r="C1259" s="29" t="str">
        <f t="shared" si="19"/>
        <v/>
      </c>
      <c r="D1259" s="8">
        <v>0.5</v>
      </c>
      <c r="E1259" s="28" t="s">
        <v>14</v>
      </c>
      <c r="F1259" s="7" t="s">
        <v>14</v>
      </c>
      <c r="G1259" s="27" t="s">
        <v>14</v>
      </c>
      <c r="H1259" s="27" t="s">
        <v>14</v>
      </c>
    </row>
    <row r="1260" spans="2:8" x14ac:dyDescent="0.3">
      <c r="B1260" s="11">
        <v>42033</v>
      </c>
      <c r="C1260" s="29" t="str">
        <f t="shared" si="19"/>
        <v/>
      </c>
      <c r="D1260" s="8">
        <v>0.5</v>
      </c>
      <c r="E1260" s="28" t="s">
        <v>14</v>
      </c>
      <c r="F1260" s="7" t="s">
        <v>14</v>
      </c>
      <c r="G1260" s="27" t="s">
        <v>14</v>
      </c>
      <c r="H1260" s="27" t="s">
        <v>14</v>
      </c>
    </row>
    <row r="1261" spans="2:8" x14ac:dyDescent="0.3">
      <c r="B1261" s="9">
        <v>42034</v>
      </c>
      <c r="C1261" s="29" t="str">
        <f t="shared" si="19"/>
        <v/>
      </c>
      <c r="D1261" s="8">
        <v>0.5</v>
      </c>
      <c r="E1261" s="28">
        <v>0.5</v>
      </c>
      <c r="F1261" s="7" t="s">
        <v>14</v>
      </c>
      <c r="G1261" s="27" t="s">
        <v>14</v>
      </c>
      <c r="H1261" s="27" t="s">
        <v>14</v>
      </c>
    </row>
    <row r="1262" spans="2:8" x14ac:dyDescent="0.3">
      <c r="B1262" s="11">
        <v>42037</v>
      </c>
      <c r="C1262" s="29" t="str">
        <f t="shared" si="19"/>
        <v/>
      </c>
      <c r="D1262" s="8">
        <v>0.5</v>
      </c>
      <c r="E1262" s="28" t="s">
        <v>14</v>
      </c>
      <c r="F1262" s="7" t="s">
        <v>14</v>
      </c>
      <c r="G1262" s="27" t="s">
        <v>14</v>
      </c>
      <c r="H1262" s="27" t="s">
        <v>14</v>
      </c>
    </row>
    <row r="1263" spans="2:8" x14ac:dyDescent="0.3">
      <c r="B1263" s="9">
        <v>42038</v>
      </c>
      <c r="C1263" s="29" t="str">
        <f t="shared" si="19"/>
        <v/>
      </c>
      <c r="D1263" s="8">
        <v>0.5</v>
      </c>
      <c r="E1263" s="28" t="s">
        <v>14</v>
      </c>
      <c r="F1263" s="7" t="s">
        <v>14</v>
      </c>
      <c r="G1263" s="27" t="s">
        <v>14</v>
      </c>
      <c r="H1263" s="27" t="s">
        <v>14</v>
      </c>
    </row>
    <row r="1264" spans="2:8" x14ac:dyDescent="0.3">
      <c r="B1264" s="11">
        <v>42039</v>
      </c>
      <c r="C1264" s="29" t="str">
        <f t="shared" si="19"/>
        <v/>
      </c>
      <c r="D1264" s="8">
        <v>0.5</v>
      </c>
      <c r="E1264" s="28" t="s">
        <v>14</v>
      </c>
      <c r="F1264" s="7" t="s">
        <v>14</v>
      </c>
      <c r="G1264" s="27" t="s">
        <v>14</v>
      </c>
      <c r="H1264" s="27" t="s">
        <v>14</v>
      </c>
    </row>
    <row r="1265" spans="2:8" x14ac:dyDescent="0.3">
      <c r="B1265" s="9">
        <v>42040</v>
      </c>
      <c r="C1265" s="29" t="str">
        <f t="shared" si="19"/>
        <v/>
      </c>
      <c r="D1265" s="8">
        <v>0.5</v>
      </c>
      <c r="E1265" s="28" t="s">
        <v>14</v>
      </c>
      <c r="F1265" s="7" t="s">
        <v>14</v>
      </c>
      <c r="G1265" s="27" t="s">
        <v>14</v>
      </c>
      <c r="H1265" s="27" t="s">
        <v>14</v>
      </c>
    </row>
    <row r="1266" spans="2:8" x14ac:dyDescent="0.3">
      <c r="B1266" s="11">
        <v>42041</v>
      </c>
      <c r="C1266" s="29" t="str">
        <f t="shared" si="19"/>
        <v/>
      </c>
      <c r="D1266" s="8">
        <v>0.5</v>
      </c>
      <c r="E1266" s="28" t="s">
        <v>14</v>
      </c>
      <c r="F1266" s="7" t="s">
        <v>14</v>
      </c>
      <c r="G1266" s="27" t="s">
        <v>14</v>
      </c>
      <c r="H1266" s="27" t="s">
        <v>14</v>
      </c>
    </row>
    <row r="1267" spans="2:8" x14ac:dyDescent="0.3">
      <c r="B1267" s="9">
        <v>42044</v>
      </c>
      <c r="C1267" s="29" t="str">
        <f t="shared" si="19"/>
        <v/>
      </c>
      <c r="D1267" s="8">
        <v>0.5</v>
      </c>
      <c r="E1267" s="28" t="s">
        <v>14</v>
      </c>
      <c r="F1267" s="7" t="s">
        <v>14</v>
      </c>
      <c r="G1267" s="27" t="s">
        <v>14</v>
      </c>
      <c r="H1267" s="27" t="s">
        <v>14</v>
      </c>
    </row>
    <row r="1268" spans="2:8" x14ac:dyDescent="0.3">
      <c r="B1268" s="11">
        <v>42045</v>
      </c>
      <c r="C1268" s="29" t="str">
        <f t="shared" si="19"/>
        <v/>
      </c>
      <c r="D1268" s="8">
        <v>0.5</v>
      </c>
      <c r="E1268" s="28" t="s">
        <v>14</v>
      </c>
      <c r="F1268" s="7" t="s">
        <v>14</v>
      </c>
      <c r="G1268" s="27" t="s">
        <v>14</v>
      </c>
      <c r="H1268" s="27" t="s">
        <v>14</v>
      </c>
    </row>
    <row r="1269" spans="2:8" x14ac:dyDescent="0.3">
      <c r="B1269" s="9">
        <v>42046</v>
      </c>
      <c r="C1269" s="29" t="str">
        <f t="shared" si="19"/>
        <v/>
      </c>
      <c r="D1269" s="8">
        <v>0.5</v>
      </c>
      <c r="E1269" s="28" t="s">
        <v>14</v>
      </c>
      <c r="F1269" s="7" t="s">
        <v>14</v>
      </c>
      <c r="G1269" s="27" t="s">
        <v>14</v>
      </c>
      <c r="H1269" s="27" t="s">
        <v>14</v>
      </c>
    </row>
    <row r="1270" spans="2:8" x14ac:dyDescent="0.3">
      <c r="B1270" s="11">
        <v>42047</v>
      </c>
      <c r="C1270" s="29" t="str">
        <f t="shared" si="19"/>
        <v/>
      </c>
      <c r="D1270" s="8">
        <v>0.5</v>
      </c>
      <c r="E1270" s="28" t="s">
        <v>14</v>
      </c>
      <c r="F1270" s="7" t="s">
        <v>14</v>
      </c>
      <c r="G1270" s="27" t="s">
        <v>14</v>
      </c>
      <c r="H1270" s="27" t="s">
        <v>14</v>
      </c>
    </row>
    <row r="1271" spans="2:8" x14ac:dyDescent="0.3">
      <c r="B1271" s="9">
        <v>42048</v>
      </c>
      <c r="C1271" s="29" t="str">
        <f t="shared" si="19"/>
        <v/>
      </c>
      <c r="D1271" s="8">
        <v>0.5</v>
      </c>
      <c r="E1271" s="28" t="s">
        <v>14</v>
      </c>
      <c r="F1271" s="7" t="s">
        <v>14</v>
      </c>
      <c r="G1271" s="27" t="s">
        <v>14</v>
      </c>
      <c r="H1271" s="27" t="s">
        <v>14</v>
      </c>
    </row>
    <row r="1272" spans="2:8" x14ac:dyDescent="0.3">
      <c r="B1272" s="11">
        <v>42053</v>
      </c>
      <c r="C1272" s="29" t="str">
        <f t="shared" si="19"/>
        <v/>
      </c>
      <c r="D1272" s="8">
        <v>0.5</v>
      </c>
      <c r="E1272" s="28" t="s">
        <v>14</v>
      </c>
      <c r="F1272" s="7" t="s">
        <v>14</v>
      </c>
      <c r="G1272" s="27" t="s">
        <v>14</v>
      </c>
      <c r="H1272" s="27" t="s">
        <v>14</v>
      </c>
    </row>
    <row r="1273" spans="2:8" x14ac:dyDescent="0.3">
      <c r="B1273" s="9">
        <v>42054</v>
      </c>
      <c r="C1273" s="29" t="str">
        <f t="shared" si="19"/>
        <v/>
      </c>
      <c r="D1273" s="8">
        <v>0.5</v>
      </c>
      <c r="E1273" s="28" t="s">
        <v>14</v>
      </c>
      <c r="F1273" s="7" t="s">
        <v>14</v>
      </c>
      <c r="G1273" s="27" t="s">
        <v>14</v>
      </c>
      <c r="H1273" s="27" t="s">
        <v>14</v>
      </c>
    </row>
    <row r="1274" spans="2:8" x14ac:dyDescent="0.3">
      <c r="B1274" s="11">
        <v>42055</v>
      </c>
      <c r="C1274" s="29" t="str">
        <f t="shared" si="19"/>
        <v/>
      </c>
      <c r="D1274" s="8">
        <v>0.5</v>
      </c>
      <c r="E1274" s="28" t="s">
        <v>14</v>
      </c>
      <c r="F1274" s="7" t="s">
        <v>14</v>
      </c>
      <c r="G1274" s="27" t="s">
        <v>14</v>
      </c>
      <c r="H1274" s="27" t="s">
        <v>14</v>
      </c>
    </row>
    <row r="1275" spans="2:8" x14ac:dyDescent="0.3">
      <c r="B1275" s="9">
        <v>42058</v>
      </c>
      <c r="C1275" s="29" t="str">
        <f t="shared" si="19"/>
        <v/>
      </c>
      <c r="D1275" s="8">
        <v>0.5</v>
      </c>
      <c r="E1275" s="28" t="s">
        <v>14</v>
      </c>
      <c r="F1275" s="7" t="s">
        <v>14</v>
      </c>
      <c r="G1275" s="27" t="s">
        <v>14</v>
      </c>
      <c r="H1275" s="27" t="s">
        <v>14</v>
      </c>
    </row>
    <row r="1276" spans="2:8" x14ac:dyDescent="0.3">
      <c r="B1276" s="11">
        <v>42059</v>
      </c>
      <c r="C1276" s="29" t="str">
        <f t="shared" si="19"/>
        <v/>
      </c>
      <c r="D1276" s="8">
        <v>0.5</v>
      </c>
      <c r="E1276" s="28" t="s">
        <v>14</v>
      </c>
      <c r="F1276" s="7" t="s">
        <v>14</v>
      </c>
      <c r="G1276" s="27" t="s">
        <v>14</v>
      </c>
      <c r="H1276" s="27" t="s">
        <v>14</v>
      </c>
    </row>
    <row r="1277" spans="2:8" x14ac:dyDescent="0.3">
      <c r="B1277" s="9">
        <v>42060</v>
      </c>
      <c r="C1277" s="29" t="str">
        <f t="shared" si="19"/>
        <v/>
      </c>
      <c r="D1277" s="8">
        <v>0.5</v>
      </c>
      <c r="E1277" s="28" t="s">
        <v>14</v>
      </c>
      <c r="F1277" s="7" t="s">
        <v>14</v>
      </c>
      <c r="G1277" s="27" t="s">
        <v>14</v>
      </c>
      <c r="H1277" s="27" t="s">
        <v>14</v>
      </c>
    </row>
    <row r="1278" spans="2:8" x14ac:dyDescent="0.3">
      <c r="B1278" s="11">
        <v>42061</v>
      </c>
      <c r="C1278" s="29" t="str">
        <f t="shared" si="19"/>
        <v/>
      </c>
      <c r="D1278" s="8">
        <v>0.5</v>
      </c>
      <c r="E1278" s="28" t="s">
        <v>14</v>
      </c>
      <c r="F1278" s="7" t="s">
        <v>14</v>
      </c>
      <c r="G1278" s="27" t="s">
        <v>14</v>
      </c>
      <c r="H1278" s="27" t="s">
        <v>14</v>
      </c>
    </row>
    <row r="1279" spans="2:8" x14ac:dyDescent="0.3">
      <c r="B1279" s="9">
        <v>42062</v>
      </c>
      <c r="C1279" s="29" t="str">
        <f t="shared" si="19"/>
        <v/>
      </c>
      <c r="D1279" s="8">
        <v>0.5</v>
      </c>
      <c r="E1279" s="28">
        <v>0.5</v>
      </c>
      <c r="F1279" s="7" t="s">
        <v>14</v>
      </c>
      <c r="G1279" s="27" t="s">
        <v>14</v>
      </c>
      <c r="H1279" s="27" t="s">
        <v>14</v>
      </c>
    </row>
    <row r="1280" spans="2:8" x14ac:dyDescent="0.3">
      <c r="B1280" s="11">
        <v>42065</v>
      </c>
      <c r="C1280" s="29" t="str">
        <f t="shared" si="19"/>
        <v/>
      </c>
      <c r="D1280" s="8">
        <v>0.5</v>
      </c>
      <c r="E1280" s="28" t="s">
        <v>14</v>
      </c>
      <c r="F1280" s="7" t="s">
        <v>14</v>
      </c>
      <c r="G1280" s="27" t="s">
        <v>14</v>
      </c>
      <c r="H1280" s="27" t="s">
        <v>14</v>
      </c>
    </row>
    <row r="1281" spans="2:8" x14ac:dyDescent="0.3">
      <c r="B1281" s="9">
        <v>42066</v>
      </c>
      <c r="C1281" s="29" t="str">
        <f t="shared" si="19"/>
        <v/>
      </c>
      <c r="D1281" s="8">
        <v>0.5</v>
      </c>
      <c r="E1281" s="28" t="s">
        <v>14</v>
      </c>
      <c r="F1281" s="7" t="s">
        <v>14</v>
      </c>
      <c r="G1281" s="27" t="s">
        <v>14</v>
      </c>
      <c r="H1281" s="27" t="s">
        <v>14</v>
      </c>
    </row>
    <row r="1282" spans="2:8" x14ac:dyDescent="0.3">
      <c r="B1282" s="11">
        <v>42067</v>
      </c>
      <c r="C1282" s="29" t="str">
        <f t="shared" si="19"/>
        <v/>
      </c>
      <c r="D1282" s="8">
        <v>0.5</v>
      </c>
      <c r="E1282" s="28" t="s">
        <v>14</v>
      </c>
      <c r="F1282" s="7" t="s">
        <v>14</v>
      </c>
      <c r="G1282" s="27" t="s">
        <v>14</v>
      </c>
      <c r="H1282" s="27" t="s">
        <v>14</v>
      </c>
    </row>
    <row r="1283" spans="2:8" x14ac:dyDescent="0.3">
      <c r="B1283" s="9">
        <v>42068</v>
      </c>
      <c r="C1283" s="29" t="str">
        <f t="shared" ref="C1283:C1346" si="20">INDEX(D1283:H1283,MATCH($A$1,$D$1:$H$1,0))</f>
        <v/>
      </c>
      <c r="D1283" s="8">
        <v>0.5</v>
      </c>
      <c r="E1283" s="28" t="s">
        <v>14</v>
      </c>
      <c r="F1283" s="7" t="s">
        <v>14</v>
      </c>
      <c r="G1283" s="27" t="s">
        <v>14</v>
      </c>
      <c r="H1283" s="27" t="s">
        <v>14</v>
      </c>
    </row>
    <row r="1284" spans="2:8" x14ac:dyDescent="0.3">
      <c r="B1284" s="11">
        <v>42069</v>
      </c>
      <c r="C1284" s="29" t="str">
        <f t="shared" si="20"/>
        <v/>
      </c>
      <c r="D1284" s="8">
        <v>0.5</v>
      </c>
      <c r="E1284" s="28" t="s">
        <v>14</v>
      </c>
      <c r="F1284" s="7" t="s">
        <v>14</v>
      </c>
      <c r="G1284" s="27" t="s">
        <v>14</v>
      </c>
      <c r="H1284" s="27" t="s">
        <v>14</v>
      </c>
    </row>
    <row r="1285" spans="2:8" x14ac:dyDescent="0.3">
      <c r="B1285" s="9">
        <v>42072</v>
      </c>
      <c r="C1285" s="29" t="str">
        <f t="shared" si="20"/>
        <v/>
      </c>
      <c r="D1285" s="8">
        <v>0.5</v>
      </c>
      <c r="E1285" s="28" t="s">
        <v>14</v>
      </c>
      <c r="F1285" s="7" t="s">
        <v>14</v>
      </c>
      <c r="G1285" s="27" t="s">
        <v>14</v>
      </c>
      <c r="H1285" s="27" t="s">
        <v>14</v>
      </c>
    </row>
    <row r="1286" spans="2:8" x14ac:dyDescent="0.3">
      <c r="B1286" s="11">
        <v>42073</v>
      </c>
      <c r="C1286" s="29" t="str">
        <f t="shared" si="20"/>
        <v/>
      </c>
      <c r="D1286" s="8">
        <v>0.5</v>
      </c>
      <c r="E1286" s="28" t="s">
        <v>14</v>
      </c>
      <c r="F1286" s="7" t="s">
        <v>14</v>
      </c>
      <c r="G1286" s="27" t="s">
        <v>14</v>
      </c>
      <c r="H1286" s="27" t="s">
        <v>14</v>
      </c>
    </row>
    <row r="1287" spans="2:8" x14ac:dyDescent="0.3">
      <c r="B1287" s="9">
        <v>42074</v>
      </c>
      <c r="C1287" s="29" t="str">
        <f t="shared" si="20"/>
        <v/>
      </c>
      <c r="D1287" s="8">
        <v>0.5</v>
      </c>
      <c r="E1287" s="28" t="s">
        <v>14</v>
      </c>
      <c r="F1287" s="7" t="s">
        <v>14</v>
      </c>
      <c r="G1287" s="27" t="s">
        <v>14</v>
      </c>
      <c r="H1287" s="27" t="s">
        <v>14</v>
      </c>
    </row>
    <row r="1288" spans="2:8" x14ac:dyDescent="0.3">
      <c r="B1288" s="11">
        <v>42075</v>
      </c>
      <c r="C1288" s="29" t="str">
        <f t="shared" si="20"/>
        <v/>
      </c>
      <c r="D1288" s="8">
        <v>0.5</v>
      </c>
      <c r="E1288" s="28" t="s">
        <v>14</v>
      </c>
      <c r="F1288" s="7" t="s">
        <v>14</v>
      </c>
      <c r="G1288" s="27" t="s">
        <v>14</v>
      </c>
      <c r="H1288" s="27" t="s">
        <v>14</v>
      </c>
    </row>
    <row r="1289" spans="2:8" x14ac:dyDescent="0.3">
      <c r="B1289" s="9">
        <v>42076</v>
      </c>
      <c r="C1289" s="29" t="str">
        <f t="shared" si="20"/>
        <v/>
      </c>
      <c r="D1289" s="8">
        <v>0.5</v>
      </c>
      <c r="E1289" s="28" t="s">
        <v>14</v>
      </c>
      <c r="F1289" s="7" t="s">
        <v>14</v>
      </c>
      <c r="G1289" s="27" t="s">
        <v>14</v>
      </c>
      <c r="H1289" s="27" t="s">
        <v>14</v>
      </c>
    </row>
    <row r="1290" spans="2:8" x14ac:dyDescent="0.3">
      <c r="B1290" s="11">
        <v>42079</v>
      </c>
      <c r="C1290" s="29" t="str">
        <f t="shared" si="20"/>
        <v/>
      </c>
      <c r="D1290" s="8">
        <v>0.5</v>
      </c>
      <c r="E1290" s="28" t="s">
        <v>14</v>
      </c>
      <c r="F1290" s="7" t="s">
        <v>14</v>
      </c>
      <c r="G1290" s="27" t="s">
        <v>14</v>
      </c>
      <c r="H1290" s="27" t="s">
        <v>14</v>
      </c>
    </row>
    <row r="1291" spans="2:8" x14ac:dyDescent="0.3">
      <c r="B1291" s="9">
        <v>42080</v>
      </c>
      <c r="C1291" s="29" t="str">
        <f t="shared" si="20"/>
        <v/>
      </c>
      <c r="D1291" s="8">
        <v>0.5</v>
      </c>
      <c r="E1291" s="28" t="s">
        <v>14</v>
      </c>
      <c r="F1291" s="7" t="s">
        <v>14</v>
      </c>
      <c r="G1291" s="27" t="s">
        <v>14</v>
      </c>
      <c r="H1291" s="27" t="s">
        <v>14</v>
      </c>
    </row>
    <row r="1292" spans="2:8" x14ac:dyDescent="0.3">
      <c r="B1292" s="11">
        <v>42081</v>
      </c>
      <c r="C1292" s="29" t="str">
        <f t="shared" si="20"/>
        <v/>
      </c>
      <c r="D1292" s="8">
        <v>0.5</v>
      </c>
      <c r="E1292" s="28" t="s">
        <v>14</v>
      </c>
      <c r="F1292" s="7" t="s">
        <v>14</v>
      </c>
      <c r="G1292" s="27" t="s">
        <v>14</v>
      </c>
      <c r="H1292" s="27" t="s">
        <v>14</v>
      </c>
    </row>
    <row r="1293" spans="2:8" x14ac:dyDescent="0.3">
      <c r="B1293" s="9">
        <v>42082</v>
      </c>
      <c r="C1293" s="29" t="str">
        <f t="shared" si="20"/>
        <v/>
      </c>
      <c r="D1293" s="8">
        <v>0.5</v>
      </c>
      <c r="E1293" s="28" t="s">
        <v>14</v>
      </c>
      <c r="F1293" s="7" t="s">
        <v>14</v>
      </c>
      <c r="G1293" s="27" t="s">
        <v>14</v>
      </c>
      <c r="H1293" s="27" t="s">
        <v>14</v>
      </c>
    </row>
    <row r="1294" spans="2:8" x14ac:dyDescent="0.3">
      <c r="B1294" s="11">
        <v>42083</v>
      </c>
      <c r="C1294" s="29" t="str">
        <f t="shared" si="20"/>
        <v/>
      </c>
      <c r="D1294" s="8">
        <v>0.5</v>
      </c>
      <c r="E1294" s="28" t="s">
        <v>14</v>
      </c>
      <c r="F1294" s="7" t="s">
        <v>14</v>
      </c>
      <c r="G1294" s="27" t="s">
        <v>14</v>
      </c>
      <c r="H1294" s="27" t="s">
        <v>14</v>
      </c>
    </row>
    <row r="1295" spans="2:8" x14ac:dyDescent="0.3">
      <c r="B1295" s="9">
        <v>42086</v>
      </c>
      <c r="C1295" s="29" t="str">
        <f t="shared" si="20"/>
        <v/>
      </c>
      <c r="D1295" s="8">
        <v>0.5</v>
      </c>
      <c r="E1295" s="28" t="s">
        <v>14</v>
      </c>
      <c r="F1295" s="7" t="s">
        <v>14</v>
      </c>
      <c r="G1295" s="27" t="s">
        <v>14</v>
      </c>
      <c r="H1295" s="27" t="s">
        <v>14</v>
      </c>
    </row>
    <row r="1296" spans="2:8" x14ac:dyDescent="0.3">
      <c r="B1296" s="11">
        <v>42087</v>
      </c>
      <c r="C1296" s="29" t="str">
        <f t="shared" si="20"/>
        <v/>
      </c>
      <c r="D1296" s="8">
        <v>0.5</v>
      </c>
      <c r="E1296" s="28" t="s">
        <v>14</v>
      </c>
      <c r="F1296" s="7" t="s">
        <v>14</v>
      </c>
      <c r="G1296" s="27" t="s">
        <v>14</v>
      </c>
      <c r="H1296" s="27" t="s">
        <v>14</v>
      </c>
    </row>
    <row r="1297" spans="2:8" x14ac:dyDescent="0.3">
      <c r="B1297" s="9">
        <v>42088</v>
      </c>
      <c r="C1297" s="29" t="str">
        <f t="shared" si="20"/>
        <v/>
      </c>
      <c r="D1297" s="8">
        <v>0.5</v>
      </c>
      <c r="E1297" s="28" t="s">
        <v>14</v>
      </c>
      <c r="F1297" s="7" t="s">
        <v>14</v>
      </c>
      <c r="G1297" s="27" t="s">
        <v>14</v>
      </c>
      <c r="H1297" s="27" t="s">
        <v>14</v>
      </c>
    </row>
    <row r="1298" spans="2:8" x14ac:dyDescent="0.3">
      <c r="B1298" s="11">
        <v>42089</v>
      </c>
      <c r="C1298" s="29" t="str">
        <f t="shared" si="20"/>
        <v/>
      </c>
      <c r="D1298" s="8">
        <v>0.5</v>
      </c>
      <c r="E1298" s="28" t="s">
        <v>14</v>
      </c>
      <c r="F1298" s="7" t="s">
        <v>14</v>
      </c>
      <c r="G1298" s="27" t="s">
        <v>14</v>
      </c>
      <c r="H1298" s="27" t="s">
        <v>14</v>
      </c>
    </row>
    <row r="1299" spans="2:8" x14ac:dyDescent="0.3">
      <c r="B1299" s="9">
        <v>42090</v>
      </c>
      <c r="C1299" s="29" t="str">
        <f t="shared" si="20"/>
        <v/>
      </c>
      <c r="D1299" s="8">
        <v>0.5</v>
      </c>
      <c r="E1299" s="28" t="s">
        <v>14</v>
      </c>
      <c r="F1299" s="7" t="s">
        <v>14</v>
      </c>
      <c r="G1299" s="27" t="s">
        <v>14</v>
      </c>
      <c r="H1299" s="27" t="s">
        <v>14</v>
      </c>
    </row>
    <row r="1300" spans="2:8" x14ac:dyDescent="0.3">
      <c r="B1300" s="11">
        <v>42093</v>
      </c>
      <c r="C1300" s="29" t="str">
        <f t="shared" si="20"/>
        <v/>
      </c>
      <c r="D1300" s="8">
        <v>0.5</v>
      </c>
      <c r="E1300" s="28" t="s">
        <v>14</v>
      </c>
      <c r="F1300" s="7" t="s">
        <v>14</v>
      </c>
      <c r="G1300" s="27" t="s">
        <v>14</v>
      </c>
      <c r="H1300" s="27" t="s">
        <v>14</v>
      </c>
    </row>
    <row r="1301" spans="2:8" x14ac:dyDescent="0.3">
      <c r="B1301" s="9">
        <v>42094</v>
      </c>
      <c r="C1301" s="29">
        <f t="shared" si="20"/>
        <v>0</v>
      </c>
      <c r="D1301" s="8">
        <v>0.5</v>
      </c>
      <c r="E1301" s="28">
        <v>0.5</v>
      </c>
      <c r="F1301" s="7">
        <v>0.5</v>
      </c>
    </row>
    <row r="1302" spans="2:8" x14ac:dyDescent="0.3">
      <c r="B1302" s="11">
        <v>42095</v>
      </c>
      <c r="C1302" s="29" t="str">
        <f t="shared" si="20"/>
        <v/>
      </c>
      <c r="D1302" s="8">
        <v>0.5</v>
      </c>
      <c r="E1302" s="28" t="s">
        <v>14</v>
      </c>
      <c r="F1302" s="7" t="s">
        <v>14</v>
      </c>
      <c r="G1302" s="27" t="s">
        <v>14</v>
      </c>
      <c r="H1302" s="27" t="s">
        <v>14</v>
      </c>
    </row>
    <row r="1303" spans="2:8" x14ac:dyDescent="0.3">
      <c r="B1303" s="9">
        <v>42096</v>
      </c>
      <c r="C1303" s="29" t="str">
        <f t="shared" si="20"/>
        <v/>
      </c>
      <c r="D1303" s="8">
        <v>0.5</v>
      </c>
      <c r="E1303" s="28" t="s">
        <v>14</v>
      </c>
      <c r="F1303" s="7" t="s">
        <v>14</v>
      </c>
      <c r="G1303" s="27" t="s">
        <v>14</v>
      </c>
      <c r="H1303" s="27" t="s">
        <v>14</v>
      </c>
    </row>
    <row r="1304" spans="2:8" x14ac:dyDescent="0.3">
      <c r="B1304" s="11">
        <v>42100</v>
      </c>
      <c r="C1304" s="29" t="str">
        <f t="shared" si="20"/>
        <v/>
      </c>
      <c r="D1304" s="8">
        <v>0.5</v>
      </c>
      <c r="E1304" s="28" t="s">
        <v>14</v>
      </c>
      <c r="F1304" s="7" t="s">
        <v>14</v>
      </c>
      <c r="G1304" s="27" t="s">
        <v>14</v>
      </c>
      <c r="H1304" s="27" t="s">
        <v>14</v>
      </c>
    </row>
    <row r="1305" spans="2:8" x14ac:dyDescent="0.3">
      <c r="B1305" s="9">
        <v>42101</v>
      </c>
      <c r="C1305" s="29" t="str">
        <f t="shared" si="20"/>
        <v/>
      </c>
      <c r="D1305" s="8">
        <v>0.5</v>
      </c>
      <c r="E1305" s="28" t="s">
        <v>14</v>
      </c>
      <c r="F1305" s="7" t="s">
        <v>14</v>
      </c>
      <c r="G1305" s="27" t="s">
        <v>14</v>
      </c>
      <c r="H1305" s="27" t="s">
        <v>14</v>
      </c>
    </row>
    <row r="1306" spans="2:8" x14ac:dyDescent="0.3">
      <c r="B1306" s="11">
        <v>42102</v>
      </c>
      <c r="C1306" s="29" t="str">
        <f t="shared" si="20"/>
        <v/>
      </c>
      <c r="D1306" s="8">
        <v>0.5</v>
      </c>
      <c r="E1306" s="28" t="s">
        <v>14</v>
      </c>
      <c r="F1306" s="7" t="s">
        <v>14</v>
      </c>
      <c r="G1306" s="27" t="s">
        <v>14</v>
      </c>
      <c r="H1306" s="27" t="s">
        <v>14</v>
      </c>
    </row>
    <row r="1307" spans="2:8" x14ac:dyDescent="0.3">
      <c r="B1307" s="9">
        <v>42103</v>
      </c>
      <c r="C1307" s="29" t="str">
        <f t="shared" si="20"/>
        <v/>
      </c>
      <c r="D1307" s="8">
        <v>0.5</v>
      </c>
      <c r="E1307" s="28" t="s">
        <v>14</v>
      </c>
      <c r="F1307" s="7" t="s">
        <v>14</v>
      </c>
      <c r="G1307" s="27" t="s">
        <v>14</v>
      </c>
      <c r="H1307" s="27" t="s">
        <v>14</v>
      </c>
    </row>
    <row r="1308" spans="2:8" x14ac:dyDescent="0.3">
      <c r="B1308" s="11">
        <v>42104</v>
      </c>
      <c r="C1308" s="29" t="str">
        <f t="shared" si="20"/>
        <v/>
      </c>
      <c r="D1308" s="8">
        <v>0.5</v>
      </c>
      <c r="E1308" s="28" t="s">
        <v>14</v>
      </c>
      <c r="F1308" s="7" t="s">
        <v>14</v>
      </c>
      <c r="G1308" s="27" t="s">
        <v>14</v>
      </c>
      <c r="H1308" s="27" t="s">
        <v>14</v>
      </c>
    </row>
    <row r="1309" spans="2:8" x14ac:dyDescent="0.3">
      <c r="B1309" s="9">
        <v>42107</v>
      </c>
      <c r="C1309" s="29" t="str">
        <f t="shared" si="20"/>
        <v/>
      </c>
      <c r="D1309" s="8">
        <v>0.5</v>
      </c>
      <c r="E1309" s="28" t="s">
        <v>14</v>
      </c>
      <c r="F1309" s="7" t="s">
        <v>14</v>
      </c>
      <c r="G1309" s="27" t="s">
        <v>14</v>
      </c>
      <c r="H1309" s="27" t="s">
        <v>14</v>
      </c>
    </row>
    <row r="1310" spans="2:8" x14ac:dyDescent="0.3">
      <c r="B1310" s="11">
        <v>42108</v>
      </c>
      <c r="C1310" s="29" t="str">
        <f t="shared" si="20"/>
        <v/>
      </c>
      <c r="D1310" s="8">
        <v>0.5</v>
      </c>
      <c r="E1310" s="28" t="s">
        <v>14</v>
      </c>
      <c r="F1310" s="7" t="s">
        <v>14</v>
      </c>
      <c r="G1310" s="27" t="s">
        <v>14</v>
      </c>
      <c r="H1310" s="27" t="s">
        <v>14</v>
      </c>
    </row>
    <row r="1311" spans="2:8" x14ac:dyDescent="0.3">
      <c r="B1311" s="9">
        <v>42109</v>
      </c>
      <c r="C1311" s="29" t="str">
        <f t="shared" si="20"/>
        <v/>
      </c>
      <c r="D1311" s="8">
        <v>0.5</v>
      </c>
      <c r="E1311" s="28" t="s">
        <v>14</v>
      </c>
      <c r="F1311" s="7" t="s">
        <v>14</v>
      </c>
      <c r="G1311" s="27" t="s">
        <v>14</v>
      </c>
      <c r="H1311" s="27" t="s">
        <v>14</v>
      </c>
    </row>
    <row r="1312" spans="2:8" x14ac:dyDescent="0.3">
      <c r="B1312" s="11">
        <v>42110</v>
      </c>
      <c r="C1312" s="29" t="str">
        <f t="shared" si="20"/>
        <v/>
      </c>
      <c r="D1312" s="8">
        <v>0.5</v>
      </c>
      <c r="E1312" s="28" t="s">
        <v>14</v>
      </c>
      <c r="F1312" s="7" t="s">
        <v>14</v>
      </c>
      <c r="G1312" s="27" t="s">
        <v>14</v>
      </c>
      <c r="H1312" s="27" t="s">
        <v>14</v>
      </c>
    </row>
    <row r="1313" spans="2:8" x14ac:dyDescent="0.3">
      <c r="B1313" s="9">
        <v>42111</v>
      </c>
      <c r="C1313" s="29" t="str">
        <f t="shared" si="20"/>
        <v/>
      </c>
      <c r="D1313" s="8">
        <v>0.5</v>
      </c>
      <c r="E1313" s="28" t="s">
        <v>14</v>
      </c>
      <c r="F1313" s="7" t="s">
        <v>14</v>
      </c>
      <c r="G1313" s="27" t="s">
        <v>14</v>
      </c>
      <c r="H1313" s="27" t="s">
        <v>14</v>
      </c>
    </row>
    <row r="1314" spans="2:8" x14ac:dyDescent="0.3">
      <c r="B1314" s="11">
        <v>42114</v>
      </c>
      <c r="C1314" s="29" t="str">
        <f t="shared" si="20"/>
        <v/>
      </c>
      <c r="D1314" s="8">
        <v>0.5</v>
      </c>
      <c r="E1314" s="28" t="s">
        <v>14</v>
      </c>
      <c r="F1314" s="7" t="s">
        <v>14</v>
      </c>
      <c r="G1314" s="27" t="s">
        <v>14</v>
      </c>
      <c r="H1314" s="27" t="s">
        <v>14</v>
      </c>
    </row>
    <row r="1315" spans="2:8" x14ac:dyDescent="0.3">
      <c r="B1315" s="9">
        <v>42116</v>
      </c>
      <c r="C1315" s="29" t="str">
        <f t="shared" si="20"/>
        <v/>
      </c>
      <c r="D1315" s="8">
        <v>0.5</v>
      </c>
      <c r="E1315" s="28" t="s">
        <v>14</v>
      </c>
      <c r="F1315" s="7" t="s">
        <v>14</v>
      </c>
      <c r="G1315" s="27" t="s">
        <v>14</v>
      </c>
      <c r="H1315" s="27" t="s">
        <v>14</v>
      </c>
    </row>
    <row r="1316" spans="2:8" x14ac:dyDescent="0.3">
      <c r="B1316" s="11">
        <v>42117</v>
      </c>
      <c r="C1316" s="29" t="str">
        <f t="shared" si="20"/>
        <v/>
      </c>
      <c r="D1316" s="8">
        <v>0.5</v>
      </c>
      <c r="E1316" s="28" t="s">
        <v>14</v>
      </c>
      <c r="F1316" s="7" t="s">
        <v>14</v>
      </c>
      <c r="G1316" s="27" t="s">
        <v>14</v>
      </c>
      <c r="H1316" s="27" t="s">
        <v>14</v>
      </c>
    </row>
    <row r="1317" spans="2:8" x14ac:dyDescent="0.3">
      <c r="B1317" s="9">
        <v>42118</v>
      </c>
      <c r="C1317" s="29" t="str">
        <f t="shared" si="20"/>
        <v/>
      </c>
      <c r="D1317" s="8">
        <v>0.5</v>
      </c>
      <c r="E1317" s="28" t="s">
        <v>14</v>
      </c>
      <c r="F1317" s="7" t="s">
        <v>14</v>
      </c>
      <c r="G1317" s="27" t="s">
        <v>14</v>
      </c>
      <c r="H1317" s="27" t="s">
        <v>14</v>
      </c>
    </row>
    <row r="1318" spans="2:8" x14ac:dyDescent="0.3">
      <c r="B1318" s="11">
        <v>42121</v>
      </c>
      <c r="C1318" s="29" t="str">
        <f t="shared" si="20"/>
        <v/>
      </c>
      <c r="D1318" s="8">
        <v>0.5</v>
      </c>
      <c r="E1318" s="28" t="s">
        <v>14</v>
      </c>
      <c r="F1318" s="7" t="s">
        <v>14</v>
      </c>
      <c r="G1318" s="27" t="s">
        <v>14</v>
      </c>
      <c r="H1318" s="27" t="s">
        <v>14</v>
      </c>
    </row>
    <row r="1319" spans="2:8" x14ac:dyDescent="0.3">
      <c r="B1319" s="9">
        <v>42122</v>
      </c>
      <c r="C1319" s="29" t="str">
        <f t="shared" si="20"/>
        <v/>
      </c>
      <c r="D1319" s="8">
        <v>0.5</v>
      </c>
      <c r="E1319" s="28" t="s">
        <v>14</v>
      </c>
      <c r="F1319" s="7" t="s">
        <v>14</v>
      </c>
      <c r="G1319" s="27" t="s">
        <v>14</v>
      </c>
      <c r="H1319" s="27" t="s">
        <v>14</v>
      </c>
    </row>
    <row r="1320" spans="2:8" x14ac:dyDescent="0.3">
      <c r="B1320" s="11">
        <v>42123</v>
      </c>
      <c r="C1320" s="29" t="str">
        <f t="shared" si="20"/>
        <v/>
      </c>
      <c r="D1320" s="8">
        <v>0.5</v>
      </c>
      <c r="E1320" s="28" t="s">
        <v>14</v>
      </c>
      <c r="F1320" s="7" t="s">
        <v>14</v>
      </c>
      <c r="G1320" s="27" t="s">
        <v>14</v>
      </c>
      <c r="H1320" s="27" t="s">
        <v>14</v>
      </c>
    </row>
    <row r="1321" spans="2:8" x14ac:dyDescent="0.3">
      <c r="B1321" s="9">
        <v>42124</v>
      </c>
      <c r="C1321" s="29" t="str">
        <f t="shared" si="20"/>
        <v/>
      </c>
      <c r="D1321" s="8">
        <v>0.5</v>
      </c>
      <c r="E1321" s="28">
        <v>0.5</v>
      </c>
      <c r="F1321" s="7" t="s">
        <v>14</v>
      </c>
      <c r="G1321" s="27" t="s">
        <v>14</v>
      </c>
      <c r="H1321" s="27" t="s">
        <v>14</v>
      </c>
    </row>
    <row r="1322" spans="2:8" x14ac:dyDescent="0.3">
      <c r="B1322" s="11">
        <v>42128</v>
      </c>
      <c r="C1322" s="29" t="str">
        <f t="shared" si="20"/>
        <v/>
      </c>
      <c r="D1322" s="8">
        <v>0.5</v>
      </c>
      <c r="E1322" s="28" t="s">
        <v>14</v>
      </c>
      <c r="F1322" s="7" t="s">
        <v>14</v>
      </c>
      <c r="G1322" s="27" t="s">
        <v>14</v>
      </c>
      <c r="H1322" s="27" t="s">
        <v>14</v>
      </c>
    </row>
    <row r="1323" spans="2:8" x14ac:dyDescent="0.3">
      <c r="B1323" s="9">
        <v>42129</v>
      </c>
      <c r="C1323" s="29" t="str">
        <f t="shared" si="20"/>
        <v/>
      </c>
      <c r="D1323" s="8">
        <v>0.5</v>
      </c>
      <c r="E1323" s="28" t="s">
        <v>14</v>
      </c>
      <c r="F1323" s="7" t="s">
        <v>14</v>
      </c>
      <c r="G1323" s="27" t="s">
        <v>14</v>
      </c>
      <c r="H1323" s="27" t="s">
        <v>14</v>
      </c>
    </row>
    <row r="1324" spans="2:8" x14ac:dyDescent="0.3">
      <c r="B1324" s="11">
        <v>42130</v>
      </c>
      <c r="C1324" s="29" t="str">
        <f t="shared" si="20"/>
        <v/>
      </c>
      <c r="D1324" s="8">
        <v>0.5</v>
      </c>
      <c r="E1324" s="28" t="s">
        <v>14</v>
      </c>
      <c r="F1324" s="7" t="s">
        <v>14</v>
      </c>
      <c r="G1324" s="27" t="s">
        <v>14</v>
      </c>
      <c r="H1324" s="27" t="s">
        <v>14</v>
      </c>
    </row>
    <row r="1325" spans="2:8" x14ac:dyDescent="0.3">
      <c r="B1325" s="9">
        <v>42131</v>
      </c>
      <c r="C1325" s="29" t="str">
        <f t="shared" si="20"/>
        <v/>
      </c>
      <c r="D1325" s="8">
        <v>0.5</v>
      </c>
      <c r="E1325" s="28" t="s">
        <v>14</v>
      </c>
      <c r="F1325" s="7" t="s">
        <v>14</v>
      </c>
      <c r="G1325" s="27" t="s">
        <v>14</v>
      </c>
      <c r="H1325" s="27" t="s">
        <v>14</v>
      </c>
    </row>
    <row r="1326" spans="2:8" x14ac:dyDescent="0.3">
      <c r="B1326" s="11">
        <v>42132</v>
      </c>
      <c r="C1326" s="29" t="str">
        <f t="shared" si="20"/>
        <v/>
      </c>
      <c r="D1326" s="8">
        <v>0.5</v>
      </c>
      <c r="E1326" s="28" t="s">
        <v>14</v>
      </c>
      <c r="F1326" s="7" t="s">
        <v>14</v>
      </c>
      <c r="G1326" s="27" t="s">
        <v>14</v>
      </c>
      <c r="H1326" s="27" t="s">
        <v>14</v>
      </c>
    </row>
    <row r="1327" spans="2:8" x14ac:dyDescent="0.3">
      <c r="B1327" s="9">
        <v>42135</v>
      </c>
      <c r="C1327" s="29" t="str">
        <f t="shared" si="20"/>
        <v/>
      </c>
      <c r="D1327" s="8">
        <v>0.5</v>
      </c>
      <c r="E1327" s="28" t="s">
        <v>14</v>
      </c>
      <c r="F1327" s="7" t="s">
        <v>14</v>
      </c>
      <c r="G1327" s="27" t="s">
        <v>14</v>
      </c>
      <c r="H1327" s="27" t="s">
        <v>14</v>
      </c>
    </row>
    <row r="1328" spans="2:8" x14ac:dyDescent="0.3">
      <c r="B1328" s="11">
        <v>42136</v>
      </c>
      <c r="C1328" s="29" t="str">
        <f t="shared" si="20"/>
        <v/>
      </c>
      <c r="D1328" s="8">
        <v>0.5</v>
      </c>
      <c r="E1328" s="28" t="s">
        <v>14</v>
      </c>
      <c r="F1328" s="7" t="s">
        <v>14</v>
      </c>
      <c r="G1328" s="27" t="s">
        <v>14</v>
      </c>
      <c r="H1328" s="27" t="s">
        <v>14</v>
      </c>
    </row>
    <row r="1329" spans="2:8" x14ac:dyDescent="0.3">
      <c r="B1329" s="9">
        <v>42137</v>
      </c>
      <c r="C1329" s="29" t="str">
        <f t="shared" si="20"/>
        <v/>
      </c>
      <c r="D1329" s="8">
        <v>0.5</v>
      </c>
      <c r="E1329" s="28" t="s">
        <v>14</v>
      </c>
      <c r="F1329" s="7" t="s">
        <v>14</v>
      </c>
      <c r="G1329" s="27" t="s">
        <v>14</v>
      </c>
      <c r="H1329" s="27" t="s">
        <v>14</v>
      </c>
    </row>
    <row r="1330" spans="2:8" x14ac:dyDescent="0.3">
      <c r="B1330" s="11">
        <v>42138</v>
      </c>
      <c r="C1330" s="29" t="str">
        <f t="shared" si="20"/>
        <v/>
      </c>
      <c r="D1330" s="8">
        <v>0.5</v>
      </c>
      <c r="E1330" s="28" t="s">
        <v>14</v>
      </c>
      <c r="F1330" s="7" t="s">
        <v>14</v>
      </c>
      <c r="G1330" s="27" t="s">
        <v>14</v>
      </c>
      <c r="H1330" s="27" t="s">
        <v>14</v>
      </c>
    </row>
    <row r="1331" spans="2:8" x14ac:dyDescent="0.3">
      <c r="B1331" s="9">
        <v>42139</v>
      </c>
      <c r="C1331" s="29" t="str">
        <f t="shared" si="20"/>
        <v/>
      </c>
      <c r="D1331" s="8">
        <v>0.5</v>
      </c>
      <c r="E1331" s="28" t="s">
        <v>14</v>
      </c>
      <c r="F1331" s="7" t="s">
        <v>14</v>
      </c>
      <c r="G1331" s="27" t="s">
        <v>14</v>
      </c>
      <c r="H1331" s="27" t="s">
        <v>14</v>
      </c>
    </row>
    <row r="1332" spans="2:8" x14ac:dyDescent="0.3">
      <c r="B1332" s="11">
        <v>42142</v>
      </c>
      <c r="C1332" s="29" t="str">
        <f t="shared" si="20"/>
        <v/>
      </c>
      <c r="D1332" s="8">
        <v>0.5</v>
      </c>
      <c r="E1332" s="28" t="s">
        <v>14</v>
      </c>
      <c r="F1332" s="7" t="s">
        <v>14</v>
      </c>
      <c r="G1332" s="27" t="s">
        <v>14</v>
      </c>
      <c r="H1332" s="27" t="s">
        <v>14</v>
      </c>
    </row>
    <row r="1333" spans="2:8" x14ac:dyDescent="0.3">
      <c r="B1333" s="9">
        <v>42143</v>
      </c>
      <c r="C1333" s="29" t="str">
        <f t="shared" si="20"/>
        <v/>
      </c>
      <c r="D1333" s="8">
        <v>0.5</v>
      </c>
      <c r="E1333" s="28" t="s">
        <v>14</v>
      </c>
      <c r="F1333" s="7" t="s">
        <v>14</v>
      </c>
      <c r="G1333" s="27" t="s">
        <v>14</v>
      </c>
      <c r="H1333" s="27" t="s">
        <v>14</v>
      </c>
    </row>
    <row r="1334" spans="2:8" x14ac:dyDescent="0.3">
      <c r="B1334" s="11">
        <v>42144</v>
      </c>
      <c r="C1334" s="29" t="str">
        <f t="shared" si="20"/>
        <v/>
      </c>
      <c r="D1334" s="8">
        <v>0.5</v>
      </c>
      <c r="E1334" s="28" t="s">
        <v>14</v>
      </c>
      <c r="F1334" s="7" t="s">
        <v>14</v>
      </c>
      <c r="G1334" s="27" t="s">
        <v>14</v>
      </c>
      <c r="H1334" s="27" t="s">
        <v>14</v>
      </c>
    </row>
    <row r="1335" spans="2:8" x14ac:dyDescent="0.3">
      <c r="B1335" s="9">
        <v>42145</v>
      </c>
      <c r="C1335" s="29" t="str">
        <f t="shared" si="20"/>
        <v/>
      </c>
      <c r="D1335" s="8">
        <v>0.5</v>
      </c>
      <c r="E1335" s="28" t="s">
        <v>14</v>
      </c>
      <c r="F1335" s="7" t="s">
        <v>14</v>
      </c>
      <c r="G1335" s="27" t="s">
        <v>14</v>
      </c>
      <c r="H1335" s="27" t="s">
        <v>14</v>
      </c>
    </row>
    <row r="1336" spans="2:8" x14ac:dyDescent="0.3">
      <c r="B1336" s="11">
        <v>42146</v>
      </c>
      <c r="C1336" s="29" t="str">
        <f t="shared" si="20"/>
        <v/>
      </c>
      <c r="D1336" s="8">
        <v>0.5</v>
      </c>
      <c r="E1336" s="28" t="s">
        <v>14</v>
      </c>
      <c r="F1336" s="7" t="s">
        <v>14</v>
      </c>
      <c r="G1336" s="27" t="s">
        <v>14</v>
      </c>
      <c r="H1336" s="27" t="s">
        <v>14</v>
      </c>
    </row>
    <row r="1337" spans="2:8" x14ac:dyDescent="0.3">
      <c r="B1337" s="9">
        <v>42149</v>
      </c>
      <c r="C1337" s="29" t="str">
        <f t="shared" si="20"/>
        <v/>
      </c>
      <c r="D1337" s="8">
        <v>0.5</v>
      </c>
      <c r="E1337" s="28" t="s">
        <v>14</v>
      </c>
      <c r="F1337" s="7" t="s">
        <v>14</v>
      </c>
      <c r="G1337" s="27" t="s">
        <v>14</v>
      </c>
      <c r="H1337" s="27" t="s">
        <v>14</v>
      </c>
    </row>
    <row r="1338" spans="2:8" x14ac:dyDescent="0.3">
      <c r="B1338" s="11">
        <v>42150</v>
      </c>
      <c r="C1338" s="29" t="str">
        <f t="shared" si="20"/>
        <v/>
      </c>
      <c r="D1338" s="8">
        <v>0.5</v>
      </c>
      <c r="E1338" s="28" t="s">
        <v>14</v>
      </c>
      <c r="F1338" s="7" t="s">
        <v>14</v>
      </c>
      <c r="G1338" s="27" t="s">
        <v>14</v>
      </c>
      <c r="H1338" s="27" t="s">
        <v>14</v>
      </c>
    </row>
    <row r="1339" spans="2:8" x14ac:dyDescent="0.3">
      <c r="B1339" s="9">
        <v>42151</v>
      </c>
      <c r="C1339" s="29" t="str">
        <f t="shared" si="20"/>
        <v/>
      </c>
      <c r="D1339" s="8">
        <v>0.5</v>
      </c>
      <c r="E1339" s="28" t="s">
        <v>14</v>
      </c>
      <c r="F1339" s="7" t="s">
        <v>14</v>
      </c>
      <c r="G1339" s="27" t="s">
        <v>14</v>
      </c>
      <c r="H1339" s="27" t="s">
        <v>14</v>
      </c>
    </row>
    <row r="1340" spans="2:8" x14ac:dyDescent="0.3">
      <c r="B1340" s="11">
        <v>42152</v>
      </c>
      <c r="C1340" s="29" t="str">
        <f t="shared" si="20"/>
        <v/>
      </c>
      <c r="D1340" s="8">
        <v>0.5</v>
      </c>
      <c r="E1340" s="28" t="s">
        <v>14</v>
      </c>
      <c r="F1340" s="7" t="s">
        <v>14</v>
      </c>
      <c r="G1340" s="27" t="s">
        <v>14</v>
      </c>
      <c r="H1340" s="27" t="s">
        <v>14</v>
      </c>
    </row>
    <row r="1341" spans="2:8" x14ac:dyDescent="0.3">
      <c r="B1341" s="9">
        <v>42153</v>
      </c>
      <c r="C1341" s="29" t="str">
        <f t="shared" si="20"/>
        <v/>
      </c>
      <c r="D1341" s="8">
        <v>0.5</v>
      </c>
      <c r="E1341" s="28">
        <v>0.5</v>
      </c>
      <c r="F1341" s="7" t="s">
        <v>14</v>
      </c>
      <c r="G1341" s="27" t="s">
        <v>14</v>
      </c>
      <c r="H1341" s="27" t="s">
        <v>14</v>
      </c>
    </row>
    <row r="1342" spans="2:8" x14ac:dyDescent="0.3">
      <c r="B1342" s="11">
        <v>42156</v>
      </c>
      <c r="C1342" s="29" t="str">
        <f t="shared" si="20"/>
        <v/>
      </c>
      <c r="D1342" s="8">
        <v>0.5</v>
      </c>
      <c r="E1342" s="28" t="s">
        <v>14</v>
      </c>
      <c r="F1342" s="7" t="s">
        <v>14</v>
      </c>
      <c r="G1342" s="27" t="s">
        <v>14</v>
      </c>
      <c r="H1342" s="27" t="s">
        <v>14</v>
      </c>
    </row>
    <row r="1343" spans="2:8" x14ac:dyDescent="0.3">
      <c r="B1343" s="9">
        <v>42157</v>
      </c>
      <c r="C1343" s="29" t="str">
        <f t="shared" si="20"/>
        <v/>
      </c>
      <c r="D1343" s="8">
        <v>0.5</v>
      </c>
      <c r="E1343" s="28" t="s">
        <v>14</v>
      </c>
      <c r="F1343" s="7" t="s">
        <v>14</v>
      </c>
      <c r="G1343" s="27" t="s">
        <v>14</v>
      </c>
      <c r="H1343" s="27" t="s">
        <v>14</v>
      </c>
    </row>
    <row r="1344" spans="2:8" x14ac:dyDescent="0.3">
      <c r="B1344" s="11">
        <v>42158</v>
      </c>
      <c r="C1344" s="29" t="str">
        <f t="shared" si="20"/>
        <v/>
      </c>
      <c r="D1344" s="8">
        <v>0.5</v>
      </c>
      <c r="E1344" s="28" t="s">
        <v>14</v>
      </c>
      <c r="F1344" s="7" t="s">
        <v>14</v>
      </c>
      <c r="G1344" s="27" t="s">
        <v>14</v>
      </c>
      <c r="H1344" s="27" t="s">
        <v>14</v>
      </c>
    </row>
    <row r="1345" spans="2:8" x14ac:dyDescent="0.3">
      <c r="B1345" s="9">
        <v>42160</v>
      </c>
      <c r="C1345" s="29" t="str">
        <f t="shared" si="20"/>
        <v/>
      </c>
      <c r="D1345" s="8">
        <v>0.5</v>
      </c>
      <c r="E1345" s="28" t="s">
        <v>14</v>
      </c>
      <c r="F1345" s="7" t="s">
        <v>14</v>
      </c>
      <c r="G1345" s="27" t="s">
        <v>14</v>
      </c>
      <c r="H1345" s="27" t="s">
        <v>14</v>
      </c>
    </row>
    <row r="1346" spans="2:8" x14ac:dyDescent="0.3">
      <c r="B1346" s="11">
        <v>42163</v>
      </c>
      <c r="C1346" s="29" t="str">
        <f t="shared" si="20"/>
        <v/>
      </c>
      <c r="D1346" s="8">
        <v>0.5</v>
      </c>
      <c r="E1346" s="28" t="s">
        <v>14</v>
      </c>
      <c r="F1346" s="7" t="s">
        <v>14</v>
      </c>
      <c r="G1346" s="27" t="s">
        <v>14</v>
      </c>
      <c r="H1346" s="27" t="s">
        <v>14</v>
      </c>
    </row>
    <row r="1347" spans="2:8" x14ac:dyDescent="0.3">
      <c r="B1347" s="9">
        <v>42164</v>
      </c>
      <c r="C1347" s="29" t="str">
        <f t="shared" ref="C1347:C1410" si="21">INDEX(D1347:H1347,MATCH($A$1,$D$1:$H$1,0))</f>
        <v/>
      </c>
      <c r="D1347" s="8">
        <v>0.5</v>
      </c>
      <c r="E1347" s="28" t="s">
        <v>14</v>
      </c>
      <c r="F1347" s="7" t="s">
        <v>14</v>
      </c>
      <c r="G1347" s="27" t="s">
        <v>14</v>
      </c>
      <c r="H1347" s="27" t="s">
        <v>14</v>
      </c>
    </row>
    <row r="1348" spans="2:8" x14ac:dyDescent="0.3">
      <c r="B1348" s="11">
        <v>42165</v>
      </c>
      <c r="C1348" s="29" t="str">
        <f t="shared" si="21"/>
        <v/>
      </c>
      <c r="D1348" s="8">
        <v>0.5</v>
      </c>
      <c r="E1348" s="28" t="s">
        <v>14</v>
      </c>
      <c r="F1348" s="7" t="s">
        <v>14</v>
      </c>
      <c r="G1348" s="27" t="s">
        <v>14</v>
      </c>
      <c r="H1348" s="27" t="s">
        <v>14</v>
      </c>
    </row>
    <row r="1349" spans="2:8" x14ac:dyDescent="0.3">
      <c r="B1349" s="9">
        <v>42166</v>
      </c>
      <c r="C1349" s="29" t="str">
        <f t="shared" si="21"/>
        <v/>
      </c>
      <c r="D1349" s="8">
        <v>0.5</v>
      </c>
      <c r="E1349" s="28" t="s">
        <v>14</v>
      </c>
      <c r="F1349" s="7" t="s">
        <v>14</v>
      </c>
      <c r="G1349" s="27" t="s">
        <v>14</v>
      </c>
      <c r="H1349" s="27" t="s">
        <v>14</v>
      </c>
    </row>
    <row r="1350" spans="2:8" x14ac:dyDescent="0.3">
      <c r="B1350" s="11">
        <v>42167</v>
      </c>
      <c r="C1350" s="29" t="str">
        <f t="shared" si="21"/>
        <v/>
      </c>
      <c r="D1350" s="8">
        <v>0.5</v>
      </c>
      <c r="E1350" s="28" t="s">
        <v>14</v>
      </c>
      <c r="F1350" s="7" t="s">
        <v>14</v>
      </c>
      <c r="G1350" s="27" t="s">
        <v>14</v>
      </c>
      <c r="H1350" s="27" t="s">
        <v>14</v>
      </c>
    </row>
    <row r="1351" spans="2:8" x14ac:dyDescent="0.3">
      <c r="B1351" s="9">
        <v>42170</v>
      </c>
      <c r="C1351" s="29" t="str">
        <f t="shared" si="21"/>
        <v/>
      </c>
      <c r="D1351" s="8">
        <v>0.5</v>
      </c>
      <c r="E1351" s="28" t="s">
        <v>14</v>
      </c>
      <c r="F1351" s="7" t="s">
        <v>14</v>
      </c>
      <c r="G1351" s="27" t="s">
        <v>14</v>
      </c>
      <c r="H1351" s="27" t="s">
        <v>14</v>
      </c>
    </row>
    <row r="1352" spans="2:8" x14ac:dyDescent="0.3">
      <c r="B1352" s="11">
        <v>42171</v>
      </c>
      <c r="C1352" s="29" t="str">
        <f t="shared" si="21"/>
        <v/>
      </c>
      <c r="D1352" s="8">
        <v>0.5</v>
      </c>
      <c r="E1352" s="28" t="s">
        <v>14</v>
      </c>
      <c r="F1352" s="7" t="s">
        <v>14</v>
      </c>
      <c r="G1352" s="27" t="s">
        <v>14</v>
      </c>
      <c r="H1352" s="27" t="s">
        <v>14</v>
      </c>
    </row>
    <row r="1353" spans="2:8" x14ac:dyDescent="0.3">
      <c r="B1353" s="9">
        <v>42172</v>
      </c>
      <c r="C1353" s="29" t="str">
        <f t="shared" si="21"/>
        <v/>
      </c>
      <c r="D1353" s="8">
        <v>0.5</v>
      </c>
      <c r="E1353" s="28" t="s">
        <v>14</v>
      </c>
      <c r="F1353" s="7" t="s">
        <v>14</v>
      </c>
      <c r="G1353" s="27" t="s">
        <v>14</v>
      </c>
      <c r="H1353" s="27" t="s">
        <v>14</v>
      </c>
    </row>
    <row r="1354" spans="2:8" x14ac:dyDescent="0.3">
      <c r="B1354" s="11">
        <v>42173</v>
      </c>
      <c r="C1354" s="29" t="str">
        <f t="shared" si="21"/>
        <v/>
      </c>
      <c r="D1354" s="8">
        <v>0.5</v>
      </c>
      <c r="E1354" s="28" t="s">
        <v>14</v>
      </c>
      <c r="F1354" s="7" t="s">
        <v>14</v>
      </c>
      <c r="G1354" s="27" t="s">
        <v>14</v>
      </c>
      <c r="H1354" s="27" t="s">
        <v>14</v>
      </c>
    </row>
    <row r="1355" spans="2:8" x14ac:dyDescent="0.3">
      <c r="B1355" s="9">
        <v>42174</v>
      </c>
      <c r="C1355" s="29" t="str">
        <f t="shared" si="21"/>
        <v/>
      </c>
      <c r="D1355" s="8">
        <v>0.5</v>
      </c>
      <c r="E1355" s="28" t="s">
        <v>14</v>
      </c>
      <c r="F1355" s="7" t="s">
        <v>14</v>
      </c>
      <c r="G1355" s="27" t="s">
        <v>14</v>
      </c>
      <c r="H1355" s="27" t="s">
        <v>14</v>
      </c>
    </row>
    <row r="1356" spans="2:8" x14ac:dyDescent="0.3">
      <c r="B1356" s="11">
        <v>42177</v>
      </c>
      <c r="C1356" s="29" t="str">
        <f t="shared" si="21"/>
        <v/>
      </c>
      <c r="D1356" s="8">
        <v>0.5</v>
      </c>
      <c r="E1356" s="28" t="s">
        <v>14</v>
      </c>
      <c r="F1356" s="7" t="s">
        <v>14</v>
      </c>
      <c r="G1356" s="27" t="s">
        <v>14</v>
      </c>
      <c r="H1356" s="27" t="s">
        <v>14</v>
      </c>
    </row>
    <row r="1357" spans="2:8" x14ac:dyDescent="0.3">
      <c r="B1357" s="9">
        <v>42178</v>
      </c>
      <c r="C1357" s="29" t="str">
        <f t="shared" si="21"/>
        <v/>
      </c>
      <c r="D1357" s="8">
        <v>0.5</v>
      </c>
      <c r="E1357" s="28" t="s">
        <v>14</v>
      </c>
      <c r="F1357" s="7" t="s">
        <v>14</v>
      </c>
      <c r="G1357" s="27" t="s">
        <v>14</v>
      </c>
      <c r="H1357" s="27" t="s">
        <v>14</v>
      </c>
    </row>
    <row r="1358" spans="2:8" x14ac:dyDescent="0.3">
      <c r="B1358" s="11">
        <v>42179</v>
      </c>
      <c r="C1358" s="29" t="str">
        <f t="shared" si="21"/>
        <v/>
      </c>
      <c r="D1358" s="8">
        <v>0.5</v>
      </c>
      <c r="E1358" s="28" t="s">
        <v>14</v>
      </c>
      <c r="F1358" s="7" t="s">
        <v>14</v>
      </c>
      <c r="G1358" s="27" t="s">
        <v>14</v>
      </c>
      <c r="H1358" s="27" t="s">
        <v>14</v>
      </c>
    </row>
    <row r="1359" spans="2:8" x14ac:dyDescent="0.3">
      <c r="B1359" s="9">
        <v>42180</v>
      </c>
      <c r="C1359" s="29" t="str">
        <f t="shared" si="21"/>
        <v/>
      </c>
      <c r="D1359" s="8">
        <v>0.5</v>
      </c>
      <c r="E1359" s="28" t="s">
        <v>14</v>
      </c>
      <c r="F1359" s="7" t="s">
        <v>14</v>
      </c>
      <c r="G1359" s="27" t="s">
        <v>14</v>
      </c>
      <c r="H1359" s="27" t="s">
        <v>14</v>
      </c>
    </row>
    <row r="1360" spans="2:8" x14ac:dyDescent="0.3">
      <c r="B1360" s="11">
        <v>42181</v>
      </c>
      <c r="C1360" s="29" t="str">
        <f t="shared" si="21"/>
        <v/>
      </c>
      <c r="D1360" s="8">
        <v>0.5</v>
      </c>
      <c r="E1360" s="28" t="s">
        <v>14</v>
      </c>
      <c r="F1360" s="7" t="s">
        <v>14</v>
      </c>
      <c r="G1360" s="27" t="s">
        <v>14</v>
      </c>
      <c r="H1360" s="27" t="s">
        <v>14</v>
      </c>
    </row>
    <row r="1361" spans="2:8" x14ac:dyDescent="0.3">
      <c r="B1361" s="9">
        <v>42184</v>
      </c>
      <c r="C1361" s="29" t="str">
        <f t="shared" si="21"/>
        <v/>
      </c>
      <c r="D1361" s="8">
        <v>0.5</v>
      </c>
      <c r="E1361" s="28" t="s">
        <v>14</v>
      </c>
      <c r="F1361" s="7" t="s">
        <v>14</v>
      </c>
      <c r="G1361" s="27" t="s">
        <v>14</v>
      </c>
      <c r="H1361" s="27" t="s">
        <v>14</v>
      </c>
    </row>
    <row r="1362" spans="2:8" x14ac:dyDescent="0.3">
      <c r="B1362" s="11">
        <v>42185</v>
      </c>
      <c r="C1362" s="29">
        <f t="shared" si="21"/>
        <v>0</v>
      </c>
      <c r="D1362" s="8">
        <v>0.5</v>
      </c>
      <c r="E1362" s="28">
        <v>0.5</v>
      </c>
      <c r="F1362" s="7">
        <v>0.5</v>
      </c>
      <c r="G1362" s="27">
        <v>0.5</v>
      </c>
    </row>
    <row r="1363" spans="2:8" x14ac:dyDescent="0.3">
      <c r="B1363" s="9">
        <v>42186</v>
      </c>
      <c r="C1363" s="29" t="str">
        <f t="shared" si="21"/>
        <v/>
      </c>
      <c r="D1363" s="8">
        <v>0.5</v>
      </c>
      <c r="E1363" s="28" t="s">
        <v>14</v>
      </c>
      <c r="F1363" s="7" t="s">
        <v>14</v>
      </c>
      <c r="G1363" s="27" t="s">
        <v>14</v>
      </c>
      <c r="H1363" s="27" t="s">
        <v>14</v>
      </c>
    </row>
    <row r="1364" spans="2:8" x14ac:dyDescent="0.3">
      <c r="B1364" s="11">
        <v>42187</v>
      </c>
      <c r="C1364" s="29" t="str">
        <f t="shared" si="21"/>
        <v/>
      </c>
      <c r="D1364" s="8">
        <v>0.5</v>
      </c>
      <c r="E1364" s="28" t="s">
        <v>14</v>
      </c>
      <c r="F1364" s="7" t="s">
        <v>14</v>
      </c>
      <c r="G1364" s="27" t="s">
        <v>14</v>
      </c>
      <c r="H1364" s="27" t="s">
        <v>14</v>
      </c>
    </row>
    <row r="1365" spans="2:8" x14ac:dyDescent="0.3">
      <c r="B1365" s="9">
        <v>42188</v>
      </c>
      <c r="C1365" s="29" t="str">
        <f t="shared" si="21"/>
        <v/>
      </c>
      <c r="D1365" s="8">
        <v>0.5</v>
      </c>
      <c r="E1365" s="28" t="s">
        <v>14</v>
      </c>
      <c r="F1365" s="7" t="s">
        <v>14</v>
      </c>
      <c r="G1365" s="27" t="s">
        <v>14</v>
      </c>
      <c r="H1365" s="27" t="s">
        <v>14</v>
      </c>
    </row>
    <row r="1366" spans="2:8" x14ac:dyDescent="0.3">
      <c r="B1366" s="11">
        <v>42191</v>
      </c>
      <c r="C1366" s="29" t="str">
        <f t="shared" si="21"/>
        <v/>
      </c>
      <c r="D1366" s="8">
        <v>0.5</v>
      </c>
      <c r="E1366" s="28" t="s">
        <v>14</v>
      </c>
      <c r="F1366" s="7" t="s">
        <v>14</v>
      </c>
      <c r="G1366" s="27" t="s">
        <v>14</v>
      </c>
      <c r="H1366" s="27" t="s">
        <v>14</v>
      </c>
    </row>
    <row r="1367" spans="2:8" x14ac:dyDescent="0.3">
      <c r="B1367" s="9">
        <v>42192</v>
      </c>
      <c r="C1367" s="29" t="str">
        <f t="shared" si="21"/>
        <v/>
      </c>
      <c r="D1367" s="8">
        <v>0.5</v>
      </c>
      <c r="E1367" s="28" t="s">
        <v>14</v>
      </c>
      <c r="F1367" s="7" t="s">
        <v>14</v>
      </c>
      <c r="G1367" s="27" t="s">
        <v>14</v>
      </c>
      <c r="H1367" s="27" t="s">
        <v>14</v>
      </c>
    </row>
    <row r="1368" spans="2:8" x14ac:dyDescent="0.3">
      <c r="B1368" s="11">
        <v>42193</v>
      </c>
      <c r="C1368" s="29" t="str">
        <f t="shared" si="21"/>
        <v/>
      </c>
      <c r="D1368" s="8">
        <v>0.5</v>
      </c>
      <c r="E1368" s="28" t="s">
        <v>14</v>
      </c>
      <c r="F1368" s="7" t="s">
        <v>14</v>
      </c>
      <c r="G1368" s="27" t="s">
        <v>14</v>
      </c>
      <c r="H1368" s="27" t="s">
        <v>14</v>
      </c>
    </row>
    <row r="1369" spans="2:8" x14ac:dyDescent="0.3">
      <c r="B1369" s="9">
        <v>42195</v>
      </c>
      <c r="C1369" s="29" t="str">
        <f t="shared" si="21"/>
        <v/>
      </c>
      <c r="D1369" s="8">
        <v>0.5</v>
      </c>
      <c r="E1369" s="28" t="s">
        <v>14</v>
      </c>
      <c r="F1369" s="7" t="s">
        <v>14</v>
      </c>
      <c r="G1369" s="27" t="s">
        <v>14</v>
      </c>
      <c r="H1369" s="27" t="s">
        <v>14</v>
      </c>
    </row>
    <row r="1370" spans="2:8" x14ac:dyDescent="0.3">
      <c r="B1370" s="11">
        <v>42198</v>
      </c>
      <c r="C1370" s="29" t="str">
        <f t="shared" si="21"/>
        <v/>
      </c>
      <c r="D1370" s="8">
        <v>0.5</v>
      </c>
      <c r="E1370" s="28" t="s">
        <v>14</v>
      </c>
      <c r="F1370" s="7" t="s">
        <v>14</v>
      </c>
      <c r="G1370" s="27" t="s">
        <v>14</v>
      </c>
      <c r="H1370" s="27" t="s">
        <v>14</v>
      </c>
    </row>
    <row r="1371" spans="2:8" x14ac:dyDescent="0.3">
      <c r="B1371" s="9">
        <v>42199</v>
      </c>
      <c r="C1371" s="29" t="str">
        <f t="shared" si="21"/>
        <v/>
      </c>
      <c r="D1371" s="8">
        <v>0.5</v>
      </c>
      <c r="E1371" s="28" t="s">
        <v>14</v>
      </c>
      <c r="F1371" s="7" t="s">
        <v>14</v>
      </c>
      <c r="G1371" s="27" t="s">
        <v>14</v>
      </c>
      <c r="H1371" s="27" t="s">
        <v>14</v>
      </c>
    </row>
    <row r="1372" spans="2:8" x14ac:dyDescent="0.3">
      <c r="B1372" s="11">
        <v>42200</v>
      </c>
      <c r="C1372" s="29" t="str">
        <f t="shared" si="21"/>
        <v/>
      </c>
      <c r="D1372" s="8">
        <v>0.5</v>
      </c>
      <c r="E1372" s="28" t="s">
        <v>14</v>
      </c>
      <c r="F1372" s="7" t="s">
        <v>14</v>
      </c>
      <c r="G1372" s="27" t="s">
        <v>14</v>
      </c>
      <c r="H1372" s="27" t="s">
        <v>14</v>
      </c>
    </row>
    <row r="1373" spans="2:8" x14ac:dyDescent="0.3">
      <c r="B1373" s="9">
        <v>42201</v>
      </c>
      <c r="C1373" s="29" t="str">
        <f t="shared" si="21"/>
        <v/>
      </c>
      <c r="D1373" s="8">
        <v>0.5</v>
      </c>
      <c r="E1373" s="28" t="s">
        <v>14</v>
      </c>
      <c r="F1373" s="7" t="s">
        <v>14</v>
      </c>
      <c r="G1373" s="27" t="s">
        <v>14</v>
      </c>
      <c r="H1373" s="27" t="s">
        <v>14</v>
      </c>
    </row>
    <row r="1374" spans="2:8" x14ac:dyDescent="0.3">
      <c r="B1374" s="11">
        <v>42202</v>
      </c>
      <c r="C1374" s="29" t="str">
        <f t="shared" si="21"/>
        <v/>
      </c>
      <c r="D1374" s="8">
        <v>0.5</v>
      </c>
      <c r="E1374" s="28" t="s">
        <v>14</v>
      </c>
      <c r="F1374" s="7" t="s">
        <v>14</v>
      </c>
      <c r="G1374" s="27" t="s">
        <v>14</v>
      </c>
      <c r="H1374" s="27" t="s">
        <v>14</v>
      </c>
    </row>
    <row r="1375" spans="2:8" x14ac:dyDescent="0.3">
      <c r="B1375" s="9">
        <v>42205</v>
      </c>
      <c r="C1375" s="29" t="str">
        <f t="shared" si="21"/>
        <v/>
      </c>
      <c r="D1375" s="8">
        <v>0.5</v>
      </c>
      <c r="E1375" s="28" t="s">
        <v>14</v>
      </c>
      <c r="F1375" s="7" t="s">
        <v>14</v>
      </c>
      <c r="G1375" s="27" t="s">
        <v>14</v>
      </c>
      <c r="H1375" s="27" t="s">
        <v>14</v>
      </c>
    </row>
    <row r="1376" spans="2:8" x14ac:dyDescent="0.3">
      <c r="B1376" s="11">
        <v>42206</v>
      </c>
      <c r="C1376" s="29" t="str">
        <f t="shared" si="21"/>
        <v/>
      </c>
      <c r="D1376" s="8">
        <v>0.5</v>
      </c>
      <c r="E1376" s="28" t="s">
        <v>14</v>
      </c>
      <c r="F1376" s="7" t="s">
        <v>14</v>
      </c>
      <c r="G1376" s="27" t="s">
        <v>14</v>
      </c>
      <c r="H1376" s="27" t="s">
        <v>14</v>
      </c>
    </row>
    <row r="1377" spans="2:8" x14ac:dyDescent="0.3">
      <c r="B1377" s="9">
        <v>42207</v>
      </c>
      <c r="C1377" s="29" t="str">
        <f t="shared" si="21"/>
        <v/>
      </c>
      <c r="D1377" s="8">
        <v>0.5</v>
      </c>
      <c r="E1377" s="28" t="s">
        <v>14</v>
      </c>
      <c r="F1377" s="7" t="s">
        <v>14</v>
      </c>
      <c r="G1377" s="27" t="s">
        <v>14</v>
      </c>
      <c r="H1377" s="27" t="s">
        <v>14</v>
      </c>
    </row>
    <row r="1378" spans="2:8" x14ac:dyDescent="0.3">
      <c r="B1378" s="11">
        <v>42208</v>
      </c>
      <c r="C1378" s="29" t="str">
        <f t="shared" si="21"/>
        <v/>
      </c>
      <c r="D1378" s="8">
        <v>0.5</v>
      </c>
      <c r="E1378" s="28" t="s">
        <v>14</v>
      </c>
      <c r="F1378" s="7" t="s">
        <v>14</v>
      </c>
      <c r="G1378" s="27" t="s">
        <v>14</v>
      </c>
      <c r="H1378" s="27" t="s">
        <v>14</v>
      </c>
    </row>
    <row r="1379" spans="2:8" x14ac:dyDescent="0.3">
      <c r="B1379" s="9">
        <v>42209</v>
      </c>
      <c r="C1379" s="29" t="str">
        <f t="shared" si="21"/>
        <v/>
      </c>
      <c r="D1379" s="8">
        <v>0.5</v>
      </c>
      <c r="E1379" s="28" t="s">
        <v>14</v>
      </c>
      <c r="F1379" s="7" t="s">
        <v>14</v>
      </c>
      <c r="G1379" s="27" t="s">
        <v>14</v>
      </c>
      <c r="H1379" s="27" t="s">
        <v>14</v>
      </c>
    </row>
    <row r="1380" spans="2:8" x14ac:dyDescent="0.3">
      <c r="B1380" s="11">
        <v>42212</v>
      </c>
      <c r="C1380" s="29" t="str">
        <f t="shared" si="21"/>
        <v/>
      </c>
      <c r="D1380" s="8">
        <v>0.5</v>
      </c>
      <c r="E1380" s="28" t="s">
        <v>14</v>
      </c>
      <c r="F1380" s="7" t="s">
        <v>14</v>
      </c>
      <c r="G1380" s="27" t="s">
        <v>14</v>
      </c>
      <c r="H1380" s="27" t="s">
        <v>14</v>
      </c>
    </row>
    <row r="1381" spans="2:8" x14ac:dyDescent="0.3">
      <c r="B1381" s="9">
        <v>42213</v>
      </c>
      <c r="C1381" s="29" t="str">
        <f t="shared" si="21"/>
        <v/>
      </c>
      <c r="D1381" s="8">
        <v>0.5</v>
      </c>
      <c r="E1381" s="28" t="s">
        <v>14</v>
      </c>
      <c r="F1381" s="7" t="s">
        <v>14</v>
      </c>
      <c r="G1381" s="27" t="s">
        <v>14</v>
      </c>
      <c r="H1381" s="27" t="s">
        <v>14</v>
      </c>
    </row>
    <row r="1382" spans="2:8" x14ac:dyDescent="0.3">
      <c r="B1382" s="11">
        <v>42214</v>
      </c>
      <c r="C1382" s="29" t="str">
        <f t="shared" si="21"/>
        <v/>
      </c>
      <c r="D1382" s="8">
        <v>0.5</v>
      </c>
      <c r="E1382" s="28" t="s">
        <v>14</v>
      </c>
      <c r="F1382" s="7" t="s">
        <v>14</v>
      </c>
      <c r="G1382" s="27" t="s">
        <v>14</v>
      </c>
      <c r="H1382" s="27" t="s">
        <v>14</v>
      </c>
    </row>
    <row r="1383" spans="2:8" x14ac:dyDescent="0.3">
      <c r="B1383" s="9">
        <v>42215</v>
      </c>
      <c r="C1383" s="29" t="str">
        <f t="shared" si="21"/>
        <v/>
      </c>
      <c r="D1383" s="8">
        <v>0.5</v>
      </c>
      <c r="E1383" s="28" t="s">
        <v>14</v>
      </c>
      <c r="F1383" s="7" t="s">
        <v>14</v>
      </c>
      <c r="G1383" s="27" t="s">
        <v>14</v>
      </c>
      <c r="H1383" s="27" t="s">
        <v>14</v>
      </c>
    </row>
    <row r="1384" spans="2:8" x14ac:dyDescent="0.3">
      <c r="B1384" s="11">
        <v>42216</v>
      </c>
      <c r="C1384" s="29" t="str">
        <f t="shared" si="21"/>
        <v/>
      </c>
      <c r="D1384" s="8">
        <v>0.5</v>
      </c>
      <c r="E1384" s="28">
        <v>0.5</v>
      </c>
      <c r="F1384" s="7" t="s">
        <v>14</v>
      </c>
      <c r="G1384" s="27" t="s">
        <v>14</v>
      </c>
      <c r="H1384" s="27" t="s">
        <v>14</v>
      </c>
    </row>
    <row r="1385" spans="2:8" x14ac:dyDescent="0.3">
      <c r="B1385" s="9">
        <v>42219</v>
      </c>
      <c r="C1385" s="29" t="str">
        <f t="shared" si="21"/>
        <v/>
      </c>
      <c r="D1385" s="8">
        <v>0.5</v>
      </c>
      <c r="E1385" s="28" t="s">
        <v>14</v>
      </c>
      <c r="F1385" s="7" t="s">
        <v>14</v>
      </c>
      <c r="G1385" s="27" t="s">
        <v>14</v>
      </c>
      <c r="H1385" s="27" t="s">
        <v>14</v>
      </c>
    </row>
    <row r="1386" spans="2:8" x14ac:dyDescent="0.3">
      <c r="B1386" s="11">
        <v>42220</v>
      </c>
      <c r="C1386" s="29" t="str">
        <f t="shared" si="21"/>
        <v/>
      </c>
      <c r="D1386" s="8">
        <v>0.5</v>
      </c>
      <c r="E1386" s="28" t="s">
        <v>14</v>
      </c>
      <c r="F1386" s="7" t="s">
        <v>14</v>
      </c>
      <c r="G1386" s="27" t="s">
        <v>14</v>
      </c>
      <c r="H1386" s="27" t="s">
        <v>14</v>
      </c>
    </row>
    <row r="1387" spans="2:8" x14ac:dyDescent="0.3">
      <c r="B1387" s="9">
        <v>42221</v>
      </c>
      <c r="C1387" s="29" t="str">
        <f t="shared" si="21"/>
        <v/>
      </c>
      <c r="D1387" s="8">
        <v>0.5</v>
      </c>
      <c r="E1387" s="28" t="s">
        <v>14</v>
      </c>
      <c r="F1387" s="7" t="s">
        <v>14</v>
      </c>
      <c r="G1387" s="27" t="s">
        <v>14</v>
      </c>
      <c r="H1387" s="27" t="s">
        <v>14</v>
      </c>
    </row>
    <row r="1388" spans="2:8" x14ac:dyDescent="0.3">
      <c r="B1388" s="11">
        <v>42222</v>
      </c>
      <c r="C1388" s="29" t="str">
        <f t="shared" si="21"/>
        <v/>
      </c>
      <c r="D1388" s="8">
        <v>0.5</v>
      </c>
      <c r="E1388" s="28" t="s">
        <v>14</v>
      </c>
      <c r="F1388" s="7" t="s">
        <v>14</v>
      </c>
      <c r="G1388" s="27" t="s">
        <v>14</v>
      </c>
      <c r="H1388" s="27" t="s">
        <v>14</v>
      </c>
    </row>
    <row r="1389" spans="2:8" x14ac:dyDescent="0.3">
      <c r="B1389" s="9">
        <v>42223</v>
      </c>
      <c r="C1389" s="29" t="str">
        <f t="shared" si="21"/>
        <v/>
      </c>
      <c r="D1389" s="8">
        <v>0.5</v>
      </c>
      <c r="E1389" s="28" t="s">
        <v>14</v>
      </c>
      <c r="F1389" s="7" t="s">
        <v>14</v>
      </c>
      <c r="G1389" s="27" t="s">
        <v>14</v>
      </c>
      <c r="H1389" s="27" t="s">
        <v>14</v>
      </c>
    </row>
    <row r="1390" spans="2:8" x14ac:dyDescent="0.3">
      <c r="B1390" s="11">
        <v>42226</v>
      </c>
      <c r="C1390" s="29" t="str">
        <f t="shared" si="21"/>
        <v/>
      </c>
      <c r="D1390" s="8">
        <v>0.5</v>
      </c>
      <c r="E1390" s="28" t="s">
        <v>14</v>
      </c>
      <c r="F1390" s="7" t="s">
        <v>14</v>
      </c>
      <c r="G1390" s="27" t="s">
        <v>14</v>
      </c>
      <c r="H1390" s="27" t="s">
        <v>14</v>
      </c>
    </row>
    <row r="1391" spans="2:8" x14ac:dyDescent="0.3">
      <c r="B1391" s="9">
        <v>42227</v>
      </c>
      <c r="C1391" s="29" t="str">
        <f t="shared" si="21"/>
        <v/>
      </c>
      <c r="D1391" s="8">
        <v>0.5</v>
      </c>
      <c r="E1391" s="28" t="s">
        <v>14</v>
      </c>
      <c r="F1391" s="7" t="s">
        <v>14</v>
      </c>
      <c r="G1391" s="27" t="s">
        <v>14</v>
      </c>
      <c r="H1391" s="27" t="s">
        <v>14</v>
      </c>
    </row>
    <row r="1392" spans="2:8" x14ac:dyDescent="0.3">
      <c r="B1392" s="11">
        <v>42228</v>
      </c>
      <c r="C1392" s="29" t="str">
        <f t="shared" si="21"/>
        <v/>
      </c>
      <c r="D1392" s="8">
        <v>0.5</v>
      </c>
      <c r="E1392" s="28" t="s">
        <v>14</v>
      </c>
      <c r="F1392" s="7" t="s">
        <v>14</v>
      </c>
      <c r="G1392" s="27" t="s">
        <v>14</v>
      </c>
      <c r="H1392" s="27" t="s">
        <v>14</v>
      </c>
    </row>
    <row r="1393" spans="2:8" x14ac:dyDescent="0.3">
      <c r="B1393" s="9">
        <v>42229</v>
      </c>
      <c r="C1393" s="29" t="str">
        <f t="shared" si="21"/>
        <v/>
      </c>
      <c r="D1393" s="8">
        <v>0.5</v>
      </c>
      <c r="E1393" s="28" t="s">
        <v>14</v>
      </c>
      <c r="F1393" s="7" t="s">
        <v>14</v>
      </c>
      <c r="G1393" s="27" t="s">
        <v>14</v>
      </c>
      <c r="H1393" s="27" t="s">
        <v>14</v>
      </c>
    </row>
    <row r="1394" spans="2:8" x14ac:dyDescent="0.3">
      <c r="B1394" s="11">
        <v>42230</v>
      </c>
      <c r="C1394" s="29" t="str">
        <f t="shared" si="21"/>
        <v/>
      </c>
      <c r="D1394" s="8">
        <v>0.5</v>
      </c>
      <c r="E1394" s="28" t="s">
        <v>14</v>
      </c>
      <c r="F1394" s="7" t="s">
        <v>14</v>
      </c>
      <c r="G1394" s="27" t="s">
        <v>14</v>
      </c>
      <c r="H1394" s="27" t="s">
        <v>14</v>
      </c>
    </row>
    <row r="1395" spans="2:8" x14ac:dyDescent="0.3">
      <c r="B1395" s="9">
        <v>42233</v>
      </c>
      <c r="C1395" s="29" t="str">
        <f t="shared" si="21"/>
        <v/>
      </c>
      <c r="D1395" s="8">
        <v>0.5</v>
      </c>
      <c r="E1395" s="28" t="s">
        <v>14</v>
      </c>
      <c r="F1395" s="7" t="s">
        <v>14</v>
      </c>
      <c r="G1395" s="27" t="s">
        <v>14</v>
      </c>
      <c r="H1395" s="27" t="s">
        <v>14</v>
      </c>
    </row>
    <row r="1396" spans="2:8" x14ac:dyDescent="0.3">
      <c r="B1396" s="11">
        <v>42234</v>
      </c>
      <c r="C1396" s="29" t="str">
        <f t="shared" si="21"/>
        <v/>
      </c>
      <c r="D1396" s="8">
        <v>0.5</v>
      </c>
      <c r="E1396" s="28" t="s">
        <v>14</v>
      </c>
      <c r="F1396" s="7" t="s">
        <v>14</v>
      </c>
      <c r="G1396" s="27" t="s">
        <v>14</v>
      </c>
      <c r="H1396" s="27" t="s">
        <v>14</v>
      </c>
    </row>
    <row r="1397" spans="2:8" x14ac:dyDescent="0.3">
      <c r="B1397" s="9">
        <v>42235</v>
      </c>
      <c r="C1397" s="29" t="str">
        <f t="shared" si="21"/>
        <v/>
      </c>
      <c r="D1397" s="8">
        <v>0.5</v>
      </c>
      <c r="E1397" s="28" t="s">
        <v>14</v>
      </c>
      <c r="F1397" s="7" t="s">
        <v>14</v>
      </c>
      <c r="G1397" s="27" t="s">
        <v>14</v>
      </c>
      <c r="H1397" s="27" t="s">
        <v>14</v>
      </c>
    </row>
    <row r="1398" spans="2:8" x14ac:dyDescent="0.3">
      <c r="B1398" s="11">
        <v>42236</v>
      </c>
      <c r="C1398" s="29" t="str">
        <f t="shared" si="21"/>
        <v/>
      </c>
      <c r="D1398" s="8">
        <v>0.5</v>
      </c>
      <c r="E1398" s="28" t="s">
        <v>14</v>
      </c>
      <c r="F1398" s="7" t="s">
        <v>14</v>
      </c>
      <c r="G1398" s="27" t="s">
        <v>14</v>
      </c>
      <c r="H1398" s="27" t="s">
        <v>14</v>
      </c>
    </row>
    <row r="1399" spans="2:8" x14ac:dyDescent="0.3">
      <c r="B1399" s="9">
        <v>42237</v>
      </c>
      <c r="C1399" s="29" t="str">
        <f t="shared" si="21"/>
        <v/>
      </c>
      <c r="D1399" s="8">
        <v>0.5</v>
      </c>
      <c r="E1399" s="28" t="s">
        <v>14</v>
      </c>
      <c r="F1399" s="7" t="s">
        <v>14</v>
      </c>
      <c r="G1399" s="27" t="s">
        <v>14</v>
      </c>
      <c r="H1399" s="27" t="s">
        <v>14</v>
      </c>
    </row>
    <row r="1400" spans="2:8" x14ac:dyDescent="0.3">
      <c r="B1400" s="11">
        <v>42240</v>
      </c>
      <c r="C1400" s="29" t="str">
        <f t="shared" si="21"/>
        <v/>
      </c>
      <c r="D1400" s="8">
        <v>0.5</v>
      </c>
      <c r="E1400" s="28" t="s">
        <v>14</v>
      </c>
      <c r="F1400" s="7" t="s">
        <v>14</v>
      </c>
      <c r="G1400" s="27" t="s">
        <v>14</v>
      </c>
      <c r="H1400" s="27" t="s">
        <v>14</v>
      </c>
    </row>
    <row r="1401" spans="2:8" x14ac:dyDescent="0.3">
      <c r="B1401" s="9">
        <v>42241</v>
      </c>
      <c r="C1401" s="29" t="str">
        <f t="shared" si="21"/>
        <v/>
      </c>
      <c r="D1401" s="8">
        <v>0.5</v>
      </c>
      <c r="E1401" s="28" t="s">
        <v>14</v>
      </c>
      <c r="F1401" s="7" t="s">
        <v>14</v>
      </c>
      <c r="G1401" s="27" t="s">
        <v>14</v>
      </c>
      <c r="H1401" s="27" t="s">
        <v>14</v>
      </c>
    </row>
    <row r="1402" spans="2:8" x14ac:dyDescent="0.3">
      <c r="B1402" s="11">
        <v>42242</v>
      </c>
      <c r="C1402" s="29" t="str">
        <f t="shared" si="21"/>
        <v/>
      </c>
      <c r="D1402" s="8">
        <v>0.5</v>
      </c>
      <c r="E1402" s="28" t="s">
        <v>14</v>
      </c>
      <c r="F1402" s="7" t="s">
        <v>14</v>
      </c>
      <c r="G1402" s="27" t="s">
        <v>14</v>
      </c>
      <c r="H1402" s="27" t="s">
        <v>14</v>
      </c>
    </row>
    <row r="1403" spans="2:8" x14ac:dyDescent="0.3">
      <c r="B1403" s="9">
        <v>42243</v>
      </c>
      <c r="C1403" s="29" t="str">
        <f t="shared" si="21"/>
        <v/>
      </c>
      <c r="D1403" s="8">
        <v>0.5</v>
      </c>
      <c r="E1403" s="28" t="s">
        <v>14</v>
      </c>
      <c r="F1403" s="7" t="s">
        <v>14</v>
      </c>
      <c r="G1403" s="27" t="s">
        <v>14</v>
      </c>
      <c r="H1403" s="27" t="s">
        <v>14</v>
      </c>
    </row>
    <row r="1404" spans="2:8" x14ac:dyDescent="0.3">
      <c r="B1404" s="11">
        <v>42244</v>
      </c>
      <c r="C1404" s="29" t="str">
        <f t="shared" si="21"/>
        <v/>
      </c>
      <c r="D1404" s="8">
        <v>0.5</v>
      </c>
      <c r="E1404" s="28" t="s">
        <v>14</v>
      </c>
      <c r="F1404" s="7" t="s">
        <v>14</v>
      </c>
      <c r="G1404" s="27" t="s">
        <v>14</v>
      </c>
      <c r="H1404" s="27" t="s">
        <v>14</v>
      </c>
    </row>
    <row r="1405" spans="2:8" x14ac:dyDescent="0.3">
      <c r="B1405" s="9">
        <v>42247</v>
      </c>
      <c r="C1405" s="29" t="str">
        <f t="shared" si="21"/>
        <v/>
      </c>
      <c r="D1405" s="8">
        <v>0.5</v>
      </c>
      <c r="E1405" s="28">
        <v>0.5</v>
      </c>
      <c r="F1405" s="7" t="s">
        <v>14</v>
      </c>
      <c r="G1405" s="27" t="s">
        <v>14</v>
      </c>
      <c r="H1405" s="27" t="s">
        <v>14</v>
      </c>
    </row>
    <row r="1406" spans="2:8" x14ac:dyDescent="0.3">
      <c r="B1406" s="11">
        <v>42248</v>
      </c>
      <c r="C1406" s="29" t="str">
        <f t="shared" si="21"/>
        <v/>
      </c>
      <c r="D1406" s="8">
        <v>0.5</v>
      </c>
      <c r="E1406" s="28" t="s">
        <v>14</v>
      </c>
      <c r="F1406" s="7" t="s">
        <v>14</v>
      </c>
      <c r="G1406" s="27" t="s">
        <v>14</v>
      </c>
      <c r="H1406" s="27" t="s">
        <v>14</v>
      </c>
    </row>
    <row r="1407" spans="2:8" x14ac:dyDescent="0.3">
      <c r="B1407" s="9">
        <v>42249</v>
      </c>
      <c r="C1407" s="29" t="str">
        <f t="shared" si="21"/>
        <v/>
      </c>
      <c r="D1407" s="8">
        <v>0.5</v>
      </c>
      <c r="E1407" s="28" t="s">
        <v>14</v>
      </c>
      <c r="F1407" s="7" t="s">
        <v>14</v>
      </c>
      <c r="G1407" s="27" t="s">
        <v>14</v>
      </c>
      <c r="H1407" s="27" t="s">
        <v>14</v>
      </c>
    </row>
    <row r="1408" spans="2:8" x14ac:dyDescent="0.3">
      <c r="B1408" s="11">
        <v>42250</v>
      </c>
      <c r="C1408" s="29" t="str">
        <f t="shared" si="21"/>
        <v/>
      </c>
      <c r="D1408" s="8">
        <v>0.5</v>
      </c>
      <c r="E1408" s="28" t="s">
        <v>14</v>
      </c>
      <c r="F1408" s="7" t="s">
        <v>14</v>
      </c>
      <c r="G1408" s="27" t="s">
        <v>14</v>
      </c>
      <c r="H1408" s="27" t="s">
        <v>14</v>
      </c>
    </row>
    <row r="1409" spans="2:8" x14ac:dyDescent="0.3">
      <c r="B1409" s="9">
        <v>42251</v>
      </c>
      <c r="C1409" s="29" t="str">
        <f t="shared" si="21"/>
        <v/>
      </c>
      <c r="D1409" s="8">
        <v>0.5</v>
      </c>
      <c r="E1409" s="28" t="s">
        <v>14</v>
      </c>
      <c r="F1409" s="7" t="s">
        <v>14</v>
      </c>
      <c r="G1409" s="27" t="s">
        <v>14</v>
      </c>
      <c r="H1409" s="27" t="s">
        <v>14</v>
      </c>
    </row>
    <row r="1410" spans="2:8" x14ac:dyDescent="0.3">
      <c r="B1410" s="11">
        <v>42255</v>
      </c>
      <c r="C1410" s="29" t="str">
        <f t="shared" si="21"/>
        <v/>
      </c>
      <c r="D1410" s="8">
        <v>0.5</v>
      </c>
      <c r="E1410" s="28" t="s">
        <v>14</v>
      </c>
      <c r="F1410" s="7" t="s">
        <v>14</v>
      </c>
      <c r="G1410" s="27" t="s">
        <v>14</v>
      </c>
      <c r="H1410" s="27" t="s">
        <v>14</v>
      </c>
    </row>
    <row r="1411" spans="2:8" x14ac:dyDescent="0.3">
      <c r="B1411" s="9">
        <v>42256</v>
      </c>
      <c r="C1411" s="29" t="str">
        <f t="shared" ref="C1411:C1474" si="22">INDEX(D1411:H1411,MATCH($A$1,$D$1:$H$1,0))</f>
        <v/>
      </c>
      <c r="D1411" s="8">
        <v>0.5</v>
      </c>
      <c r="E1411" s="28" t="s">
        <v>14</v>
      </c>
      <c r="F1411" s="7" t="s">
        <v>14</v>
      </c>
      <c r="G1411" s="27" t="s">
        <v>14</v>
      </c>
      <c r="H1411" s="27" t="s">
        <v>14</v>
      </c>
    </row>
    <row r="1412" spans="2:8" x14ac:dyDescent="0.3">
      <c r="B1412" s="11">
        <v>42257</v>
      </c>
      <c r="C1412" s="29" t="str">
        <f t="shared" si="22"/>
        <v/>
      </c>
      <c r="D1412" s="8">
        <v>0.5</v>
      </c>
      <c r="E1412" s="28" t="s">
        <v>14</v>
      </c>
      <c r="F1412" s="7" t="s">
        <v>14</v>
      </c>
      <c r="G1412" s="27" t="s">
        <v>14</v>
      </c>
      <c r="H1412" s="27" t="s">
        <v>14</v>
      </c>
    </row>
    <row r="1413" spans="2:8" x14ac:dyDescent="0.3">
      <c r="B1413" s="9">
        <v>42258</v>
      </c>
      <c r="C1413" s="29" t="str">
        <f t="shared" si="22"/>
        <v/>
      </c>
      <c r="D1413" s="8">
        <v>0.5</v>
      </c>
      <c r="E1413" s="28" t="s">
        <v>14</v>
      </c>
      <c r="F1413" s="7" t="s">
        <v>14</v>
      </c>
      <c r="G1413" s="27" t="s">
        <v>14</v>
      </c>
      <c r="H1413" s="27" t="s">
        <v>14</v>
      </c>
    </row>
    <row r="1414" spans="2:8" x14ac:dyDescent="0.3">
      <c r="B1414" s="11">
        <v>42261</v>
      </c>
      <c r="C1414" s="29" t="str">
        <f t="shared" si="22"/>
        <v/>
      </c>
      <c r="D1414" s="8">
        <v>0.5</v>
      </c>
      <c r="E1414" s="28" t="s">
        <v>14</v>
      </c>
      <c r="F1414" s="7" t="s">
        <v>14</v>
      </c>
      <c r="G1414" s="27" t="s">
        <v>14</v>
      </c>
      <c r="H1414" s="27" t="s">
        <v>14</v>
      </c>
    </row>
    <row r="1415" spans="2:8" x14ac:dyDescent="0.3">
      <c r="B1415" s="9">
        <v>42262</v>
      </c>
      <c r="C1415" s="29" t="str">
        <f t="shared" si="22"/>
        <v/>
      </c>
      <c r="D1415" s="8">
        <v>0.5</v>
      </c>
      <c r="E1415" s="28" t="s">
        <v>14</v>
      </c>
      <c r="F1415" s="7" t="s">
        <v>14</v>
      </c>
      <c r="G1415" s="27" t="s">
        <v>14</v>
      </c>
      <c r="H1415" s="27" t="s">
        <v>14</v>
      </c>
    </row>
    <row r="1416" spans="2:8" x14ac:dyDescent="0.3">
      <c r="B1416" s="11">
        <v>42263</v>
      </c>
      <c r="C1416" s="29" t="str">
        <f t="shared" si="22"/>
        <v/>
      </c>
      <c r="D1416" s="8">
        <v>0.5</v>
      </c>
      <c r="E1416" s="28" t="s">
        <v>14</v>
      </c>
      <c r="F1416" s="7" t="s">
        <v>14</v>
      </c>
      <c r="G1416" s="27" t="s">
        <v>14</v>
      </c>
      <c r="H1416" s="27" t="s">
        <v>14</v>
      </c>
    </row>
    <row r="1417" spans="2:8" x14ac:dyDescent="0.3">
      <c r="B1417" s="9">
        <v>42264</v>
      </c>
      <c r="C1417" s="29" t="str">
        <f t="shared" si="22"/>
        <v/>
      </c>
      <c r="D1417" s="8">
        <v>0.5</v>
      </c>
      <c r="E1417" s="28" t="s">
        <v>14</v>
      </c>
      <c r="F1417" s="7" t="s">
        <v>14</v>
      </c>
      <c r="G1417" s="27" t="s">
        <v>14</v>
      </c>
      <c r="H1417" s="27" t="s">
        <v>14</v>
      </c>
    </row>
    <row r="1418" spans="2:8" x14ac:dyDescent="0.3">
      <c r="B1418" s="11">
        <v>42265</v>
      </c>
      <c r="C1418" s="29" t="str">
        <f t="shared" si="22"/>
        <v/>
      </c>
      <c r="D1418" s="8">
        <v>0.5</v>
      </c>
      <c r="E1418" s="28" t="s">
        <v>14</v>
      </c>
      <c r="F1418" s="7" t="s">
        <v>14</v>
      </c>
      <c r="G1418" s="27" t="s">
        <v>14</v>
      </c>
      <c r="H1418" s="27" t="s">
        <v>14</v>
      </c>
    </row>
    <row r="1419" spans="2:8" x14ac:dyDescent="0.3">
      <c r="B1419" s="9">
        <v>42268</v>
      </c>
      <c r="C1419" s="29" t="str">
        <f t="shared" si="22"/>
        <v/>
      </c>
      <c r="D1419" s="8">
        <v>0.5</v>
      </c>
      <c r="E1419" s="28" t="s">
        <v>14</v>
      </c>
      <c r="F1419" s="7" t="s">
        <v>14</v>
      </c>
      <c r="G1419" s="27" t="s">
        <v>14</v>
      </c>
      <c r="H1419" s="27" t="s">
        <v>14</v>
      </c>
    </row>
    <row r="1420" spans="2:8" x14ac:dyDescent="0.3">
      <c r="B1420" s="11">
        <v>42269</v>
      </c>
      <c r="C1420" s="29" t="str">
        <f t="shared" si="22"/>
        <v/>
      </c>
      <c r="D1420" s="8">
        <v>0.5</v>
      </c>
      <c r="E1420" s="28" t="s">
        <v>14</v>
      </c>
      <c r="F1420" s="7" t="s">
        <v>14</v>
      </c>
      <c r="G1420" s="27" t="s">
        <v>14</v>
      </c>
      <c r="H1420" s="27" t="s">
        <v>14</v>
      </c>
    </row>
    <row r="1421" spans="2:8" x14ac:dyDescent="0.3">
      <c r="B1421" s="9">
        <v>42270</v>
      </c>
      <c r="C1421" s="29" t="str">
        <f t="shared" si="22"/>
        <v/>
      </c>
      <c r="D1421" s="8">
        <v>0.5</v>
      </c>
      <c r="E1421" s="28" t="s">
        <v>14</v>
      </c>
      <c r="F1421" s="7" t="s">
        <v>14</v>
      </c>
      <c r="G1421" s="27" t="s">
        <v>14</v>
      </c>
      <c r="H1421" s="27" t="s">
        <v>14</v>
      </c>
    </row>
    <row r="1422" spans="2:8" x14ac:dyDescent="0.3">
      <c r="B1422" s="11">
        <v>42271</v>
      </c>
      <c r="C1422" s="29" t="str">
        <f t="shared" si="22"/>
        <v/>
      </c>
      <c r="D1422" s="8">
        <v>0.5</v>
      </c>
      <c r="E1422" s="28" t="s">
        <v>14</v>
      </c>
      <c r="F1422" s="7" t="s">
        <v>14</v>
      </c>
      <c r="G1422" s="27" t="s">
        <v>14</v>
      </c>
      <c r="H1422" s="27" t="s">
        <v>14</v>
      </c>
    </row>
    <row r="1423" spans="2:8" x14ac:dyDescent="0.3">
      <c r="B1423" s="9">
        <v>42272</v>
      </c>
      <c r="C1423" s="29" t="str">
        <f t="shared" si="22"/>
        <v/>
      </c>
      <c r="D1423" s="8">
        <v>0.5</v>
      </c>
      <c r="E1423" s="28" t="s">
        <v>14</v>
      </c>
      <c r="F1423" s="7" t="s">
        <v>14</v>
      </c>
      <c r="G1423" s="27" t="s">
        <v>14</v>
      </c>
      <c r="H1423" s="27" t="s">
        <v>14</v>
      </c>
    </row>
    <row r="1424" spans="2:8" x14ac:dyDescent="0.3">
      <c r="B1424" s="11">
        <v>42275</v>
      </c>
      <c r="C1424" s="29" t="str">
        <f t="shared" si="22"/>
        <v/>
      </c>
      <c r="D1424" s="8">
        <v>0.5</v>
      </c>
      <c r="E1424" s="28" t="s">
        <v>14</v>
      </c>
      <c r="F1424" s="7" t="s">
        <v>14</v>
      </c>
      <c r="G1424" s="27" t="s">
        <v>14</v>
      </c>
      <c r="H1424" s="27" t="s">
        <v>14</v>
      </c>
    </row>
    <row r="1425" spans="2:8" x14ac:dyDescent="0.3">
      <c r="B1425" s="9">
        <v>42276</v>
      </c>
      <c r="C1425" s="29" t="str">
        <f t="shared" si="22"/>
        <v/>
      </c>
      <c r="D1425" s="8">
        <v>0.5</v>
      </c>
      <c r="E1425" s="28" t="s">
        <v>14</v>
      </c>
      <c r="F1425" s="7" t="s">
        <v>14</v>
      </c>
      <c r="G1425" s="27" t="s">
        <v>14</v>
      </c>
      <c r="H1425" s="27" t="s">
        <v>14</v>
      </c>
    </row>
    <row r="1426" spans="2:8" x14ac:dyDescent="0.3">
      <c r="B1426" s="11">
        <v>42277</v>
      </c>
      <c r="C1426" s="29">
        <f t="shared" si="22"/>
        <v>0</v>
      </c>
      <c r="D1426" s="8">
        <v>0.5</v>
      </c>
      <c r="E1426" s="28">
        <v>0.5</v>
      </c>
      <c r="F1426" s="7">
        <v>0.5</v>
      </c>
    </row>
    <row r="1427" spans="2:8" x14ac:dyDescent="0.3">
      <c r="B1427" s="9">
        <v>42278</v>
      </c>
      <c r="C1427" s="29" t="str">
        <f t="shared" si="22"/>
        <v/>
      </c>
      <c r="D1427" s="8">
        <v>0.5</v>
      </c>
      <c r="E1427" s="28" t="s">
        <v>14</v>
      </c>
      <c r="F1427" s="7" t="s">
        <v>14</v>
      </c>
      <c r="G1427" s="27" t="s">
        <v>14</v>
      </c>
      <c r="H1427" s="27" t="s">
        <v>14</v>
      </c>
    </row>
    <row r="1428" spans="2:8" x14ac:dyDescent="0.3">
      <c r="B1428" s="11">
        <v>42279</v>
      </c>
      <c r="C1428" s="29" t="str">
        <f t="shared" si="22"/>
        <v/>
      </c>
      <c r="D1428" s="8">
        <v>0.5</v>
      </c>
      <c r="E1428" s="28" t="s">
        <v>14</v>
      </c>
      <c r="F1428" s="7" t="s">
        <v>14</v>
      </c>
      <c r="G1428" s="27" t="s">
        <v>14</v>
      </c>
      <c r="H1428" s="27" t="s">
        <v>14</v>
      </c>
    </row>
    <row r="1429" spans="2:8" x14ac:dyDescent="0.3">
      <c r="B1429" s="9">
        <v>42282</v>
      </c>
      <c r="C1429" s="29" t="str">
        <f t="shared" si="22"/>
        <v/>
      </c>
      <c r="D1429" s="8">
        <v>0.5</v>
      </c>
      <c r="E1429" s="28" t="s">
        <v>14</v>
      </c>
      <c r="F1429" s="7" t="s">
        <v>14</v>
      </c>
      <c r="G1429" s="27" t="s">
        <v>14</v>
      </c>
      <c r="H1429" s="27" t="s">
        <v>14</v>
      </c>
    </row>
    <row r="1430" spans="2:8" x14ac:dyDescent="0.3">
      <c r="B1430" s="11">
        <v>42283</v>
      </c>
      <c r="C1430" s="29" t="str">
        <f t="shared" si="22"/>
        <v/>
      </c>
      <c r="D1430" s="8">
        <v>0.5</v>
      </c>
      <c r="E1430" s="28" t="s">
        <v>14</v>
      </c>
      <c r="F1430" s="7" t="s">
        <v>14</v>
      </c>
      <c r="G1430" s="27" t="s">
        <v>14</v>
      </c>
      <c r="H1430" s="27" t="s">
        <v>14</v>
      </c>
    </row>
    <row r="1431" spans="2:8" x14ac:dyDescent="0.3">
      <c r="B1431" s="9">
        <v>42284</v>
      </c>
      <c r="C1431" s="29" t="str">
        <f t="shared" si="22"/>
        <v/>
      </c>
      <c r="D1431" s="8">
        <v>0.5</v>
      </c>
      <c r="E1431" s="28" t="s">
        <v>14</v>
      </c>
      <c r="F1431" s="7" t="s">
        <v>14</v>
      </c>
      <c r="G1431" s="27" t="s">
        <v>14</v>
      </c>
      <c r="H1431" s="27" t="s">
        <v>14</v>
      </c>
    </row>
    <row r="1432" spans="2:8" x14ac:dyDescent="0.3">
      <c r="B1432" s="11">
        <v>42285</v>
      </c>
      <c r="C1432" s="29" t="str">
        <f t="shared" si="22"/>
        <v/>
      </c>
      <c r="D1432" s="8">
        <v>0.5</v>
      </c>
      <c r="E1432" s="28" t="s">
        <v>14</v>
      </c>
      <c r="F1432" s="7" t="s">
        <v>14</v>
      </c>
      <c r="G1432" s="27" t="s">
        <v>14</v>
      </c>
      <c r="H1432" s="27" t="s">
        <v>14</v>
      </c>
    </row>
    <row r="1433" spans="2:8" x14ac:dyDescent="0.3">
      <c r="B1433" s="9">
        <v>42286</v>
      </c>
      <c r="C1433" s="29" t="str">
        <f t="shared" si="22"/>
        <v/>
      </c>
      <c r="D1433" s="8">
        <v>0.5</v>
      </c>
      <c r="E1433" s="28" t="s">
        <v>14</v>
      </c>
      <c r="F1433" s="7" t="s">
        <v>14</v>
      </c>
      <c r="G1433" s="27" t="s">
        <v>14</v>
      </c>
      <c r="H1433" s="27" t="s">
        <v>14</v>
      </c>
    </row>
    <row r="1434" spans="2:8" x14ac:dyDescent="0.3">
      <c r="B1434" s="11">
        <v>42290</v>
      </c>
      <c r="C1434" s="29" t="str">
        <f t="shared" si="22"/>
        <v/>
      </c>
      <c r="D1434" s="8">
        <v>0.5</v>
      </c>
      <c r="E1434" s="28" t="s">
        <v>14</v>
      </c>
      <c r="F1434" s="7" t="s">
        <v>14</v>
      </c>
      <c r="G1434" s="27" t="s">
        <v>14</v>
      </c>
      <c r="H1434" s="27" t="s">
        <v>14</v>
      </c>
    </row>
    <row r="1435" spans="2:8" x14ac:dyDescent="0.3">
      <c r="B1435" s="9">
        <v>42291</v>
      </c>
      <c r="C1435" s="29" t="str">
        <f t="shared" si="22"/>
        <v/>
      </c>
      <c r="D1435" s="8">
        <v>0.5</v>
      </c>
      <c r="E1435" s="28" t="s">
        <v>14</v>
      </c>
      <c r="F1435" s="7" t="s">
        <v>14</v>
      </c>
      <c r="G1435" s="27" t="s">
        <v>14</v>
      </c>
      <c r="H1435" s="27" t="s">
        <v>14</v>
      </c>
    </row>
    <row r="1436" spans="2:8" x14ac:dyDescent="0.3">
      <c r="B1436" s="11">
        <v>42292</v>
      </c>
      <c r="C1436" s="29" t="str">
        <f t="shared" si="22"/>
        <v/>
      </c>
      <c r="D1436" s="8">
        <v>0.5</v>
      </c>
      <c r="E1436" s="28" t="s">
        <v>14</v>
      </c>
      <c r="F1436" s="7" t="s">
        <v>14</v>
      </c>
      <c r="G1436" s="27" t="s">
        <v>14</v>
      </c>
      <c r="H1436" s="27" t="s">
        <v>14</v>
      </c>
    </row>
    <row r="1437" spans="2:8" x14ac:dyDescent="0.3">
      <c r="B1437" s="9">
        <v>42293</v>
      </c>
      <c r="C1437" s="29" t="str">
        <f t="shared" si="22"/>
        <v/>
      </c>
      <c r="D1437" s="8">
        <v>0.5</v>
      </c>
      <c r="E1437" s="28" t="s">
        <v>14</v>
      </c>
      <c r="F1437" s="7" t="s">
        <v>14</v>
      </c>
      <c r="G1437" s="27" t="s">
        <v>14</v>
      </c>
      <c r="H1437" s="27" t="s">
        <v>14</v>
      </c>
    </row>
    <row r="1438" spans="2:8" x14ac:dyDescent="0.3">
      <c r="B1438" s="11">
        <v>42296</v>
      </c>
      <c r="C1438" s="29" t="str">
        <f t="shared" si="22"/>
        <v/>
      </c>
      <c r="D1438" s="8">
        <v>0.5</v>
      </c>
      <c r="E1438" s="28" t="s">
        <v>14</v>
      </c>
      <c r="F1438" s="7" t="s">
        <v>14</v>
      </c>
      <c r="G1438" s="27" t="s">
        <v>14</v>
      </c>
      <c r="H1438" s="27" t="s">
        <v>14</v>
      </c>
    </row>
    <row r="1439" spans="2:8" x14ac:dyDescent="0.3">
      <c r="B1439" s="9">
        <v>42297</v>
      </c>
      <c r="C1439" s="29" t="str">
        <f t="shared" si="22"/>
        <v/>
      </c>
      <c r="D1439" s="8">
        <v>0.5</v>
      </c>
      <c r="E1439" s="28" t="s">
        <v>14</v>
      </c>
      <c r="F1439" s="7" t="s">
        <v>14</v>
      </c>
      <c r="G1439" s="27" t="s">
        <v>14</v>
      </c>
      <c r="H1439" s="27" t="s">
        <v>14</v>
      </c>
    </row>
    <row r="1440" spans="2:8" x14ac:dyDescent="0.3">
      <c r="B1440" s="11">
        <v>42298</v>
      </c>
      <c r="C1440" s="29" t="str">
        <f t="shared" si="22"/>
        <v/>
      </c>
      <c r="D1440" s="8">
        <v>0.5</v>
      </c>
      <c r="E1440" s="28" t="s">
        <v>14</v>
      </c>
      <c r="F1440" s="7" t="s">
        <v>14</v>
      </c>
      <c r="G1440" s="27" t="s">
        <v>14</v>
      </c>
      <c r="H1440" s="27" t="s">
        <v>14</v>
      </c>
    </row>
    <row r="1441" spans="2:8" x14ac:dyDescent="0.3">
      <c r="B1441" s="9">
        <v>42299</v>
      </c>
      <c r="C1441" s="29" t="str">
        <f t="shared" si="22"/>
        <v/>
      </c>
      <c r="D1441" s="8">
        <v>0.5</v>
      </c>
      <c r="E1441" s="28" t="s">
        <v>14</v>
      </c>
      <c r="F1441" s="7" t="s">
        <v>14</v>
      </c>
      <c r="G1441" s="27" t="s">
        <v>14</v>
      </c>
      <c r="H1441" s="27" t="s">
        <v>14</v>
      </c>
    </row>
    <row r="1442" spans="2:8" x14ac:dyDescent="0.3">
      <c r="B1442" s="11">
        <v>42300</v>
      </c>
      <c r="C1442" s="29" t="str">
        <f t="shared" si="22"/>
        <v/>
      </c>
      <c r="D1442" s="8">
        <v>0.5</v>
      </c>
      <c r="E1442" s="28" t="s">
        <v>14</v>
      </c>
      <c r="F1442" s="7" t="s">
        <v>14</v>
      </c>
      <c r="G1442" s="27" t="s">
        <v>14</v>
      </c>
      <c r="H1442" s="27" t="s">
        <v>14</v>
      </c>
    </row>
    <row r="1443" spans="2:8" x14ac:dyDescent="0.3">
      <c r="B1443" s="9">
        <v>42303</v>
      </c>
      <c r="C1443" s="29" t="str">
        <f t="shared" si="22"/>
        <v/>
      </c>
      <c r="D1443" s="8">
        <v>0.5</v>
      </c>
      <c r="E1443" s="28" t="s">
        <v>14</v>
      </c>
      <c r="F1443" s="7" t="s">
        <v>14</v>
      </c>
      <c r="G1443" s="27" t="s">
        <v>14</v>
      </c>
      <c r="H1443" s="27" t="s">
        <v>14</v>
      </c>
    </row>
    <row r="1444" spans="2:8" x14ac:dyDescent="0.3">
      <c r="B1444" s="11">
        <v>42304</v>
      </c>
      <c r="C1444" s="29" t="str">
        <f t="shared" si="22"/>
        <v/>
      </c>
      <c r="D1444" s="8">
        <v>0.5</v>
      </c>
      <c r="E1444" s="28" t="s">
        <v>14</v>
      </c>
      <c r="F1444" s="7" t="s">
        <v>14</v>
      </c>
      <c r="G1444" s="27" t="s">
        <v>14</v>
      </c>
      <c r="H1444" s="27" t="s">
        <v>14</v>
      </c>
    </row>
    <row r="1445" spans="2:8" x14ac:dyDescent="0.3">
      <c r="B1445" s="9">
        <v>42305</v>
      </c>
      <c r="C1445" s="29" t="str">
        <f t="shared" si="22"/>
        <v/>
      </c>
      <c r="D1445" s="8">
        <v>0.5</v>
      </c>
      <c r="E1445" s="28" t="s">
        <v>14</v>
      </c>
      <c r="F1445" s="7" t="s">
        <v>14</v>
      </c>
      <c r="G1445" s="27" t="s">
        <v>14</v>
      </c>
      <c r="H1445" s="27" t="s">
        <v>14</v>
      </c>
    </row>
    <row r="1446" spans="2:8" x14ac:dyDescent="0.3">
      <c r="B1446" s="11">
        <v>42306</v>
      </c>
      <c r="C1446" s="29" t="str">
        <f t="shared" si="22"/>
        <v/>
      </c>
      <c r="D1446" s="8">
        <v>0.5</v>
      </c>
      <c r="E1446" s="28" t="s">
        <v>14</v>
      </c>
      <c r="F1446" s="7" t="s">
        <v>14</v>
      </c>
      <c r="G1446" s="27" t="s">
        <v>14</v>
      </c>
      <c r="H1446" s="27" t="s">
        <v>14</v>
      </c>
    </row>
    <row r="1447" spans="2:8" x14ac:dyDescent="0.3">
      <c r="B1447" s="9">
        <v>42307</v>
      </c>
      <c r="C1447" s="29" t="str">
        <f t="shared" si="22"/>
        <v/>
      </c>
      <c r="D1447" s="8">
        <v>0.5</v>
      </c>
      <c r="E1447" s="28">
        <v>0.5</v>
      </c>
      <c r="F1447" s="7" t="s">
        <v>14</v>
      </c>
      <c r="G1447" s="27" t="s">
        <v>14</v>
      </c>
      <c r="H1447" s="27" t="s">
        <v>14</v>
      </c>
    </row>
    <row r="1448" spans="2:8" x14ac:dyDescent="0.3">
      <c r="B1448" s="11">
        <v>42311</v>
      </c>
      <c r="C1448" s="29" t="str">
        <f t="shared" si="22"/>
        <v/>
      </c>
      <c r="D1448" s="8">
        <v>0.5</v>
      </c>
      <c r="E1448" s="28" t="s">
        <v>14</v>
      </c>
      <c r="F1448" s="7" t="s">
        <v>14</v>
      </c>
      <c r="G1448" s="27" t="s">
        <v>14</v>
      </c>
      <c r="H1448" s="27" t="s">
        <v>14</v>
      </c>
    </row>
    <row r="1449" spans="2:8" x14ac:dyDescent="0.3">
      <c r="B1449" s="9">
        <v>42312</v>
      </c>
      <c r="C1449" s="29" t="str">
        <f t="shared" si="22"/>
        <v/>
      </c>
      <c r="D1449" s="8">
        <v>0.5</v>
      </c>
      <c r="E1449" s="28" t="s">
        <v>14</v>
      </c>
      <c r="F1449" s="7" t="s">
        <v>14</v>
      </c>
      <c r="G1449" s="27" t="s">
        <v>14</v>
      </c>
      <c r="H1449" s="27" t="s">
        <v>14</v>
      </c>
    </row>
    <row r="1450" spans="2:8" x14ac:dyDescent="0.3">
      <c r="B1450" s="11">
        <v>42313</v>
      </c>
      <c r="C1450" s="29" t="str">
        <f t="shared" si="22"/>
        <v/>
      </c>
      <c r="D1450" s="8">
        <v>0.5</v>
      </c>
      <c r="E1450" s="28" t="s">
        <v>14</v>
      </c>
      <c r="F1450" s="7" t="s">
        <v>14</v>
      </c>
      <c r="G1450" s="27" t="s">
        <v>14</v>
      </c>
      <c r="H1450" s="27" t="s">
        <v>14</v>
      </c>
    </row>
    <row r="1451" spans="2:8" x14ac:dyDescent="0.3">
      <c r="B1451" s="9">
        <v>42314</v>
      </c>
      <c r="C1451" s="29" t="str">
        <f t="shared" si="22"/>
        <v/>
      </c>
      <c r="D1451" s="8">
        <v>0.5</v>
      </c>
      <c r="E1451" s="28" t="s">
        <v>14</v>
      </c>
      <c r="F1451" s="7" t="s">
        <v>14</v>
      </c>
      <c r="G1451" s="27" t="s">
        <v>14</v>
      </c>
      <c r="H1451" s="27" t="s">
        <v>14</v>
      </c>
    </row>
    <row r="1452" spans="2:8" x14ac:dyDescent="0.3">
      <c r="B1452" s="11">
        <v>42317</v>
      </c>
      <c r="C1452" s="29" t="str">
        <f t="shared" si="22"/>
        <v/>
      </c>
      <c r="D1452" s="8">
        <v>0.5</v>
      </c>
      <c r="E1452" s="28" t="s">
        <v>14</v>
      </c>
      <c r="F1452" s="7" t="s">
        <v>14</v>
      </c>
      <c r="G1452" s="27" t="s">
        <v>14</v>
      </c>
      <c r="H1452" s="27" t="s">
        <v>14</v>
      </c>
    </row>
    <row r="1453" spans="2:8" x14ac:dyDescent="0.3">
      <c r="B1453" s="9">
        <v>42318</v>
      </c>
      <c r="C1453" s="29" t="str">
        <f t="shared" si="22"/>
        <v/>
      </c>
      <c r="D1453" s="8">
        <v>0.5</v>
      </c>
      <c r="E1453" s="28" t="s">
        <v>14</v>
      </c>
      <c r="F1453" s="7" t="s">
        <v>14</v>
      </c>
      <c r="G1453" s="27" t="s">
        <v>14</v>
      </c>
      <c r="H1453" s="27" t="s">
        <v>14</v>
      </c>
    </row>
    <row r="1454" spans="2:8" x14ac:dyDescent="0.3">
      <c r="B1454" s="11">
        <v>42319</v>
      </c>
      <c r="C1454" s="29" t="str">
        <f t="shared" si="22"/>
        <v/>
      </c>
      <c r="D1454" s="8">
        <v>0.5</v>
      </c>
      <c r="E1454" s="28" t="s">
        <v>14</v>
      </c>
      <c r="F1454" s="7" t="s">
        <v>14</v>
      </c>
      <c r="G1454" s="27" t="s">
        <v>14</v>
      </c>
      <c r="H1454" s="27" t="s">
        <v>14</v>
      </c>
    </row>
    <row r="1455" spans="2:8" x14ac:dyDescent="0.3">
      <c r="B1455" s="9">
        <v>42320</v>
      </c>
      <c r="C1455" s="29" t="str">
        <f t="shared" si="22"/>
        <v/>
      </c>
      <c r="D1455" s="8">
        <v>0.5</v>
      </c>
      <c r="E1455" s="28" t="s">
        <v>14</v>
      </c>
      <c r="F1455" s="7" t="s">
        <v>14</v>
      </c>
      <c r="G1455" s="27" t="s">
        <v>14</v>
      </c>
      <c r="H1455" s="27" t="s">
        <v>14</v>
      </c>
    </row>
    <row r="1456" spans="2:8" x14ac:dyDescent="0.3">
      <c r="B1456" s="11">
        <v>42321</v>
      </c>
      <c r="C1456" s="29" t="str">
        <f t="shared" si="22"/>
        <v/>
      </c>
      <c r="D1456" s="8">
        <v>0.5</v>
      </c>
      <c r="E1456" s="28" t="s">
        <v>14</v>
      </c>
      <c r="F1456" s="7" t="s">
        <v>14</v>
      </c>
      <c r="G1456" s="27" t="s">
        <v>14</v>
      </c>
      <c r="H1456" s="27" t="s">
        <v>14</v>
      </c>
    </row>
    <row r="1457" spans="2:8" x14ac:dyDescent="0.3">
      <c r="B1457" s="9">
        <v>42324</v>
      </c>
      <c r="C1457" s="29" t="str">
        <f t="shared" si="22"/>
        <v/>
      </c>
      <c r="D1457" s="8">
        <v>0.5</v>
      </c>
      <c r="E1457" s="28" t="s">
        <v>14</v>
      </c>
      <c r="F1457" s="7" t="s">
        <v>14</v>
      </c>
      <c r="G1457" s="27" t="s">
        <v>14</v>
      </c>
      <c r="H1457" s="27" t="s">
        <v>14</v>
      </c>
    </row>
    <row r="1458" spans="2:8" x14ac:dyDescent="0.3">
      <c r="B1458" s="11">
        <v>42325</v>
      </c>
      <c r="C1458" s="29" t="str">
        <f t="shared" si="22"/>
        <v/>
      </c>
      <c r="D1458" s="8">
        <v>0.5</v>
      </c>
      <c r="E1458" s="28" t="s">
        <v>14</v>
      </c>
      <c r="F1458" s="7" t="s">
        <v>14</v>
      </c>
      <c r="G1458" s="27" t="s">
        <v>14</v>
      </c>
      <c r="H1458" s="27" t="s">
        <v>14</v>
      </c>
    </row>
    <row r="1459" spans="2:8" x14ac:dyDescent="0.3">
      <c r="B1459" s="9">
        <v>42326</v>
      </c>
      <c r="C1459" s="29" t="str">
        <f t="shared" si="22"/>
        <v/>
      </c>
      <c r="D1459" s="8">
        <v>0.5</v>
      </c>
      <c r="E1459" s="28" t="s">
        <v>14</v>
      </c>
      <c r="F1459" s="7" t="s">
        <v>14</v>
      </c>
      <c r="G1459" s="27" t="s">
        <v>14</v>
      </c>
      <c r="H1459" s="27" t="s">
        <v>14</v>
      </c>
    </row>
    <row r="1460" spans="2:8" x14ac:dyDescent="0.3">
      <c r="B1460" s="11">
        <v>42327</v>
      </c>
      <c r="C1460" s="29" t="str">
        <f t="shared" si="22"/>
        <v/>
      </c>
      <c r="D1460" s="8">
        <v>0.5</v>
      </c>
      <c r="E1460" s="28" t="s">
        <v>14</v>
      </c>
      <c r="F1460" s="7" t="s">
        <v>14</v>
      </c>
      <c r="G1460" s="27" t="s">
        <v>14</v>
      </c>
      <c r="H1460" s="27" t="s">
        <v>14</v>
      </c>
    </row>
    <row r="1461" spans="2:8" x14ac:dyDescent="0.3">
      <c r="B1461" s="9">
        <v>42331</v>
      </c>
      <c r="C1461" s="29" t="str">
        <f t="shared" si="22"/>
        <v/>
      </c>
      <c r="D1461" s="8">
        <v>0.5</v>
      </c>
      <c r="E1461" s="28" t="s">
        <v>14</v>
      </c>
      <c r="F1461" s="7" t="s">
        <v>14</v>
      </c>
      <c r="G1461" s="27" t="s">
        <v>14</v>
      </c>
      <c r="H1461" s="27" t="s">
        <v>14</v>
      </c>
    </row>
    <row r="1462" spans="2:8" x14ac:dyDescent="0.3">
      <c r="B1462" s="11">
        <v>42332</v>
      </c>
      <c r="C1462" s="29" t="str">
        <f t="shared" si="22"/>
        <v/>
      </c>
      <c r="D1462" s="8">
        <v>0.5</v>
      </c>
      <c r="E1462" s="28" t="s">
        <v>14</v>
      </c>
      <c r="F1462" s="7" t="s">
        <v>14</v>
      </c>
      <c r="G1462" s="27" t="s">
        <v>14</v>
      </c>
      <c r="H1462" s="27" t="s">
        <v>14</v>
      </c>
    </row>
    <row r="1463" spans="2:8" x14ac:dyDescent="0.3">
      <c r="B1463" s="9">
        <v>42333</v>
      </c>
      <c r="C1463" s="29" t="str">
        <f t="shared" si="22"/>
        <v/>
      </c>
      <c r="D1463" s="8">
        <v>0.5</v>
      </c>
      <c r="E1463" s="28" t="s">
        <v>14</v>
      </c>
      <c r="F1463" s="7" t="s">
        <v>14</v>
      </c>
      <c r="G1463" s="27" t="s">
        <v>14</v>
      </c>
      <c r="H1463" s="27" t="s">
        <v>14</v>
      </c>
    </row>
    <row r="1464" spans="2:8" x14ac:dyDescent="0.3">
      <c r="B1464" s="11">
        <v>42334</v>
      </c>
      <c r="C1464" s="29" t="str">
        <f t="shared" si="22"/>
        <v/>
      </c>
      <c r="D1464" s="8">
        <v>0.5</v>
      </c>
      <c r="E1464" s="28" t="s">
        <v>14</v>
      </c>
      <c r="F1464" s="7" t="s">
        <v>14</v>
      </c>
      <c r="G1464" s="27" t="s">
        <v>14</v>
      </c>
      <c r="H1464" s="27" t="s">
        <v>14</v>
      </c>
    </row>
    <row r="1465" spans="2:8" x14ac:dyDescent="0.3">
      <c r="B1465" s="9">
        <v>42335</v>
      </c>
      <c r="C1465" s="29" t="str">
        <f t="shared" si="22"/>
        <v/>
      </c>
      <c r="D1465" s="8">
        <v>0.5</v>
      </c>
      <c r="E1465" s="28" t="s">
        <v>14</v>
      </c>
      <c r="F1465" s="7" t="s">
        <v>14</v>
      </c>
      <c r="G1465" s="27" t="s">
        <v>14</v>
      </c>
      <c r="H1465" s="27" t="s">
        <v>14</v>
      </c>
    </row>
    <row r="1466" spans="2:8" x14ac:dyDescent="0.3">
      <c r="B1466" s="11">
        <v>42338</v>
      </c>
      <c r="C1466" s="29" t="str">
        <f t="shared" si="22"/>
        <v/>
      </c>
      <c r="D1466" s="8">
        <v>0.5</v>
      </c>
      <c r="E1466" s="28">
        <v>0.5</v>
      </c>
      <c r="F1466" s="7" t="s">
        <v>14</v>
      </c>
      <c r="G1466" s="27" t="s">
        <v>14</v>
      </c>
      <c r="H1466" s="27" t="s">
        <v>14</v>
      </c>
    </row>
    <row r="1467" spans="2:8" x14ac:dyDescent="0.3">
      <c r="B1467" s="9">
        <v>42339</v>
      </c>
      <c r="C1467" s="29" t="str">
        <f t="shared" si="22"/>
        <v/>
      </c>
      <c r="D1467" s="8">
        <v>0.5</v>
      </c>
      <c r="E1467" s="28" t="s">
        <v>14</v>
      </c>
      <c r="F1467" s="7" t="s">
        <v>14</v>
      </c>
      <c r="G1467" s="27" t="s">
        <v>14</v>
      </c>
      <c r="H1467" s="27" t="s">
        <v>14</v>
      </c>
    </row>
    <row r="1468" spans="2:8" x14ac:dyDescent="0.3">
      <c r="B1468" s="11">
        <v>42340</v>
      </c>
      <c r="C1468" s="29" t="str">
        <f t="shared" si="22"/>
        <v/>
      </c>
      <c r="D1468" s="8">
        <v>0.5</v>
      </c>
      <c r="E1468" s="28" t="s">
        <v>14</v>
      </c>
      <c r="F1468" s="7" t="s">
        <v>14</v>
      </c>
      <c r="G1468" s="27" t="s">
        <v>14</v>
      </c>
      <c r="H1468" s="27" t="s">
        <v>14</v>
      </c>
    </row>
    <row r="1469" spans="2:8" x14ac:dyDescent="0.3">
      <c r="B1469" s="9">
        <v>42341</v>
      </c>
      <c r="C1469" s="29" t="str">
        <f t="shared" si="22"/>
        <v/>
      </c>
      <c r="D1469" s="8">
        <v>0.5</v>
      </c>
      <c r="E1469" s="28" t="s">
        <v>14</v>
      </c>
      <c r="F1469" s="7" t="s">
        <v>14</v>
      </c>
      <c r="G1469" s="27" t="s">
        <v>14</v>
      </c>
      <c r="H1469" s="27" t="s">
        <v>14</v>
      </c>
    </row>
    <row r="1470" spans="2:8" x14ac:dyDescent="0.3">
      <c r="B1470" s="11">
        <v>42342</v>
      </c>
      <c r="C1470" s="29" t="str">
        <f t="shared" si="22"/>
        <v/>
      </c>
      <c r="D1470" s="8">
        <v>0.5</v>
      </c>
      <c r="E1470" s="28" t="s">
        <v>14</v>
      </c>
      <c r="F1470" s="7" t="s">
        <v>14</v>
      </c>
      <c r="G1470" s="27" t="s">
        <v>14</v>
      </c>
      <c r="H1470" s="27" t="s">
        <v>14</v>
      </c>
    </row>
    <row r="1471" spans="2:8" x14ac:dyDescent="0.3">
      <c r="B1471" s="9">
        <v>42345</v>
      </c>
      <c r="C1471" s="29" t="str">
        <f t="shared" si="22"/>
        <v/>
      </c>
      <c r="D1471" s="8">
        <v>0.5</v>
      </c>
      <c r="E1471" s="28" t="s">
        <v>14</v>
      </c>
      <c r="F1471" s="7" t="s">
        <v>14</v>
      </c>
      <c r="G1471" s="27" t="s">
        <v>14</v>
      </c>
      <c r="H1471" s="27" t="s">
        <v>14</v>
      </c>
    </row>
    <row r="1472" spans="2:8" x14ac:dyDescent="0.3">
      <c r="B1472" s="11">
        <v>42346</v>
      </c>
      <c r="C1472" s="29" t="str">
        <f t="shared" si="22"/>
        <v/>
      </c>
      <c r="D1472" s="8">
        <v>0.5</v>
      </c>
      <c r="E1472" s="28" t="s">
        <v>14</v>
      </c>
      <c r="F1472" s="7" t="s">
        <v>14</v>
      </c>
      <c r="G1472" s="27" t="s">
        <v>14</v>
      </c>
      <c r="H1472" s="27" t="s">
        <v>14</v>
      </c>
    </row>
    <row r="1473" spans="2:8" x14ac:dyDescent="0.3">
      <c r="B1473" s="9">
        <v>42347</v>
      </c>
      <c r="C1473" s="29" t="str">
        <f t="shared" si="22"/>
        <v/>
      </c>
      <c r="D1473" s="8">
        <v>0.5</v>
      </c>
      <c r="E1473" s="28" t="s">
        <v>14</v>
      </c>
      <c r="F1473" s="7" t="s">
        <v>14</v>
      </c>
      <c r="G1473" s="27" t="s">
        <v>14</v>
      </c>
      <c r="H1473" s="27" t="s">
        <v>14</v>
      </c>
    </row>
    <row r="1474" spans="2:8" x14ac:dyDescent="0.3">
      <c r="B1474" s="11">
        <v>42348</v>
      </c>
      <c r="C1474" s="29" t="str">
        <f t="shared" si="22"/>
        <v/>
      </c>
      <c r="D1474" s="8">
        <v>0.5</v>
      </c>
      <c r="E1474" s="28" t="s">
        <v>14</v>
      </c>
      <c r="F1474" s="7" t="s">
        <v>14</v>
      </c>
      <c r="G1474" s="27" t="s">
        <v>14</v>
      </c>
      <c r="H1474" s="27" t="s">
        <v>14</v>
      </c>
    </row>
    <row r="1475" spans="2:8" x14ac:dyDescent="0.3">
      <c r="B1475" s="9">
        <v>42349</v>
      </c>
      <c r="C1475" s="29" t="str">
        <f t="shared" ref="C1475:C1538" si="23">INDEX(D1475:H1475,MATCH($A$1,$D$1:$H$1,0))</f>
        <v/>
      </c>
      <c r="D1475" s="8">
        <v>0.5</v>
      </c>
      <c r="E1475" s="28" t="s">
        <v>14</v>
      </c>
      <c r="F1475" s="7" t="s">
        <v>14</v>
      </c>
      <c r="G1475" s="27" t="s">
        <v>14</v>
      </c>
      <c r="H1475" s="27" t="s">
        <v>14</v>
      </c>
    </row>
    <row r="1476" spans="2:8" x14ac:dyDescent="0.3">
      <c r="B1476" s="11">
        <v>42352</v>
      </c>
      <c r="C1476" s="29" t="str">
        <f t="shared" si="23"/>
        <v/>
      </c>
      <c r="D1476" s="8">
        <v>0.5</v>
      </c>
      <c r="E1476" s="28" t="s">
        <v>14</v>
      </c>
      <c r="F1476" s="7" t="s">
        <v>14</v>
      </c>
      <c r="G1476" s="27" t="s">
        <v>14</v>
      </c>
      <c r="H1476" s="27" t="s">
        <v>14</v>
      </c>
    </row>
    <row r="1477" spans="2:8" x14ac:dyDescent="0.3">
      <c r="B1477" s="9">
        <v>42353</v>
      </c>
      <c r="C1477" s="29" t="str">
        <f t="shared" si="23"/>
        <v/>
      </c>
      <c r="D1477" s="8">
        <v>0.5</v>
      </c>
      <c r="E1477" s="28" t="s">
        <v>14</v>
      </c>
      <c r="F1477" s="7" t="s">
        <v>14</v>
      </c>
      <c r="G1477" s="27" t="s">
        <v>14</v>
      </c>
      <c r="H1477" s="27" t="s">
        <v>14</v>
      </c>
    </row>
    <row r="1478" spans="2:8" x14ac:dyDescent="0.3">
      <c r="B1478" s="11">
        <v>42354</v>
      </c>
      <c r="C1478" s="29" t="str">
        <f t="shared" si="23"/>
        <v/>
      </c>
      <c r="D1478" s="8">
        <v>0.5</v>
      </c>
      <c r="E1478" s="28" t="s">
        <v>14</v>
      </c>
      <c r="F1478" s="7" t="s">
        <v>14</v>
      </c>
      <c r="G1478" s="27" t="s">
        <v>14</v>
      </c>
      <c r="H1478" s="27" t="s">
        <v>14</v>
      </c>
    </row>
    <row r="1479" spans="2:8" x14ac:dyDescent="0.3">
      <c r="B1479" s="9">
        <v>42355</v>
      </c>
      <c r="C1479" s="29" t="str">
        <f t="shared" si="23"/>
        <v/>
      </c>
      <c r="D1479" s="8">
        <v>0.5</v>
      </c>
      <c r="E1479" s="28" t="s">
        <v>14</v>
      </c>
      <c r="F1479" s="7" t="s">
        <v>14</v>
      </c>
      <c r="G1479" s="27" t="s">
        <v>14</v>
      </c>
      <c r="H1479" s="27" t="s">
        <v>14</v>
      </c>
    </row>
    <row r="1480" spans="2:8" x14ac:dyDescent="0.3">
      <c r="B1480" s="11">
        <v>42356</v>
      </c>
      <c r="C1480" s="29" t="str">
        <f t="shared" si="23"/>
        <v/>
      </c>
      <c r="D1480" s="8">
        <v>0.5</v>
      </c>
      <c r="E1480" s="28" t="s">
        <v>14</v>
      </c>
      <c r="F1480" s="7" t="s">
        <v>14</v>
      </c>
      <c r="G1480" s="27" t="s">
        <v>14</v>
      </c>
      <c r="H1480" s="27" t="s">
        <v>14</v>
      </c>
    </row>
    <row r="1481" spans="2:8" x14ac:dyDescent="0.3">
      <c r="B1481" s="9">
        <v>42359</v>
      </c>
      <c r="C1481" s="29" t="str">
        <f t="shared" si="23"/>
        <v/>
      </c>
      <c r="D1481" s="8">
        <v>0.5</v>
      </c>
      <c r="E1481" s="28" t="s">
        <v>14</v>
      </c>
      <c r="F1481" s="7" t="s">
        <v>14</v>
      </c>
      <c r="G1481" s="27" t="s">
        <v>14</v>
      </c>
      <c r="H1481" s="27" t="s">
        <v>14</v>
      </c>
    </row>
    <row r="1482" spans="2:8" x14ac:dyDescent="0.3">
      <c r="B1482" s="11">
        <v>42360</v>
      </c>
      <c r="C1482" s="29" t="str">
        <f t="shared" si="23"/>
        <v/>
      </c>
      <c r="D1482" s="8">
        <v>0.5</v>
      </c>
      <c r="E1482" s="28" t="s">
        <v>14</v>
      </c>
      <c r="F1482" s="7" t="s">
        <v>14</v>
      </c>
      <c r="G1482" s="27" t="s">
        <v>14</v>
      </c>
      <c r="H1482" s="27" t="s">
        <v>14</v>
      </c>
    </row>
    <row r="1483" spans="2:8" x14ac:dyDescent="0.3">
      <c r="B1483" s="9">
        <v>42361</v>
      </c>
      <c r="C1483" s="29" t="str">
        <f t="shared" si="23"/>
        <v/>
      </c>
      <c r="D1483" s="8">
        <v>0.5</v>
      </c>
      <c r="E1483" s="28" t="s">
        <v>14</v>
      </c>
      <c r="F1483" s="7" t="s">
        <v>14</v>
      </c>
      <c r="G1483" s="27" t="s">
        <v>14</v>
      </c>
      <c r="H1483" s="27" t="s">
        <v>14</v>
      </c>
    </row>
    <row r="1484" spans="2:8" x14ac:dyDescent="0.3">
      <c r="B1484" s="11">
        <v>42366</v>
      </c>
      <c r="C1484" s="29" t="str">
        <f t="shared" si="23"/>
        <v/>
      </c>
      <c r="D1484" s="8">
        <v>0.5</v>
      </c>
      <c r="E1484" s="28" t="s">
        <v>14</v>
      </c>
      <c r="F1484" s="7" t="s">
        <v>14</v>
      </c>
      <c r="G1484" s="27" t="s">
        <v>14</v>
      </c>
      <c r="H1484" s="27" t="s">
        <v>14</v>
      </c>
    </row>
    <row r="1485" spans="2:8" x14ac:dyDescent="0.3">
      <c r="B1485" s="9">
        <v>42367</v>
      </c>
      <c r="C1485" s="29" t="str">
        <f t="shared" si="23"/>
        <v/>
      </c>
      <c r="D1485" s="8">
        <v>0.5</v>
      </c>
      <c r="E1485" s="28" t="s">
        <v>14</v>
      </c>
      <c r="F1485" s="7" t="s">
        <v>14</v>
      </c>
      <c r="G1485" s="27" t="s">
        <v>14</v>
      </c>
      <c r="H1485" s="27" t="s">
        <v>14</v>
      </c>
    </row>
    <row r="1486" spans="2:8" x14ac:dyDescent="0.3">
      <c r="B1486" s="11">
        <v>42368</v>
      </c>
      <c r="C1486" s="29">
        <f t="shared" si="23"/>
        <v>0.5</v>
      </c>
      <c r="D1486" s="8">
        <v>0.5</v>
      </c>
      <c r="E1486" s="28">
        <v>0.5</v>
      </c>
      <c r="F1486" s="7">
        <v>0.5</v>
      </c>
      <c r="G1486" s="27">
        <v>0.5</v>
      </c>
      <c r="H1486" s="27">
        <v>0.5</v>
      </c>
    </row>
    <row r="1487" spans="2:8" x14ac:dyDescent="0.3">
      <c r="B1487" s="9">
        <v>42373</v>
      </c>
      <c r="C1487" s="29" t="str">
        <f t="shared" si="23"/>
        <v/>
      </c>
      <c r="D1487" s="8">
        <v>0.5</v>
      </c>
      <c r="E1487" s="28" t="s">
        <v>14</v>
      </c>
      <c r="F1487" s="7" t="s">
        <v>14</v>
      </c>
      <c r="G1487" s="27" t="s">
        <v>14</v>
      </c>
      <c r="H1487" s="27" t="s">
        <v>14</v>
      </c>
    </row>
    <row r="1488" spans="2:8" x14ac:dyDescent="0.3">
      <c r="B1488" s="11">
        <v>42374</v>
      </c>
      <c r="C1488" s="29" t="str">
        <f t="shared" si="23"/>
        <v/>
      </c>
      <c r="D1488" s="8">
        <v>0.5</v>
      </c>
      <c r="E1488" s="28" t="s">
        <v>14</v>
      </c>
      <c r="F1488" s="7" t="s">
        <v>14</v>
      </c>
      <c r="G1488" s="27" t="s">
        <v>14</v>
      </c>
      <c r="H1488" s="27" t="s">
        <v>14</v>
      </c>
    </row>
    <row r="1489" spans="2:8" x14ac:dyDescent="0.3">
      <c r="B1489" s="9">
        <v>42375</v>
      </c>
      <c r="C1489" s="29" t="str">
        <f t="shared" si="23"/>
        <v/>
      </c>
      <c r="D1489" s="8">
        <v>0.5</v>
      </c>
      <c r="E1489" s="28" t="s">
        <v>14</v>
      </c>
      <c r="F1489" s="7" t="s">
        <v>14</v>
      </c>
      <c r="G1489" s="27" t="s">
        <v>14</v>
      </c>
      <c r="H1489" s="27" t="s">
        <v>14</v>
      </c>
    </row>
    <row r="1490" spans="2:8" x14ac:dyDescent="0.3">
      <c r="B1490" s="11">
        <v>42376</v>
      </c>
      <c r="C1490" s="29" t="str">
        <f t="shared" si="23"/>
        <v/>
      </c>
      <c r="D1490" s="8">
        <v>0.5</v>
      </c>
      <c r="E1490" s="28" t="s">
        <v>14</v>
      </c>
      <c r="F1490" s="7" t="s">
        <v>14</v>
      </c>
      <c r="G1490" s="27" t="s">
        <v>14</v>
      </c>
      <c r="H1490" s="27" t="s">
        <v>14</v>
      </c>
    </row>
    <row r="1491" spans="2:8" x14ac:dyDescent="0.3">
      <c r="B1491" s="9">
        <v>42377</v>
      </c>
      <c r="C1491" s="29" t="str">
        <f t="shared" si="23"/>
        <v/>
      </c>
      <c r="D1491" s="8">
        <v>0.5</v>
      </c>
      <c r="E1491" s="28" t="s">
        <v>14</v>
      </c>
      <c r="F1491" s="7" t="s">
        <v>14</v>
      </c>
      <c r="G1491" s="27" t="s">
        <v>14</v>
      </c>
      <c r="H1491" s="27" t="s">
        <v>14</v>
      </c>
    </row>
    <row r="1492" spans="2:8" x14ac:dyDescent="0.3">
      <c r="B1492" s="11">
        <v>42380</v>
      </c>
      <c r="C1492" s="29" t="str">
        <f t="shared" si="23"/>
        <v/>
      </c>
      <c r="D1492" s="8">
        <v>0.5</v>
      </c>
      <c r="E1492" s="28" t="s">
        <v>14</v>
      </c>
      <c r="F1492" s="7" t="s">
        <v>14</v>
      </c>
      <c r="G1492" s="27" t="s">
        <v>14</v>
      </c>
      <c r="H1492" s="27" t="s">
        <v>14</v>
      </c>
    </row>
    <row r="1493" spans="2:8" x14ac:dyDescent="0.3">
      <c r="B1493" s="9">
        <v>42381</v>
      </c>
      <c r="C1493" s="29" t="str">
        <f t="shared" si="23"/>
        <v/>
      </c>
      <c r="D1493" s="8">
        <v>0.5</v>
      </c>
      <c r="E1493" s="28" t="s">
        <v>14</v>
      </c>
      <c r="F1493" s="7" t="s">
        <v>14</v>
      </c>
      <c r="G1493" s="27" t="s">
        <v>14</v>
      </c>
      <c r="H1493" s="27" t="s">
        <v>14</v>
      </c>
    </row>
    <row r="1494" spans="2:8" x14ac:dyDescent="0.3">
      <c r="B1494" s="11">
        <v>42382</v>
      </c>
      <c r="C1494" s="29" t="str">
        <f t="shared" si="23"/>
        <v/>
      </c>
      <c r="D1494" s="8">
        <v>0.5</v>
      </c>
      <c r="E1494" s="28" t="s">
        <v>14</v>
      </c>
      <c r="F1494" s="7" t="s">
        <v>14</v>
      </c>
      <c r="G1494" s="27" t="s">
        <v>14</v>
      </c>
      <c r="H1494" s="27" t="s">
        <v>14</v>
      </c>
    </row>
    <row r="1495" spans="2:8" x14ac:dyDescent="0.3">
      <c r="B1495" s="9">
        <v>42383</v>
      </c>
      <c r="C1495" s="29" t="str">
        <f t="shared" si="23"/>
        <v/>
      </c>
      <c r="D1495" s="8">
        <v>0.5</v>
      </c>
      <c r="E1495" s="28" t="s">
        <v>14</v>
      </c>
      <c r="F1495" s="7" t="s">
        <v>14</v>
      </c>
      <c r="G1495" s="27" t="s">
        <v>14</v>
      </c>
      <c r="H1495" s="27" t="s">
        <v>14</v>
      </c>
    </row>
    <row r="1496" spans="2:8" x14ac:dyDescent="0.3">
      <c r="B1496" s="11">
        <v>42384</v>
      </c>
      <c r="C1496" s="29" t="str">
        <f t="shared" si="23"/>
        <v/>
      </c>
      <c r="D1496" s="8">
        <v>0.5</v>
      </c>
      <c r="E1496" s="28" t="s">
        <v>14</v>
      </c>
      <c r="F1496" s="7" t="s">
        <v>14</v>
      </c>
      <c r="G1496" s="27" t="s">
        <v>14</v>
      </c>
      <c r="H1496" s="27" t="s">
        <v>14</v>
      </c>
    </row>
    <row r="1497" spans="2:8" x14ac:dyDescent="0.3">
      <c r="B1497" s="9">
        <v>42387</v>
      </c>
      <c r="C1497" s="29" t="str">
        <f t="shared" si="23"/>
        <v/>
      </c>
      <c r="D1497" s="8">
        <v>0.5</v>
      </c>
      <c r="E1497" s="28" t="s">
        <v>14</v>
      </c>
      <c r="F1497" s="7" t="s">
        <v>14</v>
      </c>
      <c r="G1497" s="27" t="s">
        <v>14</v>
      </c>
      <c r="H1497" s="27" t="s">
        <v>14</v>
      </c>
    </row>
    <row r="1498" spans="2:8" x14ac:dyDescent="0.3">
      <c r="B1498" s="11">
        <v>42388</v>
      </c>
      <c r="C1498" s="29" t="str">
        <f t="shared" si="23"/>
        <v/>
      </c>
      <c r="D1498" s="8">
        <v>0.5</v>
      </c>
      <c r="E1498" s="28" t="s">
        <v>14</v>
      </c>
      <c r="F1498" s="7" t="s">
        <v>14</v>
      </c>
      <c r="G1498" s="27" t="s">
        <v>14</v>
      </c>
      <c r="H1498" s="27" t="s">
        <v>14</v>
      </c>
    </row>
    <row r="1499" spans="2:8" x14ac:dyDescent="0.3">
      <c r="B1499" s="9">
        <v>42389</v>
      </c>
      <c r="C1499" s="29" t="str">
        <f t="shared" si="23"/>
        <v/>
      </c>
      <c r="D1499" s="8">
        <v>0.5</v>
      </c>
      <c r="E1499" s="28" t="s">
        <v>14</v>
      </c>
      <c r="F1499" s="7" t="s">
        <v>14</v>
      </c>
      <c r="G1499" s="27" t="s">
        <v>14</v>
      </c>
      <c r="H1499" s="27" t="s">
        <v>14</v>
      </c>
    </row>
    <row r="1500" spans="2:8" x14ac:dyDescent="0.3">
      <c r="B1500" s="11">
        <v>42390</v>
      </c>
      <c r="C1500" s="29" t="str">
        <f t="shared" si="23"/>
        <v/>
      </c>
      <c r="D1500" s="8">
        <v>0.5</v>
      </c>
      <c r="E1500" s="28" t="s">
        <v>14</v>
      </c>
      <c r="F1500" s="7" t="s">
        <v>14</v>
      </c>
      <c r="G1500" s="27" t="s">
        <v>14</v>
      </c>
      <c r="H1500" s="27" t="s">
        <v>14</v>
      </c>
    </row>
    <row r="1501" spans="2:8" x14ac:dyDescent="0.3">
      <c r="B1501" s="9">
        <v>42391</v>
      </c>
      <c r="C1501" s="29" t="str">
        <f t="shared" si="23"/>
        <v/>
      </c>
      <c r="D1501" s="8">
        <v>0.5</v>
      </c>
      <c r="E1501" s="28" t="s">
        <v>14</v>
      </c>
      <c r="F1501" s="7" t="s">
        <v>14</v>
      </c>
      <c r="G1501" s="27" t="s">
        <v>14</v>
      </c>
      <c r="H1501" s="27" t="s">
        <v>14</v>
      </c>
    </row>
    <row r="1502" spans="2:8" x14ac:dyDescent="0.3">
      <c r="B1502" s="11">
        <v>42395</v>
      </c>
      <c r="C1502" s="29" t="str">
        <f t="shared" si="23"/>
        <v/>
      </c>
      <c r="D1502" s="8">
        <v>0.5</v>
      </c>
      <c r="E1502" s="28" t="s">
        <v>14</v>
      </c>
      <c r="F1502" s="7" t="s">
        <v>14</v>
      </c>
      <c r="G1502" s="27" t="s">
        <v>14</v>
      </c>
      <c r="H1502" s="27" t="s">
        <v>14</v>
      </c>
    </row>
    <row r="1503" spans="2:8" x14ac:dyDescent="0.3">
      <c r="B1503" s="9">
        <v>42396</v>
      </c>
      <c r="C1503" s="29" t="str">
        <f t="shared" si="23"/>
        <v/>
      </c>
      <c r="D1503" s="8">
        <v>0.5</v>
      </c>
      <c r="E1503" s="28" t="s">
        <v>14</v>
      </c>
      <c r="F1503" s="7" t="s">
        <v>14</v>
      </c>
      <c r="G1503" s="27" t="s">
        <v>14</v>
      </c>
      <c r="H1503" s="27" t="s">
        <v>14</v>
      </c>
    </row>
    <row r="1504" spans="2:8" x14ac:dyDescent="0.3">
      <c r="B1504" s="11">
        <v>42397</v>
      </c>
      <c r="C1504" s="29" t="str">
        <f t="shared" si="23"/>
        <v/>
      </c>
      <c r="D1504" s="8">
        <v>0.5</v>
      </c>
      <c r="E1504" s="28" t="s">
        <v>14</v>
      </c>
      <c r="F1504" s="7" t="s">
        <v>14</v>
      </c>
      <c r="G1504" s="27" t="s">
        <v>14</v>
      </c>
      <c r="H1504" s="27" t="s">
        <v>14</v>
      </c>
    </row>
    <row r="1505" spans="2:8" x14ac:dyDescent="0.3">
      <c r="B1505" s="9">
        <v>42398</v>
      </c>
      <c r="C1505" s="29" t="str">
        <f t="shared" si="23"/>
        <v/>
      </c>
      <c r="D1505" s="8">
        <v>0.5</v>
      </c>
      <c r="E1505" s="28">
        <v>0.5</v>
      </c>
      <c r="F1505" s="7" t="s">
        <v>14</v>
      </c>
      <c r="G1505" s="27" t="s">
        <v>14</v>
      </c>
      <c r="H1505" s="27" t="s">
        <v>14</v>
      </c>
    </row>
    <row r="1506" spans="2:8" x14ac:dyDescent="0.3">
      <c r="B1506" s="11">
        <v>42401</v>
      </c>
      <c r="C1506" s="29" t="str">
        <f t="shared" si="23"/>
        <v/>
      </c>
      <c r="D1506" s="8">
        <v>0.5</v>
      </c>
      <c r="E1506" s="28" t="s">
        <v>14</v>
      </c>
      <c r="F1506" s="7" t="s">
        <v>14</v>
      </c>
      <c r="G1506" s="27" t="s">
        <v>14</v>
      </c>
      <c r="H1506" s="27" t="s">
        <v>14</v>
      </c>
    </row>
    <row r="1507" spans="2:8" x14ac:dyDescent="0.3">
      <c r="B1507" s="9">
        <v>42402</v>
      </c>
      <c r="C1507" s="29" t="str">
        <f t="shared" si="23"/>
        <v/>
      </c>
      <c r="D1507" s="8">
        <v>0.5</v>
      </c>
      <c r="E1507" s="28" t="s">
        <v>14</v>
      </c>
      <c r="F1507" s="7" t="s">
        <v>14</v>
      </c>
      <c r="G1507" s="27" t="s">
        <v>14</v>
      </c>
      <c r="H1507" s="27" t="s">
        <v>14</v>
      </c>
    </row>
    <row r="1508" spans="2:8" x14ac:dyDescent="0.3">
      <c r="B1508" s="11">
        <v>42403</v>
      </c>
      <c r="C1508" s="29" t="str">
        <f t="shared" si="23"/>
        <v/>
      </c>
      <c r="D1508" s="8">
        <v>0.5</v>
      </c>
      <c r="E1508" s="28" t="s">
        <v>14</v>
      </c>
      <c r="F1508" s="7" t="s">
        <v>14</v>
      </c>
      <c r="G1508" s="27" t="s">
        <v>14</v>
      </c>
      <c r="H1508" s="27" t="s">
        <v>14</v>
      </c>
    </row>
    <row r="1509" spans="2:8" x14ac:dyDescent="0.3">
      <c r="B1509" s="9">
        <v>42404</v>
      </c>
      <c r="C1509" s="29" t="str">
        <f t="shared" si="23"/>
        <v/>
      </c>
      <c r="D1509" s="8">
        <v>0.5</v>
      </c>
      <c r="E1509" s="28" t="s">
        <v>14</v>
      </c>
      <c r="F1509" s="7" t="s">
        <v>14</v>
      </c>
      <c r="G1509" s="27" t="s">
        <v>14</v>
      </c>
      <c r="H1509" s="27" t="s">
        <v>14</v>
      </c>
    </row>
    <row r="1510" spans="2:8" x14ac:dyDescent="0.3">
      <c r="B1510" s="11">
        <v>42405</v>
      </c>
      <c r="C1510" s="29" t="str">
        <f t="shared" si="23"/>
        <v/>
      </c>
      <c r="D1510" s="8">
        <v>0.5</v>
      </c>
      <c r="E1510" s="28" t="s">
        <v>14</v>
      </c>
      <c r="F1510" s="7" t="s">
        <v>14</v>
      </c>
      <c r="G1510" s="27" t="s">
        <v>14</v>
      </c>
      <c r="H1510" s="27" t="s">
        <v>14</v>
      </c>
    </row>
    <row r="1511" spans="2:8" x14ac:dyDescent="0.3">
      <c r="B1511" s="9">
        <v>42410</v>
      </c>
      <c r="C1511" s="29" t="str">
        <f t="shared" si="23"/>
        <v/>
      </c>
      <c r="D1511" s="8">
        <v>0.5</v>
      </c>
      <c r="E1511" s="28" t="s">
        <v>14</v>
      </c>
      <c r="F1511" s="7" t="s">
        <v>14</v>
      </c>
      <c r="G1511" s="27" t="s">
        <v>14</v>
      </c>
      <c r="H1511" s="27" t="s">
        <v>14</v>
      </c>
    </row>
    <row r="1512" spans="2:8" x14ac:dyDescent="0.3">
      <c r="B1512" s="11">
        <v>42411</v>
      </c>
      <c r="C1512" s="29" t="str">
        <f t="shared" si="23"/>
        <v/>
      </c>
      <c r="D1512" s="8">
        <v>0.5</v>
      </c>
      <c r="E1512" s="28" t="s">
        <v>14</v>
      </c>
      <c r="F1512" s="7" t="s">
        <v>14</v>
      </c>
      <c r="G1512" s="27" t="s">
        <v>14</v>
      </c>
      <c r="H1512" s="27" t="s">
        <v>14</v>
      </c>
    </row>
    <row r="1513" spans="2:8" x14ac:dyDescent="0.3">
      <c r="B1513" s="9">
        <v>42412</v>
      </c>
      <c r="C1513" s="29" t="str">
        <f t="shared" si="23"/>
        <v/>
      </c>
      <c r="D1513" s="8">
        <v>0.5</v>
      </c>
      <c r="E1513" s="28" t="s">
        <v>14</v>
      </c>
      <c r="F1513" s="7" t="s">
        <v>14</v>
      </c>
      <c r="G1513" s="27" t="s">
        <v>14</v>
      </c>
      <c r="H1513" s="27" t="s">
        <v>14</v>
      </c>
    </row>
    <row r="1514" spans="2:8" x14ac:dyDescent="0.3">
      <c r="B1514" s="11">
        <v>42415</v>
      </c>
      <c r="C1514" s="29" t="str">
        <f t="shared" si="23"/>
        <v/>
      </c>
      <c r="D1514" s="8">
        <v>0.5</v>
      </c>
      <c r="E1514" s="28" t="s">
        <v>14</v>
      </c>
      <c r="F1514" s="7" t="s">
        <v>14</v>
      </c>
      <c r="G1514" s="27" t="s">
        <v>14</v>
      </c>
      <c r="H1514" s="27" t="s">
        <v>14</v>
      </c>
    </row>
    <row r="1515" spans="2:8" x14ac:dyDescent="0.3">
      <c r="B1515" s="9">
        <v>42416</v>
      </c>
      <c r="C1515" s="29" t="str">
        <f t="shared" si="23"/>
        <v/>
      </c>
      <c r="D1515" s="8">
        <v>0.5</v>
      </c>
      <c r="E1515" s="28" t="s">
        <v>14</v>
      </c>
      <c r="F1515" s="7" t="s">
        <v>14</v>
      </c>
      <c r="G1515" s="27" t="s">
        <v>14</v>
      </c>
      <c r="H1515" s="27" t="s">
        <v>14</v>
      </c>
    </row>
    <row r="1516" spans="2:8" x14ac:dyDescent="0.3">
      <c r="B1516" s="11">
        <v>42417</v>
      </c>
      <c r="C1516" s="29" t="str">
        <f t="shared" si="23"/>
        <v/>
      </c>
      <c r="D1516" s="8">
        <v>0.5</v>
      </c>
      <c r="E1516" s="28" t="s">
        <v>14</v>
      </c>
      <c r="F1516" s="7" t="s">
        <v>14</v>
      </c>
      <c r="G1516" s="27" t="s">
        <v>14</v>
      </c>
      <c r="H1516" s="27" t="s">
        <v>14</v>
      </c>
    </row>
    <row r="1517" spans="2:8" x14ac:dyDescent="0.3">
      <c r="B1517" s="9">
        <v>42418</v>
      </c>
      <c r="C1517" s="29" t="str">
        <f t="shared" si="23"/>
        <v/>
      </c>
      <c r="D1517" s="8">
        <v>0.5</v>
      </c>
      <c r="E1517" s="28" t="s">
        <v>14</v>
      </c>
      <c r="F1517" s="7" t="s">
        <v>14</v>
      </c>
      <c r="G1517" s="27" t="s">
        <v>14</v>
      </c>
      <c r="H1517" s="27" t="s">
        <v>14</v>
      </c>
    </row>
    <row r="1518" spans="2:8" x14ac:dyDescent="0.3">
      <c r="B1518" s="11">
        <v>42419</v>
      </c>
      <c r="C1518" s="29" t="str">
        <f t="shared" si="23"/>
        <v/>
      </c>
      <c r="D1518" s="8">
        <v>0.5</v>
      </c>
      <c r="E1518" s="28" t="s">
        <v>14</v>
      </c>
      <c r="F1518" s="7" t="s">
        <v>14</v>
      </c>
      <c r="G1518" s="27" t="s">
        <v>14</v>
      </c>
      <c r="H1518" s="27" t="s">
        <v>14</v>
      </c>
    </row>
    <row r="1519" spans="2:8" x14ac:dyDescent="0.3">
      <c r="B1519" s="9">
        <v>42422</v>
      </c>
      <c r="C1519" s="29" t="str">
        <f t="shared" si="23"/>
        <v/>
      </c>
      <c r="D1519" s="8">
        <v>0.5</v>
      </c>
      <c r="E1519" s="28" t="s">
        <v>14</v>
      </c>
      <c r="F1519" s="7" t="s">
        <v>14</v>
      </c>
      <c r="G1519" s="27" t="s">
        <v>14</v>
      </c>
      <c r="H1519" s="27" t="s">
        <v>14</v>
      </c>
    </row>
    <row r="1520" spans="2:8" x14ac:dyDescent="0.3">
      <c r="B1520" s="11">
        <v>42423</v>
      </c>
      <c r="C1520" s="29" t="str">
        <f t="shared" si="23"/>
        <v/>
      </c>
      <c r="D1520" s="8">
        <v>0.5</v>
      </c>
      <c r="E1520" s="28" t="s">
        <v>14</v>
      </c>
      <c r="F1520" s="7" t="s">
        <v>14</v>
      </c>
      <c r="G1520" s="27" t="s">
        <v>14</v>
      </c>
      <c r="H1520" s="27" t="s">
        <v>14</v>
      </c>
    </row>
    <row r="1521" spans="2:8" x14ac:dyDescent="0.3">
      <c r="B1521" s="9">
        <v>42424</v>
      </c>
      <c r="C1521" s="29" t="str">
        <f t="shared" si="23"/>
        <v/>
      </c>
      <c r="D1521" s="8">
        <v>0.5</v>
      </c>
      <c r="E1521" s="28" t="s">
        <v>14</v>
      </c>
      <c r="F1521" s="7" t="s">
        <v>14</v>
      </c>
      <c r="G1521" s="27" t="s">
        <v>14</v>
      </c>
      <c r="H1521" s="27" t="s">
        <v>14</v>
      </c>
    </row>
    <row r="1522" spans="2:8" x14ac:dyDescent="0.3">
      <c r="B1522" s="11">
        <v>42425</v>
      </c>
      <c r="C1522" s="29" t="str">
        <f t="shared" si="23"/>
        <v/>
      </c>
      <c r="D1522" s="8">
        <v>0.5</v>
      </c>
      <c r="E1522" s="28" t="s">
        <v>14</v>
      </c>
      <c r="F1522" s="7" t="s">
        <v>14</v>
      </c>
      <c r="G1522" s="27" t="s">
        <v>14</v>
      </c>
      <c r="H1522" s="27" t="s">
        <v>14</v>
      </c>
    </row>
    <row r="1523" spans="2:8" x14ac:dyDescent="0.3">
      <c r="B1523" s="9">
        <v>42426</v>
      </c>
      <c r="C1523" s="29" t="str">
        <f t="shared" si="23"/>
        <v/>
      </c>
      <c r="D1523" s="8">
        <v>0.5</v>
      </c>
      <c r="E1523" s="28" t="s">
        <v>14</v>
      </c>
      <c r="F1523" s="7" t="s">
        <v>14</v>
      </c>
      <c r="G1523" s="27" t="s">
        <v>14</v>
      </c>
      <c r="H1523" s="27" t="s">
        <v>14</v>
      </c>
    </row>
    <row r="1524" spans="2:8" x14ac:dyDescent="0.3">
      <c r="B1524" s="11">
        <v>42429</v>
      </c>
      <c r="C1524" s="29" t="str">
        <f t="shared" si="23"/>
        <v/>
      </c>
      <c r="D1524" s="8">
        <v>0.5</v>
      </c>
      <c r="E1524" s="28">
        <v>0.5</v>
      </c>
      <c r="F1524" s="7" t="s">
        <v>14</v>
      </c>
      <c r="G1524" s="27" t="s">
        <v>14</v>
      </c>
      <c r="H1524" s="27" t="s">
        <v>14</v>
      </c>
    </row>
    <row r="1525" spans="2:8" x14ac:dyDescent="0.3">
      <c r="B1525" s="9">
        <v>42430</v>
      </c>
      <c r="C1525" s="29" t="str">
        <f t="shared" si="23"/>
        <v/>
      </c>
      <c r="D1525" s="8">
        <v>0.5</v>
      </c>
      <c r="E1525" s="28" t="s">
        <v>14</v>
      </c>
      <c r="F1525" s="7" t="s">
        <v>14</v>
      </c>
      <c r="G1525" s="27" t="s">
        <v>14</v>
      </c>
      <c r="H1525" s="27" t="s">
        <v>14</v>
      </c>
    </row>
    <row r="1526" spans="2:8" x14ac:dyDescent="0.3">
      <c r="B1526" s="11">
        <v>42431</v>
      </c>
      <c r="C1526" s="29" t="str">
        <f t="shared" si="23"/>
        <v/>
      </c>
      <c r="D1526" s="8">
        <v>0.5</v>
      </c>
      <c r="E1526" s="28" t="s">
        <v>14</v>
      </c>
      <c r="F1526" s="7" t="s">
        <v>14</v>
      </c>
      <c r="G1526" s="27" t="s">
        <v>14</v>
      </c>
      <c r="H1526" s="27" t="s">
        <v>14</v>
      </c>
    </row>
    <row r="1527" spans="2:8" x14ac:dyDescent="0.3">
      <c r="B1527" s="9">
        <v>42432</v>
      </c>
      <c r="C1527" s="29" t="str">
        <f t="shared" si="23"/>
        <v/>
      </c>
      <c r="D1527" s="8">
        <v>0.5</v>
      </c>
      <c r="E1527" s="28" t="s">
        <v>14</v>
      </c>
      <c r="F1527" s="7" t="s">
        <v>14</v>
      </c>
      <c r="G1527" s="27" t="s">
        <v>14</v>
      </c>
      <c r="H1527" s="27" t="s">
        <v>14</v>
      </c>
    </row>
    <row r="1528" spans="2:8" x14ac:dyDescent="0.3">
      <c r="B1528" s="11">
        <v>42433</v>
      </c>
      <c r="C1528" s="29" t="str">
        <f t="shared" si="23"/>
        <v/>
      </c>
      <c r="D1528" s="8">
        <v>0.5</v>
      </c>
      <c r="E1528" s="28" t="s">
        <v>14</v>
      </c>
      <c r="F1528" s="7" t="s">
        <v>14</v>
      </c>
      <c r="G1528" s="27" t="s">
        <v>14</v>
      </c>
      <c r="H1528" s="27" t="s">
        <v>14</v>
      </c>
    </row>
    <row r="1529" spans="2:8" x14ac:dyDescent="0.3">
      <c r="B1529" s="9">
        <v>42436</v>
      </c>
      <c r="C1529" s="29" t="str">
        <f t="shared" si="23"/>
        <v/>
      </c>
      <c r="D1529" s="8">
        <v>0.5</v>
      </c>
      <c r="E1529" s="28" t="s">
        <v>14</v>
      </c>
      <c r="F1529" s="7" t="s">
        <v>14</v>
      </c>
      <c r="G1529" s="27" t="s">
        <v>14</v>
      </c>
      <c r="H1529" s="27" t="s">
        <v>14</v>
      </c>
    </row>
    <row r="1530" spans="2:8" x14ac:dyDescent="0.3">
      <c r="B1530" s="11">
        <v>42437</v>
      </c>
      <c r="C1530" s="29" t="str">
        <f t="shared" si="23"/>
        <v/>
      </c>
      <c r="D1530" s="8">
        <v>0.5</v>
      </c>
      <c r="E1530" s="28" t="s">
        <v>14</v>
      </c>
      <c r="F1530" s="7" t="s">
        <v>14</v>
      </c>
      <c r="G1530" s="27" t="s">
        <v>14</v>
      </c>
      <c r="H1530" s="27" t="s">
        <v>14</v>
      </c>
    </row>
    <row r="1531" spans="2:8" x14ac:dyDescent="0.3">
      <c r="B1531" s="9">
        <v>42438</v>
      </c>
      <c r="C1531" s="29" t="str">
        <f t="shared" si="23"/>
        <v/>
      </c>
      <c r="D1531" s="8">
        <v>0.5</v>
      </c>
      <c r="E1531" s="28" t="s">
        <v>14</v>
      </c>
      <c r="F1531" s="7" t="s">
        <v>14</v>
      </c>
      <c r="G1531" s="27" t="s">
        <v>14</v>
      </c>
      <c r="H1531" s="27" t="s">
        <v>14</v>
      </c>
    </row>
    <row r="1532" spans="2:8" x14ac:dyDescent="0.3">
      <c r="B1532" s="11">
        <v>42439</v>
      </c>
      <c r="C1532" s="29" t="str">
        <f t="shared" si="23"/>
        <v/>
      </c>
      <c r="D1532" s="8">
        <v>0.5</v>
      </c>
      <c r="E1532" s="28" t="s">
        <v>14</v>
      </c>
      <c r="F1532" s="7" t="s">
        <v>14</v>
      </c>
      <c r="G1532" s="27" t="s">
        <v>14</v>
      </c>
      <c r="H1532" s="27" t="s">
        <v>14</v>
      </c>
    </row>
    <row r="1533" spans="2:8" x14ac:dyDescent="0.3">
      <c r="B1533" s="9">
        <v>42440</v>
      </c>
      <c r="C1533" s="29" t="str">
        <f t="shared" si="23"/>
        <v/>
      </c>
      <c r="D1533" s="8">
        <v>0.5</v>
      </c>
      <c r="E1533" s="28" t="s">
        <v>14</v>
      </c>
      <c r="F1533" s="7" t="s">
        <v>14</v>
      </c>
      <c r="G1533" s="27" t="s">
        <v>14</v>
      </c>
      <c r="H1533" s="27" t="s">
        <v>14</v>
      </c>
    </row>
    <row r="1534" spans="2:8" x14ac:dyDescent="0.3">
      <c r="B1534" s="11">
        <v>42443</v>
      </c>
      <c r="C1534" s="29" t="str">
        <f t="shared" si="23"/>
        <v/>
      </c>
      <c r="D1534" s="8">
        <v>0.5</v>
      </c>
      <c r="E1534" s="28" t="s">
        <v>14</v>
      </c>
      <c r="F1534" s="7" t="s">
        <v>14</v>
      </c>
      <c r="G1534" s="27" t="s">
        <v>14</v>
      </c>
      <c r="H1534" s="27" t="s">
        <v>14</v>
      </c>
    </row>
    <row r="1535" spans="2:8" x14ac:dyDescent="0.3">
      <c r="B1535" s="9">
        <v>42444</v>
      </c>
      <c r="C1535" s="29" t="str">
        <f t="shared" si="23"/>
        <v/>
      </c>
      <c r="D1535" s="8">
        <v>0.5</v>
      </c>
      <c r="E1535" s="28" t="s">
        <v>14</v>
      </c>
      <c r="F1535" s="7" t="s">
        <v>14</v>
      </c>
      <c r="G1535" s="27" t="s">
        <v>14</v>
      </c>
      <c r="H1535" s="27" t="s">
        <v>14</v>
      </c>
    </row>
    <row r="1536" spans="2:8" x14ac:dyDescent="0.3">
      <c r="B1536" s="11">
        <v>42445</v>
      </c>
      <c r="C1536" s="29" t="str">
        <f t="shared" si="23"/>
        <v/>
      </c>
      <c r="D1536" s="8">
        <v>0.5</v>
      </c>
      <c r="E1536" s="28" t="s">
        <v>14</v>
      </c>
      <c r="F1536" s="7" t="s">
        <v>14</v>
      </c>
      <c r="G1536" s="27" t="s">
        <v>14</v>
      </c>
      <c r="H1536" s="27" t="s">
        <v>14</v>
      </c>
    </row>
    <row r="1537" spans="2:8" x14ac:dyDescent="0.3">
      <c r="B1537" s="9">
        <v>42446</v>
      </c>
      <c r="C1537" s="29" t="str">
        <f t="shared" si="23"/>
        <v/>
      </c>
      <c r="D1537" s="8">
        <v>0.5</v>
      </c>
      <c r="E1537" s="28" t="s">
        <v>14</v>
      </c>
      <c r="F1537" s="7" t="s">
        <v>14</v>
      </c>
      <c r="G1537" s="27" t="s">
        <v>14</v>
      </c>
      <c r="H1537" s="27" t="s">
        <v>14</v>
      </c>
    </row>
    <row r="1538" spans="2:8" x14ac:dyDescent="0.3">
      <c r="B1538" s="11">
        <v>42447</v>
      </c>
      <c r="C1538" s="29" t="str">
        <f t="shared" si="23"/>
        <v/>
      </c>
      <c r="D1538" s="8">
        <v>0.5</v>
      </c>
      <c r="E1538" s="28" t="s">
        <v>14</v>
      </c>
      <c r="F1538" s="7" t="s">
        <v>14</v>
      </c>
      <c r="G1538" s="27" t="s">
        <v>14</v>
      </c>
      <c r="H1538" s="27" t="s">
        <v>14</v>
      </c>
    </row>
    <row r="1539" spans="2:8" x14ac:dyDescent="0.3">
      <c r="B1539" s="9">
        <v>42450</v>
      </c>
      <c r="C1539" s="29" t="str">
        <f t="shared" ref="C1539:C1602" si="24">INDEX(D1539:H1539,MATCH($A$1,$D$1:$H$1,0))</f>
        <v/>
      </c>
      <c r="D1539" s="8">
        <v>0.5</v>
      </c>
      <c r="E1539" s="28" t="s">
        <v>14</v>
      </c>
      <c r="F1539" s="7" t="s">
        <v>14</v>
      </c>
      <c r="G1539" s="27" t="s">
        <v>14</v>
      </c>
      <c r="H1539" s="27" t="s">
        <v>14</v>
      </c>
    </row>
    <row r="1540" spans="2:8" x14ac:dyDescent="0.3">
      <c r="B1540" s="11">
        <v>42451</v>
      </c>
      <c r="C1540" s="29" t="str">
        <f t="shared" si="24"/>
        <v/>
      </c>
      <c r="D1540" s="8">
        <v>0.5</v>
      </c>
      <c r="E1540" s="28" t="s">
        <v>14</v>
      </c>
      <c r="F1540" s="7" t="s">
        <v>14</v>
      </c>
      <c r="G1540" s="27" t="s">
        <v>14</v>
      </c>
      <c r="H1540" s="27" t="s">
        <v>14</v>
      </c>
    </row>
    <row r="1541" spans="2:8" x14ac:dyDescent="0.3">
      <c r="B1541" s="9">
        <v>42452</v>
      </c>
      <c r="C1541" s="29" t="str">
        <f t="shared" si="24"/>
        <v/>
      </c>
      <c r="D1541" s="8">
        <v>0.5</v>
      </c>
      <c r="E1541" s="28" t="s">
        <v>14</v>
      </c>
      <c r="F1541" s="7" t="s">
        <v>14</v>
      </c>
      <c r="G1541" s="27" t="s">
        <v>14</v>
      </c>
      <c r="H1541" s="27" t="s">
        <v>14</v>
      </c>
    </row>
    <row r="1542" spans="2:8" x14ac:dyDescent="0.3">
      <c r="B1542" s="11">
        <v>42453</v>
      </c>
      <c r="C1542" s="29" t="str">
        <f t="shared" si="24"/>
        <v/>
      </c>
      <c r="D1542" s="8">
        <v>0.5</v>
      </c>
      <c r="E1542" s="28" t="s">
        <v>14</v>
      </c>
      <c r="F1542" s="7" t="s">
        <v>14</v>
      </c>
      <c r="G1542" s="27" t="s">
        <v>14</v>
      </c>
      <c r="H1542" s="27" t="s">
        <v>14</v>
      </c>
    </row>
    <row r="1543" spans="2:8" x14ac:dyDescent="0.3">
      <c r="B1543" s="9">
        <v>42457</v>
      </c>
      <c r="C1543" s="29" t="str">
        <f t="shared" si="24"/>
        <v/>
      </c>
      <c r="D1543" s="8">
        <v>0.5</v>
      </c>
      <c r="E1543" s="28" t="s">
        <v>14</v>
      </c>
      <c r="F1543" s="7" t="s">
        <v>14</v>
      </c>
      <c r="G1543" s="27" t="s">
        <v>14</v>
      </c>
      <c r="H1543" s="27" t="s">
        <v>14</v>
      </c>
    </row>
    <row r="1544" spans="2:8" x14ac:dyDescent="0.3">
      <c r="B1544" s="11">
        <v>42458</v>
      </c>
      <c r="C1544" s="29" t="str">
        <f t="shared" si="24"/>
        <v/>
      </c>
      <c r="D1544" s="8">
        <v>0.5</v>
      </c>
      <c r="E1544" s="28" t="s">
        <v>14</v>
      </c>
      <c r="F1544" s="7" t="s">
        <v>14</v>
      </c>
      <c r="G1544" s="27" t="s">
        <v>14</v>
      </c>
      <c r="H1544" s="27" t="s">
        <v>14</v>
      </c>
    </row>
    <row r="1545" spans="2:8" x14ac:dyDescent="0.3">
      <c r="B1545" s="9">
        <v>42459</v>
      </c>
      <c r="C1545" s="29" t="str">
        <f t="shared" si="24"/>
        <v/>
      </c>
      <c r="D1545" s="8">
        <v>0.5</v>
      </c>
      <c r="E1545" s="28" t="s">
        <v>14</v>
      </c>
      <c r="F1545" s="7" t="s">
        <v>14</v>
      </c>
      <c r="G1545" s="27" t="s">
        <v>14</v>
      </c>
      <c r="H1545" s="27" t="s">
        <v>14</v>
      </c>
    </row>
    <row r="1546" spans="2:8" x14ac:dyDescent="0.3">
      <c r="B1546" s="11">
        <v>42460</v>
      </c>
      <c r="C1546" s="29">
        <f t="shared" si="24"/>
        <v>0</v>
      </c>
      <c r="D1546" s="8">
        <v>0.5</v>
      </c>
      <c r="E1546" s="28">
        <v>0.5</v>
      </c>
      <c r="F1546" s="7">
        <v>0.5</v>
      </c>
    </row>
    <row r="1547" spans="2:8" x14ac:dyDescent="0.3">
      <c r="B1547" s="9">
        <v>42461</v>
      </c>
      <c r="C1547" s="29" t="str">
        <f t="shared" si="24"/>
        <v/>
      </c>
      <c r="D1547" s="8">
        <v>0.5</v>
      </c>
      <c r="E1547" s="28" t="s">
        <v>14</v>
      </c>
      <c r="F1547" s="7" t="s">
        <v>14</v>
      </c>
      <c r="G1547" s="27" t="s">
        <v>14</v>
      </c>
      <c r="H1547" s="27" t="s">
        <v>14</v>
      </c>
    </row>
    <row r="1548" spans="2:8" x14ac:dyDescent="0.3">
      <c r="B1548" s="11">
        <v>42464</v>
      </c>
      <c r="C1548" s="29" t="str">
        <f t="shared" si="24"/>
        <v/>
      </c>
      <c r="D1548" s="8">
        <v>0.5</v>
      </c>
      <c r="E1548" s="28" t="s">
        <v>14</v>
      </c>
      <c r="F1548" s="7" t="s">
        <v>14</v>
      </c>
      <c r="G1548" s="27" t="s">
        <v>14</v>
      </c>
      <c r="H1548" s="27" t="s">
        <v>14</v>
      </c>
    </row>
    <row r="1549" spans="2:8" x14ac:dyDescent="0.3">
      <c r="B1549" s="9">
        <v>42465</v>
      </c>
      <c r="C1549" s="29" t="str">
        <f t="shared" si="24"/>
        <v/>
      </c>
      <c r="D1549" s="8">
        <v>0.5</v>
      </c>
      <c r="E1549" s="28" t="s">
        <v>14</v>
      </c>
      <c r="F1549" s="7" t="s">
        <v>14</v>
      </c>
      <c r="G1549" s="27" t="s">
        <v>14</v>
      </c>
      <c r="H1549" s="27" t="s">
        <v>14</v>
      </c>
    </row>
    <row r="1550" spans="2:8" x14ac:dyDescent="0.3">
      <c r="B1550" s="11">
        <v>42466</v>
      </c>
      <c r="C1550" s="29" t="str">
        <f t="shared" si="24"/>
        <v/>
      </c>
      <c r="D1550" s="8">
        <v>0.5</v>
      </c>
      <c r="E1550" s="28" t="s">
        <v>14</v>
      </c>
      <c r="F1550" s="7" t="s">
        <v>14</v>
      </c>
      <c r="G1550" s="27" t="s">
        <v>14</v>
      </c>
      <c r="H1550" s="27" t="s">
        <v>14</v>
      </c>
    </row>
    <row r="1551" spans="2:8" x14ac:dyDescent="0.3">
      <c r="B1551" s="9">
        <v>42467</v>
      </c>
      <c r="C1551" s="29" t="str">
        <f t="shared" si="24"/>
        <v/>
      </c>
      <c r="D1551" s="8">
        <v>0.5</v>
      </c>
      <c r="E1551" s="28" t="s">
        <v>14</v>
      </c>
      <c r="F1551" s="7" t="s">
        <v>14</v>
      </c>
      <c r="G1551" s="27" t="s">
        <v>14</v>
      </c>
      <c r="H1551" s="27" t="s">
        <v>14</v>
      </c>
    </row>
    <row r="1552" spans="2:8" x14ac:dyDescent="0.3">
      <c r="B1552" s="11">
        <v>42468</v>
      </c>
      <c r="C1552" s="29" t="str">
        <f t="shared" si="24"/>
        <v/>
      </c>
      <c r="D1552" s="8">
        <v>0.5</v>
      </c>
      <c r="E1552" s="28" t="s">
        <v>14</v>
      </c>
      <c r="F1552" s="7" t="s">
        <v>14</v>
      </c>
      <c r="G1552" s="27" t="s">
        <v>14</v>
      </c>
      <c r="H1552" s="27" t="s">
        <v>14</v>
      </c>
    </row>
    <row r="1553" spans="2:8" x14ac:dyDescent="0.3">
      <c r="B1553" s="9">
        <v>42471</v>
      </c>
      <c r="C1553" s="29" t="str">
        <f t="shared" si="24"/>
        <v/>
      </c>
      <c r="D1553" s="8">
        <v>0.5</v>
      </c>
      <c r="E1553" s="28" t="s">
        <v>14</v>
      </c>
      <c r="F1553" s="7" t="s">
        <v>14</v>
      </c>
      <c r="G1553" s="27" t="s">
        <v>14</v>
      </c>
      <c r="H1553" s="27" t="s">
        <v>14</v>
      </c>
    </row>
    <row r="1554" spans="2:8" x14ac:dyDescent="0.3">
      <c r="B1554" s="11">
        <v>42472</v>
      </c>
      <c r="C1554" s="29" t="str">
        <f t="shared" si="24"/>
        <v/>
      </c>
      <c r="D1554" s="8">
        <v>0.5</v>
      </c>
      <c r="E1554" s="28" t="s">
        <v>14</v>
      </c>
      <c r="F1554" s="7" t="s">
        <v>14</v>
      </c>
      <c r="G1554" s="27" t="s">
        <v>14</v>
      </c>
      <c r="H1554" s="27" t="s">
        <v>14</v>
      </c>
    </row>
    <row r="1555" spans="2:8" x14ac:dyDescent="0.3">
      <c r="B1555" s="9">
        <v>42473</v>
      </c>
      <c r="C1555" s="29" t="str">
        <f t="shared" si="24"/>
        <v/>
      </c>
      <c r="D1555" s="8">
        <v>0.5</v>
      </c>
      <c r="E1555" s="28" t="s">
        <v>14</v>
      </c>
      <c r="F1555" s="7" t="s">
        <v>14</v>
      </c>
      <c r="G1555" s="27" t="s">
        <v>14</v>
      </c>
      <c r="H1555" s="27" t="s">
        <v>14</v>
      </c>
    </row>
    <row r="1556" spans="2:8" x14ac:dyDescent="0.3">
      <c r="B1556" s="11">
        <v>42474</v>
      </c>
      <c r="C1556" s="29" t="str">
        <f t="shared" si="24"/>
        <v/>
      </c>
      <c r="D1556" s="8">
        <v>0.5</v>
      </c>
      <c r="E1556" s="28" t="s">
        <v>14</v>
      </c>
      <c r="F1556" s="7" t="s">
        <v>14</v>
      </c>
      <c r="G1556" s="27" t="s">
        <v>14</v>
      </c>
      <c r="H1556" s="27" t="s">
        <v>14</v>
      </c>
    </row>
    <row r="1557" spans="2:8" x14ac:dyDescent="0.3">
      <c r="B1557" s="9">
        <v>42475</v>
      </c>
      <c r="C1557" s="29" t="str">
        <f t="shared" si="24"/>
        <v/>
      </c>
      <c r="D1557" s="8">
        <v>0.5</v>
      </c>
      <c r="E1557" s="28" t="s">
        <v>14</v>
      </c>
      <c r="F1557" s="7" t="s">
        <v>14</v>
      </c>
      <c r="G1557" s="27" t="s">
        <v>14</v>
      </c>
      <c r="H1557" s="27" t="s">
        <v>14</v>
      </c>
    </row>
    <row r="1558" spans="2:8" x14ac:dyDescent="0.3">
      <c r="B1558" s="11">
        <v>42478</v>
      </c>
      <c r="C1558" s="29" t="str">
        <f t="shared" si="24"/>
        <v/>
      </c>
      <c r="D1558" s="8">
        <v>0.5</v>
      </c>
      <c r="E1558" s="28" t="s">
        <v>14</v>
      </c>
      <c r="F1558" s="7" t="s">
        <v>14</v>
      </c>
      <c r="G1558" s="27" t="s">
        <v>14</v>
      </c>
      <c r="H1558" s="27" t="s">
        <v>14</v>
      </c>
    </row>
    <row r="1559" spans="2:8" x14ac:dyDescent="0.3">
      <c r="B1559" s="9">
        <v>42479</v>
      </c>
      <c r="C1559" s="29" t="str">
        <f t="shared" si="24"/>
        <v/>
      </c>
      <c r="D1559" s="8">
        <v>0.5</v>
      </c>
      <c r="E1559" s="28" t="s">
        <v>14</v>
      </c>
      <c r="F1559" s="7" t="s">
        <v>14</v>
      </c>
      <c r="G1559" s="27" t="s">
        <v>14</v>
      </c>
      <c r="H1559" s="27" t="s">
        <v>14</v>
      </c>
    </row>
    <row r="1560" spans="2:8" x14ac:dyDescent="0.3">
      <c r="B1560" s="11">
        <v>42480</v>
      </c>
      <c r="C1560" s="29" t="str">
        <f t="shared" si="24"/>
        <v/>
      </c>
      <c r="D1560" s="8">
        <v>0.5</v>
      </c>
      <c r="E1560" s="28" t="s">
        <v>14</v>
      </c>
      <c r="F1560" s="7" t="s">
        <v>14</v>
      </c>
      <c r="G1560" s="27" t="s">
        <v>14</v>
      </c>
      <c r="H1560" s="27" t="s">
        <v>14</v>
      </c>
    </row>
    <row r="1561" spans="2:8" x14ac:dyDescent="0.3">
      <c r="B1561" s="9">
        <v>42482</v>
      </c>
      <c r="C1561" s="29" t="str">
        <f t="shared" si="24"/>
        <v/>
      </c>
      <c r="D1561" s="8">
        <v>0.5</v>
      </c>
      <c r="E1561" s="28" t="s">
        <v>14</v>
      </c>
      <c r="F1561" s="7" t="s">
        <v>14</v>
      </c>
      <c r="G1561" s="27" t="s">
        <v>14</v>
      </c>
      <c r="H1561" s="27" t="s">
        <v>14</v>
      </c>
    </row>
    <row r="1562" spans="2:8" x14ac:dyDescent="0.3">
      <c r="B1562" s="11">
        <v>42485</v>
      </c>
      <c r="C1562" s="29" t="str">
        <f t="shared" si="24"/>
        <v/>
      </c>
      <c r="D1562" s="8">
        <v>0.5</v>
      </c>
      <c r="E1562" s="28" t="s">
        <v>14</v>
      </c>
      <c r="F1562" s="7" t="s">
        <v>14</v>
      </c>
      <c r="G1562" s="27" t="s">
        <v>14</v>
      </c>
      <c r="H1562" s="27" t="s">
        <v>14</v>
      </c>
    </row>
    <row r="1563" spans="2:8" x14ac:dyDescent="0.3">
      <c r="B1563" s="9">
        <v>42486</v>
      </c>
      <c r="C1563" s="29" t="str">
        <f t="shared" si="24"/>
        <v/>
      </c>
      <c r="D1563" s="8">
        <v>0.5</v>
      </c>
      <c r="E1563" s="28" t="s">
        <v>14</v>
      </c>
      <c r="F1563" s="7" t="s">
        <v>14</v>
      </c>
      <c r="G1563" s="27" t="s">
        <v>14</v>
      </c>
      <c r="H1563" s="27" t="s">
        <v>14</v>
      </c>
    </row>
    <row r="1564" spans="2:8" x14ac:dyDescent="0.3">
      <c r="B1564" s="11">
        <v>42487</v>
      </c>
      <c r="C1564" s="29" t="str">
        <f t="shared" si="24"/>
        <v/>
      </c>
      <c r="D1564" s="8">
        <v>0.5</v>
      </c>
      <c r="E1564" s="28" t="s">
        <v>14</v>
      </c>
      <c r="F1564" s="7" t="s">
        <v>14</v>
      </c>
      <c r="G1564" s="27" t="s">
        <v>14</v>
      </c>
      <c r="H1564" s="27" t="s">
        <v>14</v>
      </c>
    </row>
    <row r="1565" spans="2:8" x14ac:dyDescent="0.3">
      <c r="B1565" s="9">
        <v>42488</v>
      </c>
      <c r="C1565" s="29" t="str">
        <f t="shared" si="24"/>
        <v/>
      </c>
      <c r="D1565" s="8">
        <v>0.5</v>
      </c>
      <c r="E1565" s="28" t="s">
        <v>14</v>
      </c>
      <c r="F1565" s="7" t="s">
        <v>14</v>
      </c>
      <c r="G1565" s="27" t="s">
        <v>14</v>
      </c>
      <c r="H1565" s="27" t="s">
        <v>14</v>
      </c>
    </row>
    <row r="1566" spans="2:8" x14ac:dyDescent="0.3">
      <c r="B1566" s="11">
        <v>42489</v>
      </c>
      <c r="C1566" s="29" t="str">
        <f t="shared" si="24"/>
        <v/>
      </c>
      <c r="D1566" s="8">
        <v>0.5</v>
      </c>
      <c r="E1566" s="28">
        <v>0.5</v>
      </c>
      <c r="F1566" s="7" t="s">
        <v>14</v>
      </c>
      <c r="G1566" s="27" t="s">
        <v>14</v>
      </c>
      <c r="H1566" s="27" t="s">
        <v>14</v>
      </c>
    </row>
    <row r="1567" spans="2:8" x14ac:dyDescent="0.3">
      <c r="B1567" s="9">
        <v>42492</v>
      </c>
      <c r="C1567" s="29" t="str">
        <f t="shared" si="24"/>
        <v/>
      </c>
      <c r="D1567" s="8">
        <v>0.5</v>
      </c>
      <c r="E1567" s="28" t="s">
        <v>14</v>
      </c>
      <c r="F1567" s="7" t="s">
        <v>14</v>
      </c>
      <c r="G1567" s="27" t="s">
        <v>14</v>
      </c>
      <c r="H1567" s="27" t="s">
        <v>14</v>
      </c>
    </row>
    <row r="1568" spans="2:8" x14ac:dyDescent="0.3">
      <c r="B1568" s="11">
        <v>42493</v>
      </c>
      <c r="C1568" s="29" t="str">
        <f t="shared" si="24"/>
        <v/>
      </c>
      <c r="D1568" s="8">
        <v>0.5</v>
      </c>
      <c r="E1568" s="28" t="s">
        <v>14</v>
      </c>
      <c r="F1568" s="7" t="s">
        <v>14</v>
      </c>
      <c r="G1568" s="27" t="s">
        <v>14</v>
      </c>
      <c r="H1568" s="27" t="s">
        <v>14</v>
      </c>
    </row>
    <row r="1569" spans="2:8" x14ac:dyDescent="0.3">
      <c r="B1569" s="9">
        <v>42494</v>
      </c>
      <c r="C1569" s="29" t="str">
        <f t="shared" si="24"/>
        <v/>
      </c>
      <c r="D1569" s="8">
        <v>0.5</v>
      </c>
      <c r="E1569" s="28" t="s">
        <v>14</v>
      </c>
      <c r="F1569" s="7" t="s">
        <v>14</v>
      </c>
      <c r="G1569" s="27" t="s">
        <v>14</v>
      </c>
      <c r="H1569" s="27" t="s">
        <v>14</v>
      </c>
    </row>
    <row r="1570" spans="2:8" x14ac:dyDescent="0.3">
      <c r="B1570" s="11">
        <v>42495</v>
      </c>
      <c r="C1570" s="29" t="str">
        <f t="shared" si="24"/>
        <v/>
      </c>
      <c r="D1570" s="8">
        <v>0.5</v>
      </c>
      <c r="E1570" s="28" t="s">
        <v>14</v>
      </c>
      <c r="F1570" s="7" t="s">
        <v>14</v>
      </c>
      <c r="G1570" s="27" t="s">
        <v>14</v>
      </c>
      <c r="H1570" s="27" t="s">
        <v>14</v>
      </c>
    </row>
    <row r="1571" spans="2:8" x14ac:dyDescent="0.3">
      <c r="B1571" s="9">
        <v>42496</v>
      </c>
      <c r="C1571" s="29" t="str">
        <f t="shared" si="24"/>
        <v/>
      </c>
      <c r="D1571" s="8">
        <v>0.5</v>
      </c>
      <c r="E1571" s="28" t="s">
        <v>14</v>
      </c>
      <c r="F1571" s="7" t="s">
        <v>14</v>
      </c>
      <c r="G1571" s="27" t="s">
        <v>14</v>
      </c>
      <c r="H1571" s="27" t="s">
        <v>14</v>
      </c>
    </row>
    <row r="1572" spans="2:8" x14ac:dyDescent="0.3">
      <c r="B1572" s="11">
        <v>42499</v>
      </c>
      <c r="C1572" s="29" t="str">
        <f t="shared" si="24"/>
        <v/>
      </c>
      <c r="D1572" s="8">
        <v>0.5</v>
      </c>
      <c r="E1572" s="28" t="s">
        <v>14</v>
      </c>
      <c r="F1572" s="7" t="s">
        <v>14</v>
      </c>
      <c r="G1572" s="27" t="s">
        <v>14</v>
      </c>
      <c r="H1572" s="27" t="s">
        <v>14</v>
      </c>
    </row>
    <row r="1573" spans="2:8" x14ac:dyDescent="0.3">
      <c r="B1573" s="9">
        <v>42500</v>
      </c>
      <c r="C1573" s="29" t="str">
        <f t="shared" si="24"/>
        <v/>
      </c>
      <c r="D1573" s="8">
        <v>0.5</v>
      </c>
      <c r="E1573" s="28" t="s">
        <v>14</v>
      </c>
      <c r="F1573" s="7" t="s">
        <v>14</v>
      </c>
      <c r="G1573" s="27" t="s">
        <v>14</v>
      </c>
      <c r="H1573" s="27" t="s">
        <v>14</v>
      </c>
    </row>
    <row r="1574" spans="2:8" x14ac:dyDescent="0.3">
      <c r="B1574" s="11">
        <v>42501</v>
      </c>
      <c r="C1574" s="29" t="str">
        <f t="shared" si="24"/>
        <v/>
      </c>
      <c r="D1574" s="8">
        <v>0.5</v>
      </c>
      <c r="E1574" s="28" t="s">
        <v>14</v>
      </c>
      <c r="F1574" s="7" t="s">
        <v>14</v>
      </c>
      <c r="G1574" s="27" t="s">
        <v>14</v>
      </c>
      <c r="H1574" s="27" t="s">
        <v>14</v>
      </c>
    </row>
    <row r="1575" spans="2:8" x14ac:dyDescent="0.3">
      <c r="B1575" s="9">
        <v>42502</v>
      </c>
      <c r="C1575" s="29" t="str">
        <f t="shared" si="24"/>
        <v/>
      </c>
      <c r="D1575" s="8">
        <v>0.5</v>
      </c>
      <c r="E1575" s="28" t="s">
        <v>14</v>
      </c>
      <c r="F1575" s="7" t="s">
        <v>14</v>
      </c>
      <c r="G1575" s="27" t="s">
        <v>14</v>
      </c>
      <c r="H1575" s="27" t="s">
        <v>14</v>
      </c>
    </row>
    <row r="1576" spans="2:8" x14ac:dyDescent="0.3">
      <c r="B1576" s="11">
        <v>42503</v>
      </c>
      <c r="C1576" s="29" t="str">
        <f t="shared" si="24"/>
        <v/>
      </c>
      <c r="D1576" s="8">
        <v>0.5</v>
      </c>
      <c r="E1576" s="28" t="s">
        <v>14</v>
      </c>
      <c r="F1576" s="7" t="s">
        <v>14</v>
      </c>
      <c r="G1576" s="27" t="s">
        <v>14</v>
      </c>
      <c r="H1576" s="27" t="s">
        <v>14</v>
      </c>
    </row>
    <row r="1577" spans="2:8" x14ac:dyDescent="0.3">
      <c r="B1577" s="9">
        <v>42506</v>
      </c>
      <c r="C1577" s="29" t="str">
        <f t="shared" si="24"/>
        <v/>
      </c>
      <c r="D1577" s="8">
        <v>0.5</v>
      </c>
      <c r="E1577" s="28" t="s">
        <v>14</v>
      </c>
      <c r="F1577" s="7" t="s">
        <v>14</v>
      </c>
      <c r="G1577" s="27" t="s">
        <v>14</v>
      </c>
      <c r="H1577" s="27" t="s">
        <v>14</v>
      </c>
    </row>
    <row r="1578" spans="2:8" x14ac:dyDescent="0.3">
      <c r="B1578" s="11">
        <v>42507</v>
      </c>
      <c r="C1578" s="29" t="str">
        <f t="shared" si="24"/>
        <v/>
      </c>
      <c r="D1578" s="8">
        <v>0.5</v>
      </c>
      <c r="E1578" s="28" t="s">
        <v>14</v>
      </c>
      <c r="F1578" s="7" t="s">
        <v>14</v>
      </c>
      <c r="G1578" s="27" t="s">
        <v>14</v>
      </c>
      <c r="H1578" s="27" t="s">
        <v>14</v>
      </c>
    </row>
    <row r="1579" spans="2:8" x14ac:dyDescent="0.3">
      <c r="B1579" s="9">
        <v>42508</v>
      </c>
      <c r="C1579" s="29" t="str">
        <f t="shared" si="24"/>
        <v/>
      </c>
      <c r="D1579" s="8">
        <v>0.5</v>
      </c>
      <c r="E1579" s="28" t="s">
        <v>14</v>
      </c>
      <c r="F1579" s="7" t="s">
        <v>14</v>
      </c>
      <c r="G1579" s="27" t="s">
        <v>14</v>
      </c>
      <c r="H1579" s="27" t="s">
        <v>14</v>
      </c>
    </row>
    <row r="1580" spans="2:8" x14ac:dyDescent="0.3">
      <c r="B1580" s="11">
        <v>42509</v>
      </c>
      <c r="C1580" s="29" t="str">
        <f t="shared" si="24"/>
        <v/>
      </c>
      <c r="D1580" s="8">
        <v>0.5</v>
      </c>
      <c r="E1580" s="28" t="s">
        <v>14</v>
      </c>
      <c r="F1580" s="7" t="s">
        <v>14</v>
      </c>
      <c r="G1580" s="27" t="s">
        <v>14</v>
      </c>
      <c r="H1580" s="27" t="s">
        <v>14</v>
      </c>
    </row>
    <row r="1581" spans="2:8" x14ac:dyDescent="0.3">
      <c r="B1581" s="9">
        <v>42510</v>
      </c>
      <c r="C1581" s="29" t="str">
        <f t="shared" si="24"/>
        <v/>
      </c>
      <c r="D1581" s="8">
        <v>0.5</v>
      </c>
      <c r="E1581" s="28" t="s">
        <v>14</v>
      </c>
      <c r="F1581" s="7" t="s">
        <v>14</v>
      </c>
      <c r="G1581" s="27" t="s">
        <v>14</v>
      </c>
      <c r="H1581" s="27" t="s">
        <v>14</v>
      </c>
    </row>
    <row r="1582" spans="2:8" x14ac:dyDescent="0.3">
      <c r="B1582" s="11">
        <v>42513</v>
      </c>
      <c r="C1582" s="29" t="str">
        <f t="shared" si="24"/>
        <v/>
      </c>
      <c r="D1582" s="8">
        <v>0.5</v>
      </c>
      <c r="E1582" s="28" t="s">
        <v>14</v>
      </c>
      <c r="F1582" s="7" t="s">
        <v>14</v>
      </c>
      <c r="G1582" s="27" t="s">
        <v>14</v>
      </c>
      <c r="H1582" s="27" t="s">
        <v>14</v>
      </c>
    </row>
    <row r="1583" spans="2:8" x14ac:dyDescent="0.3">
      <c r="B1583" s="9">
        <v>42514</v>
      </c>
      <c r="C1583" s="29" t="str">
        <f t="shared" si="24"/>
        <v/>
      </c>
      <c r="D1583" s="8">
        <v>0.5</v>
      </c>
      <c r="E1583" s="28" t="s">
        <v>14</v>
      </c>
      <c r="F1583" s="7" t="s">
        <v>14</v>
      </c>
      <c r="G1583" s="27" t="s">
        <v>14</v>
      </c>
      <c r="H1583" s="27" t="s">
        <v>14</v>
      </c>
    </row>
    <row r="1584" spans="2:8" x14ac:dyDescent="0.3">
      <c r="B1584" s="11">
        <v>42515</v>
      </c>
      <c r="C1584" s="29" t="str">
        <f t="shared" si="24"/>
        <v/>
      </c>
      <c r="D1584" s="8">
        <v>0.5</v>
      </c>
      <c r="E1584" s="28" t="s">
        <v>14</v>
      </c>
      <c r="F1584" s="7" t="s">
        <v>14</v>
      </c>
      <c r="G1584" s="27" t="s">
        <v>14</v>
      </c>
      <c r="H1584" s="27" t="s">
        <v>14</v>
      </c>
    </row>
    <row r="1585" spans="2:8" x14ac:dyDescent="0.3">
      <c r="B1585" s="9">
        <v>42517</v>
      </c>
      <c r="C1585" s="29" t="str">
        <f t="shared" si="24"/>
        <v/>
      </c>
      <c r="D1585" s="8">
        <v>0.5</v>
      </c>
      <c r="E1585" s="28" t="s">
        <v>14</v>
      </c>
      <c r="F1585" s="7" t="s">
        <v>14</v>
      </c>
      <c r="G1585" s="27" t="s">
        <v>14</v>
      </c>
      <c r="H1585" s="27" t="s">
        <v>14</v>
      </c>
    </row>
    <row r="1586" spans="2:8" x14ac:dyDescent="0.3">
      <c r="B1586" s="11">
        <v>42520</v>
      </c>
      <c r="C1586" s="29" t="str">
        <f t="shared" si="24"/>
        <v/>
      </c>
      <c r="D1586" s="8">
        <v>0.5</v>
      </c>
      <c r="E1586" s="28" t="s">
        <v>14</v>
      </c>
      <c r="F1586" s="7" t="s">
        <v>14</v>
      </c>
      <c r="G1586" s="27" t="s">
        <v>14</v>
      </c>
      <c r="H1586" s="27" t="s">
        <v>14</v>
      </c>
    </row>
    <row r="1587" spans="2:8" x14ac:dyDescent="0.3">
      <c r="B1587" s="9">
        <v>42521</v>
      </c>
      <c r="C1587" s="29" t="str">
        <f t="shared" si="24"/>
        <v/>
      </c>
      <c r="D1587" s="8">
        <v>0.5</v>
      </c>
      <c r="E1587" s="28">
        <v>0.5</v>
      </c>
      <c r="F1587" s="7" t="s">
        <v>14</v>
      </c>
      <c r="G1587" s="27" t="s">
        <v>14</v>
      </c>
      <c r="H1587" s="27" t="s">
        <v>14</v>
      </c>
    </row>
    <row r="1588" spans="2:8" x14ac:dyDescent="0.3">
      <c r="B1588" s="11">
        <v>42522</v>
      </c>
      <c r="C1588" s="29" t="str">
        <f t="shared" si="24"/>
        <v/>
      </c>
      <c r="D1588" s="8">
        <v>0.5</v>
      </c>
      <c r="E1588" s="28" t="s">
        <v>14</v>
      </c>
      <c r="F1588" s="7" t="s">
        <v>14</v>
      </c>
      <c r="G1588" s="27" t="s">
        <v>14</v>
      </c>
      <c r="H1588" s="27" t="s">
        <v>14</v>
      </c>
    </row>
    <row r="1589" spans="2:8" x14ac:dyDescent="0.3">
      <c r="B1589" s="9">
        <v>42523</v>
      </c>
      <c r="C1589" s="29" t="str">
        <f t="shared" si="24"/>
        <v/>
      </c>
      <c r="D1589" s="8">
        <v>0.5</v>
      </c>
      <c r="E1589" s="28" t="s">
        <v>14</v>
      </c>
      <c r="F1589" s="7" t="s">
        <v>14</v>
      </c>
      <c r="G1589" s="27" t="s">
        <v>14</v>
      </c>
      <c r="H1589" s="27" t="s">
        <v>14</v>
      </c>
    </row>
    <row r="1590" spans="2:8" x14ac:dyDescent="0.3">
      <c r="B1590" s="11">
        <v>42524</v>
      </c>
      <c r="C1590" s="29" t="str">
        <f t="shared" si="24"/>
        <v/>
      </c>
      <c r="D1590" s="8">
        <v>0.5</v>
      </c>
      <c r="E1590" s="28" t="s">
        <v>14</v>
      </c>
      <c r="F1590" s="7" t="s">
        <v>14</v>
      </c>
      <c r="G1590" s="27" t="s">
        <v>14</v>
      </c>
      <c r="H1590" s="27" t="s">
        <v>14</v>
      </c>
    </row>
    <row r="1591" spans="2:8" x14ac:dyDescent="0.3">
      <c r="B1591" s="9">
        <v>42527</v>
      </c>
      <c r="C1591" s="29" t="str">
        <f t="shared" si="24"/>
        <v/>
      </c>
      <c r="D1591" s="8">
        <v>0.5</v>
      </c>
      <c r="E1591" s="28" t="s">
        <v>14</v>
      </c>
      <c r="F1591" s="7" t="s">
        <v>14</v>
      </c>
      <c r="G1591" s="27" t="s">
        <v>14</v>
      </c>
      <c r="H1591" s="27" t="s">
        <v>14</v>
      </c>
    </row>
    <row r="1592" spans="2:8" x14ac:dyDescent="0.3">
      <c r="B1592" s="11">
        <v>42528</v>
      </c>
      <c r="C1592" s="29" t="str">
        <f t="shared" si="24"/>
        <v/>
      </c>
      <c r="D1592" s="8">
        <v>0.5</v>
      </c>
      <c r="E1592" s="28" t="s">
        <v>14</v>
      </c>
      <c r="F1592" s="7" t="s">
        <v>14</v>
      </c>
      <c r="G1592" s="27" t="s">
        <v>14</v>
      </c>
      <c r="H1592" s="27" t="s">
        <v>14</v>
      </c>
    </row>
    <row r="1593" spans="2:8" x14ac:dyDescent="0.3">
      <c r="B1593" s="9">
        <v>42529</v>
      </c>
      <c r="C1593" s="29" t="str">
        <f t="shared" si="24"/>
        <v/>
      </c>
      <c r="D1593" s="8">
        <v>0.5</v>
      </c>
      <c r="E1593" s="28" t="s">
        <v>14</v>
      </c>
      <c r="F1593" s="7" t="s">
        <v>14</v>
      </c>
      <c r="G1593" s="27" t="s">
        <v>14</v>
      </c>
      <c r="H1593" s="27" t="s">
        <v>14</v>
      </c>
    </row>
    <row r="1594" spans="2:8" x14ac:dyDescent="0.3">
      <c r="B1594" s="11">
        <v>42530</v>
      </c>
      <c r="C1594" s="29" t="str">
        <f t="shared" si="24"/>
        <v/>
      </c>
      <c r="D1594" s="8">
        <v>0.5</v>
      </c>
      <c r="E1594" s="28" t="s">
        <v>14</v>
      </c>
      <c r="F1594" s="7" t="s">
        <v>14</v>
      </c>
      <c r="G1594" s="27" t="s">
        <v>14</v>
      </c>
      <c r="H1594" s="27" t="s">
        <v>14</v>
      </c>
    </row>
    <row r="1595" spans="2:8" x14ac:dyDescent="0.3">
      <c r="B1595" s="9">
        <v>42531</v>
      </c>
      <c r="C1595" s="29" t="str">
        <f t="shared" si="24"/>
        <v/>
      </c>
      <c r="D1595" s="8">
        <v>0.5</v>
      </c>
      <c r="E1595" s="28" t="s">
        <v>14</v>
      </c>
      <c r="F1595" s="7" t="s">
        <v>14</v>
      </c>
      <c r="G1595" s="27" t="s">
        <v>14</v>
      </c>
      <c r="H1595" s="27" t="s">
        <v>14</v>
      </c>
    </row>
    <row r="1596" spans="2:8" x14ac:dyDescent="0.3">
      <c r="B1596" s="11">
        <v>42534</v>
      </c>
      <c r="C1596" s="29" t="str">
        <f t="shared" si="24"/>
        <v/>
      </c>
      <c r="D1596" s="8">
        <v>0.5</v>
      </c>
      <c r="E1596" s="28" t="s">
        <v>14</v>
      </c>
      <c r="F1596" s="7" t="s">
        <v>14</v>
      </c>
      <c r="G1596" s="27" t="s">
        <v>14</v>
      </c>
      <c r="H1596" s="27" t="s">
        <v>14</v>
      </c>
    </row>
    <row r="1597" spans="2:8" x14ac:dyDescent="0.3">
      <c r="B1597" s="9">
        <v>42535</v>
      </c>
      <c r="C1597" s="29" t="str">
        <f t="shared" si="24"/>
        <v/>
      </c>
      <c r="D1597" s="8">
        <v>0.5</v>
      </c>
      <c r="E1597" s="28" t="s">
        <v>14</v>
      </c>
      <c r="F1597" s="7" t="s">
        <v>14</v>
      </c>
      <c r="G1597" s="27" t="s">
        <v>14</v>
      </c>
      <c r="H1597" s="27" t="s">
        <v>14</v>
      </c>
    </row>
    <row r="1598" spans="2:8" x14ac:dyDescent="0.3">
      <c r="B1598" s="11">
        <v>42536</v>
      </c>
      <c r="C1598" s="29" t="str">
        <f t="shared" si="24"/>
        <v/>
      </c>
      <c r="D1598" s="8">
        <v>0.5</v>
      </c>
      <c r="E1598" s="28" t="s">
        <v>14</v>
      </c>
      <c r="F1598" s="7" t="s">
        <v>14</v>
      </c>
      <c r="G1598" s="27" t="s">
        <v>14</v>
      </c>
      <c r="H1598" s="27" t="s">
        <v>14</v>
      </c>
    </row>
    <row r="1599" spans="2:8" x14ac:dyDescent="0.3">
      <c r="B1599" s="9">
        <v>42537</v>
      </c>
      <c r="C1599" s="29" t="str">
        <f t="shared" si="24"/>
        <v/>
      </c>
      <c r="D1599" s="8">
        <v>0.5</v>
      </c>
      <c r="E1599" s="28" t="s">
        <v>14</v>
      </c>
      <c r="F1599" s="7" t="s">
        <v>14</v>
      </c>
      <c r="G1599" s="27" t="s">
        <v>14</v>
      </c>
      <c r="H1599" s="27" t="s">
        <v>14</v>
      </c>
    </row>
    <row r="1600" spans="2:8" x14ac:dyDescent="0.3">
      <c r="B1600" s="11">
        <v>42538</v>
      </c>
      <c r="C1600" s="29" t="str">
        <f t="shared" si="24"/>
        <v/>
      </c>
      <c r="D1600" s="8">
        <v>0.5</v>
      </c>
      <c r="E1600" s="28" t="s">
        <v>14</v>
      </c>
      <c r="F1600" s="7" t="s">
        <v>14</v>
      </c>
      <c r="G1600" s="27" t="s">
        <v>14</v>
      </c>
      <c r="H1600" s="27" t="s">
        <v>14</v>
      </c>
    </row>
    <row r="1601" spans="2:8" x14ac:dyDescent="0.3">
      <c r="B1601" s="9">
        <v>42541</v>
      </c>
      <c r="C1601" s="29" t="str">
        <f t="shared" si="24"/>
        <v/>
      </c>
      <c r="D1601" s="8">
        <v>0.5</v>
      </c>
      <c r="E1601" s="28" t="s">
        <v>14</v>
      </c>
      <c r="F1601" s="7" t="s">
        <v>14</v>
      </c>
      <c r="G1601" s="27" t="s">
        <v>14</v>
      </c>
      <c r="H1601" s="27" t="s">
        <v>14</v>
      </c>
    </row>
    <row r="1602" spans="2:8" x14ac:dyDescent="0.3">
      <c r="B1602" s="11">
        <v>42542</v>
      </c>
      <c r="C1602" s="29" t="str">
        <f t="shared" si="24"/>
        <v/>
      </c>
      <c r="D1602" s="8">
        <v>0.5</v>
      </c>
      <c r="E1602" s="28" t="s">
        <v>14</v>
      </c>
      <c r="F1602" s="7" t="s">
        <v>14</v>
      </c>
      <c r="G1602" s="27" t="s">
        <v>14</v>
      </c>
      <c r="H1602" s="27" t="s">
        <v>14</v>
      </c>
    </row>
    <row r="1603" spans="2:8" x14ac:dyDescent="0.3">
      <c r="B1603" s="9">
        <v>42543</v>
      </c>
      <c r="C1603" s="29" t="str">
        <f t="shared" ref="C1603:C1666" si="25">INDEX(D1603:H1603,MATCH($A$1,$D$1:$H$1,0))</f>
        <v/>
      </c>
      <c r="D1603" s="8">
        <v>0.5</v>
      </c>
      <c r="E1603" s="28" t="s">
        <v>14</v>
      </c>
      <c r="F1603" s="7" t="s">
        <v>14</v>
      </c>
      <c r="G1603" s="27" t="s">
        <v>14</v>
      </c>
      <c r="H1603" s="27" t="s">
        <v>14</v>
      </c>
    </row>
    <row r="1604" spans="2:8" x14ac:dyDescent="0.3">
      <c r="B1604" s="11">
        <v>42544</v>
      </c>
      <c r="C1604" s="29" t="str">
        <f t="shared" si="25"/>
        <v/>
      </c>
      <c r="D1604" s="8">
        <v>0.5</v>
      </c>
      <c r="E1604" s="28" t="s">
        <v>14</v>
      </c>
      <c r="F1604" s="7" t="s">
        <v>14</v>
      </c>
      <c r="G1604" s="27" t="s">
        <v>14</v>
      </c>
      <c r="H1604" s="27" t="s">
        <v>14</v>
      </c>
    </row>
    <row r="1605" spans="2:8" x14ac:dyDescent="0.3">
      <c r="B1605" s="9">
        <v>42545</v>
      </c>
      <c r="C1605" s="29" t="str">
        <f t="shared" si="25"/>
        <v/>
      </c>
      <c r="D1605" s="8">
        <v>0.5</v>
      </c>
      <c r="E1605" s="28" t="s">
        <v>14</v>
      </c>
      <c r="F1605" s="7" t="s">
        <v>14</v>
      </c>
      <c r="G1605" s="27" t="s">
        <v>14</v>
      </c>
      <c r="H1605" s="27" t="s">
        <v>14</v>
      </c>
    </row>
    <row r="1606" spans="2:8" x14ac:dyDescent="0.3">
      <c r="B1606" s="11">
        <v>42548</v>
      </c>
      <c r="C1606" s="29" t="str">
        <f t="shared" si="25"/>
        <v/>
      </c>
      <c r="D1606" s="8">
        <v>0.5</v>
      </c>
      <c r="E1606" s="28" t="s">
        <v>14</v>
      </c>
      <c r="F1606" s="7" t="s">
        <v>14</v>
      </c>
      <c r="G1606" s="27" t="s">
        <v>14</v>
      </c>
      <c r="H1606" s="27" t="s">
        <v>14</v>
      </c>
    </row>
    <row r="1607" spans="2:8" x14ac:dyDescent="0.3">
      <c r="B1607" s="9">
        <v>42549</v>
      </c>
      <c r="C1607" s="29" t="str">
        <f t="shared" si="25"/>
        <v/>
      </c>
      <c r="D1607" s="8">
        <v>0.5</v>
      </c>
      <c r="E1607" s="28" t="s">
        <v>14</v>
      </c>
      <c r="F1607" s="7" t="s">
        <v>14</v>
      </c>
      <c r="G1607" s="27" t="s">
        <v>14</v>
      </c>
      <c r="H1607" s="27" t="s">
        <v>14</v>
      </c>
    </row>
    <row r="1608" spans="2:8" x14ac:dyDescent="0.3">
      <c r="B1608" s="11">
        <v>42550</v>
      </c>
      <c r="C1608" s="29" t="str">
        <f t="shared" si="25"/>
        <v/>
      </c>
      <c r="D1608" s="8">
        <v>0.5</v>
      </c>
      <c r="E1608" s="28" t="s">
        <v>14</v>
      </c>
      <c r="F1608" s="7" t="s">
        <v>14</v>
      </c>
      <c r="G1608" s="27" t="s">
        <v>14</v>
      </c>
      <c r="H1608" s="27" t="s">
        <v>14</v>
      </c>
    </row>
    <row r="1609" spans="2:8" x14ac:dyDescent="0.3">
      <c r="B1609" s="9">
        <v>42551</v>
      </c>
      <c r="C1609" s="29">
        <f t="shared" si="25"/>
        <v>0</v>
      </c>
      <c r="D1609" s="8">
        <v>0.5</v>
      </c>
      <c r="E1609" s="28">
        <v>0.5</v>
      </c>
      <c r="F1609" s="7">
        <v>0.5</v>
      </c>
      <c r="G1609" s="27">
        <v>0.5</v>
      </c>
    </row>
    <row r="1610" spans="2:8" x14ac:dyDescent="0.3">
      <c r="B1610" s="11">
        <v>42552</v>
      </c>
      <c r="C1610" s="29" t="str">
        <f t="shared" si="25"/>
        <v/>
      </c>
      <c r="D1610" s="8">
        <v>0.5</v>
      </c>
      <c r="E1610" s="28" t="s">
        <v>14</v>
      </c>
      <c r="F1610" s="7" t="s">
        <v>14</v>
      </c>
      <c r="G1610" s="27" t="s">
        <v>14</v>
      </c>
      <c r="H1610" s="27" t="s">
        <v>14</v>
      </c>
    </row>
    <row r="1611" spans="2:8" x14ac:dyDescent="0.3">
      <c r="B1611" s="9">
        <v>42555</v>
      </c>
      <c r="C1611" s="29" t="str">
        <f t="shared" si="25"/>
        <v/>
      </c>
      <c r="D1611" s="8">
        <v>0.5</v>
      </c>
      <c r="E1611" s="28" t="s">
        <v>14</v>
      </c>
      <c r="F1611" s="7" t="s">
        <v>14</v>
      </c>
      <c r="G1611" s="27" t="s">
        <v>14</v>
      </c>
      <c r="H1611" s="27" t="s">
        <v>14</v>
      </c>
    </row>
    <row r="1612" spans="2:8" x14ac:dyDescent="0.3">
      <c r="B1612" s="11">
        <v>42556</v>
      </c>
      <c r="C1612" s="29" t="str">
        <f t="shared" si="25"/>
        <v/>
      </c>
      <c r="D1612" s="8">
        <v>0.5</v>
      </c>
      <c r="E1612" s="28" t="s">
        <v>14</v>
      </c>
      <c r="F1612" s="7" t="s">
        <v>14</v>
      </c>
      <c r="G1612" s="27" t="s">
        <v>14</v>
      </c>
      <c r="H1612" s="27" t="s">
        <v>14</v>
      </c>
    </row>
    <row r="1613" spans="2:8" x14ac:dyDescent="0.3">
      <c r="B1613" s="9">
        <v>42557</v>
      </c>
      <c r="C1613" s="29" t="str">
        <f t="shared" si="25"/>
        <v/>
      </c>
      <c r="D1613" s="8">
        <v>0.5</v>
      </c>
      <c r="E1613" s="28" t="s">
        <v>14</v>
      </c>
      <c r="F1613" s="7" t="s">
        <v>14</v>
      </c>
      <c r="G1613" s="27" t="s">
        <v>14</v>
      </c>
      <c r="H1613" s="27" t="s">
        <v>14</v>
      </c>
    </row>
    <row r="1614" spans="2:8" x14ac:dyDescent="0.3">
      <c r="B1614" s="11">
        <v>42558</v>
      </c>
      <c r="C1614" s="29" t="str">
        <f t="shared" si="25"/>
        <v/>
      </c>
      <c r="D1614" s="8">
        <v>0.5</v>
      </c>
      <c r="E1614" s="28" t="s">
        <v>14</v>
      </c>
      <c r="F1614" s="7" t="s">
        <v>14</v>
      </c>
      <c r="G1614" s="27" t="s">
        <v>14</v>
      </c>
      <c r="H1614" s="27" t="s">
        <v>14</v>
      </c>
    </row>
    <row r="1615" spans="2:8" x14ac:dyDescent="0.3">
      <c r="B1615" s="9">
        <v>42559</v>
      </c>
      <c r="C1615" s="29" t="str">
        <f t="shared" si="25"/>
        <v/>
      </c>
      <c r="D1615" s="8">
        <v>0.5</v>
      </c>
      <c r="E1615" s="28" t="s">
        <v>14</v>
      </c>
      <c r="F1615" s="7" t="s">
        <v>14</v>
      </c>
      <c r="G1615" s="27" t="s">
        <v>14</v>
      </c>
      <c r="H1615" s="27" t="s">
        <v>14</v>
      </c>
    </row>
    <row r="1616" spans="2:8" x14ac:dyDescent="0.3">
      <c r="B1616" s="11">
        <v>42562</v>
      </c>
      <c r="C1616" s="29" t="str">
        <f t="shared" si="25"/>
        <v/>
      </c>
      <c r="D1616" s="8">
        <v>0.5</v>
      </c>
      <c r="E1616" s="28" t="s">
        <v>14</v>
      </c>
      <c r="F1616" s="7" t="s">
        <v>14</v>
      </c>
      <c r="G1616" s="27" t="s">
        <v>14</v>
      </c>
      <c r="H1616" s="27" t="s">
        <v>14</v>
      </c>
    </row>
    <row r="1617" spans="2:8" x14ac:dyDescent="0.3">
      <c r="B1617" s="9">
        <v>42563</v>
      </c>
      <c r="C1617" s="29" t="str">
        <f t="shared" si="25"/>
        <v/>
      </c>
      <c r="D1617" s="8">
        <v>0.5</v>
      </c>
      <c r="E1617" s="28" t="s">
        <v>14</v>
      </c>
      <c r="F1617" s="7" t="s">
        <v>14</v>
      </c>
      <c r="G1617" s="27" t="s">
        <v>14</v>
      </c>
      <c r="H1617" s="27" t="s">
        <v>14</v>
      </c>
    </row>
    <row r="1618" spans="2:8" x14ac:dyDescent="0.3">
      <c r="B1618" s="11">
        <v>42564</v>
      </c>
      <c r="C1618" s="29" t="str">
        <f t="shared" si="25"/>
        <v/>
      </c>
      <c r="D1618" s="8">
        <v>0.5</v>
      </c>
      <c r="E1618" s="28" t="s">
        <v>14</v>
      </c>
      <c r="F1618" s="7" t="s">
        <v>14</v>
      </c>
      <c r="G1618" s="27" t="s">
        <v>14</v>
      </c>
      <c r="H1618" s="27" t="s">
        <v>14</v>
      </c>
    </row>
    <row r="1619" spans="2:8" x14ac:dyDescent="0.3">
      <c r="B1619" s="9">
        <v>42565</v>
      </c>
      <c r="C1619" s="29" t="str">
        <f t="shared" si="25"/>
        <v/>
      </c>
      <c r="D1619" s="8">
        <v>0.5</v>
      </c>
      <c r="E1619" s="28" t="s">
        <v>14</v>
      </c>
      <c r="F1619" s="7" t="s">
        <v>14</v>
      </c>
      <c r="G1619" s="27" t="s">
        <v>14</v>
      </c>
      <c r="H1619" s="27" t="s">
        <v>14</v>
      </c>
    </row>
    <row r="1620" spans="2:8" x14ac:dyDescent="0.3">
      <c r="B1620" s="11">
        <v>42566</v>
      </c>
      <c r="C1620" s="29" t="str">
        <f t="shared" si="25"/>
        <v/>
      </c>
      <c r="D1620" s="8">
        <v>0.5</v>
      </c>
      <c r="E1620" s="28" t="s">
        <v>14</v>
      </c>
      <c r="F1620" s="7" t="s">
        <v>14</v>
      </c>
      <c r="G1620" s="27" t="s">
        <v>14</v>
      </c>
      <c r="H1620" s="27" t="s">
        <v>14</v>
      </c>
    </row>
    <row r="1621" spans="2:8" x14ac:dyDescent="0.3">
      <c r="B1621" s="9">
        <v>42569</v>
      </c>
      <c r="C1621" s="29" t="str">
        <f t="shared" si="25"/>
        <v/>
      </c>
      <c r="D1621" s="8">
        <v>0.5</v>
      </c>
      <c r="E1621" s="28" t="s">
        <v>14</v>
      </c>
      <c r="F1621" s="7" t="s">
        <v>14</v>
      </c>
      <c r="G1621" s="27" t="s">
        <v>14</v>
      </c>
      <c r="H1621" s="27" t="s">
        <v>14</v>
      </c>
    </row>
    <row r="1622" spans="2:8" x14ac:dyDescent="0.3">
      <c r="B1622" s="11">
        <v>42570</v>
      </c>
      <c r="C1622" s="29" t="str">
        <f t="shared" si="25"/>
        <v/>
      </c>
      <c r="D1622" s="8">
        <v>0.5</v>
      </c>
      <c r="E1622" s="28" t="s">
        <v>14</v>
      </c>
      <c r="F1622" s="7" t="s">
        <v>14</v>
      </c>
      <c r="G1622" s="27" t="s">
        <v>14</v>
      </c>
      <c r="H1622" s="27" t="s">
        <v>14</v>
      </c>
    </row>
    <row r="1623" spans="2:8" x14ac:dyDescent="0.3">
      <c r="B1623" s="9">
        <v>42571</v>
      </c>
      <c r="C1623" s="29" t="str">
        <f t="shared" si="25"/>
        <v/>
      </c>
      <c r="D1623" s="8">
        <v>0.5</v>
      </c>
      <c r="E1623" s="28" t="s">
        <v>14</v>
      </c>
      <c r="F1623" s="7" t="s">
        <v>14</v>
      </c>
      <c r="G1623" s="27" t="s">
        <v>14</v>
      </c>
      <c r="H1623" s="27" t="s">
        <v>14</v>
      </c>
    </row>
    <row r="1624" spans="2:8" x14ac:dyDescent="0.3">
      <c r="B1624" s="11">
        <v>42572</v>
      </c>
      <c r="C1624" s="29" t="str">
        <f t="shared" si="25"/>
        <v/>
      </c>
      <c r="D1624" s="8">
        <v>0.5</v>
      </c>
      <c r="E1624" s="28" t="s">
        <v>14</v>
      </c>
      <c r="F1624" s="7" t="s">
        <v>14</v>
      </c>
      <c r="G1624" s="27" t="s">
        <v>14</v>
      </c>
      <c r="H1624" s="27" t="s">
        <v>14</v>
      </c>
    </row>
    <row r="1625" spans="2:8" x14ac:dyDescent="0.3">
      <c r="B1625" s="9">
        <v>42573</v>
      </c>
      <c r="C1625" s="29" t="str">
        <f t="shared" si="25"/>
        <v/>
      </c>
      <c r="D1625" s="8">
        <v>0.5</v>
      </c>
      <c r="E1625" s="28" t="s">
        <v>14</v>
      </c>
      <c r="F1625" s="7" t="s">
        <v>14</v>
      </c>
      <c r="G1625" s="27" t="s">
        <v>14</v>
      </c>
      <c r="H1625" s="27" t="s">
        <v>14</v>
      </c>
    </row>
    <row r="1626" spans="2:8" x14ac:dyDescent="0.3">
      <c r="B1626" s="11">
        <v>42576</v>
      </c>
      <c r="C1626" s="29" t="str">
        <f t="shared" si="25"/>
        <v/>
      </c>
      <c r="D1626" s="8">
        <v>0.5</v>
      </c>
      <c r="E1626" s="28" t="s">
        <v>14</v>
      </c>
      <c r="F1626" s="7" t="s">
        <v>14</v>
      </c>
      <c r="G1626" s="27" t="s">
        <v>14</v>
      </c>
      <c r="H1626" s="27" t="s">
        <v>14</v>
      </c>
    </row>
    <row r="1627" spans="2:8" x14ac:dyDescent="0.3">
      <c r="B1627" s="9">
        <v>42577</v>
      </c>
      <c r="C1627" s="29" t="str">
        <f t="shared" si="25"/>
        <v/>
      </c>
      <c r="D1627" s="8">
        <v>0.5</v>
      </c>
      <c r="E1627" s="28" t="s">
        <v>14</v>
      </c>
      <c r="F1627" s="7" t="s">
        <v>14</v>
      </c>
      <c r="G1627" s="27" t="s">
        <v>14</v>
      </c>
      <c r="H1627" s="27" t="s">
        <v>14</v>
      </c>
    </row>
    <row r="1628" spans="2:8" x14ac:dyDescent="0.3">
      <c r="B1628" s="11">
        <v>42578</v>
      </c>
      <c r="C1628" s="29" t="str">
        <f t="shared" si="25"/>
        <v/>
      </c>
      <c r="D1628" s="8">
        <v>0.5</v>
      </c>
      <c r="E1628" s="28" t="s">
        <v>14</v>
      </c>
      <c r="F1628" s="7" t="s">
        <v>14</v>
      </c>
      <c r="G1628" s="27" t="s">
        <v>14</v>
      </c>
      <c r="H1628" s="27" t="s">
        <v>14</v>
      </c>
    </row>
    <row r="1629" spans="2:8" x14ac:dyDescent="0.3">
      <c r="B1629" s="9">
        <v>42579</v>
      </c>
      <c r="C1629" s="29" t="str">
        <f t="shared" si="25"/>
        <v/>
      </c>
      <c r="D1629" s="8">
        <v>0.5</v>
      </c>
      <c r="E1629" s="28" t="s">
        <v>14</v>
      </c>
      <c r="F1629" s="7" t="s">
        <v>14</v>
      </c>
      <c r="G1629" s="27" t="s">
        <v>14</v>
      </c>
      <c r="H1629" s="27" t="s">
        <v>14</v>
      </c>
    </row>
    <row r="1630" spans="2:8" x14ac:dyDescent="0.3">
      <c r="B1630" s="11">
        <v>42580</v>
      </c>
      <c r="C1630" s="29" t="str">
        <f t="shared" si="25"/>
        <v/>
      </c>
      <c r="D1630" s="8">
        <v>0.5</v>
      </c>
      <c r="E1630" s="28">
        <v>0.5</v>
      </c>
      <c r="F1630" s="7" t="s">
        <v>14</v>
      </c>
      <c r="G1630" s="27" t="s">
        <v>14</v>
      </c>
      <c r="H1630" s="27" t="s">
        <v>14</v>
      </c>
    </row>
    <row r="1631" spans="2:8" x14ac:dyDescent="0.3">
      <c r="B1631" s="9">
        <v>42583</v>
      </c>
      <c r="C1631" s="29" t="str">
        <f t="shared" si="25"/>
        <v/>
      </c>
      <c r="D1631" s="8">
        <v>0.5</v>
      </c>
      <c r="E1631" s="28" t="s">
        <v>14</v>
      </c>
      <c r="F1631" s="7" t="s">
        <v>14</v>
      </c>
      <c r="G1631" s="27" t="s">
        <v>14</v>
      </c>
      <c r="H1631" s="27" t="s">
        <v>14</v>
      </c>
    </row>
    <row r="1632" spans="2:8" x14ac:dyDescent="0.3">
      <c r="B1632" s="11">
        <v>42584</v>
      </c>
      <c r="C1632" s="29" t="str">
        <f t="shared" si="25"/>
        <v/>
      </c>
      <c r="D1632" s="8">
        <v>0.5</v>
      </c>
      <c r="E1632" s="28" t="s">
        <v>14</v>
      </c>
      <c r="F1632" s="7" t="s">
        <v>14</v>
      </c>
      <c r="G1632" s="27" t="s">
        <v>14</v>
      </c>
      <c r="H1632" s="27" t="s">
        <v>14</v>
      </c>
    </row>
    <row r="1633" spans="2:8" x14ac:dyDescent="0.3">
      <c r="B1633" s="9">
        <v>42585</v>
      </c>
      <c r="C1633" s="29" t="str">
        <f t="shared" si="25"/>
        <v/>
      </c>
      <c r="D1633" s="8">
        <v>0.5</v>
      </c>
      <c r="E1633" s="28" t="s">
        <v>14</v>
      </c>
      <c r="F1633" s="7" t="s">
        <v>14</v>
      </c>
      <c r="G1633" s="27" t="s">
        <v>14</v>
      </c>
      <c r="H1633" s="27" t="s">
        <v>14</v>
      </c>
    </row>
    <row r="1634" spans="2:8" x14ac:dyDescent="0.3">
      <c r="B1634" s="11">
        <v>42586</v>
      </c>
      <c r="C1634" s="29" t="str">
        <f t="shared" si="25"/>
        <v/>
      </c>
      <c r="D1634" s="8">
        <v>0.5</v>
      </c>
      <c r="E1634" s="28" t="s">
        <v>14</v>
      </c>
      <c r="F1634" s="7" t="s">
        <v>14</v>
      </c>
      <c r="G1634" s="27" t="s">
        <v>14</v>
      </c>
      <c r="H1634" s="27" t="s">
        <v>14</v>
      </c>
    </row>
    <row r="1635" spans="2:8" x14ac:dyDescent="0.3">
      <c r="B1635" s="9">
        <v>42587</v>
      </c>
      <c r="C1635" s="29" t="str">
        <f t="shared" si="25"/>
        <v/>
      </c>
      <c r="D1635" s="8">
        <v>0.5</v>
      </c>
      <c r="E1635" s="28" t="s">
        <v>14</v>
      </c>
      <c r="F1635" s="7" t="s">
        <v>14</v>
      </c>
      <c r="G1635" s="27" t="s">
        <v>14</v>
      </c>
      <c r="H1635" s="27" t="s">
        <v>14</v>
      </c>
    </row>
    <row r="1636" spans="2:8" x14ac:dyDescent="0.3">
      <c r="B1636" s="11">
        <v>42590</v>
      </c>
      <c r="C1636" s="29" t="str">
        <f t="shared" si="25"/>
        <v/>
      </c>
      <c r="D1636" s="8">
        <v>0.5</v>
      </c>
      <c r="E1636" s="28" t="s">
        <v>14</v>
      </c>
      <c r="F1636" s="7" t="s">
        <v>14</v>
      </c>
      <c r="G1636" s="27" t="s">
        <v>14</v>
      </c>
      <c r="H1636" s="27" t="s">
        <v>14</v>
      </c>
    </row>
    <row r="1637" spans="2:8" x14ac:dyDescent="0.3">
      <c r="B1637" s="9">
        <v>42591</v>
      </c>
      <c r="C1637" s="29" t="str">
        <f t="shared" si="25"/>
        <v/>
      </c>
      <c r="D1637" s="8">
        <v>0.5</v>
      </c>
      <c r="E1637" s="28" t="s">
        <v>14</v>
      </c>
      <c r="F1637" s="7" t="s">
        <v>14</v>
      </c>
      <c r="G1637" s="27" t="s">
        <v>14</v>
      </c>
      <c r="H1637" s="27" t="s">
        <v>14</v>
      </c>
    </row>
    <row r="1638" spans="2:8" x14ac:dyDescent="0.3">
      <c r="B1638" s="11">
        <v>42592</v>
      </c>
      <c r="C1638" s="29" t="str">
        <f t="shared" si="25"/>
        <v/>
      </c>
      <c r="D1638" s="8">
        <v>0.5</v>
      </c>
      <c r="E1638" s="28" t="s">
        <v>14</v>
      </c>
      <c r="F1638" s="7" t="s">
        <v>14</v>
      </c>
      <c r="G1638" s="27" t="s">
        <v>14</v>
      </c>
      <c r="H1638" s="27" t="s">
        <v>14</v>
      </c>
    </row>
    <row r="1639" spans="2:8" x14ac:dyDescent="0.3">
      <c r="B1639" s="9">
        <v>42593</v>
      </c>
      <c r="C1639" s="29" t="str">
        <f t="shared" si="25"/>
        <v/>
      </c>
      <c r="D1639" s="8">
        <v>0.5</v>
      </c>
      <c r="E1639" s="28" t="s">
        <v>14</v>
      </c>
      <c r="F1639" s="7" t="s">
        <v>14</v>
      </c>
      <c r="G1639" s="27" t="s">
        <v>14</v>
      </c>
      <c r="H1639" s="27" t="s">
        <v>14</v>
      </c>
    </row>
    <row r="1640" spans="2:8" x14ac:dyDescent="0.3">
      <c r="B1640" s="11">
        <v>42594</v>
      </c>
      <c r="C1640" s="29" t="str">
        <f t="shared" si="25"/>
        <v/>
      </c>
      <c r="D1640" s="8">
        <v>0.5</v>
      </c>
      <c r="E1640" s="28" t="s">
        <v>14</v>
      </c>
      <c r="F1640" s="7" t="s">
        <v>14</v>
      </c>
      <c r="G1640" s="27" t="s">
        <v>14</v>
      </c>
      <c r="H1640" s="27" t="s">
        <v>14</v>
      </c>
    </row>
    <row r="1641" spans="2:8" x14ac:dyDescent="0.3">
      <c r="B1641" s="9">
        <v>42597</v>
      </c>
      <c r="C1641" s="29" t="str">
        <f t="shared" si="25"/>
        <v/>
      </c>
      <c r="D1641" s="8">
        <v>0.5</v>
      </c>
      <c r="E1641" s="28" t="s">
        <v>14</v>
      </c>
      <c r="F1641" s="7" t="s">
        <v>14</v>
      </c>
      <c r="G1641" s="27" t="s">
        <v>14</v>
      </c>
      <c r="H1641" s="27" t="s">
        <v>14</v>
      </c>
    </row>
    <row r="1642" spans="2:8" x14ac:dyDescent="0.3">
      <c r="B1642" s="11">
        <v>42598</v>
      </c>
      <c r="C1642" s="29" t="str">
        <f t="shared" si="25"/>
        <v/>
      </c>
      <c r="D1642" s="8">
        <v>0.5</v>
      </c>
      <c r="E1642" s="28" t="s">
        <v>14</v>
      </c>
      <c r="F1642" s="7" t="s">
        <v>14</v>
      </c>
      <c r="G1642" s="27" t="s">
        <v>14</v>
      </c>
      <c r="H1642" s="27" t="s">
        <v>14</v>
      </c>
    </row>
    <row r="1643" spans="2:8" x14ac:dyDescent="0.3">
      <c r="B1643" s="9">
        <v>42599</v>
      </c>
      <c r="C1643" s="29" t="str">
        <f t="shared" si="25"/>
        <v/>
      </c>
      <c r="D1643" s="8">
        <v>0.5</v>
      </c>
      <c r="E1643" s="28" t="s">
        <v>14</v>
      </c>
      <c r="F1643" s="7" t="s">
        <v>14</v>
      </c>
      <c r="G1643" s="27" t="s">
        <v>14</v>
      </c>
      <c r="H1643" s="27" t="s">
        <v>14</v>
      </c>
    </row>
    <row r="1644" spans="2:8" x14ac:dyDescent="0.3">
      <c r="B1644" s="11">
        <v>42600</v>
      </c>
      <c r="C1644" s="29" t="str">
        <f t="shared" si="25"/>
        <v/>
      </c>
      <c r="D1644" s="8">
        <v>0.5</v>
      </c>
      <c r="E1644" s="28" t="s">
        <v>14</v>
      </c>
      <c r="F1644" s="7" t="s">
        <v>14</v>
      </c>
      <c r="G1644" s="27" t="s">
        <v>14</v>
      </c>
      <c r="H1644" s="27" t="s">
        <v>14</v>
      </c>
    </row>
    <row r="1645" spans="2:8" x14ac:dyDescent="0.3">
      <c r="B1645" s="9">
        <v>42601</v>
      </c>
      <c r="C1645" s="29" t="str">
        <f t="shared" si="25"/>
        <v/>
      </c>
      <c r="D1645" s="8">
        <v>0.5</v>
      </c>
      <c r="E1645" s="28" t="s">
        <v>14</v>
      </c>
      <c r="F1645" s="7" t="s">
        <v>14</v>
      </c>
      <c r="G1645" s="27" t="s">
        <v>14</v>
      </c>
      <c r="H1645" s="27" t="s">
        <v>14</v>
      </c>
    </row>
    <row r="1646" spans="2:8" x14ac:dyDescent="0.3">
      <c r="B1646" s="11">
        <v>42604</v>
      </c>
      <c r="C1646" s="29" t="str">
        <f t="shared" si="25"/>
        <v/>
      </c>
      <c r="D1646" s="8">
        <v>0.5</v>
      </c>
      <c r="E1646" s="28" t="s">
        <v>14</v>
      </c>
      <c r="F1646" s="7" t="s">
        <v>14</v>
      </c>
      <c r="G1646" s="27" t="s">
        <v>14</v>
      </c>
      <c r="H1646" s="27" t="s">
        <v>14</v>
      </c>
    </row>
    <row r="1647" spans="2:8" x14ac:dyDescent="0.3">
      <c r="B1647" s="9">
        <v>42605</v>
      </c>
      <c r="C1647" s="29" t="str">
        <f t="shared" si="25"/>
        <v/>
      </c>
      <c r="D1647" s="8">
        <v>0.5</v>
      </c>
      <c r="E1647" s="28" t="s">
        <v>14</v>
      </c>
      <c r="F1647" s="7" t="s">
        <v>14</v>
      </c>
      <c r="G1647" s="27" t="s">
        <v>14</v>
      </c>
      <c r="H1647" s="27" t="s">
        <v>14</v>
      </c>
    </row>
    <row r="1648" spans="2:8" x14ac:dyDescent="0.3">
      <c r="B1648" s="11">
        <v>42606</v>
      </c>
      <c r="C1648" s="29" t="str">
        <f t="shared" si="25"/>
        <v/>
      </c>
      <c r="D1648" s="8">
        <v>0.5</v>
      </c>
      <c r="E1648" s="28" t="s">
        <v>14</v>
      </c>
      <c r="F1648" s="7" t="s">
        <v>14</v>
      </c>
      <c r="G1648" s="27" t="s">
        <v>14</v>
      </c>
      <c r="H1648" s="27" t="s">
        <v>14</v>
      </c>
    </row>
    <row r="1649" spans="2:8" x14ac:dyDescent="0.3">
      <c r="B1649" s="9">
        <v>42607</v>
      </c>
      <c r="C1649" s="29" t="str">
        <f t="shared" si="25"/>
        <v/>
      </c>
      <c r="D1649" s="8">
        <v>0.5</v>
      </c>
      <c r="E1649" s="28" t="s">
        <v>14</v>
      </c>
      <c r="F1649" s="7" t="s">
        <v>14</v>
      </c>
      <c r="G1649" s="27" t="s">
        <v>14</v>
      </c>
      <c r="H1649" s="27" t="s">
        <v>14</v>
      </c>
    </row>
    <row r="1650" spans="2:8" x14ac:dyDescent="0.3">
      <c r="B1650" s="11">
        <v>42608</v>
      </c>
      <c r="C1650" s="29" t="str">
        <f t="shared" si="25"/>
        <v/>
      </c>
      <c r="D1650" s="8">
        <v>0.5</v>
      </c>
      <c r="E1650" s="28" t="s">
        <v>14</v>
      </c>
      <c r="F1650" s="7" t="s">
        <v>14</v>
      </c>
      <c r="G1650" s="27" t="s">
        <v>14</v>
      </c>
      <c r="H1650" s="27" t="s">
        <v>14</v>
      </c>
    </row>
    <row r="1651" spans="2:8" x14ac:dyDescent="0.3">
      <c r="B1651" s="9">
        <v>42611</v>
      </c>
      <c r="C1651" s="29" t="str">
        <f t="shared" si="25"/>
        <v/>
      </c>
      <c r="D1651" s="8">
        <v>0.5</v>
      </c>
      <c r="E1651" s="28" t="s">
        <v>14</v>
      </c>
      <c r="F1651" s="7" t="s">
        <v>14</v>
      </c>
      <c r="G1651" s="27" t="s">
        <v>14</v>
      </c>
      <c r="H1651" s="27" t="s">
        <v>14</v>
      </c>
    </row>
    <row r="1652" spans="2:8" x14ac:dyDescent="0.3">
      <c r="B1652" s="11">
        <v>42612</v>
      </c>
      <c r="C1652" s="29" t="str">
        <f t="shared" si="25"/>
        <v/>
      </c>
      <c r="D1652" s="8">
        <v>0.5</v>
      </c>
      <c r="E1652" s="28" t="s">
        <v>14</v>
      </c>
      <c r="F1652" s="7" t="s">
        <v>14</v>
      </c>
      <c r="G1652" s="27" t="s">
        <v>14</v>
      </c>
      <c r="H1652" s="27" t="s">
        <v>14</v>
      </c>
    </row>
    <row r="1653" spans="2:8" x14ac:dyDescent="0.3">
      <c r="B1653" s="9">
        <v>42613</v>
      </c>
      <c r="C1653" s="29" t="str">
        <f t="shared" si="25"/>
        <v/>
      </c>
      <c r="D1653" s="8">
        <v>0.5</v>
      </c>
      <c r="E1653" s="28">
        <v>0.5</v>
      </c>
      <c r="F1653" s="7" t="s">
        <v>14</v>
      </c>
      <c r="G1653" s="27" t="s">
        <v>14</v>
      </c>
      <c r="H1653" s="27" t="s">
        <v>14</v>
      </c>
    </row>
    <row r="1654" spans="2:8" x14ac:dyDescent="0.3">
      <c r="B1654" s="11">
        <v>42614</v>
      </c>
      <c r="C1654" s="29" t="str">
        <f t="shared" si="25"/>
        <v/>
      </c>
      <c r="D1654" s="8">
        <v>0.5</v>
      </c>
      <c r="E1654" s="28" t="s">
        <v>14</v>
      </c>
      <c r="F1654" s="7" t="s">
        <v>14</v>
      </c>
      <c r="G1654" s="27" t="s">
        <v>14</v>
      </c>
      <c r="H1654" s="27" t="s">
        <v>14</v>
      </c>
    </row>
    <row r="1655" spans="2:8" x14ac:dyDescent="0.3">
      <c r="B1655" s="9">
        <v>42615</v>
      </c>
      <c r="C1655" s="29" t="str">
        <f t="shared" si="25"/>
        <v/>
      </c>
      <c r="D1655" s="8">
        <v>0.5</v>
      </c>
      <c r="E1655" s="28" t="s">
        <v>14</v>
      </c>
      <c r="F1655" s="7" t="s">
        <v>14</v>
      </c>
      <c r="G1655" s="27" t="s">
        <v>14</v>
      </c>
      <c r="H1655" s="27" t="s">
        <v>14</v>
      </c>
    </row>
    <row r="1656" spans="2:8" x14ac:dyDescent="0.3">
      <c r="B1656" s="11">
        <v>42618</v>
      </c>
      <c r="C1656" s="29" t="str">
        <f t="shared" si="25"/>
        <v/>
      </c>
      <c r="D1656" s="8">
        <v>0.5</v>
      </c>
      <c r="E1656" s="28" t="s">
        <v>14</v>
      </c>
      <c r="F1656" s="7" t="s">
        <v>14</v>
      </c>
      <c r="G1656" s="27" t="s">
        <v>14</v>
      </c>
      <c r="H1656" s="27" t="s">
        <v>14</v>
      </c>
    </row>
    <row r="1657" spans="2:8" x14ac:dyDescent="0.3">
      <c r="B1657" s="9">
        <v>42619</v>
      </c>
      <c r="C1657" s="29" t="str">
        <f t="shared" si="25"/>
        <v/>
      </c>
      <c r="D1657" s="8">
        <v>0.5</v>
      </c>
      <c r="E1657" s="28" t="s">
        <v>14</v>
      </c>
      <c r="F1657" s="7" t="s">
        <v>14</v>
      </c>
      <c r="G1657" s="27" t="s">
        <v>14</v>
      </c>
      <c r="H1657" s="27" t="s">
        <v>14</v>
      </c>
    </row>
    <row r="1658" spans="2:8" x14ac:dyDescent="0.3">
      <c r="B1658" s="11">
        <v>42621</v>
      </c>
      <c r="C1658" s="29" t="str">
        <f t="shared" si="25"/>
        <v/>
      </c>
      <c r="D1658" s="8">
        <v>0.5</v>
      </c>
      <c r="E1658" s="28" t="s">
        <v>14</v>
      </c>
      <c r="F1658" s="7" t="s">
        <v>14</v>
      </c>
      <c r="G1658" s="27" t="s">
        <v>14</v>
      </c>
      <c r="H1658" s="27" t="s">
        <v>14</v>
      </c>
    </row>
    <row r="1659" spans="2:8" x14ac:dyDescent="0.3">
      <c r="B1659" s="9">
        <v>42622</v>
      </c>
      <c r="C1659" s="29" t="str">
        <f t="shared" si="25"/>
        <v/>
      </c>
      <c r="D1659" s="8">
        <v>0.5</v>
      </c>
      <c r="E1659" s="28" t="s">
        <v>14</v>
      </c>
      <c r="F1659" s="7" t="s">
        <v>14</v>
      </c>
      <c r="G1659" s="27" t="s">
        <v>14</v>
      </c>
      <c r="H1659" s="27" t="s">
        <v>14</v>
      </c>
    </row>
    <row r="1660" spans="2:8" x14ac:dyDescent="0.3">
      <c r="B1660" s="11">
        <v>42625</v>
      </c>
      <c r="C1660" s="29" t="str">
        <f t="shared" si="25"/>
        <v/>
      </c>
      <c r="D1660" s="8">
        <v>0.5</v>
      </c>
      <c r="E1660" s="28" t="s">
        <v>14</v>
      </c>
      <c r="F1660" s="7" t="s">
        <v>14</v>
      </c>
      <c r="G1660" s="27" t="s">
        <v>14</v>
      </c>
      <c r="H1660" s="27" t="s">
        <v>14</v>
      </c>
    </row>
    <row r="1661" spans="2:8" x14ac:dyDescent="0.3">
      <c r="B1661" s="9">
        <v>42626</v>
      </c>
      <c r="C1661" s="29" t="str">
        <f t="shared" si="25"/>
        <v/>
      </c>
      <c r="D1661" s="8">
        <v>0.5</v>
      </c>
      <c r="E1661" s="28" t="s">
        <v>14</v>
      </c>
      <c r="F1661" s="7" t="s">
        <v>14</v>
      </c>
      <c r="G1661" s="27" t="s">
        <v>14</v>
      </c>
      <c r="H1661" s="27" t="s">
        <v>14</v>
      </c>
    </row>
    <row r="1662" spans="2:8" x14ac:dyDescent="0.3">
      <c r="B1662" s="11">
        <v>42627</v>
      </c>
      <c r="C1662" s="29" t="str">
        <f t="shared" si="25"/>
        <v/>
      </c>
      <c r="D1662" s="8">
        <v>0.5</v>
      </c>
      <c r="E1662" s="28" t="s">
        <v>14</v>
      </c>
      <c r="F1662" s="7" t="s">
        <v>14</v>
      </c>
      <c r="G1662" s="27" t="s">
        <v>14</v>
      </c>
      <c r="H1662" s="27" t="s">
        <v>14</v>
      </c>
    </row>
    <row r="1663" spans="2:8" x14ac:dyDescent="0.3">
      <c r="B1663" s="9">
        <v>42628</v>
      </c>
      <c r="C1663" s="29" t="str">
        <f t="shared" si="25"/>
        <v/>
      </c>
      <c r="D1663" s="8">
        <v>0.5</v>
      </c>
      <c r="E1663" s="28" t="s">
        <v>14</v>
      </c>
      <c r="F1663" s="7" t="s">
        <v>14</v>
      </c>
      <c r="G1663" s="27" t="s">
        <v>14</v>
      </c>
      <c r="H1663" s="27" t="s">
        <v>14</v>
      </c>
    </row>
    <row r="1664" spans="2:8" x14ac:dyDescent="0.3">
      <c r="B1664" s="11">
        <v>42629</v>
      </c>
      <c r="C1664" s="29" t="str">
        <f t="shared" si="25"/>
        <v/>
      </c>
      <c r="D1664" s="8">
        <v>0.5</v>
      </c>
      <c r="E1664" s="28" t="s">
        <v>14</v>
      </c>
      <c r="F1664" s="7" t="s">
        <v>14</v>
      </c>
      <c r="G1664" s="27" t="s">
        <v>14</v>
      </c>
      <c r="H1664" s="27" t="s">
        <v>14</v>
      </c>
    </row>
    <row r="1665" spans="2:8" x14ac:dyDescent="0.3">
      <c r="B1665" s="9">
        <v>42632</v>
      </c>
      <c r="C1665" s="29" t="str">
        <f t="shared" si="25"/>
        <v/>
      </c>
      <c r="D1665" s="8">
        <v>0.5</v>
      </c>
      <c r="E1665" s="28" t="s">
        <v>14</v>
      </c>
      <c r="F1665" s="7" t="s">
        <v>14</v>
      </c>
      <c r="G1665" s="27" t="s">
        <v>14</v>
      </c>
      <c r="H1665" s="27" t="s">
        <v>14</v>
      </c>
    </row>
    <row r="1666" spans="2:8" x14ac:dyDescent="0.3">
      <c r="B1666" s="11">
        <v>42633</v>
      </c>
      <c r="C1666" s="29" t="str">
        <f t="shared" si="25"/>
        <v/>
      </c>
      <c r="D1666" s="8">
        <v>0.5</v>
      </c>
      <c r="E1666" s="28" t="s">
        <v>14</v>
      </c>
      <c r="F1666" s="7" t="s">
        <v>14</v>
      </c>
      <c r="G1666" s="27" t="s">
        <v>14</v>
      </c>
      <c r="H1666" s="27" t="s">
        <v>14</v>
      </c>
    </row>
    <row r="1667" spans="2:8" x14ac:dyDescent="0.3">
      <c r="B1667" s="9">
        <v>42634</v>
      </c>
      <c r="C1667" s="29" t="str">
        <f t="shared" ref="C1667:C1730" si="26">INDEX(D1667:H1667,MATCH($A$1,$D$1:$H$1,0))</f>
        <v/>
      </c>
      <c r="D1667" s="8">
        <v>0.5</v>
      </c>
      <c r="E1667" s="28" t="s">
        <v>14</v>
      </c>
      <c r="F1667" s="7" t="s">
        <v>14</v>
      </c>
      <c r="G1667" s="27" t="s">
        <v>14</v>
      </c>
      <c r="H1667" s="27" t="s">
        <v>14</v>
      </c>
    </row>
    <row r="1668" spans="2:8" x14ac:dyDescent="0.3">
      <c r="B1668" s="11">
        <v>42635</v>
      </c>
      <c r="C1668" s="29" t="str">
        <f t="shared" si="26"/>
        <v/>
      </c>
      <c r="D1668" s="8">
        <v>0.5</v>
      </c>
      <c r="E1668" s="28" t="s">
        <v>14</v>
      </c>
      <c r="F1668" s="7" t="s">
        <v>14</v>
      </c>
      <c r="G1668" s="27" t="s">
        <v>14</v>
      </c>
      <c r="H1668" s="27" t="s">
        <v>14</v>
      </c>
    </row>
    <row r="1669" spans="2:8" x14ac:dyDescent="0.3">
      <c r="B1669" s="9">
        <v>42636</v>
      </c>
      <c r="C1669" s="29" t="str">
        <f t="shared" si="26"/>
        <v/>
      </c>
      <c r="D1669" s="8">
        <v>0.5</v>
      </c>
      <c r="E1669" s="28" t="s">
        <v>14</v>
      </c>
      <c r="F1669" s="7" t="s">
        <v>14</v>
      </c>
      <c r="G1669" s="27" t="s">
        <v>14</v>
      </c>
      <c r="H1669" s="27" t="s">
        <v>14</v>
      </c>
    </row>
    <row r="1670" spans="2:8" x14ac:dyDescent="0.3">
      <c r="B1670" s="11">
        <v>42639</v>
      </c>
      <c r="C1670" s="29" t="str">
        <f t="shared" si="26"/>
        <v/>
      </c>
      <c r="D1670" s="8">
        <v>0.5</v>
      </c>
      <c r="E1670" s="28" t="s">
        <v>14</v>
      </c>
      <c r="F1670" s="7" t="s">
        <v>14</v>
      </c>
      <c r="G1670" s="27" t="s">
        <v>14</v>
      </c>
      <c r="H1670" s="27" t="s">
        <v>14</v>
      </c>
    </row>
    <row r="1671" spans="2:8" x14ac:dyDescent="0.3">
      <c r="B1671" s="9">
        <v>42640</v>
      </c>
      <c r="C1671" s="29" t="str">
        <f t="shared" si="26"/>
        <v/>
      </c>
      <c r="D1671" s="8">
        <v>0.5</v>
      </c>
      <c r="E1671" s="28" t="s">
        <v>14</v>
      </c>
      <c r="F1671" s="7" t="s">
        <v>14</v>
      </c>
      <c r="G1671" s="27" t="s">
        <v>14</v>
      </c>
      <c r="H1671" s="27" t="s">
        <v>14</v>
      </c>
    </row>
    <row r="1672" spans="2:8" x14ac:dyDescent="0.3">
      <c r="B1672" s="11">
        <v>42641</v>
      </c>
      <c r="C1672" s="29" t="str">
        <f t="shared" si="26"/>
        <v/>
      </c>
      <c r="D1672" s="8">
        <v>0.5</v>
      </c>
      <c r="E1672" s="28" t="s">
        <v>14</v>
      </c>
      <c r="F1672" s="7" t="s">
        <v>14</v>
      </c>
      <c r="G1672" s="27" t="s">
        <v>14</v>
      </c>
      <c r="H1672" s="27" t="s">
        <v>14</v>
      </c>
    </row>
    <row r="1673" spans="2:8" x14ac:dyDescent="0.3">
      <c r="B1673" s="9">
        <v>42642</v>
      </c>
      <c r="C1673" s="29" t="str">
        <f t="shared" si="26"/>
        <v/>
      </c>
      <c r="D1673" s="8">
        <v>0.5</v>
      </c>
      <c r="E1673" s="28" t="s">
        <v>14</v>
      </c>
      <c r="F1673" s="7" t="s">
        <v>14</v>
      </c>
      <c r="G1673" s="27" t="s">
        <v>14</v>
      </c>
      <c r="H1673" s="27" t="s">
        <v>14</v>
      </c>
    </row>
    <row r="1674" spans="2:8" x14ac:dyDescent="0.3">
      <c r="B1674" s="11">
        <v>42643</v>
      </c>
      <c r="C1674" s="29">
        <f t="shared" si="26"/>
        <v>0</v>
      </c>
      <c r="D1674" s="8">
        <v>0.5</v>
      </c>
      <c r="E1674" s="28">
        <v>0.5</v>
      </c>
      <c r="F1674" s="7">
        <v>0.5</v>
      </c>
    </row>
    <row r="1675" spans="2:8" x14ac:dyDescent="0.3">
      <c r="B1675" s="9">
        <v>42646</v>
      </c>
      <c r="C1675" s="29" t="str">
        <f t="shared" si="26"/>
        <v/>
      </c>
      <c r="D1675" s="8">
        <v>0.5</v>
      </c>
      <c r="E1675" s="28" t="s">
        <v>14</v>
      </c>
      <c r="F1675" s="7" t="s">
        <v>14</v>
      </c>
      <c r="G1675" s="27" t="s">
        <v>14</v>
      </c>
      <c r="H1675" s="27" t="s">
        <v>14</v>
      </c>
    </row>
    <row r="1676" spans="2:8" x14ac:dyDescent="0.3">
      <c r="B1676" s="11">
        <v>42647</v>
      </c>
      <c r="C1676" s="29" t="str">
        <f t="shared" si="26"/>
        <v/>
      </c>
      <c r="D1676" s="8">
        <v>0.5</v>
      </c>
      <c r="E1676" s="28" t="s">
        <v>14</v>
      </c>
      <c r="F1676" s="7" t="s">
        <v>14</v>
      </c>
      <c r="G1676" s="27" t="s">
        <v>14</v>
      </c>
      <c r="H1676" s="27" t="s">
        <v>14</v>
      </c>
    </row>
    <row r="1677" spans="2:8" x14ac:dyDescent="0.3">
      <c r="B1677" s="9">
        <v>42648</v>
      </c>
      <c r="C1677" s="29" t="str">
        <f t="shared" si="26"/>
        <v/>
      </c>
      <c r="D1677" s="8">
        <v>0.5</v>
      </c>
      <c r="E1677" s="28" t="s">
        <v>14</v>
      </c>
      <c r="F1677" s="7" t="s">
        <v>14</v>
      </c>
      <c r="G1677" s="27" t="s">
        <v>14</v>
      </c>
      <c r="H1677" s="27" t="s">
        <v>14</v>
      </c>
    </row>
    <row r="1678" spans="2:8" x14ac:dyDescent="0.3">
      <c r="B1678" s="11">
        <v>42649</v>
      </c>
      <c r="C1678" s="29" t="str">
        <f t="shared" si="26"/>
        <v/>
      </c>
      <c r="D1678" s="8">
        <v>0.5</v>
      </c>
      <c r="E1678" s="28" t="s">
        <v>14</v>
      </c>
      <c r="F1678" s="7" t="s">
        <v>14</v>
      </c>
      <c r="G1678" s="27" t="s">
        <v>14</v>
      </c>
      <c r="H1678" s="27" t="s">
        <v>14</v>
      </c>
    </row>
    <row r="1679" spans="2:8" x14ac:dyDescent="0.3">
      <c r="B1679" s="9">
        <v>42650</v>
      </c>
      <c r="C1679" s="29" t="str">
        <f t="shared" si="26"/>
        <v/>
      </c>
      <c r="D1679" s="8">
        <v>0.5</v>
      </c>
      <c r="E1679" s="28" t="s">
        <v>14</v>
      </c>
      <c r="F1679" s="7" t="s">
        <v>14</v>
      </c>
      <c r="G1679" s="27" t="s">
        <v>14</v>
      </c>
      <c r="H1679" s="27" t="s">
        <v>14</v>
      </c>
    </row>
    <row r="1680" spans="2:8" x14ac:dyDescent="0.3">
      <c r="B1680" s="11">
        <v>42653</v>
      </c>
      <c r="C1680" s="29" t="str">
        <f t="shared" si="26"/>
        <v/>
      </c>
      <c r="D1680" s="8">
        <v>0.5</v>
      </c>
      <c r="E1680" s="28" t="s">
        <v>14</v>
      </c>
      <c r="F1680" s="7" t="s">
        <v>14</v>
      </c>
      <c r="G1680" s="27" t="s">
        <v>14</v>
      </c>
      <c r="H1680" s="27" t="s">
        <v>14</v>
      </c>
    </row>
    <row r="1681" spans="2:8" x14ac:dyDescent="0.3">
      <c r="B1681" s="9">
        <v>42654</v>
      </c>
      <c r="C1681" s="29" t="str">
        <f t="shared" si="26"/>
        <v/>
      </c>
      <c r="D1681" s="8">
        <v>0.5</v>
      </c>
      <c r="E1681" s="28" t="s">
        <v>14</v>
      </c>
      <c r="F1681" s="7" t="s">
        <v>14</v>
      </c>
      <c r="G1681" s="27" t="s">
        <v>14</v>
      </c>
      <c r="H1681" s="27" t="s">
        <v>14</v>
      </c>
    </row>
    <row r="1682" spans="2:8" x14ac:dyDescent="0.3">
      <c r="B1682" s="11">
        <v>42656</v>
      </c>
      <c r="C1682" s="29" t="str">
        <f t="shared" si="26"/>
        <v/>
      </c>
      <c r="D1682" s="8">
        <v>0.5</v>
      </c>
      <c r="E1682" s="28" t="s">
        <v>14</v>
      </c>
      <c r="F1682" s="7" t="s">
        <v>14</v>
      </c>
      <c r="G1682" s="27" t="s">
        <v>14</v>
      </c>
      <c r="H1682" s="27" t="s">
        <v>14</v>
      </c>
    </row>
    <row r="1683" spans="2:8" x14ac:dyDescent="0.3">
      <c r="B1683" s="9">
        <v>42657</v>
      </c>
      <c r="C1683" s="29" t="str">
        <f t="shared" si="26"/>
        <v/>
      </c>
      <c r="D1683" s="8">
        <v>0.5</v>
      </c>
      <c r="E1683" s="28" t="s">
        <v>14</v>
      </c>
      <c r="F1683" s="7" t="s">
        <v>14</v>
      </c>
      <c r="G1683" s="27" t="s">
        <v>14</v>
      </c>
      <c r="H1683" s="27" t="s">
        <v>14</v>
      </c>
    </row>
    <row r="1684" spans="2:8" x14ac:dyDescent="0.3">
      <c r="B1684" s="11">
        <v>42660</v>
      </c>
      <c r="C1684" s="29" t="str">
        <f t="shared" si="26"/>
        <v/>
      </c>
      <c r="D1684" s="8">
        <v>0.5</v>
      </c>
      <c r="E1684" s="28" t="s">
        <v>14</v>
      </c>
      <c r="F1684" s="7" t="s">
        <v>14</v>
      </c>
      <c r="G1684" s="27" t="s">
        <v>14</v>
      </c>
      <c r="H1684" s="27" t="s">
        <v>14</v>
      </c>
    </row>
    <row r="1685" spans="2:8" x14ac:dyDescent="0.3">
      <c r="B1685" s="9">
        <v>42661</v>
      </c>
      <c r="C1685" s="29" t="str">
        <f t="shared" si="26"/>
        <v/>
      </c>
      <c r="D1685" s="8">
        <v>0.5</v>
      </c>
      <c r="E1685" s="28" t="s">
        <v>14</v>
      </c>
      <c r="F1685" s="7" t="s">
        <v>14</v>
      </c>
      <c r="G1685" s="27" t="s">
        <v>14</v>
      </c>
      <c r="H1685" s="27" t="s">
        <v>14</v>
      </c>
    </row>
    <row r="1686" spans="2:8" x14ac:dyDescent="0.3">
      <c r="B1686" s="11">
        <v>42662</v>
      </c>
      <c r="C1686" s="29" t="str">
        <f t="shared" si="26"/>
        <v/>
      </c>
      <c r="D1686" s="8">
        <v>0.5</v>
      </c>
      <c r="E1686" s="28" t="s">
        <v>14</v>
      </c>
      <c r="F1686" s="7" t="s">
        <v>14</v>
      </c>
      <c r="G1686" s="27" t="s">
        <v>14</v>
      </c>
      <c r="H1686" s="27" t="s">
        <v>14</v>
      </c>
    </row>
    <row r="1687" spans="2:8" x14ac:dyDescent="0.3">
      <c r="B1687" s="9">
        <v>42663</v>
      </c>
      <c r="C1687" s="29" t="str">
        <f t="shared" si="26"/>
        <v/>
      </c>
      <c r="D1687" s="8">
        <v>0.5</v>
      </c>
      <c r="E1687" s="28" t="s">
        <v>14</v>
      </c>
      <c r="F1687" s="7" t="s">
        <v>14</v>
      </c>
      <c r="G1687" s="27" t="s">
        <v>14</v>
      </c>
      <c r="H1687" s="27" t="s">
        <v>14</v>
      </c>
    </row>
    <row r="1688" spans="2:8" x14ac:dyDescent="0.3">
      <c r="B1688" s="11">
        <v>42664</v>
      </c>
      <c r="C1688" s="29" t="str">
        <f t="shared" si="26"/>
        <v/>
      </c>
      <c r="D1688" s="8">
        <v>0.5</v>
      </c>
      <c r="E1688" s="28" t="s">
        <v>14</v>
      </c>
      <c r="F1688" s="7" t="s">
        <v>14</v>
      </c>
      <c r="G1688" s="27" t="s">
        <v>14</v>
      </c>
      <c r="H1688" s="27" t="s">
        <v>14</v>
      </c>
    </row>
    <row r="1689" spans="2:8" x14ac:dyDescent="0.3">
      <c r="B1689" s="9">
        <v>42667</v>
      </c>
      <c r="C1689" s="29" t="str">
        <f t="shared" si="26"/>
        <v/>
      </c>
      <c r="D1689" s="8">
        <v>0.5</v>
      </c>
      <c r="E1689" s="28" t="s">
        <v>14</v>
      </c>
      <c r="F1689" s="7" t="s">
        <v>14</v>
      </c>
      <c r="G1689" s="27" t="s">
        <v>14</v>
      </c>
      <c r="H1689" s="27" t="s">
        <v>14</v>
      </c>
    </row>
    <row r="1690" spans="2:8" x14ac:dyDescent="0.3">
      <c r="B1690" s="11">
        <v>42668</v>
      </c>
      <c r="C1690" s="29" t="str">
        <f t="shared" si="26"/>
        <v/>
      </c>
      <c r="D1690" s="8">
        <v>0.5</v>
      </c>
      <c r="E1690" s="28" t="s">
        <v>14</v>
      </c>
      <c r="F1690" s="7" t="s">
        <v>14</v>
      </c>
      <c r="G1690" s="27" t="s">
        <v>14</v>
      </c>
      <c r="H1690" s="27" t="s">
        <v>14</v>
      </c>
    </row>
    <row r="1691" spans="2:8" x14ac:dyDescent="0.3">
      <c r="B1691" s="9">
        <v>42669</v>
      </c>
      <c r="C1691" s="29" t="str">
        <f t="shared" si="26"/>
        <v/>
      </c>
      <c r="D1691" s="8">
        <v>0.5</v>
      </c>
      <c r="E1691" s="28" t="s">
        <v>14</v>
      </c>
      <c r="F1691" s="7" t="s">
        <v>14</v>
      </c>
      <c r="G1691" s="27" t="s">
        <v>14</v>
      </c>
      <c r="H1691" s="27" t="s">
        <v>14</v>
      </c>
    </row>
    <row r="1692" spans="2:8" x14ac:dyDescent="0.3">
      <c r="B1692" s="11">
        <v>42670</v>
      </c>
      <c r="C1692" s="29" t="str">
        <f t="shared" si="26"/>
        <v/>
      </c>
      <c r="D1692" s="8">
        <v>0.5</v>
      </c>
      <c r="E1692" s="28" t="s">
        <v>14</v>
      </c>
      <c r="F1692" s="7" t="s">
        <v>14</v>
      </c>
      <c r="G1692" s="27" t="s">
        <v>14</v>
      </c>
      <c r="H1692" s="27" t="s">
        <v>14</v>
      </c>
    </row>
    <row r="1693" spans="2:8" x14ac:dyDescent="0.3">
      <c r="B1693" s="9">
        <v>42671</v>
      </c>
      <c r="C1693" s="29" t="str">
        <f t="shared" si="26"/>
        <v/>
      </c>
      <c r="D1693" s="8">
        <v>0.5</v>
      </c>
      <c r="E1693" s="28" t="s">
        <v>14</v>
      </c>
      <c r="F1693" s="7" t="s">
        <v>14</v>
      </c>
      <c r="G1693" s="27" t="s">
        <v>14</v>
      </c>
      <c r="H1693" s="27" t="s">
        <v>14</v>
      </c>
    </row>
    <row r="1694" spans="2:8" x14ac:dyDescent="0.3">
      <c r="B1694" s="11">
        <v>42674</v>
      </c>
      <c r="C1694" s="29" t="str">
        <f t="shared" si="26"/>
        <v/>
      </c>
      <c r="D1694" s="8">
        <v>0.5</v>
      </c>
      <c r="E1694" s="28">
        <v>0.5</v>
      </c>
      <c r="F1694" s="7" t="s">
        <v>14</v>
      </c>
      <c r="G1694" s="27" t="s">
        <v>14</v>
      </c>
      <c r="H1694" s="27" t="s">
        <v>14</v>
      </c>
    </row>
    <row r="1695" spans="2:8" x14ac:dyDescent="0.3">
      <c r="B1695" s="9">
        <v>42675</v>
      </c>
      <c r="C1695" s="29" t="str">
        <f t="shared" si="26"/>
        <v/>
      </c>
      <c r="D1695" s="8">
        <v>0.5</v>
      </c>
      <c r="E1695" s="28" t="s">
        <v>14</v>
      </c>
      <c r="F1695" s="7" t="s">
        <v>14</v>
      </c>
      <c r="G1695" s="27" t="s">
        <v>14</v>
      </c>
      <c r="H1695" s="27" t="s">
        <v>14</v>
      </c>
    </row>
    <row r="1696" spans="2:8" x14ac:dyDescent="0.3">
      <c r="B1696" s="11">
        <v>42677</v>
      </c>
      <c r="C1696" s="29" t="str">
        <f t="shared" si="26"/>
        <v/>
      </c>
      <c r="D1696" s="8">
        <v>0.5</v>
      </c>
      <c r="E1696" s="28" t="s">
        <v>14</v>
      </c>
      <c r="F1696" s="7" t="s">
        <v>14</v>
      </c>
      <c r="G1696" s="27" t="s">
        <v>14</v>
      </c>
      <c r="H1696" s="27" t="s">
        <v>14</v>
      </c>
    </row>
    <row r="1697" spans="2:8" x14ac:dyDescent="0.3">
      <c r="B1697" s="9">
        <v>42678</v>
      </c>
      <c r="C1697" s="29" t="str">
        <f t="shared" si="26"/>
        <v/>
      </c>
      <c r="D1697" s="8">
        <v>0.5</v>
      </c>
      <c r="E1697" s="28" t="s">
        <v>14</v>
      </c>
      <c r="F1697" s="7" t="s">
        <v>14</v>
      </c>
      <c r="G1697" s="27" t="s">
        <v>14</v>
      </c>
      <c r="H1697" s="27" t="s">
        <v>14</v>
      </c>
    </row>
    <row r="1698" spans="2:8" x14ac:dyDescent="0.3">
      <c r="B1698" s="11">
        <v>42681</v>
      </c>
      <c r="C1698" s="29" t="str">
        <f t="shared" si="26"/>
        <v/>
      </c>
      <c r="D1698" s="8">
        <v>0.5</v>
      </c>
      <c r="E1698" s="28" t="s">
        <v>14</v>
      </c>
      <c r="F1698" s="7" t="s">
        <v>14</v>
      </c>
      <c r="G1698" s="27" t="s">
        <v>14</v>
      </c>
      <c r="H1698" s="27" t="s">
        <v>14</v>
      </c>
    </row>
    <row r="1699" spans="2:8" x14ac:dyDescent="0.3">
      <c r="B1699" s="9">
        <v>42682</v>
      </c>
      <c r="C1699" s="29" t="str">
        <f t="shared" si="26"/>
        <v/>
      </c>
      <c r="D1699" s="8">
        <v>0.5</v>
      </c>
      <c r="E1699" s="28" t="s">
        <v>14</v>
      </c>
      <c r="F1699" s="7" t="s">
        <v>14</v>
      </c>
      <c r="G1699" s="27" t="s">
        <v>14</v>
      </c>
      <c r="H1699" s="27" t="s">
        <v>14</v>
      </c>
    </row>
    <row r="1700" spans="2:8" x14ac:dyDescent="0.3">
      <c r="B1700" s="11">
        <v>42683</v>
      </c>
      <c r="C1700" s="29" t="str">
        <f t="shared" si="26"/>
        <v/>
      </c>
      <c r="D1700" s="8">
        <v>0.5</v>
      </c>
      <c r="E1700" s="28" t="s">
        <v>14</v>
      </c>
      <c r="F1700" s="7" t="s">
        <v>14</v>
      </c>
      <c r="G1700" s="27" t="s">
        <v>14</v>
      </c>
      <c r="H1700" s="27" t="s">
        <v>14</v>
      </c>
    </row>
    <row r="1701" spans="2:8" x14ac:dyDescent="0.3">
      <c r="B1701" s="9">
        <v>42684</v>
      </c>
      <c r="C1701" s="29" t="str">
        <f t="shared" si="26"/>
        <v/>
      </c>
      <c r="D1701" s="8">
        <v>0.5</v>
      </c>
      <c r="E1701" s="28" t="s">
        <v>14</v>
      </c>
      <c r="F1701" s="7" t="s">
        <v>14</v>
      </c>
      <c r="G1701" s="27" t="s">
        <v>14</v>
      </c>
      <c r="H1701" s="27" t="s">
        <v>14</v>
      </c>
    </row>
    <row r="1702" spans="2:8" x14ac:dyDescent="0.3">
      <c r="B1702" s="11">
        <v>42685</v>
      </c>
      <c r="C1702" s="29" t="str">
        <f t="shared" si="26"/>
        <v/>
      </c>
      <c r="D1702" s="8">
        <v>0.5</v>
      </c>
      <c r="E1702" s="28" t="s">
        <v>14</v>
      </c>
      <c r="F1702" s="7" t="s">
        <v>14</v>
      </c>
      <c r="G1702" s="27" t="s">
        <v>14</v>
      </c>
      <c r="H1702" s="27" t="s">
        <v>14</v>
      </c>
    </row>
    <row r="1703" spans="2:8" x14ac:dyDescent="0.3">
      <c r="B1703" s="9">
        <v>42688</v>
      </c>
      <c r="C1703" s="29" t="str">
        <f t="shared" si="26"/>
        <v/>
      </c>
      <c r="D1703" s="8">
        <v>0.5</v>
      </c>
      <c r="E1703" s="28" t="s">
        <v>14</v>
      </c>
      <c r="F1703" s="7" t="s">
        <v>14</v>
      </c>
      <c r="G1703" s="27" t="s">
        <v>14</v>
      </c>
      <c r="H1703" s="27" t="s">
        <v>14</v>
      </c>
    </row>
    <row r="1704" spans="2:8" x14ac:dyDescent="0.3">
      <c r="B1704" s="11">
        <v>42690</v>
      </c>
      <c r="C1704" s="29" t="str">
        <f t="shared" si="26"/>
        <v/>
      </c>
      <c r="D1704" s="8">
        <v>0.5</v>
      </c>
      <c r="E1704" s="28" t="s">
        <v>14</v>
      </c>
      <c r="F1704" s="7" t="s">
        <v>14</v>
      </c>
      <c r="G1704" s="27" t="s">
        <v>14</v>
      </c>
      <c r="H1704" s="27" t="s">
        <v>14</v>
      </c>
    </row>
    <row r="1705" spans="2:8" x14ac:dyDescent="0.3">
      <c r="B1705" s="9">
        <v>42691</v>
      </c>
      <c r="C1705" s="29" t="str">
        <f t="shared" si="26"/>
        <v/>
      </c>
      <c r="D1705" s="8">
        <v>0.5</v>
      </c>
      <c r="E1705" s="28" t="s">
        <v>14</v>
      </c>
      <c r="F1705" s="7" t="s">
        <v>14</v>
      </c>
      <c r="G1705" s="27" t="s">
        <v>14</v>
      </c>
      <c r="H1705" s="27" t="s">
        <v>14</v>
      </c>
    </row>
    <row r="1706" spans="2:8" x14ac:dyDescent="0.3">
      <c r="B1706" s="11">
        <v>42692</v>
      </c>
      <c r="C1706" s="29" t="str">
        <f t="shared" si="26"/>
        <v/>
      </c>
      <c r="D1706" s="8">
        <v>0.5</v>
      </c>
      <c r="E1706" s="28" t="s">
        <v>14</v>
      </c>
      <c r="F1706" s="7" t="s">
        <v>14</v>
      </c>
      <c r="G1706" s="27" t="s">
        <v>14</v>
      </c>
      <c r="H1706" s="27" t="s">
        <v>14</v>
      </c>
    </row>
    <row r="1707" spans="2:8" x14ac:dyDescent="0.3">
      <c r="B1707" s="9">
        <v>42695</v>
      </c>
      <c r="C1707" s="29" t="str">
        <f t="shared" si="26"/>
        <v/>
      </c>
      <c r="D1707" s="8">
        <v>0.5</v>
      </c>
      <c r="E1707" s="28" t="s">
        <v>14</v>
      </c>
      <c r="F1707" s="7" t="s">
        <v>14</v>
      </c>
      <c r="G1707" s="27" t="s">
        <v>14</v>
      </c>
      <c r="H1707" s="27" t="s">
        <v>14</v>
      </c>
    </row>
    <row r="1708" spans="2:8" x14ac:dyDescent="0.3">
      <c r="B1708" s="11">
        <v>42696</v>
      </c>
      <c r="C1708" s="29" t="str">
        <f t="shared" si="26"/>
        <v/>
      </c>
      <c r="D1708" s="8">
        <v>0.5</v>
      </c>
      <c r="E1708" s="28" t="s">
        <v>14</v>
      </c>
      <c r="F1708" s="7" t="s">
        <v>14</v>
      </c>
      <c r="G1708" s="27" t="s">
        <v>14</v>
      </c>
      <c r="H1708" s="27" t="s">
        <v>14</v>
      </c>
    </row>
    <row r="1709" spans="2:8" x14ac:dyDescent="0.3">
      <c r="B1709" s="9">
        <v>42697</v>
      </c>
      <c r="C1709" s="29" t="str">
        <f t="shared" si="26"/>
        <v/>
      </c>
      <c r="D1709" s="8">
        <v>0.5</v>
      </c>
      <c r="E1709" s="28" t="s">
        <v>14</v>
      </c>
      <c r="F1709" s="7" t="s">
        <v>14</v>
      </c>
      <c r="G1709" s="27" t="s">
        <v>14</v>
      </c>
      <c r="H1709" s="27" t="s">
        <v>14</v>
      </c>
    </row>
    <row r="1710" spans="2:8" x14ac:dyDescent="0.3">
      <c r="B1710" s="11">
        <v>42698</v>
      </c>
      <c r="C1710" s="29" t="str">
        <f t="shared" si="26"/>
        <v/>
      </c>
      <c r="D1710" s="8">
        <v>0.5</v>
      </c>
      <c r="E1710" s="28" t="s">
        <v>14</v>
      </c>
      <c r="F1710" s="7" t="s">
        <v>14</v>
      </c>
      <c r="G1710" s="27" t="s">
        <v>14</v>
      </c>
      <c r="H1710" s="27" t="s">
        <v>14</v>
      </c>
    </row>
    <row r="1711" spans="2:8" x14ac:dyDescent="0.3">
      <c r="B1711" s="9">
        <v>42699</v>
      </c>
      <c r="C1711" s="29" t="str">
        <f t="shared" si="26"/>
        <v/>
      </c>
      <c r="D1711" s="8">
        <v>0.5</v>
      </c>
      <c r="E1711" s="28" t="s">
        <v>14</v>
      </c>
      <c r="F1711" s="7" t="s">
        <v>14</v>
      </c>
      <c r="G1711" s="27" t="s">
        <v>14</v>
      </c>
      <c r="H1711" s="27" t="s">
        <v>14</v>
      </c>
    </row>
    <row r="1712" spans="2:8" x14ac:dyDescent="0.3">
      <c r="B1712" s="11">
        <v>42702</v>
      </c>
      <c r="C1712" s="29" t="str">
        <f t="shared" si="26"/>
        <v/>
      </c>
      <c r="D1712" s="8">
        <v>0.5</v>
      </c>
      <c r="E1712" s="28" t="s">
        <v>14</v>
      </c>
      <c r="F1712" s="7" t="s">
        <v>14</v>
      </c>
      <c r="G1712" s="27" t="s">
        <v>14</v>
      </c>
      <c r="H1712" s="27" t="s">
        <v>14</v>
      </c>
    </row>
    <row r="1713" spans="2:8" x14ac:dyDescent="0.3">
      <c r="B1713" s="9">
        <v>42703</v>
      </c>
      <c r="C1713" s="29" t="str">
        <f t="shared" si="26"/>
        <v/>
      </c>
      <c r="D1713" s="8">
        <v>0.5</v>
      </c>
      <c r="E1713" s="28" t="s">
        <v>14</v>
      </c>
      <c r="F1713" s="7" t="s">
        <v>14</v>
      </c>
      <c r="G1713" s="27" t="s">
        <v>14</v>
      </c>
      <c r="H1713" s="27" t="s">
        <v>14</v>
      </c>
    </row>
    <row r="1714" spans="2:8" x14ac:dyDescent="0.3">
      <c r="B1714" s="11">
        <v>42704</v>
      </c>
      <c r="C1714" s="29" t="str">
        <f t="shared" si="26"/>
        <v/>
      </c>
      <c r="D1714" s="8">
        <v>0.5</v>
      </c>
      <c r="E1714" s="28">
        <v>0.5</v>
      </c>
      <c r="F1714" s="7" t="s">
        <v>14</v>
      </c>
      <c r="G1714" s="27" t="s">
        <v>14</v>
      </c>
      <c r="H1714" s="27" t="s">
        <v>14</v>
      </c>
    </row>
    <row r="1715" spans="2:8" x14ac:dyDescent="0.3">
      <c r="B1715" s="9">
        <v>42705</v>
      </c>
      <c r="C1715" s="29" t="str">
        <f t="shared" si="26"/>
        <v/>
      </c>
      <c r="D1715" s="8">
        <v>0.5</v>
      </c>
      <c r="E1715" s="28" t="s">
        <v>14</v>
      </c>
      <c r="F1715" s="7" t="s">
        <v>14</v>
      </c>
      <c r="G1715" s="27" t="s">
        <v>14</v>
      </c>
      <c r="H1715" s="27" t="s">
        <v>14</v>
      </c>
    </row>
    <row r="1716" spans="2:8" x14ac:dyDescent="0.3">
      <c r="B1716" s="11">
        <v>42706</v>
      </c>
      <c r="C1716" s="29" t="str">
        <f t="shared" si="26"/>
        <v/>
      </c>
      <c r="D1716" s="8">
        <v>0.5</v>
      </c>
      <c r="E1716" s="28" t="s">
        <v>14</v>
      </c>
      <c r="F1716" s="7" t="s">
        <v>14</v>
      </c>
      <c r="G1716" s="27" t="s">
        <v>14</v>
      </c>
      <c r="H1716" s="27" t="s">
        <v>14</v>
      </c>
    </row>
    <row r="1717" spans="2:8" x14ac:dyDescent="0.3">
      <c r="B1717" s="9">
        <v>42709</v>
      </c>
      <c r="C1717" s="29" t="str">
        <f t="shared" si="26"/>
        <v/>
      </c>
      <c r="D1717" s="8">
        <v>0.5</v>
      </c>
      <c r="E1717" s="28" t="s">
        <v>14</v>
      </c>
      <c r="F1717" s="7" t="s">
        <v>14</v>
      </c>
      <c r="G1717" s="27" t="s">
        <v>14</v>
      </c>
      <c r="H1717" s="27" t="s">
        <v>14</v>
      </c>
    </row>
    <row r="1718" spans="2:8" x14ac:dyDescent="0.3">
      <c r="B1718" s="11">
        <v>42710</v>
      </c>
      <c r="C1718" s="29" t="str">
        <f t="shared" si="26"/>
        <v/>
      </c>
      <c r="D1718" s="8">
        <v>0.5</v>
      </c>
      <c r="E1718" s="28" t="s">
        <v>14</v>
      </c>
      <c r="F1718" s="7" t="s">
        <v>14</v>
      </c>
      <c r="G1718" s="27" t="s">
        <v>14</v>
      </c>
      <c r="H1718" s="27" t="s">
        <v>14</v>
      </c>
    </row>
    <row r="1719" spans="2:8" x14ac:dyDescent="0.3">
      <c r="B1719" s="9">
        <v>42711</v>
      </c>
      <c r="C1719" s="29" t="str">
        <f t="shared" si="26"/>
        <v/>
      </c>
      <c r="D1719" s="8">
        <v>0.5</v>
      </c>
      <c r="E1719" s="28" t="s">
        <v>14</v>
      </c>
      <c r="F1719" s="7" t="s">
        <v>14</v>
      </c>
      <c r="G1719" s="27" t="s">
        <v>14</v>
      </c>
      <c r="H1719" s="27" t="s">
        <v>14</v>
      </c>
    </row>
    <row r="1720" spans="2:8" x14ac:dyDescent="0.3">
      <c r="B1720" s="11">
        <v>42712</v>
      </c>
      <c r="C1720" s="29" t="str">
        <f t="shared" si="26"/>
        <v/>
      </c>
      <c r="D1720" s="8">
        <v>0.5</v>
      </c>
      <c r="E1720" s="28" t="s">
        <v>14</v>
      </c>
      <c r="F1720" s="7" t="s">
        <v>14</v>
      </c>
      <c r="G1720" s="27" t="s">
        <v>14</v>
      </c>
      <c r="H1720" s="27" t="s">
        <v>14</v>
      </c>
    </row>
    <row r="1721" spans="2:8" x14ac:dyDescent="0.3">
      <c r="B1721" s="9">
        <v>42713</v>
      </c>
      <c r="C1721" s="29" t="str">
        <f t="shared" si="26"/>
        <v/>
      </c>
      <c r="D1721" s="8">
        <v>0.5</v>
      </c>
      <c r="E1721" s="28" t="s">
        <v>14</v>
      </c>
      <c r="F1721" s="7" t="s">
        <v>14</v>
      </c>
      <c r="G1721" s="27" t="s">
        <v>14</v>
      </c>
      <c r="H1721" s="27" t="s">
        <v>14</v>
      </c>
    </row>
    <row r="1722" spans="2:8" x14ac:dyDescent="0.3">
      <c r="B1722" s="11">
        <v>42716</v>
      </c>
      <c r="C1722" s="29" t="str">
        <f t="shared" si="26"/>
        <v/>
      </c>
      <c r="D1722" s="8">
        <v>0.5</v>
      </c>
      <c r="E1722" s="28" t="s">
        <v>14</v>
      </c>
      <c r="F1722" s="7" t="s">
        <v>14</v>
      </c>
      <c r="G1722" s="27" t="s">
        <v>14</v>
      </c>
      <c r="H1722" s="27" t="s">
        <v>14</v>
      </c>
    </row>
    <row r="1723" spans="2:8" x14ac:dyDescent="0.3">
      <c r="B1723" s="9">
        <v>42717</v>
      </c>
      <c r="C1723" s="29" t="str">
        <f t="shared" si="26"/>
        <v/>
      </c>
      <c r="D1723" s="8">
        <v>0.5</v>
      </c>
      <c r="E1723" s="28" t="s">
        <v>14</v>
      </c>
      <c r="F1723" s="7" t="s">
        <v>14</v>
      </c>
      <c r="G1723" s="27" t="s">
        <v>14</v>
      </c>
      <c r="H1723" s="27" t="s">
        <v>14</v>
      </c>
    </row>
    <row r="1724" spans="2:8" x14ac:dyDescent="0.3">
      <c r="B1724" s="11">
        <v>42718</v>
      </c>
      <c r="C1724" s="29" t="str">
        <f t="shared" si="26"/>
        <v/>
      </c>
      <c r="D1724" s="8">
        <v>0.5</v>
      </c>
      <c r="E1724" s="28" t="s">
        <v>14</v>
      </c>
      <c r="F1724" s="7" t="s">
        <v>14</v>
      </c>
      <c r="G1724" s="27" t="s">
        <v>14</v>
      </c>
      <c r="H1724" s="27" t="s">
        <v>14</v>
      </c>
    </row>
    <row r="1725" spans="2:8" x14ac:dyDescent="0.3">
      <c r="B1725" s="9">
        <v>42719</v>
      </c>
      <c r="C1725" s="29" t="str">
        <f t="shared" si="26"/>
        <v/>
      </c>
      <c r="D1725" s="8">
        <v>0.5</v>
      </c>
      <c r="E1725" s="28" t="s">
        <v>14</v>
      </c>
      <c r="F1725" s="7" t="s">
        <v>14</v>
      </c>
      <c r="G1725" s="27" t="s">
        <v>14</v>
      </c>
      <c r="H1725" s="27" t="s">
        <v>14</v>
      </c>
    </row>
    <row r="1726" spans="2:8" x14ac:dyDescent="0.3">
      <c r="B1726" s="11">
        <v>42720</v>
      </c>
      <c r="C1726" s="29" t="str">
        <f t="shared" si="26"/>
        <v/>
      </c>
      <c r="D1726" s="8">
        <v>0.5</v>
      </c>
      <c r="E1726" s="28" t="s">
        <v>14</v>
      </c>
      <c r="F1726" s="7" t="s">
        <v>14</v>
      </c>
      <c r="G1726" s="27" t="s">
        <v>14</v>
      </c>
      <c r="H1726" s="27" t="s">
        <v>14</v>
      </c>
    </row>
    <row r="1727" spans="2:8" x14ac:dyDescent="0.3">
      <c r="B1727" s="9">
        <v>42723</v>
      </c>
      <c r="C1727" s="29" t="str">
        <f t="shared" si="26"/>
        <v/>
      </c>
      <c r="D1727" s="8">
        <v>0.5</v>
      </c>
      <c r="E1727" s="28" t="s">
        <v>14</v>
      </c>
      <c r="F1727" s="7" t="s">
        <v>14</v>
      </c>
      <c r="G1727" s="27" t="s">
        <v>14</v>
      </c>
      <c r="H1727" s="27" t="s">
        <v>14</v>
      </c>
    </row>
    <row r="1728" spans="2:8" x14ac:dyDescent="0.3">
      <c r="B1728" s="11">
        <v>42724</v>
      </c>
      <c r="C1728" s="29" t="str">
        <f t="shared" si="26"/>
        <v/>
      </c>
      <c r="D1728" s="8">
        <v>0.5</v>
      </c>
      <c r="E1728" s="28" t="s">
        <v>14</v>
      </c>
      <c r="F1728" s="7" t="s">
        <v>14</v>
      </c>
      <c r="G1728" s="27" t="s">
        <v>14</v>
      </c>
      <c r="H1728" s="27" t="s">
        <v>14</v>
      </c>
    </row>
    <row r="1729" spans="2:8" x14ac:dyDescent="0.3">
      <c r="B1729" s="9">
        <v>42725</v>
      </c>
      <c r="C1729" s="29" t="str">
        <f t="shared" si="26"/>
        <v/>
      </c>
      <c r="D1729" s="8">
        <v>0.5</v>
      </c>
      <c r="E1729" s="28" t="s">
        <v>14</v>
      </c>
      <c r="F1729" s="7" t="s">
        <v>14</v>
      </c>
      <c r="G1729" s="27" t="s">
        <v>14</v>
      </c>
      <c r="H1729" s="27" t="s">
        <v>14</v>
      </c>
    </row>
    <row r="1730" spans="2:8" x14ac:dyDescent="0.3">
      <c r="B1730" s="11">
        <v>42726</v>
      </c>
      <c r="C1730" s="29" t="str">
        <f t="shared" si="26"/>
        <v/>
      </c>
      <c r="D1730" s="8">
        <v>0.5</v>
      </c>
      <c r="E1730" s="28" t="s">
        <v>14</v>
      </c>
      <c r="F1730" s="7" t="s">
        <v>14</v>
      </c>
      <c r="G1730" s="27" t="s">
        <v>14</v>
      </c>
      <c r="H1730" s="27" t="s">
        <v>14</v>
      </c>
    </row>
    <row r="1731" spans="2:8" x14ac:dyDescent="0.3">
      <c r="B1731" s="9">
        <v>42727</v>
      </c>
      <c r="C1731" s="29" t="str">
        <f t="shared" ref="C1731:C1794" si="27">INDEX(D1731:H1731,MATCH($A$1,$D$1:$H$1,0))</f>
        <v/>
      </c>
      <c r="D1731" s="8">
        <v>0.5</v>
      </c>
      <c r="E1731" s="28" t="s">
        <v>14</v>
      </c>
      <c r="F1731" s="7" t="s">
        <v>14</v>
      </c>
      <c r="G1731" s="27" t="s">
        <v>14</v>
      </c>
      <c r="H1731" s="27" t="s">
        <v>14</v>
      </c>
    </row>
    <row r="1732" spans="2:8" x14ac:dyDescent="0.3">
      <c r="B1732" s="11">
        <v>42730</v>
      </c>
      <c r="C1732" s="29" t="str">
        <f t="shared" si="27"/>
        <v/>
      </c>
      <c r="D1732" s="8">
        <v>0.5</v>
      </c>
      <c r="E1732" s="28" t="s">
        <v>14</v>
      </c>
      <c r="F1732" s="7" t="s">
        <v>14</v>
      </c>
      <c r="G1732" s="27" t="s">
        <v>14</v>
      </c>
      <c r="H1732" s="27" t="s">
        <v>14</v>
      </c>
    </row>
    <row r="1733" spans="2:8" x14ac:dyDescent="0.3">
      <c r="B1733" s="9">
        <v>42731</v>
      </c>
      <c r="C1733" s="29" t="str">
        <f t="shared" si="27"/>
        <v/>
      </c>
      <c r="D1733" s="8">
        <v>0.5</v>
      </c>
      <c r="E1733" s="28" t="s">
        <v>14</v>
      </c>
      <c r="F1733" s="7" t="s">
        <v>14</v>
      </c>
      <c r="G1733" s="27" t="s">
        <v>14</v>
      </c>
      <c r="H1733" s="27" t="s">
        <v>14</v>
      </c>
    </row>
    <row r="1734" spans="2:8" x14ac:dyDescent="0.3">
      <c r="B1734" s="11">
        <v>42732</v>
      </c>
      <c r="C1734" s="29" t="str">
        <f t="shared" si="27"/>
        <v/>
      </c>
      <c r="D1734" s="8">
        <v>0.5</v>
      </c>
      <c r="E1734" s="28" t="s">
        <v>14</v>
      </c>
      <c r="F1734" s="7" t="s">
        <v>14</v>
      </c>
      <c r="G1734" s="27" t="s">
        <v>14</v>
      </c>
      <c r="H1734" s="27" t="s">
        <v>14</v>
      </c>
    </row>
    <row r="1735" spans="2:8" x14ac:dyDescent="0.3">
      <c r="B1735" s="9">
        <v>42733</v>
      </c>
      <c r="C1735" s="29">
        <f t="shared" si="27"/>
        <v>0.5</v>
      </c>
      <c r="D1735" s="8">
        <v>0.5</v>
      </c>
      <c r="E1735" s="28">
        <v>0.5</v>
      </c>
      <c r="F1735" s="7">
        <v>0.5</v>
      </c>
      <c r="G1735" s="27">
        <v>0.5</v>
      </c>
      <c r="H1735" s="27">
        <v>0.5</v>
      </c>
    </row>
    <row r="1736" spans="2:8" x14ac:dyDescent="0.3">
      <c r="B1736" s="11">
        <v>42737</v>
      </c>
      <c r="C1736" s="29" t="str">
        <f t="shared" si="27"/>
        <v/>
      </c>
      <c r="D1736" s="8">
        <v>0.5</v>
      </c>
      <c r="E1736" s="28" t="s">
        <v>14</v>
      </c>
      <c r="F1736" s="7" t="s">
        <v>14</v>
      </c>
      <c r="G1736" s="27" t="s">
        <v>14</v>
      </c>
      <c r="H1736" s="27" t="s">
        <v>14</v>
      </c>
    </row>
    <row r="1737" spans="2:8" x14ac:dyDescent="0.3">
      <c r="B1737" s="9">
        <v>42738</v>
      </c>
      <c r="C1737" s="29" t="str">
        <f t="shared" si="27"/>
        <v/>
      </c>
      <c r="D1737" s="8">
        <v>0.5</v>
      </c>
      <c r="E1737" s="28" t="s">
        <v>14</v>
      </c>
      <c r="F1737" s="7" t="s">
        <v>14</v>
      </c>
      <c r="G1737" s="27" t="s">
        <v>14</v>
      </c>
      <c r="H1737" s="27" t="s">
        <v>14</v>
      </c>
    </row>
    <row r="1738" spans="2:8" x14ac:dyDescent="0.3">
      <c r="B1738" s="11">
        <v>42739</v>
      </c>
      <c r="C1738" s="29" t="str">
        <f t="shared" si="27"/>
        <v/>
      </c>
      <c r="D1738" s="8">
        <v>0.5</v>
      </c>
      <c r="E1738" s="28" t="s">
        <v>14</v>
      </c>
      <c r="F1738" s="7" t="s">
        <v>14</v>
      </c>
      <c r="G1738" s="27" t="s">
        <v>14</v>
      </c>
      <c r="H1738" s="27" t="s">
        <v>14</v>
      </c>
    </row>
    <row r="1739" spans="2:8" x14ac:dyDescent="0.3">
      <c r="B1739" s="9">
        <v>42740</v>
      </c>
      <c r="C1739" s="29" t="str">
        <f t="shared" si="27"/>
        <v/>
      </c>
      <c r="D1739" s="8">
        <v>0.5</v>
      </c>
      <c r="E1739" s="28" t="s">
        <v>14</v>
      </c>
      <c r="F1739" s="7" t="s">
        <v>14</v>
      </c>
      <c r="G1739" s="27" t="s">
        <v>14</v>
      </c>
      <c r="H1739" s="27" t="s">
        <v>14</v>
      </c>
    </row>
    <row r="1740" spans="2:8" x14ac:dyDescent="0.3">
      <c r="B1740" s="11">
        <v>42741</v>
      </c>
      <c r="C1740" s="29" t="str">
        <f t="shared" si="27"/>
        <v/>
      </c>
      <c r="D1740" s="8">
        <v>0.5</v>
      </c>
      <c r="E1740" s="28" t="s">
        <v>14</v>
      </c>
      <c r="F1740" s="7" t="s">
        <v>14</v>
      </c>
      <c r="G1740" s="27" t="s">
        <v>14</v>
      </c>
      <c r="H1740" s="27" t="s">
        <v>14</v>
      </c>
    </row>
    <row r="1741" spans="2:8" x14ac:dyDescent="0.3">
      <c r="B1741" s="9">
        <v>42744</v>
      </c>
      <c r="C1741" s="29" t="str">
        <f t="shared" si="27"/>
        <v/>
      </c>
      <c r="D1741" s="8">
        <v>0.5</v>
      </c>
      <c r="E1741" s="28" t="s">
        <v>14</v>
      </c>
      <c r="F1741" s="7" t="s">
        <v>14</v>
      </c>
      <c r="G1741" s="27" t="s">
        <v>14</v>
      </c>
      <c r="H1741" s="27" t="s">
        <v>14</v>
      </c>
    </row>
    <row r="1742" spans="2:8" x14ac:dyDescent="0.3">
      <c r="B1742" s="11">
        <v>42745</v>
      </c>
      <c r="C1742" s="29" t="str">
        <f t="shared" si="27"/>
        <v/>
      </c>
      <c r="D1742" s="8">
        <v>0.5</v>
      </c>
      <c r="E1742" s="28" t="s">
        <v>14</v>
      </c>
      <c r="F1742" s="7" t="s">
        <v>14</v>
      </c>
      <c r="G1742" s="27" t="s">
        <v>14</v>
      </c>
      <c r="H1742" s="27" t="s">
        <v>14</v>
      </c>
    </row>
    <row r="1743" spans="2:8" x14ac:dyDescent="0.3">
      <c r="B1743" s="9">
        <v>42746</v>
      </c>
      <c r="C1743" s="29" t="str">
        <f t="shared" si="27"/>
        <v/>
      </c>
      <c r="D1743" s="8">
        <v>0.5</v>
      </c>
      <c r="E1743" s="28" t="s">
        <v>14</v>
      </c>
      <c r="F1743" s="7" t="s">
        <v>14</v>
      </c>
      <c r="G1743" s="27" t="s">
        <v>14</v>
      </c>
      <c r="H1743" s="27" t="s">
        <v>14</v>
      </c>
    </row>
    <row r="1744" spans="2:8" x14ac:dyDescent="0.3">
      <c r="B1744" s="11">
        <v>42747</v>
      </c>
      <c r="C1744" s="29" t="str">
        <f t="shared" si="27"/>
        <v/>
      </c>
      <c r="D1744" s="8">
        <v>0.5</v>
      </c>
      <c r="E1744" s="28" t="s">
        <v>14</v>
      </c>
      <c r="F1744" s="7" t="s">
        <v>14</v>
      </c>
      <c r="G1744" s="27" t="s">
        <v>14</v>
      </c>
      <c r="H1744" s="27" t="s">
        <v>14</v>
      </c>
    </row>
    <row r="1745" spans="2:8" x14ac:dyDescent="0.3">
      <c r="B1745" s="9">
        <v>42748</v>
      </c>
      <c r="C1745" s="29" t="str">
        <f t="shared" si="27"/>
        <v/>
      </c>
      <c r="D1745" s="8">
        <v>0.5</v>
      </c>
      <c r="E1745" s="28" t="s">
        <v>14</v>
      </c>
      <c r="F1745" s="7" t="s">
        <v>14</v>
      </c>
      <c r="G1745" s="27" t="s">
        <v>14</v>
      </c>
      <c r="H1745" s="27" t="s">
        <v>14</v>
      </c>
    </row>
    <row r="1746" spans="2:8" x14ac:dyDescent="0.3">
      <c r="B1746" s="11">
        <v>42751</v>
      </c>
      <c r="C1746" s="29" t="str">
        <f t="shared" si="27"/>
        <v/>
      </c>
      <c r="D1746" s="8">
        <v>0.5</v>
      </c>
      <c r="E1746" s="28" t="s">
        <v>14</v>
      </c>
      <c r="F1746" s="7" t="s">
        <v>14</v>
      </c>
      <c r="G1746" s="27" t="s">
        <v>14</v>
      </c>
      <c r="H1746" s="27" t="s">
        <v>14</v>
      </c>
    </row>
    <row r="1747" spans="2:8" x14ac:dyDescent="0.3">
      <c r="B1747" s="9">
        <v>42752</v>
      </c>
      <c r="C1747" s="29" t="str">
        <f t="shared" si="27"/>
        <v/>
      </c>
      <c r="D1747" s="8">
        <v>0.5</v>
      </c>
      <c r="E1747" s="28" t="s">
        <v>14</v>
      </c>
      <c r="F1747" s="7" t="s">
        <v>14</v>
      </c>
      <c r="G1747" s="27" t="s">
        <v>14</v>
      </c>
      <c r="H1747" s="27" t="s">
        <v>14</v>
      </c>
    </row>
    <row r="1748" spans="2:8" x14ac:dyDescent="0.3">
      <c r="B1748" s="11">
        <v>42753</v>
      </c>
      <c r="C1748" s="29" t="str">
        <f t="shared" si="27"/>
        <v/>
      </c>
      <c r="D1748" s="8">
        <v>0.5</v>
      </c>
      <c r="E1748" s="28" t="s">
        <v>14</v>
      </c>
      <c r="F1748" s="7" t="s">
        <v>14</v>
      </c>
      <c r="G1748" s="27" t="s">
        <v>14</v>
      </c>
      <c r="H1748" s="27" t="s">
        <v>14</v>
      </c>
    </row>
    <row r="1749" spans="2:8" x14ac:dyDescent="0.3">
      <c r="B1749" s="9">
        <v>42754</v>
      </c>
      <c r="C1749" s="29" t="str">
        <f t="shared" si="27"/>
        <v/>
      </c>
      <c r="D1749" s="8">
        <v>0.5</v>
      </c>
      <c r="E1749" s="28" t="s">
        <v>14</v>
      </c>
      <c r="F1749" s="7" t="s">
        <v>14</v>
      </c>
      <c r="G1749" s="27" t="s">
        <v>14</v>
      </c>
      <c r="H1749" s="27" t="s">
        <v>14</v>
      </c>
    </row>
    <row r="1750" spans="2:8" x14ac:dyDescent="0.3">
      <c r="B1750" s="11">
        <v>42755</v>
      </c>
      <c r="C1750" s="29" t="str">
        <f t="shared" si="27"/>
        <v/>
      </c>
      <c r="D1750" s="8">
        <v>0.5</v>
      </c>
      <c r="E1750" s="28" t="s">
        <v>14</v>
      </c>
      <c r="F1750" s="7" t="s">
        <v>14</v>
      </c>
      <c r="G1750" s="27" t="s">
        <v>14</v>
      </c>
      <c r="H1750" s="27" t="s">
        <v>14</v>
      </c>
    </row>
    <row r="1751" spans="2:8" x14ac:dyDescent="0.3">
      <c r="B1751" s="9">
        <v>42758</v>
      </c>
      <c r="C1751" s="29" t="str">
        <f t="shared" si="27"/>
        <v/>
      </c>
      <c r="D1751" s="8">
        <v>0.5</v>
      </c>
      <c r="E1751" s="28" t="s">
        <v>14</v>
      </c>
      <c r="F1751" s="7" t="s">
        <v>14</v>
      </c>
      <c r="G1751" s="27" t="s">
        <v>14</v>
      </c>
      <c r="H1751" s="27" t="s">
        <v>14</v>
      </c>
    </row>
    <row r="1752" spans="2:8" x14ac:dyDescent="0.3">
      <c r="B1752" s="11">
        <v>42759</v>
      </c>
      <c r="C1752" s="29" t="str">
        <f t="shared" si="27"/>
        <v/>
      </c>
      <c r="D1752" s="8">
        <v>0.5</v>
      </c>
      <c r="E1752" s="28" t="s">
        <v>14</v>
      </c>
      <c r="F1752" s="7" t="s">
        <v>14</v>
      </c>
      <c r="G1752" s="27" t="s">
        <v>14</v>
      </c>
      <c r="H1752" s="27" t="s">
        <v>14</v>
      </c>
    </row>
    <row r="1753" spans="2:8" x14ac:dyDescent="0.3">
      <c r="B1753" s="9">
        <v>42761</v>
      </c>
      <c r="C1753" s="29" t="str">
        <f t="shared" si="27"/>
        <v/>
      </c>
      <c r="D1753" s="8">
        <v>0.5</v>
      </c>
      <c r="E1753" s="28" t="s">
        <v>14</v>
      </c>
      <c r="F1753" s="7" t="s">
        <v>14</v>
      </c>
      <c r="G1753" s="27" t="s">
        <v>14</v>
      </c>
      <c r="H1753" s="27" t="s">
        <v>14</v>
      </c>
    </row>
    <row r="1754" spans="2:8" x14ac:dyDescent="0.3">
      <c r="B1754" s="11">
        <v>42762</v>
      </c>
      <c r="C1754" s="29" t="str">
        <f t="shared" si="27"/>
        <v/>
      </c>
      <c r="D1754" s="8">
        <v>0.5</v>
      </c>
      <c r="E1754" s="28" t="s">
        <v>14</v>
      </c>
      <c r="F1754" s="7" t="s">
        <v>14</v>
      </c>
      <c r="G1754" s="27" t="s">
        <v>14</v>
      </c>
      <c r="H1754" s="27" t="s">
        <v>14</v>
      </c>
    </row>
    <row r="1755" spans="2:8" x14ac:dyDescent="0.3">
      <c r="B1755" s="9">
        <v>42765</v>
      </c>
      <c r="C1755" s="29" t="str">
        <f t="shared" si="27"/>
        <v/>
      </c>
      <c r="D1755" s="8">
        <v>0.5</v>
      </c>
      <c r="E1755" s="28" t="s">
        <v>14</v>
      </c>
      <c r="F1755" s="7" t="s">
        <v>14</v>
      </c>
      <c r="G1755" s="27" t="s">
        <v>14</v>
      </c>
      <c r="H1755" s="27" t="s">
        <v>14</v>
      </c>
    </row>
    <row r="1756" spans="2:8" x14ac:dyDescent="0.3">
      <c r="B1756" s="11">
        <v>42766</v>
      </c>
      <c r="C1756" s="29" t="str">
        <f t="shared" si="27"/>
        <v/>
      </c>
      <c r="D1756" s="8">
        <v>0.5</v>
      </c>
      <c r="E1756" s="28">
        <v>0.5</v>
      </c>
      <c r="F1756" s="7" t="s">
        <v>14</v>
      </c>
      <c r="G1756" s="27" t="s">
        <v>14</v>
      </c>
      <c r="H1756" s="27" t="s">
        <v>14</v>
      </c>
    </row>
    <row r="1757" spans="2:8" x14ac:dyDescent="0.3">
      <c r="B1757" s="9">
        <v>42767</v>
      </c>
      <c r="C1757" s="29" t="str">
        <f t="shared" si="27"/>
        <v/>
      </c>
      <c r="D1757" s="8">
        <v>0.5</v>
      </c>
      <c r="E1757" s="28" t="s">
        <v>14</v>
      </c>
      <c r="F1757" s="7" t="s">
        <v>14</v>
      </c>
      <c r="G1757" s="27" t="s">
        <v>14</v>
      </c>
      <c r="H1757" s="27" t="s">
        <v>14</v>
      </c>
    </row>
    <row r="1758" spans="2:8" x14ac:dyDescent="0.3">
      <c r="B1758" s="11">
        <v>42768</v>
      </c>
      <c r="C1758" s="29" t="str">
        <f t="shared" si="27"/>
        <v/>
      </c>
      <c r="D1758" s="8">
        <v>0.5</v>
      </c>
      <c r="E1758" s="28" t="s">
        <v>14</v>
      </c>
      <c r="F1758" s="7" t="s">
        <v>14</v>
      </c>
      <c r="G1758" s="27" t="s">
        <v>14</v>
      </c>
      <c r="H1758" s="27" t="s">
        <v>14</v>
      </c>
    </row>
    <row r="1759" spans="2:8" x14ac:dyDescent="0.3">
      <c r="B1759" s="9">
        <v>42769</v>
      </c>
      <c r="C1759" s="29" t="str">
        <f t="shared" si="27"/>
        <v/>
      </c>
      <c r="D1759" s="8">
        <v>0.5</v>
      </c>
      <c r="E1759" s="28" t="s">
        <v>14</v>
      </c>
      <c r="F1759" s="7" t="s">
        <v>14</v>
      </c>
      <c r="G1759" s="27" t="s">
        <v>14</v>
      </c>
      <c r="H1759" s="27" t="s">
        <v>14</v>
      </c>
    </row>
    <row r="1760" spans="2:8" x14ac:dyDescent="0.3">
      <c r="B1760" s="11">
        <v>42772</v>
      </c>
      <c r="C1760" s="29" t="str">
        <f t="shared" si="27"/>
        <v/>
      </c>
      <c r="D1760" s="8">
        <v>0.5</v>
      </c>
      <c r="E1760" s="28" t="s">
        <v>14</v>
      </c>
      <c r="F1760" s="7" t="s">
        <v>14</v>
      </c>
      <c r="G1760" s="27" t="s">
        <v>14</v>
      </c>
      <c r="H1760" s="27" t="s">
        <v>14</v>
      </c>
    </row>
    <row r="1761" spans="2:8" x14ac:dyDescent="0.3">
      <c r="B1761" s="9">
        <v>42773</v>
      </c>
      <c r="C1761" s="29" t="str">
        <f t="shared" si="27"/>
        <v/>
      </c>
      <c r="D1761" s="8">
        <v>0.5</v>
      </c>
      <c r="E1761" s="28" t="s">
        <v>14</v>
      </c>
      <c r="F1761" s="7" t="s">
        <v>14</v>
      </c>
      <c r="G1761" s="27" t="s">
        <v>14</v>
      </c>
      <c r="H1761" s="27" t="s">
        <v>14</v>
      </c>
    </row>
    <row r="1762" spans="2:8" x14ac:dyDescent="0.3">
      <c r="B1762" s="11">
        <v>42774</v>
      </c>
      <c r="C1762" s="29" t="str">
        <f t="shared" si="27"/>
        <v/>
      </c>
      <c r="D1762" s="8">
        <v>0.5</v>
      </c>
      <c r="E1762" s="28" t="s">
        <v>14</v>
      </c>
      <c r="F1762" s="7" t="s">
        <v>14</v>
      </c>
      <c r="G1762" s="27" t="s">
        <v>14</v>
      </c>
      <c r="H1762" s="27" t="s">
        <v>14</v>
      </c>
    </row>
    <row r="1763" spans="2:8" x14ac:dyDescent="0.3">
      <c r="B1763" s="9">
        <v>42775</v>
      </c>
      <c r="C1763" s="29" t="str">
        <f t="shared" si="27"/>
        <v/>
      </c>
      <c r="D1763" s="8">
        <v>0.5</v>
      </c>
      <c r="E1763" s="28" t="s">
        <v>14</v>
      </c>
      <c r="F1763" s="7" t="s">
        <v>14</v>
      </c>
      <c r="G1763" s="27" t="s">
        <v>14</v>
      </c>
      <c r="H1763" s="27" t="s">
        <v>14</v>
      </c>
    </row>
    <row r="1764" spans="2:8" x14ac:dyDescent="0.3">
      <c r="B1764" s="11">
        <v>42776</v>
      </c>
      <c r="C1764" s="29" t="str">
        <f t="shared" si="27"/>
        <v/>
      </c>
      <c r="D1764" s="8">
        <v>0.5</v>
      </c>
      <c r="E1764" s="28" t="s">
        <v>14</v>
      </c>
      <c r="F1764" s="7" t="s">
        <v>14</v>
      </c>
      <c r="G1764" s="27" t="s">
        <v>14</v>
      </c>
      <c r="H1764" s="27" t="s">
        <v>14</v>
      </c>
    </row>
    <row r="1765" spans="2:8" x14ac:dyDescent="0.3">
      <c r="B1765" s="9">
        <v>42779</v>
      </c>
      <c r="C1765" s="29" t="str">
        <f t="shared" si="27"/>
        <v/>
      </c>
      <c r="D1765" s="8">
        <v>0.5</v>
      </c>
      <c r="E1765" s="28" t="s">
        <v>14</v>
      </c>
      <c r="F1765" s="7" t="s">
        <v>14</v>
      </c>
      <c r="G1765" s="27" t="s">
        <v>14</v>
      </c>
      <c r="H1765" s="27" t="s">
        <v>14</v>
      </c>
    </row>
    <row r="1766" spans="2:8" x14ac:dyDescent="0.3">
      <c r="B1766" s="11">
        <v>42780</v>
      </c>
      <c r="C1766" s="29" t="str">
        <f t="shared" si="27"/>
        <v/>
      </c>
      <c r="D1766" s="8">
        <v>0.5</v>
      </c>
      <c r="E1766" s="28" t="s">
        <v>14</v>
      </c>
      <c r="F1766" s="7" t="s">
        <v>14</v>
      </c>
      <c r="G1766" s="27" t="s">
        <v>14</v>
      </c>
      <c r="H1766" s="27" t="s">
        <v>14</v>
      </c>
    </row>
    <row r="1767" spans="2:8" x14ac:dyDescent="0.3">
      <c r="B1767" s="9">
        <v>42781</v>
      </c>
      <c r="C1767" s="29" t="str">
        <f t="shared" si="27"/>
        <v/>
      </c>
      <c r="D1767" s="8">
        <v>0.5</v>
      </c>
      <c r="E1767" s="28" t="s">
        <v>14</v>
      </c>
      <c r="F1767" s="7" t="s">
        <v>14</v>
      </c>
      <c r="G1767" s="27" t="s">
        <v>14</v>
      </c>
      <c r="H1767" s="27" t="s">
        <v>14</v>
      </c>
    </row>
    <row r="1768" spans="2:8" x14ac:dyDescent="0.3">
      <c r="B1768" s="11">
        <v>42782</v>
      </c>
      <c r="C1768" s="29" t="str">
        <f t="shared" si="27"/>
        <v/>
      </c>
      <c r="D1768" s="8">
        <v>0.5</v>
      </c>
      <c r="E1768" s="28" t="s">
        <v>14</v>
      </c>
      <c r="F1768" s="7" t="s">
        <v>14</v>
      </c>
      <c r="G1768" s="27" t="s">
        <v>14</v>
      </c>
      <c r="H1768" s="27" t="s">
        <v>14</v>
      </c>
    </row>
    <row r="1769" spans="2:8" x14ac:dyDescent="0.3">
      <c r="B1769" s="9">
        <v>42783</v>
      </c>
      <c r="C1769" s="29" t="str">
        <f t="shared" si="27"/>
        <v/>
      </c>
      <c r="D1769" s="8">
        <v>0.5</v>
      </c>
      <c r="E1769" s="28" t="s">
        <v>14</v>
      </c>
      <c r="F1769" s="7" t="s">
        <v>14</v>
      </c>
      <c r="G1769" s="27" t="s">
        <v>14</v>
      </c>
      <c r="H1769" s="27" t="s">
        <v>14</v>
      </c>
    </row>
    <row r="1770" spans="2:8" x14ac:dyDescent="0.3">
      <c r="B1770" s="11">
        <v>42786</v>
      </c>
      <c r="C1770" s="29" t="str">
        <f t="shared" si="27"/>
        <v/>
      </c>
      <c r="D1770" s="8">
        <v>0.5</v>
      </c>
      <c r="E1770" s="28" t="s">
        <v>14</v>
      </c>
      <c r="F1770" s="7" t="s">
        <v>14</v>
      </c>
      <c r="G1770" s="27" t="s">
        <v>14</v>
      </c>
      <c r="H1770" s="27" t="s">
        <v>14</v>
      </c>
    </row>
    <row r="1771" spans="2:8" x14ac:dyDescent="0.3">
      <c r="B1771" s="9">
        <v>42787</v>
      </c>
      <c r="C1771" s="29" t="str">
        <f t="shared" si="27"/>
        <v/>
      </c>
      <c r="D1771" s="8">
        <v>0.5</v>
      </c>
      <c r="E1771" s="28" t="s">
        <v>14</v>
      </c>
      <c r="F1771" s="7" t="s">
        <v>14</v>
      </c>
      <c r="G1771" s="27" t="s">
        <v>14</v>
      </c>
      <c r="H1771" s="27" t="s">
        <v>14</v>
      </c>
    </row>
    <row r="1772" spans="2:8" x14ac:dyDescent="0.3">
      <c r="B1772" s="11">
        <v>42788</v>
      </c>
      <c r="C1772" s="29" t="str">
        <f t="shared" si="27"/>
        <v/>
      </c>
      <c r="D1772" s="8">
        <v>0.5</v>
      </c>
      <c r="E1772" s="28" t="s">
        <v>14</v>
      </c>
      <c r="F1772" s="7" t="s">
        <v>14</v>
      </c>
      <c r="G1772" s="27" t="s">
        <v>14</v>
      </c>
      <c r="H1772" s="27" t="s">
        <v>14</v>
      </c>
    </row>
    <row r="1773" spans="2:8" x14ac:dyDescent="0.3">
      <c r="B1773" s="9">
        <v>42789</v>
      </c>
      <c r="C1773" s="29" t="str">
        <f t="shared" si="27"/>
        <v/>
      </c>
      <c r="D1773" s="8">
        <v>0.5</v>
      </c>
      <c r="E1773" s="28" t="s">
        <v>14</v>
      </c>
      <c r="F1773" s="7" t="s">
        <v>14</v>
      </c>
      <c r="G1773" s="27" t="s">
        <v>14</v>
      </c>
      <c r="H1773" s="27" t="s">
        <v>14</v>
      </c>
    </row>
    <row r="1774" spans="2:8" x14ac:dyDescent="0.3">
      <c r="B1774" s="11">
        <v>42790</v>
      </c>
      <c r="C1774" s="29" t="str">
        <f t="shared" si="27"/>
        <v/>
      </c>
      <c r="D1774" s="8">
        <v>0.5</v>
      </c>
      <c r="E1774" s="28">
        <v>0.5</v>
      </c>
      <c r="F1774" s="7" t="s">
        <v>14</v>
      </c>
      <c r="G1774" s="27" t="s">
        <v>14</v>
      </c>
      <c r="H1774" s="27" t="s">
        <v>14</v>
      </c>
    </row>
    <row r="1775" spans="2:8" x14ac:dyDescent="0.3">
      <c r="B1775" s="9">
        <v>42795</v>
      </c>
      <c r="C1775" s="29" t="str">
        <f t="shared" si="27"/>
        <v/>
      </c>
      <c r="D1775" s="8">
        <v>0.5</v>
      </c>
      <c r="E1775" s="28" t="s">
        <v>14</v>
      </c>
      <c r="F1775" s="7" t="s">
        <v>14</v>
      </c>
      <c r="G1775" s="27" t="s">
        <v>14</v>
      </c>
      <c r="H1775" s="27" t="s">
        <v>14</v>
      </c>
    </row>
    <row r="1776" spans="2:8" x14ac:dyDescent="0.3">
      <c r="B1776" s="11">
        <v>42796</v>
      </c>
      <c r="C1776" s="29" t="str">
        <f t="shared" si="27"/>
        <v/>
      </c>
      <c r="D1776" s="8">
        <v>0.5</v>
      </c>
      <c r="E1776" s="28" t="s">
        <v>14</v>
      </c>
      <c r="F1776" s="7" t="s">
        <v>14</v>
      </c>
      <c r="G1776" s="27" t="s">
        <v>14</v>
      </c>
      <c r="H1776" s="27" t="s">
        <v>14</v>
      </c>
    </row>
    <row r="1777" spans="2:8" x14ac:dyDescent="0.3">
      <c r="B1777" s="9">
        <v>42797</v>
      </c>
      <c r="C1777" s="29" t="str">
        <f t="shared" si="27"/>
        <v/>
      </c>
      <c r="D1777" s="8">
        <v>0.5</v>
      </c>
      <c r="E1777" s="28" t="s">
        <v>14</v>
      </c>
      <c r="F1777" s="7" t="s">
        <v>14</v>
      </c>
      <c r="G1777" s="27" t="s">
        <v>14</v>
      </c>
      <c r="H1777" s="27" t="s">
        <v>14</v>
      </c>
    </row>
    <row r="1778" spans="2:8" x14ac:dyDescent="0.3">
      <c r="B1778" s="11">
        <v>42800</v>
      </c>
      <c r="C1778" s="29" t="str">
        <f t="shared" si="27"/>
        <v/>
      </c>
      <c r="D1778" s="8">
        <v>0.5</v>
      </c>
      <c r="E1778" s="28" t="s">
        <v>14</v>
      </c>
      <c r="F1778" s="7" t="s">
        <v>14</v>
      </c>
      <c r="G1778" s="27" t="s">
        <v>14</v>
      </c>
      <c r="H1778" s="27" t="s">
        <v>14</v>
      </c>
    </row>
    <row r="1779" spans="2:8" x14ac:dyDescent="0.3">
      <c r="B1779" s="9">
        <v>42801</v>
      </c>
      <c r="C1779" s="29" t="str">
        <f t="shared" si="27"/>
        <v/>
      </c>
      <c r="D1779" s="8">
        <v>0.5</v>
      </c>
      <c r="E1779" s="28" t="s">
        <v>14</v>
      </c>
      <c r="F1779" s="7" t="s">
        <v>14</v>
      </c>
      <c r="G1779" s="27" t="s">
        <v>14</v>
      </c>
      <c r="H1779" s="27" t="s">
        <v>14</v>
      </c>
    </row>
    <row r="1780" spans="2:8" x14ac:dyDescent="0.3">
      <c r="B1780" s="11">
        <v>42802</v>
      </c>
      <c r="C1780" s="29" t="str">
        <f t="shared" si="27"/>
        <v/>
      </c>
      <c r="D1780" s="8">
        <v>0.5</v>
      </c>
      <c r="E1780" s="28" t="s">
        <v>14</v>
      </c>
      <c r="F1780" s="7" t="s">
        <v>14</v>
      </c>
      <c r="G1780" s="27" t="s">
        <v>14</v>
      </c>
      <c r="H1780" s="27" t="s">
        <v>14</v>
      </c>
    </row>
    <row r="1781" spans="2:8" x14ac:dyDescent="0.3">
      <c r="B1781" s="9">
        <v>42803</v>
      </c>
      <c r="C1781" s="29" t="str">
        <f t="shared" si="27"/>
        <v/>
      </c>
      <c r="D1781" s="8">
        <v>0.5</v>
      </c>
      <c r="E1781" s="28" t="s">
        <v>14</v>
      </c>
      <c r="F1781" s="7" t="s">
        <v>14</v>
      </c>
      <c r="G1781" s="27" t="s">
        <v>14</v>
      </c>
      <c r="H1781" s="27" t="s">
        <v>14</v>
      </c>
    </row>
    <row r="1782" spans="2:8" x14ac:dyDescent="0.3">
      <c r="B1782" s="11">
        <v>42804</v>
      </c>
      <c r="C1782" s="29" t="str">
        <f t="shared" si="27"/>
        <v/>
      </c>
      <c r="D1782" s="8">
        <v>0.5</v>
      </c>
      <c r="E1782" s="28" t="s">
        <v>14</v>
      </c>
      <c r="F1782" s="7" t="s">
        <v>14</v>
      </c>
      <c r="G1782" s="27" t="s">
        <v>14</v>
      </c>
      <c r="H1782" s="27" t="s">
        <v>14</v>
      </c>
    </row>
    <row r="1783" spans="2:8" x14ac:dyDescent="0.3">
      <c r="B1783" s="9">
        <v>42807</v>
      </c>
      <c r="C1783" s="29" t="str">
        <f t="shared" si="27"/>
        <v/>
      </c>
      <c r="D1783" s="8">
        <v>0.5</v>
      </c>
      <c r="E1783" s="28" t="s">
        <v>14</v>
      </c>
      <c r="F1783" s="7" t="s">
        <v>14</v>
      </c>
      <c r="G1783" s="27" t="s">
        <v>14</v>
      </c>
      <c r="H1783" s="27" t="s">
        <v>14</v>
      </c>
    </row>
    <row r="1784" spans="2:8" x14ac:dyDescent="0.3">
      <c r="B1784" s="11">
        <v>42808</v>
      </c>
      <c r="C1784" s="29" t="str">
        <f t="shared" si="27"/>
        <v/>
      </c>
      <c r="D1784" s="8">
        <v>0.5</v>
      </c>
      <c r="E1784" s="28" t="s">
        <v>14</v>
      </c>
      <c r="F1784" s="7" t="s">
        <v>14</v>
      </c>
      <c r="G1784" s="27" t="s">
        <v>14</v>
      </c>
      <c r="H1784" s="27" t="s">
        <v>14</v>
      </c>
    </row>
    <row r="1785" spans="2:8" x14ac:dyDescent="0.3">
      <c r="B1785" s="9">
        <v>42809</v>
      </c>
      <c r="C1785" s="29" t="str">
        <f t="shared" si="27"/>
        <v/>
      </c>
      <c r="D1785" s="8">
        <v>0.5</v>
      </c>
      <c r="E1785" s="28" t="s">
        <v>14</v>
      </c>
      <c r="F1785" s="7" t="s">
        <v>14</v>
      </c>
      <c r="G1785" s="27" t="s">
        <v>14</v>
      </c>
      <c r="H1785" s="27" t="s">
        <v>14</v>
      </c>
    </row>
    <row r="1786" spans="2:8" x14ac:dyDescent="0.3">
      <c r="B1786" s="11">
        <v>42810</v>
      </c>
      <c r="C1786" s="29" t="str">
        <f t="shared" si="27"/>
        <v/>
      </c>
      <c r="D1786" s="8">
        <v>0.5</v>
      </c>
      <c r="E1786" s="28" t="s">
        <v>14</v>
      </c>
      <c r="F1786" s="7" t="s">
        <v>14</v>
      </c>
      <c r="G1786" s="27" t="s">
        <v>14</v>
      </c>
      <c r="H1786" s="27" t="s">
        <v>14</v>
      </c>
    </row>
    <row r="1787" spans="2:8" x14ac:dyDescent="0.3">
      <c r="B1787" s="9">
        <v>42811</v>
      </c>
      <c r="C1787" s="29" t="str">
        <f t="shared" si="27"/>
        <v/>
      </c>
      <c r="D1787" s="8">
        <v>0.5</v>
      </c>
      <c r="E1787" s="28" t="s">
        <v>14</v>
      </c>
      <c r="F1787" s="7" t="s">
        <v>14</v>
      </c>
      <c r="G1787" s="27" t="s">
        <v>14</v>
      </c>
      <c r="H1787" s="27" t="s">
        <v>14</v>
      </c>
    </row>
    <row r="1788" spans="2:8" x14ac:dyDescent="0.3">
      <c r="B1788" s="11">
        <v>42814</v>
      </c>
      <c r="C1788" s="29" t="str">
        <f t="shared" si="27"/>
        <v/>
      </c>
      <c r="D1788" s="8">
        <v>0.5</v>
      </c>
      <c r="E1788" s="28" t="s">
        <v>14</v>
      </c>
      <c r="F1788" s="7" t="s">
        <v>14</v>
      </c>
      <c r="G1788" s="27" t="s">
        <v>14</v>
      </c>
      <c r="H1788" s="27" t="s">
        <v>14</v>
      </c>
    </row>
    <row r="1789" spans="2:8" x14ac:dyDescent="0.3">
      <c r="B1789" s="9">
        <v>42815</v>
      </c>
      <c r="C1789" s="29" t="str">
        <f t="shared" si="27"/>
        <v/>
      </c>
      <c r="D1789" s="8">
        <v>0.5</v>
      </c>
      <c r="E1789" s="28" t="s">
        <v>14</v>
      </c>
      <c r="F1789" s="7" t="s">
        <v>14</v>
      </c>
      <c r="G1789" s="27" t="s">
        <v>14</v>
      </c>
      <c r="H1789" s="27" t="s">
        <v>14</v>
      </c>
    </row>
    <row r="1790" spans="2:8" x14ac:dyDescent="0.3">
      <c r="B1790" s="11">
        <v>42816</v>
      </c>
      <c r="C1790" s="29" t="str">
        <f t="shared" si="27"/>
        <v/>
      </c>
      <c r="D1790" s="8">
        <v>0.5</v>
      </c>
      <c r="E1790" s="28" t="s">
        <v>14</v>
      </c>
      <c r="F1790" s="7" t="s">
        <v>14</v>
      </c>
      <c r="G1790" s="27" t="s">
        <v>14</v>
      </c>
      <c r="H1790" s="27" t="s">
        <v>14</v>
      </c>
    </row>
    <row r="1791" spans="2:8" x14ac:dyDescent="0.3">
      <c r="B1791" s="9">
        <v>42817</v>
      </c>
      <c r="C1791" s="29" t="str">
        <f t="shared" si="27"/>
        <v/>
      </c>
      <c r="D1791" s="8">
        <v>0.5</v>
      </c>
      <c r="E1791" s="28" t="s">
        <v>14</v>
      </c>
      <c r="F1791" s="7" t="s">
        <v>14</v>
      </c>
      <c r="G1791" s="27" t="s">
        <v>14</v>
      </c>
      <c r="H1791" s="27" t="s">
        <v>14</v>
      </c>
    </row>
    <row r="1792" spans="2:8" x14ac:dyDescent="0.3">
      <c r="B1792" s="11">
        <v>42818</v>
      </c>
      <c r="C1792" s="29" t="str">
        <f t="shared" si="27"/>
        <v/>
      </c>
      <c r="D1792" s="8">
        <v>0.5</v>
      </c>
      <c r="E1792" s="28" t="s">
        <v>14</v>
      </c>
      <c r="F1792" s="7" t="s">
        <v>14</v>
      </c>
      <c r="G1792" s="27" t="s">
        <v>14</v>
      </c>
      <c r="H1792" s="27" t="s">
        <v>14</v>
      </c>
    </row>
    <row r="1793" spans="2:8" x14ac:dyDescent="0.3">
      <c r="B1793" s="9">
        <v>42821</v>
      </c>
      <c r="C1793" s="29" t="str">
        <f t="shared" si="27"/>
        <v/>
      </c>
      <c r="D1793" s="8">
        <v>0.5</v>
      </c>
      <c r="E1793" s="28" t="s">
        <v>14</v>
      </c>
      <c r="F1793" s="7" t="s">
        <v>14</v>
      </c>
      <c r="G1793" s="27" t="s">
        <v>14</v>
      </c>
      <c r="H1793" s="27" t="s">
        <v>14</v>
      </c>
    </row>
    <row r="1794" spans="2:8" x14ac:dyDescent="0.3">
      <c r="B1794" s="11">
        <v>42822</v>
      </c>
      <c r="C1794" s="29" t="str">
        <f t="shared" si="27"/>
        <v/>
      </c>
      <c r="D1794" s="8">
        <v>0.5</v>
      </c>
      <c r="E1794" s="28" t="s">
        <v>14</v>
      </c>
      <c r="F1794" s="7" t="s">
        <v>14</v>
      </c>
      <c r="G1794" s="27" t="s">
        <v>14</v>
      </c>
      <c r="H1794" s="27" t="s">
        <v>14</v>
      </c>
    </row>
    <row r="1795" spans="2:8" x14ac:dyDescent="0.3">
      <c r="B1795" s="9">
        <v>42823</v>
      </c>
      <c r="C1795" s="29" t="str">
        <f t="shared" ref="C1795:C1858" si="28">INDEX(D1795:H1795,MATCH($A$1,$D$1:$H$1,0))</f>
        <v/>
      </c>
      <c r="D1795" s="8">
        <v>0.5</v>
      </c>
      <c r="E1795" s="28" t="s">
        <v>14</v>
      </c>
      <c r="F1795" s="7" t="s">
        <v>14</v>
      </c>
      <c r="G1795" s="27" t="s">
        <v>14</v>
      </c>
      <c r="H1795" s="27" t="s">
        <v>14</v>
      </c>
    </row>
    <row r="1796" spans="2:8" x14ac:dyDescent="0.3">
      <c r="B1796" s="11">
        <v>42824</v>
      </c>
      <c r="C1796" s="29" t="str">
        <f t="shared" si="28"/>
        <v/>
      </c>
      <c r="D1796" s="8">
        <v>0.5</v>
      </c>
      <c r="E1796" s="28" t="s">
        <v>14</v>
      </c>
      <c r="F1796" s="7" t="s">
        <v>14</v>
      </c>
      <c r="G1796" s="27" t="s">
        <v>14</v>
      </c>
      <c r="H1796" s="27" t="s">
        <v>14</v>
      </c>
    </row>
    <row r="1797" spans="2:8" x14ac:dyDescent="0.3">
      <c r="B1797" s="9">
        <v>42825</v>
      </c>
      <c r="C1797" s="29">
        <f t="shared" si="28"/>
        <v>0</v>
      </c>
      <c r="D1797" s="8">
        <v>0.5</v>
      </c>
      <c r="E1797" s="28">
        <v>0.5</v>
      </c>
      <c r="F1797" s="7">
        <v>0.5</v>
      </c>
    </row>
    <row r="1798" spans="2:8" x14ac:dyDescent="0.3">
      <c r="B1798" s="11">
        <v>42828</v>
      </c>
      <c r="C1798" s="29" t="str">
        <f t="shared" si="28"/>
        <v/>
      </c>
      <c r="D1798" s="8">
        <v>0.5</v>
      </c>
      <c r="E1798" s="28" t="s">
        <v>14</v>
      </c>
      <c r="F1798" s="7" t="s">
        <v>14</v>
      </c>
      <c r="G1798" s="27" t="s">
        <v>14</v>
      </c>
      <c r="H1798" s="27" t="s">
        <v>14</v>
      </c>
    </row>
    <row r="1799" spans="2:8" x14ac:dyDescent="0.3">
      <c r="B1799" s="9">
        <v>42829</v>
      </c>
      <c r="C1799" s="29" t="str">
        <f t="shared" si="28"/>
        <v/>
      </c>
      <c r="D1799" s="8">
        <v>0.5</v>
      </c>
      <c r="E1799" s="28" t="s">
        <v>14</v>
      </c>
      <c r="F1799" s="7" t="s">
        <v>14</v>
      </c>
      <c r="G1799" s="27" t="s">
        <v>14</v>
      </c>
      <c r="H1799" s="27" t="s">
        <v>14</v>
      </c>
    </row>
    <row r="1800" spans="2:8" x14ac:dyDescent="0.3">
      <c r="B1800" s="11">
        <v>42830</v>
      </c>
      <c r="C1800" s="29" t="str">
        <f t="shared" si="28"/>
        <v/>
      </c>
      <c r="D1800" s="8">
        <v>0.5</v>
      </c>
      <c r="E1800" s="28" t="s">
        <v>14</v>
      </c>
      <c r="F1800" s="7" t="s">
        <v>14</v>
      </c>
      <c r="G1800" s="27" t="s">
        <v>14</v>
      </c>
      <c r="H1800" s="27" t="s">
        <v>14</v>
      </c>
    </row>
    <row r="1801" spans="2:8" x14ac:dyDescent="0.3">
      <c r="B1801" s="9">
        <v>42831</v>
      </c>
      <c r="C1801" s="29" t="str">
        <f t="shared" si="28"/>
        <v/>
      </c>
      <c r="D1801" s="8">
        <v>0.5</v>
      </c>
      <c r="E1801" s="28" t="s">
        <v>14</v>
      </c>
      <c r="F1801" s="7" t="s">
        <v>14</v>
      </c>
      <c r="G1801" s="27" t="s">
        <v>14</v>
      </c>
      <c r="H1801" s="27" t="s">
        <v>14</v>
      </c>
    </row>
    <row r="1802" spans="2:8" x14ac:dyDescent="0.3">
      <c r="B1802" s="11">
        <v>42832</v>
      </c>
      <c r="C1802" s="29" t="str">
        <f t="shared" si="28"/>
        <v/>
      </c>
      <c r="D1802" s="8">
        <v>0.5</v>
      </c>
      <c r="E1802" s="28" t="s">
        <v>14</v>
      </c>
      <c r="F1802" s="7" t="s">
        <v>14</v>
      </c>
      <c r="G1802" s="27" t="s">
        <v>14</v>
      </c>
      <c r="H1802" s="27" t="s">
        <v>14</v>
      </c>
    </row>
    <row r="1803" spans="2:8" x14ac:dyDescent="0.3">
      <c r="B1803" s="9">
        <v>42835</v>
      </c>
      <c r="C1803" s="29" t="str">
        <f t="shared" si="28"/>
        <v/>
      </c>
      <c r="D1803" s="8">
        <v>0.5</v>
      </c>
      <c r="E1803" s="28" t="s">
        <v>14</v>
      </c>
      <c r="F1803" s="7" t="s">
        <v>14</v>
      </c>
      <c r="G1803" s="27" t="s">
        <v>14</v>
      </c>
      <c r="H1803" s="27" t="s">
        <v>14</v>
      </c>
    </row>
    <row r="1804" spans="2:8" x14ac:dyDescent="0.3">
      <c r="B1804" s="11">
        <v>42836</v>
      </c>
      <c r="C1804" s="29" t="str">
        <f t="shared" si="28"/>
        <v/>
      </c>
      <c r="D1804" s="8">
        <v>0.5</v>
      </c>
      <c r="E1804" s="28" t="s">
        <v>14</v>
      </c>
      <c r="F1804" s="7" t="s">
        <v>14</v>
      </c>
      <c r="G1804" s="27" t="s">
        <v>14</v>
      </c>
      <c r="H1804" s="27" t="s">
        <v>14</v>
      </c>
    </row>
    <row r="1805" spans="2:8" x14ac:dyDescent="0.3">
      <c r="B1805" s="9">
        <v>42837</v>
      </c>
      <c r="C1805" s="29" t="str">
        <f t="shared" si="28"/>
        <v/>
      </c>
      <c r="D1805" s="8">
        <v>0.5</v>
      </c>
      <c r="E1805" s="28" t="s">
        <v>14</v>
      </c>
      <c r="F1805" s="7" t="s">
        <v>14</v>
      </c>
      <c r="G1805" s="27" t="s">
        <v>14</v>
      </c>
      <c r="H1805" s="27" t="s">
        <v>14</v>
      </c>
    </row>
    <row r="1806" spans="2:8" x14ac:dyDescent="0.3">
      <c r="B1806" s="11">
        <v>42838</v>
      </c>
      <c r="C1806" s="29" t="str">
        <f t="shared" si="28"/>
        <v/>
      </c>
      <c r="D1806" s="8">
        <v>0.5</v>
      </c>
      <c r="E1806" s="28" t="s">
        <v>14</v>
      </c>
      <c r="F1806" s="7" t="s">
        <v>14</v>
      </c>
      <c r="G1806" s="27" t="s">
        <v>14</v>
      </c>
      <c r="H1806" s="27" t="s">
        <v>14</v>
      </c>
    </row>
    <row r="1807" spans="2:8" x14ac:dyDescent="0.3">
      <c r="B1807" s="9">
        <v>42842</v>
      </c>
      <c r="C1807" s="29" t="str">
        <f t="shared" si="28"/>
        <v/>
      </c>
      <c r="D1807" s="8">
        <v>0.5</v>
      </c>
      <c r="E1807" s="28" t="s">
        <v>14</v>
      </c>
      <c r="F1807" s="7" t="s">
        <v>14</v>
      </c>
      <c r="G1807" s="27" t="s">
        <v>14</v>
      </c>
      <c r="H1807" s="27" t="s">
        <v>14</v>
      </c>
    </row>
    <row r="1808" spans="2:8" x14ac:dyDescent="0.3">
      <c r="B1808" s="11">
        <v>42843</v>
      </c>
      <c r="C1808" s="29" t="str">
        <f t="shared" si="28"/>
        <v/>
      </c>
      <c r="D1808" s="8">
        <v>0.5</v>
      </c>
      <c r="E1808" s="28" t="s">
        <v>14</v>
      </c>
      <c r="F1808" s="7" t="s">
        <v>14</v>
      </c>
      <c r="G1808" s="27" t="s">
        <v>14</v>
      </c>
      <c r="H1808" s="27" t="s">
        <v>14</v>
      </c>
    </row>
    <row r="1809" spans="2:8" x14ac:dyDescent="0.3">
      <c r="B1809" s="9">
        <v>42844</v>
      </c>
      <c r="C1809" s="29" t="str">
        <f t="shared" si="28"/>
        <v/>
      </c>
      <c r="D1809" s="8">
        <v>0.5</v>
      </c>
      <c r="E1809" s="28" t="s">
        <v>14</v>
      </c>
      <c r="F1809" s="7" t="s">
        <v>14</v>
      </c>
      <c r="G1809" s="27" t="s">
        <v>14</v>
      </c>
      <c r="H1809" s="27" t="s">
        <v>14</v>
      </c>
    </row>
    <row r="1810" spans="2:8" x14ac:dyDescent="0.3">
      <c r="B1810" s="11">
        <v>42845</v>
      </c>
      <c r="C1810" s="29" t="str">
        <f t="shared" si="28"/>
        <v/>
      </c>
      <c r="D1810" s="8">
        <v>0.5</v>
      </c>
      <c r="E1810" s="28" t="s">
        <v>14</v>
      </c>
      <c r="F1810" s="7" t="s">
        <v>14</v>
      </c>
      <c r="G1810" s="27" t="s">
        <v>14</v>
      </c>
      <c r="H1810" s="27" t="s">
        <v>14</v>
      </c>
    </row>
    <row r="1811" spans="2:8" x14ac:dyDescent="0.3">
      <c r="B1811" s="9">
        <v>42849</v>
      </c>
      <c r="C1811" s="29" t="str">
        <f t="shared" si="28"/>
        <v/>
      </c>
      <c r="D1811" s="8">
        <v>0.5</v>
      </c>
      <c r="E1811" s="28" t="s">
        <v>14</v>
      </c>
      <c r="F1811" s="7" t="s">
        <v>14</v>
      </c>
      <c r="G1811" s="27" t="s">
        <v>14</v>
      </c>
      <c r="H1811" s="27" t="s">
        <v>14</v>
      </c>
    </row>
    <row r="1812" spans="2:8" x14ac:dyDescent="0.3">
      <c r="B1812" s="11">
        <v>42850</v>
      </c>
      <c r="C1812" s="29" t="str">
        <f t="shared" si="28"/>
        <v/>
      </c>
      <c r="D1812" s="8">
        <v>0.5</v>
      </c>
      <c r="E1812" s="28" t="s">
        <v>14</v>
      </c>
      <c r="F1812" s="7" t="s">
        <v>14</v>
      </c>
      <c r="G1812" s="27" t="s">
        <v>14</v>
      </c>
      <c r="H1812" s="27" t="s">
        <v>14</v>
      </c>
    </row>
    <row r="1813" spans="2:8" x14ac:dyDescent="0.3">
      <c r="B1813" s="9">
        <v>42851</v>
      </c>
      <c r="C1813" s="29" t="str">
        <f t="shared" si="28"/>
        <v/>
      </c>
      <c r="D1813" s="8">
        <v>0.5</v>
      </c>
      <c r="E1813" s="28" t="s">
        <v>14</v>
      </c>
      <c r="F1813" s="7" t="s">
        <v>14</v>
      </c>
      <c r="G1813" s="27" t="s">
        <v>14</v>
      </c>
      <c r="H1813" s="27" t="s">
        <v>14</v>
      </c>
    </row>
    <row r="1814" spans="2:8" x14ac:dyDescent="0.3">
      <c r="B1814" s="11">
        <v>42852</v>
      </c>
      <c r="C1814" s="29" t="str">
        <f t="shared" si="28"/>
        <v/>
      </c>
      <c r="D1814" s="8">
        <v>0.5</v>
      </c>
      <c r="E1814" s="28" t="s">
        <v>14</v>
      </c>
      <c r="F1814" s="7" t="s">
        <v>14</v>
      </c>
      <c r="G1814" s="27" t="s">
        <v>14</v>
      </c>
      <c r="H1814" s="27" t="s">
        <v>14</v>
      </c>
    </row>
    <row r="1815" spans="2:8" x14ac:dyDescent="0.3">
      <c r="B1815" s="9">
        <v>42853</v>
      </c>
      <c r="C1815" s="29" t="str">
        <f t="shared" si="28"/>
        <v/>
      </c>
      <c r="D1815" s="8">
        <v>0.5</v>
      </c>
      <c r="E1815" s="28">
        <v>0.5</v>
      </c>
      <c r="F1815" s="7" t="s">
        <v>14</v>
      </c>
      <c r="G1815" s="27" t="s">
        <v>14</v>
      </c>
      <c r="H1815" s="27" t="s">
        <v>14</v>
      </c>
    </row>
    <row r="1816" spans="2:8" x14ac:dyDescent="0.3">
      <c r="B1816" s="11">
        <v>42857</v>
      </c>
      <c r="C1816" s="29" t="str">
        <f t="shared" si="28"/>
        <v/>
      </c>
      <c r="D1816" s="8">
        <v>0.5</v>
      </c>
      <c r="E1816" s="28" t="s">
        <v>14</v>
      </c>
      <c r="F1816" s="7" t="s">
        <v>14</v>
      </c>
      <c r="G1816" s="27" t="s">
        <v>14</v>
      </c>
      <c r="H1816" s="27" t="s">
        <v>14</v>
      </c>
    </row>
    <row r="1817" spans="2:8" x14ac:dyDescent="0.3">
      <c r="B1817" s="9">
        <v>42858</v>
      </c>
      <c r="C1817" s="29" t="str">
        <f t="shared" si="28"/>
        <v/>
      </c>
      <c r="D1817" s="8">
        <v>0.5</v>
      </c>
      <c r="E1817" s="28" t="s">
        <v>14</v>
      </c>
      <c r="F1817" s="7" t="s">
        <v>14</v>
      </c>
      <c r="G1817" s="27" t="s">
        <v>14</v>
      </c>
      <c r="H1817" s="27" t="s">
        <v>14</v>
      </c>
    </row>
    <row r="1818" spans="2:8" x14ac:dyDescent="0.3">
      <c r="B1818" s="11">
        <v>42859</v>
      </c>
      <c r="C1818" s="29" t="str">
        <f t="shared" si="28"/>
        <v/>
      </c>
      <c r="D1818" s="8">
        <v>0.5</v>
      </c>
      <c r="E1818" s="28" t="s">
        <v>14</v>
      </c>
      <c r="F1818" s="7" t="s">
        <v>14</v>
      </c>
      <c r="G1818" s="27" t="s">
        <v>14</v>
      </c>
      <c r="H1818" s="27" t="s">
        <v>14</v>
      </c>
    </row>
    <row r="1819" spans="2:8" x14ac:dyDescent="0.3">
      <c r="B1819" s="9">
        <v>42860</v>
      </c>
      <c r="C1819" s="29" t="str">
        <f t="shared" si="28"/>
        <v/>
      </c>
      <c r="D1819" s="8">
        <v>0.5</v>
      </c>
      <c r="E1819" s="28" t="s">
        <v>14</v>
      </c>
      <c r="F1819" s="7" t="s">
        <v>14</v>
      </c>
      <c r="G1819" s="27" t="s">
        <v>14</v>
      </c>
      <c r="H1819" s="27" t="s">
        <v>14</v>
      </c>
    </row>
    <row r="1820" spans="2:8" x14ac:dyDescent="0.3">
      <c r="B1820" s="11">
        <v>42863</v>
      </c>
      <c r="C1820" s="29" t="str">
        <f t="shared" si="28"/>
        <v/>
      </c>
      <c r="D1820" s="8">
        <v>0.5</v>
      </c>
      <c r="E1820" s="28" t="s">
        <v>14</v>
      </c>
      <c r="F1820" s="7" t="s">
        <v>14</v>
      </c>
      <c r="G1820" s="27" t="s">
        <v>14</v>
      </c>
      <c r="H1820" s="27" t="s">
        <v>14</v>
      </c>
    </row>
    <row r="1821" spans="2:8" x14ac:dyDescent="0.3">
      <c r="B1821" s="9">
        <v>42864</v>
      </c>
      <c r="C1821" s="29" t="str">
        <f t="shared" si="28"/>
        <v/>
      </c>
      <c r="D1821" s="8">
        <v>0.5</v>
      </c>
      <c r="E1821" s="28" t="s">
        <v>14</v>
      </c>
      <c r="F1821" s="7" t="s">
        <v>14</v>
      </c>
      <c r="G1821" s="27" t="s">
        <v>14</v>
      </c>
      <c r="H1821" s="27" t="s">
        <v>14</v>
      </c>
    </row>
    <row r="1822" spans="2:8" x14ac:dyDescent="0.3">
      <c r="B1822" s="11">
        <v>42865</v>
      </c>
      <c r="C1822" s="29" t="str">
        <f t="shared" si="28"/>
        <v/>
      </c>
      <c r="D1822" s="8">
        <v>0.5</v>
      </c>
      <c r="E1822" s="28" t="s">
        <v>14</v>
      </c>
      <c r="F1822" s="7" t="s">
        <v>14</v>
      </c>
      <c r="G1822" s="27" t="s">
        <v>14</v>
      </c>
      <c r="H1822" s="27" t="s">
        <v>14</v>
      </c>
    </row>
    <row r="1823" spans="2:8" x14ac:dyDescent="0.3">
      <c r="B1823" s="9">
        <v>42866</v>
      </c>
      <c r="C1823" s="29" t="str">
        <f t="shared" si="28"/>
        <v/>
      </c>
      <c r="D1823" s="8">
        <v>0.5</v>
      </c>
      <c r="E1823" s="28" t="s">
        <v>14</v>
      </c>
      <c r="F1823" s="7" t="s">
        <v>14</v>
      </c>
      <c r="G1823" s="27" t="s">
        <v>14</v>
      </c>
      <c r="H1823" s="27" t="s">
        <v>14</v>
      </c>
    </row>
    <row r="1824" spans="2:8" x14ac:dyDescent="0.3">
      <c r="B1824" s="11">
        <v>42867</v>
      </c>
      <c r="C1824" s="29" t="str">
        <f t="shared" si="28"/>
        <v/>
      </c>
      <c r="D1824" s="8">
        <v>0.5</v>
      </c>
      <c r="E1824" s="28" t="s">
        <v>14</v>
      </c>
      <c r="F1824" s="7" t="s">
        <v>14</v>
      </c>
      <c r="G1824" s="27" t="s">
        <v>14</v>
      </c>
      <c r="H1824" s="27" t="s">
        <v>14</v>
      </c>
    </row>
    <row r="1825" spans="2:8" x14ac:dyDescent="0.3">
      <c r="B1825" s="9">
        <v>42870</v>
      </c>
      <c r="C1825" s="29" t="str">
        <f t="shared" si="28"/>
        <v/>
      </c>
      <c r="D1825" s="8">
        <v>0.5</v>
      </c>
      <c r="E1825" s="28" t="s">
        <v>14</v>
      </c>
      <c r="F1825" s="7" t="s">
        <v>14</v>
      </c>
      <c r="G1825" s="27" t="s">
        <v>14</v>
      </c>
      <c r="H1825" s="27" t="s">
        <v>14</v>
      </c>
    </row>
    <row r="1826" spans="2:8" x14ac:dyDescent="0.3">
      <c r="B1826" s="11">
        <v>42871</v>
      </c>
      <c r="C1826" s="29" t="str">
        <f t="shared" si="28"/>
        <v/>
      </c>
      <c r="D1826" s="8">
        <v>0.5</v>
      </c>
      <c r="E1826" s="28" t="s">
        <v>14</v>
      </c>
      <c r="F1826" s="7" t="s">
        <v>14</v>
      </c>
      <c r="G1826" s="27" t="s">
        <v>14</v>
      </c>
      <c r="H1826" s="27" t="s">
        <v>14</v>
      </c>
    </row>
    <row r="1827" spans="2:8" x14ac:dyDescent="0.3">
      <c r="B1827" s="9">
        <v>42872</v>
      </c>
      <c r="C1827" s="29" t="str">
        <f t="shared" si="28"/>
        <v/>
      </c>
      <c r="D1827" s="8">
        <v>0.5</v>
      </c>
      <c r="E1827" s="28" t="s">
        <v>14</v>
      </c>
      <c r="F1827" s="7" t="s">
        <v>14</v>
      </c>
      <c r="G1827" s="27" t="s">
        <v>14</v>
      </c>
      <c r="H1827" s="27" t="s">
        <v>14</v>
      </c>
    </row>
    <row r="1828" spans="2:8" x14ac:dyDescent="0.3">
      <c r="B1828" s="11">
        <v>42873</v>
      </c>
      <c r="C1828" s="29" t="str">
        <f t="shared" si="28"/>
        <v/>
      </c>
      <c r="D1828" s="8">
        <v>0.5</v>
      </c>
      <c r="E1828" s="28" t="s">
        <v>14</v>
      </c>
      <c r="F1828" s="7" t="s">
        <v>14</v>
      </c>
      <c r="G1828" s="27" t="s">
        <v>14</v>
      </c>
      <c r="H1828" s="27" t="s">
        <v>14</v>
      </c>
    </row>
    <row r="1829" spans="2:8" x14ac:dyDescent="0.3">
      <c r="B1829" s="9">
        <v>42874</v>
      </c>
      <c r="C1829" s="29" t="str">
        <f t="shared" si="28"/>
        <v/>
      </c>
      <c r="D1829" s="8">
        <v>0.5</v>
      </c>
      <c r="E1829" s="28" t="s">
        <v>14</v>
      </c>
      <c r="F1829" s="7" t="s">
        <v>14</v>
      </c>
      <c r="G1829" s="27" t="s">
        <v>14</v>
      </c>
      <c r="H1829" s="27" t="s">
        <v>14</v>
      </c>
    </row>
    <row r="1830" spans="2:8" x14ac:dyDescent="0.3">
      <c r="B1830" s="11">
        <v>42877</v>
      </c>
      <c r="C1830" s="29" t="str">
        <f t="shared" si="28"/>
        <v/>
      </c>
      <c r="D1830" s="8">
        <v>0.5</v>
      </c>
      <c r="E1830" s="28" t="s">
        <v>14</v>
      </c>
      <c r="F1830" s="7" t="s">
        <v>14</v>
      </c>
      <c r="G1830" s="27" t="s">
        <v>14</v>
      </c>
      <c r="H1830" s="27" t="s">
        <v>14</v>
      </c>
    </row>
    <row r="1831" spans="2:8" x14ac:dyDescent="0.3">
      <c r="B1831" s="9">
        <v>42878</v>
      </c>
      <c r="C1831" s="29" t="str">
        <f t="shared" si="28"/>
        <v/>
      </c>
      <c r="D1831" s="8">
        <v>0.5</v>
      </c>
      <c r="E1831" s="28" t="s">
        <v>14</v>
      </c>
      <c r="F1831" s="7" t="s">
        <v>14</v>
      </c>
      <c r="G1831" s="27" t="s">
        <v>14</v>
      </c>
      <c r="H1831" s="27" t="s">
        <v>14</v>
      </c>
    </row>
    <row r="1832" spans="2:8" x14ac:dyDescent="0.3">
      <c r="B1832" s="11">
        <v>42879</v>
      </c>
      <c r="C1832" s="29" t="str">
        <f t="shared" si="28"/>
        <v/>
      </c>
      <c r="D1832" s="8">
        <v>0.5</v>
      </c>
      <c r="E1832" s="28" t="s">
        <v>14</v>
      </c>
      <c r="F1832" s="7" t="s">
        <v>14</v>
      </c>
      <c r="G1832" s="27" t="s">
        <v>14</v>
      </c>
      <c r="H1832" s="27" t="s">
        <v>14</v>
      </c>
    </row>
    <row r="1833" spans="2:8" x14ac:dyDescent="0.3">
      <c r="B1833" s="9">
        <v>42880</v>
      </c>
      <c r="C1833" s="29" t="str">
        <f t="shared" si="28"/>
        <v/>
      </c>
      <c r="D1833" s="8">
        <v>0.5</v>
      </c>
      <c r="E1833" s="28" t="s">
        <v>14</v>
      </c>
      <c r="F1833" s="7" t="s">
        <v>14</v>
      </c>
      <c r="G1833" s="27" t="s">
        <v>14</v>
      </c>
      <c r="H1833" s="27" t="s">
        <v>14</v>
      </c>
    </row>
    <row r="1834" spans="2:8" x14ac:dyDescent="0.3">
      <c r="B1834" s="11">
        <v>42881</v>
      </c>
      <c r="C1834" s="29" t="str">
        <f t="shared" si="28"/>
        <v/>
      </c>
      <c r="D1834" s="8">
        <v>0.5</v>
      </c>
      <c r="E1834" s="28" t="s">
        <v>14</v>
      </c>
      <c r="F1834" s="7" t="s">
        <v>14</v>
      </c>
      <c r="G1834" s="27" t="s">
        <v>14</v>
      </c>
      <c r="H1834" s="27" t="s">
        <v>14</v>
      </c>
    </row>
    <row r="1835" spans="2:8" x14ac:dyDescent="0.3">
      <c r="B1835" s="9">
        <v>42884</v>
      </c>
      <c r="C1835" s="29" t="str">
        <f t="shared" si="28"/>
        <v/>
      </c>
      <c r="D1835" s="8">
        <v>0.5</v>
      </c>
      <c r="E1835" s="28" t="s">
        <v>14</v>
      </c>
      <c r="F1835" s="7" t="s">
        <v>14</v>
      </c>
      <c r="G1835" s="27" t="s">
        <v>14</v>
      </c>
      <c r="H1835" s="27" t="s">
        <v>14</v>
      </c>
    </row>
    <row r="1836" spans="2:8" x14ac:dyDescent="0.3">
      <c r="B1836" s="11">
        <v>42885</v>
      </c>
      <c r="C1836" s="29" t="str">
        <f t="shared" si="28"/>
        <v/>
      </c>
      <c r="D1836" s="8">
        <v>0.5</v>
      </c>
      <c r="E1836" s="28" t="s">
        <v>14</v>
      </c>
      <c r="F1836" s="7" t="s">
        <v>14</v>
      </c>
      <c r="G1836" s="27" t="s">
        <v>14</v>
      </c>
      <c r="H1836" s="27" t="s">
        <v>14</v>
      </c>
    </row>
    <row r="1837" spans="2:8" x14ac:dyDescent="0.3">
      <c r="B1837" s="9">
        <v>42886</v>
      </c>
      <c r="C1837" s="29" t="str">
        <f t="shared" si="28"/>
        <v/>
      </c>
      <c r="D1837" s="8">
        <v>0.5</v>
      </c>
      <c r="E1837" s="28">
        <v>0.5</v>
      </c>
      <c r="F1837" s="7" t="s">
        <v>14</v>
      </c>
      <c r="G1837" s="27" t="s">
        <v>14</v>
      </c>
      <c r="H1837" s="27" t="s">
        <v>14</v>
      </c>
    </row>
    <row r="1838" spans="2:8" x14ac:dyDescent="0.3">
      <c r="B1838" s="11">
        <v>42887</v>
      </c>
      <c r="C1838" s="29" t="str">
        <f t="shared" si="28"/>
        <v/>
      </c>
      <c r="D1838" s="8">
        <v>0.5</v>
      </c>
      <c r="E1838" s="28" t="s">
        <v>14</v>
      </c>
      <c r="F1838" s="7" t="s">
        <v>14</v>
      </c>
      <c r="G1838" s="27" t="s">
        <v>14</v>
      </c>
      <c r="H1838" s="27" t="s">
        <v>14</v>
      </c>
    </row>
    <row r="1839" spans="2:8" x14ac:dyDescent="0.3">
      <c r="B1839" s="9">
        <v>42888</v>
      </c>
      <c r="C1839" s="29" t="str">
        <f t="shared" si="28"/>
        <v/>
      </c>
      <c r="D1839" s="8">
        <v>0.5</v>
      </c>
      <c r="E1839" s="28" t="s">
        <v>14</v>
      </c>
      <c r="F1839" s="7" t="s">
        <v>14</v>
      </c>
      <c r="G1839" s="27" t="s">
        <v>14</v>
      </c>
      <c r="H1839" s="27" t="s">
        <v>14</v>
      </c>
    </row>
    <row r="1840" spans="2:8" x14ac:dyDescent="0.3">
      <c r="B1840" s="11">
        <v>42891</v>
      </c>
      <c r="C1840" s="29" t="str">
        <f t="shared" si="28"/>
        <v/>
      </c>
      <c r="D1840" s="8">
        <v>0.5</v>
      </c>
      <c r="E1840" s="28" t="s">
        <v>14</v>
      </c>
      <c r="F1840" s="7" t="s">
        <v>14</v>
      </c>
      <c r="G1840" s="27" t="s">
        <v>14</v>
      </c>
      <c r="H1840" s="27" t="s">
        <v>14</v>
      </c>
    </row>
    <row r="1841" spans="2:8" x14ac:dyDescent="0.3">
      <c r="B1841" s="9">
        <v>42892</v>
      </c>
      <c r="C1841" s="29" t="str">
        <f t="shared" si="28"/>
        <v/>
      </c>
      <c r="D1841" s="8">
        <v>0.5</v>
      </c>
      <c r="E1841" s="28" t="s">
        <v>14</v>
      </c>
      <c r="F1841" s="7" t="s">
        <v>14</v>
      </c>
      <c r="G1841" s="27" t="s">
        <v>14</v>
      </c>
      <c r="H1841" s="27" t="s">
        <v>14</v>
      </c>
    </row>
    <row r="1842" spans="2:8" x14ac:dyDescent="0.3">
      <c r="B1842" s="11">
        <v>42893</v>
      </c>
      <c r="C1842" s="29" t="str">
        <f t="shared" si="28"/>
        <v/>
      </c>
      <c r="D1842" s="8">
        <v>0.5</v>
      </c>
      <c r="E1842" s="28" t="s">
        <v>14</v>
      </c>
      <c r="F1842" s="7" t="s">
        <v>14</v>
      </c>
      <c r="G1842" s="27" t="s">
        <v>14</v>
      </c>
      <c r="H1842" s="27" t="s">
        <v>14</v>
      </c>
    </row>
    <row r="1843" spans="2:8" x14ac:dyDescent="0.3">
      <c r="B1843" s="9">
        <v>42894</v>
      </c>
      <c r="C1843" s="29" t="str">
        <f t="shared" si="28"/>
        <v/>
      </c>
      <c r="D1843" s="8">
        <v>0.5</v>
      </c>
      <c r="E1843" s="28" t="s">
        <v>14</v>
      </c>
      <c r="F1843" s="7" t="s">
        <v>14</v>
      </c>
      <c r="G1843" s="27" t="s">
        <v>14</v>
      </c>
      <c r="H1843" s="27" t="s">
        <v>14</v>
      </c>
    </row>
    <row r="1844" spans="2:8" x14ac:dyDescent="0.3">
      <c r="B1844" s="11">
        <v>42895</v>
      </c>
      <c r="C1844" s="29" t="str">
        <f t="shared" si="28"/>
        <v/>
      </c>
      <c r="D1844" s="8">
        <v>0.5</v>
      </c>
      <c r="E1844" s="28" t="s">
        <v>14</v>
      </c>
      <c r="F1844" s="7" t="s">
        <v>14</v>
      </c>
      <c r="G1844" s="27" t="s">
        <v>14</v>
      </c>
      <c r="H1844" s="27" t="s">
        <v>14</v>
      </c>
    </row>
    <row r="1845" spans="2:8" x14ac:dyDescent="0.3">
      <c r="B1845" s="9">
        <v>42898</v>
      </c>
      <c r="C1845" s="29" t="str">
        <f t="shared" si="28"/>
        <v/>
      </c>
      <c r="D1845" s="8">
        <v>0.5</v>
      </c>
      <c r="E1845" s="28" t="s">
        <v>14</v>
      </c>
      <c r="F1845" s="7" t="s">
        <v>14</v>
      </c>
      <c r="G1845" s="27" t="s">
        <v>14</v>
      </c>
      <c r="H1845" s="27" t="s">
        <v>14</v>
      </c>
    </row>
    <row r="1846" spans="2:8" x14ac:dyDescent="0.3">
      <c r="B1846" s="11">
        <v>42899</v>
      </c>
      <c r="C1846" s="29" t="str">
        <f t="shared" si="28"/>
        <v/>
      </c>
      <c r="D1846" s="8">
        <v>0.5</v>
      </c>
      <c r="E1846" s="28" t="s">
        <v>14</v>
      </c>
      <c r="F1846" s="7" t="s">
        <v>14</v>
      </c>
      <c r="G1846" s="27" t="s">
        <v>14</v>
      </c>
      <c r="H1846" s="27" t="s">
        <v>14</v>
      </c>
    </row>
    <row r="1847" spans="2:8" x14ac:dyDescent="0.3">
      <c r="B1847" s="9">
        <v>42900</v>
      </c>
      <c r="C1847" s="29" t="str">
        <f t="shared" si="28"/>
        <v/>
      </c>
      <c r="D1847" s="8">
        <v>0.5</v>
      </c>
      <c r="E1847" s="28" t="s">
        <v>14</v>
      </c>
      <c r="F1847" s="7" t="s">
        <v>14</v>
      </c>
      <c r="G1847" s="27" t="s">
        <v>14</v>
      </c>
      <c r="H1847" s="27" t="s">
        <v>14</v>
      </c>
    </row>
    <row r="1848" spans="2:8" x14ac:dyDescent="0.3">
      <c r="B1848" s="11">
        <v>42902</v>
      </c>
      <c r="C1848" s="29" t="str">
        <f t="shared" si="28"/>
        <v/>
      </c>
      <c r="D1848" s="8">
        <v>0.5</v>
      </c>
      <c r="E1848" s="28" t="s">
        <v>14</v>
      </c>
      <c r="F1848" s="7" t="s">
        <v>14</v>
      </c>
      <c r="G1848" s="27" t="s">
        <v>14</v>
      </c>
      <c r="H1848" s="27" t="s">
        <v>14</v>
      </c>
    </row>
    <row r="1849" spans="2:8" x14ac:dyDescent="0.3">
      <c r="B1849" s="9">
        <v>42905</v>
      </c>
      <c r="C1849" s="29" t="str">
        <f t="shared" si="28"/>
        <v/>
      </c>
      <c r="D1849" s="8">
        <v>0.5</v>
      </c>
      <c r="E1849" s="28" t="s">
        <v>14</v>
      </c>
      <c r="F1849" s="7" t="s">
        <v>14</v>
      </c>
      <c r="G1849" s="27" t="s">
        <v>14</v>
      </c>
      <c r="H1849" s="27" t="s">
        <v>14</v>
      </c>
    </row>
    <row r="1850" spans="2:8" x14ac:dyDescent="0.3">
      <c r="B1850" s="11">
        <v>42906</v>
      </c>
      <c r="C1850" s="29" t="str">
        <f t="shared" si="28"/>
        <v/>
      </c>
      <c r="D1850" s="8">
        <v>0.5</v>
      </c>
      <c r="E1850" s="28" t="s">
        <v>14</v>
      </c>
      <c r="F1850" s="7" t="s">
        <v>14</v>
      </c>
      <c r="G1850" s="27" t="s">
        <v>14</v>
      </c>
      <c r="H1850" s="27" t="s">
        <v>14</v>
      </c>
    </row>
    <row r="1851" spans="2:8" x14ac:dyDescent="0.3">
      <c r="B1851" s="9">
        <v>42907</v>
      </c>
      <c r="C1851" s="29" t="str">
        <f t="shared" si="28"/>
        <v/>
      </c>
      <c r="D1851" s="8">
        <v>0.5</v>
      </c>
      <c r="E1851" s="28" t="s">
        <v>14</v>
      </c>
      <c r="F1851" s="7" t="s">
        <v>14</v>
      </c>
      <c r="G1851" s="27" t="s">
        <v>14</v>
      </c>
      <c r="H1851" s="27" t="s">
        <v>14</v>
      </c>
    </row>
    <row r="1852" spans="2:8" x14ac:dyDescent="0.3">
      <c r="B1852" s="11">
        <v>42908</v>
      </c>
      <c r="C1852" s="29" t="str">
        <f t="shared" si="28"/>
        <v/>
      </c>
      <c r="D1852" s="8">
        <v>0.5</v>
      </c>
      <c r="E1852" s="28" t="s">
        <v>14</v>
      </c>
      <c r="F1852" s="7" t="s">
        <v>14</v>
      </c>
      <c r="G1852" s="27" t="s">
        <v>14</v>
      </c>
      <c r="H1852" s="27" t="s">
        <v>14</v>
      </c>
    </row>
    <row r="1853" spans="2:8" x14ac:dyDescent="0.3">
      <c r="B1853" s="9">
        <v>42909</v>
      </c>
      <c r="C1853" s="29" t="str">
        <f t="shared" si="28"/>
        <v/>
      </c>
      <c r="D1853" s="8">
        <v>0.5</v>
      </c>
      <c r="E1853" s="28" t="s">
        <v>14</v>
      </c>
      <c r="F1853" s="7" t="s">
        <v>14</v>
      </c>
      <c r="G1853" s="27" t="s">
        <v>14</v>
      </c>
      <c r="H1853" s="27" t="s">
        <v>14</v>
      </c>
    </row>
    <row r="1854" spans="2:8" x14ac:dyDescent="0.3">
      <c r="B1854" s="11">
        <v>42912</v>
      </c>
      <c r="C1854" s="29" t="str">
        <f t="shared" si="28"/>
        <v/>
      </c>
      <c r="D1854" s="8">
        <v>0.5</v>
      </c>
      <c r="E1854" s="28" t="s">
        <v>14</v>
      </c>
      <c r="F1854" s="7" t="s">
        <v>14</v>
      </c>
      <c r="G1854" s="27" t="s">
        <v>14</v>
      </c>
      <c r="H1854" s="27" t="s">
        <v>14</v>
      </c>
    </row>
    <row r="1855" spans="2:8" x14ac:dyDescent="0.3">
      <c r="B1855" s="9">
        <v>42913</v>
      </c>
      <c r="C1855" s="29" t="str">
        <f t="shared" si="28"/>
        <v/>
      </c>
      <c r="D1855" s="8">
        <v>0.5</v>
      </c>
      <c r="E1855" s="28" t="s">
        <v>14</v>
      </c>
      <c r="F1855" s="7" t="s">
        <v>14</v>
      </c>
      <c r="G1855" s="27" t="s">
        <v>14</v>
      </c>
      <c r="H1855" s="27" t="s">
        <v>14</v>
      </c>
    </row>
    <row r="1856" spans="2:8" x14ac:dyDescent="0.3">
      <c r="B1856" s="11">
        <v>42914</v>
      </c>
      <c r="C1856" s="29" t="str">
        <f t="shared" si="28"/>
        <v/>
      </c>
      <c r="D1856" s="8">
        <v>0.5</v>
      </c>
      <c r="E1856" s="28" t="s">
        <v>14</v>
      </c>
      <c r="F1856" s="7" t="s">
        <v>14</v>
      </c>
      <c r="G1856" s="27" t="s">
        <v>14</v>
      </c>
      <c r="H1856" s="27" t="s">
        <v>14</v>
      </c>
    </row>
    <row r="1857" spans="2:8" x14ac:dyDescent="0.3">
      <c r="B1857" s="9">
        <v>42915</v>
      </c>
      <c r="C1857" s="29" t="str">
        <f t="shared" si="28"/>
        <v/>
      </c>
      <c r="D1857" s="8">
        <v>0.5</v>
      </c>
      <c r="E1857" s="28" t="s">
        <v>14</v>
      </c>
      <c r="F1857" s="7" t="s">
        <v>14</v>
      </c>
      <c r="G1857" s="27" t="s">
        <v>14</v>
      </c>
      <c r="H1857" s="27" t="s">
        <v>14</v>
      </c>
    </row>
    <row r="1858" spans="2:8" x14ac:dyDescent="0.3">
      <c r="B1858" s="11">
        <v>42916</v>
      </c>
      <c r="C1858" s="29">
        <f t="shared" si="28"/>
        <v>0</v>
      </c>
      <c r="D1858" s="8">
        <v>0.5</v>
      </c>
      <c r="E1858" s="28">
        <v>0.5</v>
      </c>
      <c r="F1858" s="7">
        <v>0.5</v>
      </c>
      <c r="G1858" s="27">
        <v>0.5</v>
      </c>
    </row>
    <row r="1859" spans="2:8" x14ac:dyDescent="0.3">
      <c r="B1859" s="9">
        <v>42919</v>
      </c>
      <c r="C1859" s="29" t="str">
        <f t="shared" ref="C1859:C1922" si="29">INDEX(D1859:H1859,MATCH($A$1,$D$1:$H$1,0))</f>
        <v/>
      </c>
      <c r="D1859" s="8">
        <v>0.5</v>
      </c>
      <c r="E1859" s="28" t="s">
        <v>14</v>
      </c>
      <c r="F1859" s="7" t="s">
        <v>14</v>
      </c>
      <c r="G1859" s="27" t="s">
        <v>14</v>
      </c>
      <c r="H1859" s="27" t="s">
        <v>14</v>
      </c>
    </row>
    <row r="1860" spans="2:8" x14ac:dyDescent="0.3">
      <c r="B1860" s="11">
        <v>42920</v>
      </c>
      <c r="C1860" s="29" t="str">
        <f t="shared" si="29"/>
        <v/>
      </c>
      <c r="D1860" s="8">
        <v>0.5</v>
      </c>
      <c r="E1860" s="28" t="s">
        <v>14</v>
      </c>
      <c r="F1860" s="7" t="s">
        <v>14</v>
      </c>
      <c r="G1860" s="27" t="s">
        <v>14</v>
      </c>
      <c r="H1860" s="27" t="s">
        <v>14</v>
      </c>
    </row>
    <row r="1861" spans="2:8" x14ac:dyDescent="0.3">
      <c r="B1861" s="9">
        <v>42921</v>
      </c>
      <c r="C1861" s="29" t="str">
        <f t="shared" si="29"/>
        <v/>
      </c>
      <c r="D1861" s="8">
        <v>0.5</v>
      </c>
      <c r="E1861" s="28" t="s">
        <v>14</v>
      </c>
      <c r="F1861" s="7" t="s">
        <v>14</v>
      </c>
      <c r="G1861" s="27" t="s">
        <v>14</v>
      </c>
      <c r="H1861" s="27" t="s">
        <v>14</v>
      </c>
    </row>
    <row r="1862" spans="2:8" x14ac:dyDescent="0.3">
      <c r="B1862" s="11">
        <v>42922</v>
      </c>
      <c r="C1862" s="29" t="str">
        <f t="shared" si="29"/>
        <v/>
      </c>
      <c r="D1862" s="8">
        <v>0.5</v>
      </c>
      <c r="E1862" s="28" t="s">
        <v>14</v>
      </c>
      <c r="F1862" s="7" t="s">
        <v>14</v>
      </c>
      <c r="G1862" s="27" t="s">
        <v>14</v>
      </c>
      <c r="H1862" s="27" t="s">
        <v>14</v>
      </c>
    </row>
    <row r="1863" spans="2:8" x14ac:dyDescent="0.3">
      <c r="B1863" s="9">
        <v>42923</v>
      </c>
      <c r="C1863" s="29" t="str">
        <f t="shared" si="29"/>
        <v/>
      </c>
      <c r="D1863" s="8">
        <v>0.5</v>
      </c>
      <c r="E1863" s="28" t="s">
        <v>14</v>
      </c>
      <c r="F1863" s="7" t="s">
        <v>14</v>
      </c>
      <c r="G1863" s="27" t="s">
        <v>14</v>
      </c>
      <c r="H1863" s="27" t="s">
        <v>14</v>
      </c>
    </row>
    <row r="1864" spans="2:8" x14ac:dyDescent="0.3">
      <c r="B1864" s="11">
        <v>42926</v>
      </c>
      <c r="C1864" s="29" t="str">
        <f t="shared" si="29"/>
        <v/>
      </c>
      <c r="D1864" s="8">
        <v>0.5</v>
      </c>
      <c r="E1864" s="28" t="s">
        <v>14</v>
      </c>
      <c r="F1864" s="7" t="s">
        <v>14</v>
      </c>
      <c r="G1864" s="27" t="s">
        <v>14</v>
      </c>
      <c r="H1864" s="27" t="s">
        <v>14</v>
      </c>
    </row>
    <row r="1865" spans="2:8" x14ac:dyDescent="0.3">
      <c r="B1865" s="9">
        <v>42927</v>
      </c>
      <c r="C1865" s="29" t="str">
        <f t="shared" si="29"/>
        <v/>
      </c>
      <c r="D1865" s="8">
        <v>0.5</v>
      </c>
      <c r="E1865" s="28" t="s">
        <v>14</v>
      </c>
      <c r="F1865" s="7" t="s">
        <v>14</v>
      </c>
      <c r="G1865" s="27" t="s">
        <v>14</v>
      </c>
      <c r="H1865" s="27" t="s">
        <v>14</v>
      </c>
    </row>
    <row r="1866" spans="2:8" x14ac:dyDescent="0.3">
      <c r="B1866" s="11">
        <v>42928</v>
      </c>
      <c r="C1866" s="29" t="str">
        <f t="shared" si="29"/>
        <v/>
      </c>
      <c r="D1866" s="8">
        <v>0.5</v>
      </c>
      <c r="E1866" s="28" t="s">
        <v>14</v>
      </c>
      <c r="F1866" s="7" t="s">
        <v>14</v>
      </c>
      <c r="G1866" s="27" t="s">
        <v>14</v>
      </c>
      <c r="H1866" s="27" t="s">
        <v>14</v>
      </c>
    </row>
    <row r="1867" spans="2:8" x14ac:dyDescent="0.3">
      <c r="B1867" s="9">
        <v>42929</v>
      </c>
      <c r="C1867" s="29" t="str">
        <f t="shared" si="29"/>
        <v/>
      </c>
      <c r="D1867" s="8">
        <v>0.5</v>
      </c>
      <c r="E1867" s="28" t="s">
        <v>14</v>
      </c>
      <c r="F1867" s="7" t="s">
        <v>14</v>
      </c>
      <c r="G1867" s="27" t="s">
        <v>14</v>
      </c>
      <c r="H1867" s="27" t="s">
        <v>14</v>
      </c>
    </row>
    <row r="1868" spans="2:8" x14ac:dyDescent="0.3">
      <c r="B1868" s="11">
        <v>42930</v>
      </c>
      <c r="C1868" s="29" t="str">
        <f t="shared" si="29"/>
        <v/>
      </c>
      <c r="D1868" s="8">
        <v>0.5</v>
      </c>
      <c r="E1868" s="28" t="s">
        <v>14</v>
      </c>
      <c r="F1868" s="7" t="s">
        <v>14</v>
      </c>
      <c r="G1868" s="27" t="s">
        <v>14</v>
      </c>
      <c r="H1868" s="27" t="s">
        <v>14</v>
      </c>
    </row>
    <row r="1869" spans="2:8" x14ac:dyDescent="0.3">
      <c r="B1869" s="9">
        <v>42933</v>
      </c>
      <c r="C1869" s="29" t="str">
        <f t="shared" si="29"/>
        <v/>
      </c>
      <c r="D1869" s="8">
        <v>0.5</v>
      </c>
      <c r="E1869" s="28" t="s">
        <v>14</v>
      </c>
      <c r="F1869" s="7" t="s">
        <v>14</v>
      </c>
      <c r="G1869" s="27" t="s">
        <v>14</v>
      </c>
      <c r="H1869" s="27" t="s">
        <v>14</v>
      </c>
    </row>
    <row r="1870" spans="2:8" x14ac:dyDescent="0.3">
      <c r="B1870" s="11">
        <v>42934</v>
      </c>
      <c r="C1870" s="29" t="str">
        <f t="shared" si="29"/>
        <v/>
      </c>
      <c r="D1870" s="8">
        <v>0.5</v>
      </c>
      <c r="E1870" s="28" t="s">
        <v>14</v>
      </c>
      <c r="F1870" s="7" t="s">
        <v>14</v>
      </c>
      <c r="G1870" s="27" t="s">
        <v>14</v>
      </c>
      <c r="H1870" s="27" t="s">
        <v>14</v>
      </c>
    </row>
    <row r="1871" spans="2:8" x14ac:dyDescent="0.3">
      <c r="B1871" s="9">
        <v>42935</v>
      </c>
      <c r="C1871" s="29" t="str">
        <f t="shared" si="29"/>
        <v/>
      </c>
      <c r="D1871" s="8">
        <v>0.5</v>
      </c>
      <c r="E1871" s="28" t="s">
        <v>14</v>
      </c>
      <c r="F1871" s="7" t="s">
        <v>14</v>
      </c>
      <c r="G1871" s="27" t="s">
        <v>14</v>
      </c>
      <c r="H1871" s="27" t="s">
        <v>14</v>
      </c>
    </row>
    <row r="1872" spans="2:8" x14ac:dyDescent="0.3">
      <c r="B1872" s="11">
        <v>42936</v>
      </c>
      <c r="C1872" s="29" t="str">
        <f t="shared" si="29"/>
        <v/>
      </c>
      <c r="D1872" s="8">
        <v>0.5</v>
      </c>
      <c r="E1872" s="28" t="s">
        <v>14</v>
      </c>
      <c r="F1872" s="7" t="s">
        <v>14</v>
      </c>
      <c r="G1872" s="27" t="s">
        <v>14</v>
      </c>
      <c r="H1872" s="27" t="s">
        <v>14</v>
      </c>
    </row>
    <row r="1873" spans="2:8" x14ac:dyDescent="0.3">
      <c r="B1873" s="9">
        <v>42937</v>
      </c>
      <c r="C1873" s="29" t="str">
        <f t="shared" si="29"/>
        <v/>
      </c>
      <c r="D1873" s="8">
        <v>0.5</v>
      </c>
      <c r="E1873" s="28" t="s">
        <v>14</v>
      </c>
      <c r="F1873" s="7" t="s">
        <v>14</v>
      </c>
      <c r="G1873" s="27" t="s">
        <v>14</v>
      </c>
      <c r="H1873" s="27" t="s">
        <v>14</v>
      </c>
    </row>
    <row r="1874" spans="2:8" x14ac:dyDescent="0.3">
      <c r="B1874" s="11">
        <v>42940</v>
      </c>
      <c r="C1874" s="29" t="str">
        <f t="shared" si="29"/>
        <v/>
      </c>
      <c r="D1874" s="8">
        <v>0.5</v>
      </c>
      <c r="E1874" s="28" t="s">
        <v>14</v>
      </c>
      <c r="F1874" s="7" t="s">
        <v>14</v>
      </c>
      <c r="G1874" s="27" t="s">
        <v>14</v>
      </c>
      <c r="H1874" s="27" t="s">
        <v>14</v>
      </c>
    </row>
    <row r="1875" spans="2:8" x14ac:dyDescent="0.3">
      <c r="B1875" s="9">
        <v>42941</v>
      </c>
      <c r="C1875" s="29" t="str">
        <f t="shared" si="29"/>
        <v/>
      </c>
      <c r="D1875" s="8">
        <v>0.5</v>
      </c>
      <c r="E1875" s="28" t="s">
        <v>14</v>
      </c>
      <c r="F1875" s="7" t="s">
        <v>14</v>
      </c>
      <c r="G1875" s="27" t="s">
        <v>14</v>
      </c>
      <c r="H1875" s="27" t="s">
        <v>14</v>
      </c>
    </row>
    <row r="1876" spans="2:8" x14ac:dyDescent="0.3">
      <c r="B1876" s="11">
        <v>42942</v>
      </c>
      <c r="C1876" s="29" t="str">
        <f t="shared" si="29"/>
        <v/>
      </c>
      <c r="D1876" s="8">
        <v>0.5</v>
      </c>
      <c r="E1876" s="28" t="s">
        <v>14</v>
      </c>
      <c r="F1876" s="7" t="s">
        <v>14</v>
      </c>
      <c r="G1876" s="27" t="s">
        <v>14</v>
      </c>
      <c r="H1876" s="27" t="s">
        <v>14</v>
      </c>
    </row>
    <row r="1877" spans="2:8" x14ac:dyDescent="0.3">
      <c r="B1877" s="9">
        <v>42943</v>
      </c>
      <c r="C1877" s="29" t="str">
        <f t="shared" si="29"/>
        <v/>
      </c>
      <c r="D1877" s="8">
        <v>0.5</v>
      </c>
      <c r="E1877" s="28" t="s">
        <v>14</v>
      </c>
      <c r="F1877" s="7" t="s">
        <v>14</v>
      </c>
      <c r="G1877" s="27" t="s">
        <v>14</v>
      </c>
      <c r="H1877" s="27" t="s">
        <v>14</v>
      </c>
    </row>
    <row r="1878" spans="2:8" x14ac:dyDescent="0.3">
      <c r="B1878" s="11">
        <v>42944</v>
      </c>
      <c r="C1878" s="29" t="str">
        <f t="shared" si="29"/>
        <v/>
      </c>
      <c r="D1878" s="8">
        <v>0.5</v>
      </c>
      <c r="E1878" s="28" t="s">
        <v>14</v>
      </c>
      <c r="F1878" s="7" t="s">
        <v>14</v>
      </c>
      <c r="G1878" s="27" t="s">
        <v>14</v>
      </c>
      <c r="H1878" s="27" t="s">
        <v>14</v>
      </c>
    </row>
    <row r="1879" spans="2:8" x14ac:dyDescent="0.3">
      <c r="B1879" s="9">
        <v>42947</v>
      </c>
      <c r="C1879" s="29" t="str">
        <f t="shared" si="29"/>
        <v/>
      </c>
      <c r="D1879" s="8">
        <v>0.5</v>
      </c>
      <c r="E1879" s="28">
        <v>0.5</v>
      </c>
      <c r="F1879" s="7" t="s">
        <v>14</v>
      </c>
      <c r="G1879" s="27" t="s">
        <v>14</v>
      </c>
      <c r="H1879" s="27" t="s">
        <v>14</v>
      </c>
    </row>
    <row r="1880" spans="2:8" x14ac:dyDescent="0.3">
      <c r="B1880" s="11">
        <v>42948</v>
      </c>
      <c r="C1880" s="29" t="str">
        <f t="shared" si="29"/>
        <v/>
      </c>
      <c r="D1880" s="8">
        <v>0.5</v>
      </c>
      <c r="E1880" s="28" t="s">
        <v>14</v>
      </c>
      <c r="F1880" s="7" t="s">
        <v>14</v>
      </c>
      <c r="G1880" s="27" t="s">
        <v>14</v>
      </c>
      <c r="H1880" s="27" t="s">
        <v>14</v>
      </c>
    </row>
    <row r="1881" spans="2:8" x14ac:dyDescent="0.3">
      <c r="B1881" s="9">
        <v>42949</v>
      </c>
      <c r="C1881" s="29" t="str">
        <f t="shared" si="29"/>
        <v/>
      </c>
      <c r="D1881" s="8">
        <v>0.5</v>
      </c>
      <c r="E1881" s="28" t="s">
        <v>14</v>
      </c>
      <c r="F1881" s="7" t="s">
        <v>14</v>
      </c>
      <c r="G1881" s="27" t="s">
        <v>14</v>
      </c>
      <c r="H1881" s="27" t="s">
        <v>14</v>
      </c>
    </row>
    <row r="1882" spans="2:8" x14ac:dyDescent="0.3">
      <c r="B1882" s="11">
        <v>42950</v>
      </c>
      <c r="C1882" s="29" t="str">
        <f t="shared" si="29"/>
        <v/>
      </c>
      <c r="D1882" s="8">
        <v>0.5</v>
      </c>
      <c r="E1882" s="28" t="s">
        <v>14</v>
      </c>
      <c r="F1882" s="7" t="s">
        <v>14</v>
      </c>
      <c r="G1882" s="27" t="s">
        <v>14</v>
      </c>
      <c r="H1882" s="27" t="s">
        <v>14</v>
      </c>
    </row>
    <row r="1883" spans="2:8" x14ac:dyDescent="0.3">
      <c r="B1883" s="9">
        <v>42951</v>
      </c>
      <c r="C1883" s="29" t="str">
        <f t="shared" si="29"/>
        <v/>
      </c>
      <c r="D1883" s="8">
        <v>0.5</v>
      </c>
      <c r="E1883" s="28" t="s">
        <v>14</v>
      </c>
      <c r="F1883" s="7" t="s">
        <v>14</v>
      </c>
      <c r="G1883" s="27" t="s">
        <v>14</v>
      </c>
      <c r="H1883" s="27" t="s">
        <v>14</v>
      </c>
    </row>
    <row r="1884" spans="2:8" x14ac:dyDescent="0.3">
      <c r="B1884" s="11">
        <v>42954</v>
      </c>
      <c r="C1884" s="29" t="str">
        <f t="shared" si="29"/>
        <v/>
      </c>
      <c r="D1884" s="8">
        <v>0.5</v>
      </c>
      <c r="E1884" s="28" t="s">
        <v>14</v>
      </c>
      <c r="F1884" s="7" t="s">
        <v>14</v>
      </c>
      <c r="G1884" s="27" t="s">
        <v>14</v>
      </c>
      <c r="H1884" s="27" t="s">
        <v>14</v>
      </c>
    </row>
    <row r="1885" spans="2:8" x14ac:dyDescent="0.3">
      <c r="B1885" s="9">
        <v>42955</v>
      </c>
      <c r="C1885" s="29" t="str">
        <f t="shared" si="29"/>
        <v/>
      </c>
      <c r="D1885" s="8">
        <v>0.5</v>
      </c>
      <c r="E1885" s="28" t="s">
        <v>14</v>
      </c>
      <c r="F1885" s="7" t="s">
        <v>14</v>
      </c>
      <c r="G1885" s="27" t="s">
        <v>14</v>
      </c>
      <c r="H1885" s="27" t="s">
        <v>14</v>
      </c>
    </row>
    <row r="1886" spans="2:8" x14ac:dyDescent="0.3">
      <c r="B1886" s="11">
        <v>42956</v>
      </c>
      <c r="C1886" s="29" t="str">
        <f t="shared" si="29"/>
        <v/>
      </c>
      <c r="D1886" s="8">
        <v>0.5</v>
      </c>
      <c r="E1886" s="28" t="s">
        <v>14</v>
      </c>
      <c r="F1886" s="7" t="s">
        <v>14</v>
      </c>
      <c r="G1886" s="27" t="s">
        <v>14</v>
      </c>
      <c r="H1886" s="27" t="s">
        <v>14</v>
      </c>
    </row>
    <row r="1887" spans="2:8" x14ac:dyDescent="0.3">
      <c r="B1887" s="9">
        <v>42957</v>
      </c>
      <c r="C1887" s="29" t="str">
        <f t="shared" si="29"/>
        <v/>
      </c>
      <c r="D1887" s="8">
        <v>0.5</v>
      </c>
      <c r="E1887" s="28" t="s">
        <v>14</v>
      </c>
      <c r="F1887" s="7" t="s">
        <v>14</v>
      </c>
      <c r="G1887" s="27" t="s">
        <v>14</v>
      </c>
      <c r="H1887" s="27" t="s">
        <v>14</v>
      </c>
    </row>
    <row r="1888" spans="2:8" x14ac:dyDescent="0.3">
      <c r="B1888" s="11">
        <v>42958</v>
      </c>
      <c r="C1888" s="29" t="str">
        <f t="shared" si="29"/>
        <v/>
      </c>
      <c r="D1888" s="8">
        <v>0.5</v>
      </c>
      <c r="E1888" s="28" t="s">
        <v>14</v>
      </c>
      <c r="F1888" s="7" t="s">
        <v>14</v>
      </c>
      <c r="G1888" s="27" t="s">
        <v>14</v>
      </c>
      <c r="H1888" s="27" t="s">
        <v>14</v>
      </c>
    </row>
    <row r="1889" spans="2:8" x14ac:dyDescent="0.3">
      <c r="B1889" s="9">
        <v>42961</v>
      </c>
      <c r="C1889" s="29" t="str">
        <f t="shared" si="29"/>
        <v/>
      </c>
      <c r="D1889" s="8">
        <v>0.5</v>
      </c>
      <c r="E1889" s="28" t="s">
        <v>14</v>
      </c>
      <c r="F1889" s="7" t="s">
        <v>14</v>
      </c>
      <c r="G1889" s="27" t="s">
        <v>14</v>
      </c>
      <c r="H1889" s="27" t="s">
        <v>14</v>
      </c>
    </row>
    <row r="1890" spans="2:8" x14ac:dyDescent="0.3">
      <c r="B1890" s="11">
        <v>42962</v>
      </c>
      <c r="C1890" s="29" t="str">
        <f t="shared" si="29"/>
        <v/>
      </c>
      <c r="D1890" s="8">
        <v>0.5</v>
      </c>
      <c r="E1890" s="28" t="s">
        <v>14</v>
      </c>
      <c r="F1890" s="7" t="s">
        <v>14</v>
      </c>
      <c r="G1890" s="27" t="s">
        <v>14</v>
      </c>
      <c r="H1890" s="27" t="s">
        <v>14</v>
      </c>
    </row>
    <row r="1891" spans="2:8" x14ac:dyDescent="0.3">
      <c r="B1891" s="9">
        <v>42963</v>
      </c>
      <c r="C1891" s="29" t="str">
        <f t="shared" si="29"/>
        <v/>
      </c>
      <c r="D1891" s="8">
        <v>0.5</v>
      </c>
      <c r="E1891" s="28" t="s">
        <v>14</v>
      </c>
      <c r="F1891" s="7" t="s">
        <v>14</v>
      </c>
      <c r="G1891" s="27" t="s">
        <v>14</v>
      </c>
      <c r="H1891" s="27" t="s">
        <v>14</v>
      </c>
    </row>
    <row r="1892" spans="2:8" x14ac:dyDescent="0.3">
      <c r="B1892" s="11">
        <v>42964</v>
      </c>
      <c r="C1892" s="29" t="str">
        <f t="shared" si="29"/>
        <v/>
      </c>
      <c r="D1892" s="8">
        <v>0.5</v>
      </c>
      <c r="E1892" s="28" t="s">
        <v>14</v>
      </c>
      <c r="F1892" s="7" t="s">
        <v>14</v>
      </c>
      <c r="G1892" s="27" t="s">
        <v>14</v>
      </c>
      <c r="H1892" s="27" t="s">
        <v>14</v>
      </c>
    </row>
    <row r="1893" spans="2:8" x14ac:dyDescent="0.3">
      <c r="B1893" s="9">
        <v>42965</v>
      </c>
      <c r="C1893" s="29" t="str">
        <f t="shared" si="29"/>
        <v/>
      </c>
      <c r="D1893" s="8">
        <v>0.5</v>
      </c>
      <c r="E1893" s="28" t="s">
        <v>14</v>
      </c>
      <c r="F1893" s="7" t="s">
        <v>14</v>
      </c>
      <c r="G1893" s="27" t="s">
        <v>14</v>
      </c>
      <c r="H1893" s="27" t="s">
        <v>14</v>
      </c>
    </row>
    <row r="1894" spans="2:8" x14ac:dyDescent="0.3">
      <c r="B1894" s="11">
        <v>42968</v>
      </c>
      <c r="C1894" s="29" t="str">
        <f t="shared" si="29"/>
        <v/>
      </c>
      <c r="D1894" s="8">
        <v>0.5</v>
      </c>
      <c r="E1894" s="28" t="s">
        <v>14</v>
      </c>
      <c r="F1894" s="7" t="s">
        <v>14</v>
      </c>
      <c r="G1894" s="27" t="s">
        <v>14</v>
      </c>
      <c r="H1894" s="27" t="s">
        <v>14</v>
      </c>
    </row>
    <row r="1895" spans="2:8" x14ac:dyDescent="0.3">
      <c r="B1895" s="9">
        <v>42969</v>
      </c>
      <c r="C1895" s="29" t="str">
        <f t="shared" si="29"/>
        <v/>
      </c>
      <c r="D1895" s="8">
        <v>0.5</v>
      </c>
      <c r="E1895" s="28" t="s">
        <v>14</v>
      </c>
      <c r="F1895" s="7" t="s">
        <v>14</v>
      </c>
      <c r="G1895" s="27" t="s">
        <v>14</v>
      </c>
      <c r="H1895" s="27" t="s">
        <v>14</v>
      </c>
    </row>
    <row r="1896" spans="2:8" x14ac:dyDescent="0.3">
      <c r="B1896" s="11">
        <v>42970</v>
      </c>
      <c r="C1896" s="29" t="str">
        <f t="shared" si="29"/>
        <v/>
      </c>
      <c r="D1896" s="8">
        <v>0.5</v>
      </c>
      <c r="E1896" s="28" t="s">
        <v>14</v>
      </c>
      <c r="F1896" s="7" t="s">
        <v>14</v>
      </c>
      <c r="G1896" s="27" t="s">
        <v>14</v>
      </c>
      <c r="H1896" s="27" t="s">
        <v>14</v>
      </c>
    </row>
    <row r="1897" spans="2:8" x14ac:dyDescent="0.3">
      <c r="B1897" s="9">
        <v>42971</v>
      </c>
      <c r="C1897" s="29" t="str">
        <f t="shared" si="29"/>
        <v/>
      </c>
      <c r="D1897" s="8">
        <v>0.5</v>
      </c>
      <c r="E1897" s="28" t="s">
        <v>14</v>
      </c>
      <c r="F1897" s="7" t="s">
        <v>14</v>
      </c>
      <c r="G1897" s="27" t="s">
        <v>14</v>
      </c>
      <c r="H1897" s="27" t="s">
        <v>14</v>
      </c>
    </row>
    <row r="1898" spans="2:8" x14ac:dyDescent="0.3">
      <c r="B1898" s="11">
        <v>42972</v>
      </c>
      <c r="C1898" s="29" t="str">
        <f t="shared" si="29"/>
        <v/>
      </c>
      <c r="D1898" s="8">
        <v>0.5</v>
      </c>
      <c r="E1898" s="28" t="s">
        <v>14</v>
      </c>
      <c r="F1898" s="7" t="s">
        <v>14</v>
      </c>
      <c r="G1898" s="27" t="s">
        <v>14</v>
      </c>
      <c r="H1898" s="27" t="s">
        <v>14</v>
      </c>
    </row>
    <row r="1899" spans="2:8" x14ac:dyDescent="0.3">
      <c r="B1899" s="9">
        <v>42975</v>
      </c>
      <c r="C1899" s="29" t="str">
        <f t="shared" si="29"/>
        <v/>
      </c>
      <c r="D1899" s="8">
        <v>0.5</v>
      </c>
      <c r="E1899" s="28" t="s">
        <v>14</v>
      </c>
      <c r="F1899" s="7" t="s">
        <v>14</v>
      </c>
      <c r="G1899" s="27" t="s">
        <v>14</v>
      </c>
      <c r="H1899" s="27" t="s">
        <v>14</v>
      </c>
    </row>
    <row r="1900" spans="2:8" x14ac:dyDescent="0.3">
      <c r="B1900" s="11">
        <v>42976</v>
      </c>
      <c r="C1900" s="29" t="str">
        <f t="shared" si="29"/>
        <v/>
      </c>
      <c r="D1900" s="8">
        <v>0.5</v>
      </c>
      <c r="E1900" s="28" t="s">
        <v>14</v>
      </c>
      <c r="F1900" s="7" t="s">
        <v>14</v>
      </c>
      <c r="G1900" s="27" t="s">
        <v>14</v>
      </c>
      <c r="H1900" s="27" t="s">
        <v>14</v>
      </c>
    </row>
    <row r="1901" spans="2:8" x14ac:dyDescent="0.3">
      <c r="B1901" s="9">
        <v>42977</v>
      </c>
      <c r="C1901" s="29" t="str">
        <f t="shared" si="29"/>
        <v/>
      </c>
      <c r="D1901" s="8">
        <v>0.5</v>
      </c>
      <c r="E1901" s="28" t="s">
        <v>14</v>
      </c>
      <c r="F1901" s="7" t="s">
        <v>14</v>
      </c>
      <c r="G1901" s="27" t="s">
        <v>14</v>
      </c>
      <c r="H1901" s="27" t="s">
        <v>14</v>
      </c>
    </row>
    <row r="1902" spans="2:8" x14ac:dyDescent="0.3">
      <c r="B1902" s="11">
        <v>42978</v>
      </c>
      <c r="C1902" s="29" t="str">
        <f t="shared" si="29"/>
        <v/>
      </c>
      <c r="D1902" s="8">
        <v>0.5</v>
      </c>
      <c r="E1902" s="28">
        <v>0.5</v>
      </c>
      <c r="F1902" s="7" t="s">
        <v>14</v>
      </c>
      <c r="G1902" s="27" t="s">
        <v>14</v>
      </c>
      <c r="H1902" s="27" t="s">
        <v>14</v>
      </c>
    </row>
    <row r="1903" spans="2:8" x14ac:dyDescent="0.3">
      <c r="B1903" s="9">
        <v>42979</v>
      </c>
      <c r="C1903" s="29" t="str">
        <f t="shared" si="29"/>
        <v/>
      </c>
      <c r="D1903" s="8">
        <v>0.5</v>
      </c>
      <c r="E1903" s="28" t="s">
        <v>14</v>
      </c>
      <c r="F1903" s="7" t="s">
        <v>14</v>
      </c>
      <c r="G1903" s="27" t="s">
        <v>14</v>
      </c>
      <c r="H1903" s="27" t="s">
        <v>14</v>
      </c>
    </row>
    <row r="1904" spans="2:8" x14ac:dyDescent="0.3">
      <c r="B1904" s="11">
        <v>42982</v>
      </c>
      <c r="C1904" s="29" t="str">
        <f t="shared" si="29"/>
        <v/>
      </c>
      <c r="D1904" s="8">
        <v>0.5</v>
      </c>
      <c r="E1904" s="28" t="s">
        <v>14</v>
      </c>
      <c r="F1904" s="7" t="s">
        <v>14</v>
      </c>
      <c r="G1904" s="27" t="s">
        <v>14</v>
      </c>
      <c r="H1904" s="27" t="s">
        <v>14</v>
      </c>
    </row>
    <row r="1905" spans="2:8" x14ac:dyDescent="0.3">
      <c r="B1905" s="9">
        <v>42983</v>
      </c>
      <c r="C1905" s="29" t="str">
        <f t="shared" si="29"/>
        <v/>
      </c>
      <c r="D1905" s="8">
        <v>0.5</v>
      </c>
      <c r="E1905" s="28" t="s">
        <v>14</v>
      </c>
      <c r="F1905" s="7" t="s">
        <v>14</v>
      </c>
      <c r="G1905" s="27" t="s">
        <v>14</v>
      </c>
      <c r="H1905" s="27" t="s">
        <v>14</v>
      </c>
    </row>
    <row r="1906" spans="2:8" x14ac:dyDescent="0.3">
      <c r="B1906" s="11">
        <v>42984</v>
      </c>
      <c r="C1906" s="29" t="str">
        <f t="shared" si="29"/>
        <v/>
      </c>
      <c r="D1906" s="8">
        <v>0.5</v>
      </c>
      <c r="E1906" s="28" t="s">
        <v>14</v>
      </c>
      <c r="F1906" s="7" t="s">
        <v>14</v>
      </c>
      <c r="G1906" s="27" t="s">
        <v>14</v>
      </c>
      <c r="H1906" s="27" t="s">
        <v>14</v>
      </c>
    </row>
    <row r="1907" spans="2:8" x14ac:dyDescent="0.3">
      <c r="B1907" s="9">
        <v>42986</v>
      </c>
      <c r="C1907" s="29" t="str">
        <f t="shared" si="29"/>
        <v/>
      </c>
      <c r="D1907" s="8">
        <v>0.5</v>
      </c>
      <c r="E1907" s="28" t="s">
        <v>14</v>
      </c>
      <c r="F1907" s="7" t="s">
        <v>14</v>
      </c>
      <c r="G1907" s="27" t="s">
        <v>14</v>
      </c>
      <c r="H1907" s="27" t="s">
        <v>14</v>
      </c>
    </row>
    <row r="1908" spans="2:8" x14ac:dyDescent="0.3">
      <c r="B1908" s="11">
        <v>42989</v>
      </c>
      <c r="C1908" s="29" t="str">
        <f t="shared" si="29"/>
        <v/>
      </c>
      <c r="D1908" s="8">
        <v>0.5</v>
      </c>
      <c r="E1908" s="28" t="s">
        <v>14</v>
      </c>
      <c r="F1908" s="7" t="s">
        <v>14</v>
      </c>
      <c r="G1908" s="27" t="s">
        <v>14</v>
      </c>
      <c r="H1908" s="27" t="s">
        <v>14</v>
      </c>
    </row>
    <row r="1909" spans="2:8" x14ac:dyDescent="0.3">
      <c r="B1909" s="9">
        <v>42990</v>
      </c>
      <c r="C1909" s="29" t="str">
        <f t="shared" si="29"/>
        <v/>
      </c>
      <c r="D1909" s="8">
        <v>0.5</v>
      </c>
      <c r="E1909" s="28" t="s">
        <v>14</v>
      </c>
      <c r="F1909" s="7" t="s">
        <v>14</v>
      </c>
      <c r="G1909" s="27" t="s">
        <v>14</v>
      </c>
      <c r="H1909" s="27" t="s">
        <v>14</v>
      </c>
    </row>
    <row r="1910" spans="2:8" x14ac:dyDescent="0.3">
      <c r="B1910" s="11">
        <v>42991</v>
      </c>
      <c r="C1910" s="29" t="str">
        <f t="shared" si="29"/>
        <v/>
      </c>
      <c r="D1910" s="8">
        <v>0.5</v>
      </c>
      <c r="E1910" s="28" t="s">
        <v>14</v>
      </c>
      <c r="F1910" s="7" t="s">
        <v>14</v>
      </c>
      <c r="G1910" s="27" t="s">
        <v>14</v>
      </c>
      <c r="H1910" s="27" t="s">
        <v>14</v>
      </c>
    </row>
    <row r="1911" spans="2:8" x14ac:dyDescent="0.3">
      <c r="B1911" s="9">
        <v>42992</v>
      </c>
      <c r="C1911" s="29" t="str">
        <f t="shared" si="29"/>
        <v/>
      </c>
      <c r="D1911" s="8">
        <v>0.5</v>
      </c>
      <c r="E1911" s="28" t="s">
        <v>14</v>
      </c>
      <c r="F1911" s="7" t="s">
        <v>14</v>
      </c>
      <c r="G1911" s="27" t="s">
        <v>14</v>
      </c>
      <c r="H1911" s="27" t="s">
        <v>14</v>
      </c>
    </row>
    <row r="1912" spans="2:8" x14ac:dyDescent="0.3">
      <c r="B1912" s="11">
        <v>42993</v>
      </c>
      <c r="C1912" s="29" t="str">
        <f t="shared" si="29"/>
        <v/>
      </c>
      <c r="D1912" s="8">
        <v>0.5</v>
      </c>
      <c r="E1912" s="28" t="s">
        <v>14</v>
      </c>
      <c r="F1912" s="7" t="s">
        <v>14</v>
      </c>
      <c r="G1912" s="27" t="s">
        <v>14</v>
      </c>
      <c r="H1912" s="27" t="s">
        <v>14</v>
      </c>
    </row>
    <row r="1913" spans="2:8" x14ac:dyDescent="0.3">
      <c r="B1913" s="9">
        <v>42996</v>
      </c>
      <c r="C1913" s="29" t="str">
        <f t="shared" si="29"/>
        <v/>
      </c>
      <c r="D1913" s="8">
        <v>0.5</v>
      </c>
      <c r="E1913" s="28" t="s">
        <v>14</v>
      </c>
      <c r="F1913" s="7" t="s">
        <v>14</v>
      </c>
      <c r="G1913" s="27" t="s">
        <v>14</v>
      </c>
      <c r="H1913" s="27" t="s">
        <v>14</v>
      </c>
    </row>
    <row r="1914" spans="2:8" x14ac:dyDescent="0.3">
      <c r="B1914" s="11">
        <v>42997</v>
      </c>
      <c r="C1914" s="29" t="str">
        <f t="shared" si="29"/>
        <v/>
      </c>
      <c r="D1914" s="8">
        <v>0.5</v>
      </c>
      <c r="E1914" s="28" t="s">
        <v>14</v>
      </c>
      <c r="F1914" s="7" t="s">
        <v>14</v>
      </c>
      <c r="G1914" s="27" t="s">
        <v>14</v>
      </c>
      <c r="H1914" s="27" t="s">
        <v>14</v>
      </c>
    </row>
    <row r="1915" spans="2:8" x14ac:dyDescent="0.3">
      <c r="B1915" s="9">
        <v>42998</v>
      </c>
      <c r="C1915" s="29" t="str">
        <f t="shared" si="29"/>
        <v/>
      </c>
      <c r="D1915" s="8">
        <v>0.5</v>
      </c>
      <c r="E1915" s="28" t="s">
        <v>14</v>
      </c>
      <c r="F1915" s="7" t="s">
        <v>14</v>
      </c>
      <c r="G1915" s="27" t="s">
        <v>14</v>
      </c>
      <c r="H1915" s="27" t="s">
        <v>14</v>
      </c>
    </row>
    <row r="1916" spans="2:8" x14ac:dyDescent="0.3">
      <c r="B1916" s="11">
        <v>42999</v>
      </c>
      <c r="C1916" s="29" t="str">
        <f t="shared" si="29"/>
        <v/>
      </c>
      <c r="D1916" s="8">
        <v>0.5</v>
      </c>
      <c r="E1916" s="28" t="s">
        <v>14</v>
      </c>
      <c r="F1916" s="7" t="s">
        <v>14</v>
      </c>
      <c r="G1916" s="27" t="s">
        <v>14</v>
      </c>
      <c r="H1916" s="27" t="s">
        <v>14</v>
      </c>
    </row>
    <row r="1917" spans="2:8" x14ac:dyDescent="0.3">
      <c r="B1917" s="9">
        <v>43000</v>
      </c>
      <c r="C1917" s="29" t="str">
        <f t="shared" si="29"/>
        <v/>
      </c>
      <c r="D1917" s="8">
        <v>0.5</v>
      </c>
      <c r="E1917" s="28" t="s">
        <v>14</v>
      </c>
      <c r="F1917" s="7" t="s">
        <v>14</v>
      </c>
      <c r="G1917" s="27" t="s">
        <v>14</v>
      </c>
      <c r="H1917" s="27" t="s">
        <v>14</v>
      </c>
    </row>
    <row r="1918" spans="2:8" x14ac:dyDescent="0.3">
      <c r="B1918" s="11">
        <v>43003</v>
      </c>
      <c r="C1918" s="29" t="str">
        <f t="shared" si="29"/>
        <v/>
      </c>
      <c r="D1918" s="8">
        <v>0.5</v>
      </c>
      <c r="E1918" s="28" t="s">
        <v>14</v>
      </c>
      <c r="F1918" s="7" t="s">
        <v>14</v>
      </c>
      <c r="G1918" s="27" t="s">
        <v>14</v>
      </c>
      <c r="H1918" s="27" t="s">
        <v>14</v>
      </c>
    </row>
    <row r="1919" spans="2:8" x14ac:dyDescent="0.3">
      <c r="B1919" s="9">
        <v>43004</v>
      </c>
      <c r="C1919" s="29" t="str">
        <f t="shared" si="29"/>
        <v/>
      </c>
      <c r="D1919" s="8">
        <v>0.5</v>
      </c>
      <c r="E1919" s="28" t="s">
        <v>14</v>
      </c>
      <c r="F1919" s="7" t="s">
        <v>14</v>
      </c>
      <c r="G1919" s="27" t="s">
        <v>14</v>
      </c>
      <c r="H1919" s="27" t="s">
        <v>14</v>
      </c>
    </row>
    <row r="1920" spans="2:8" x14ac:dyDescent="0.3">
      <c r="B1920" s="11">
        <v>43005</v>
      </c>
      <c r="C1920" s="29" t="str">
        <f t="shared" si="29"/>
        <v/>
      </c>
      <c r="D1920" s="8">
        <v>0.5</v>
      </c>
      <c r="E1920" s="28" t="s">
        <v>14</v>
      </c>
      <c r="F1920" s="7" t="s">
        <v>14</v>
      </c>
      <c r="G1920" s="27" t="s">
        <v>14</v>
      </c>
      <c r="H1920" s="27" t="s">
        <v>14</v>
      </c>
    </row>
    <row r="1921" spans="2:8" x14ac:dyDescent="0.3">
      <c r="B1921" s="9">
        <v>43006</v>
      </c>
      <c r="C1921" s="29" t="str">
        <f t="shared" si="29"/>
        <v/>
      </c>
      <c r="D1921" s="8">
        <v>0.5</v>
      </c>
      <c r="E1921" s="28" t="s">
        <v>14</v>
      </c>
      <c r="F1921" s="7" t="s">
        <v>14</v>
      </c>
      <c r="G1921" s="27" t="s">
        <v>14</v>
      </c>
      <c r="H1921" s="27" t="s">
        <v>14</v>
      </c>
    </row>
    <row r="1922" spans="2:8" x14ac:dyDescent="0.3">
      <c r="B1922" s="11">
        <v>43007</v>
      </c>
      <c r="C1922" s="29">
        <f t="shared" si="29"/>
        <v>0</v>
      </c>
      <c r="D1922" s="8">
        <v>0.5</v>
      </c>
      <c r="E1922" s="28">
        <v>0.5</v>
      </c>
      <c r="F1922" s="7">
        <v>0.5</v>
      </c>
    </row>
    <row r="1923" spans="2:8" x14ac:dyDescent="0.3">
      <c r="B1923" s="9">
        <v>43010</v>
      </c>
      <c r="C1923" s="29" t="str">
        <f t="shared" ref="C1923:C1986" si="30">INDEX(D1923:H1923,MATCH($A$1,$D$1:$H$1,0))</f>
        <v/>
      </c>
      <c r="D1923" s="8">
        <v>0.5</v>
      </c>
      <c r="E1923" s="28" t="s">
        <v>14</v>
      </c>
      <c r="F1923" s="7" t="s">
        <v>14</v>
      </c>
      <c r="G1923" s="27" t="s">
        <v>14</v>
      </c>
      <c r="H1923" s="27" t="s">
        <v>14</v>
      </c>
    </row>
    <row r="1924" spans="2:8" x14ac:dyDescent="0.3">
      <c r="B1924" s="11">
        <v>43011</v>
      </c>
      <c r="C1924" s="29" t="str">
        <f t="shared" si="30"/>
        <v/>
      </c>
      <c r="D1924" s="8">
        <v>0.5</v>
      </c>
      <c r="E1924" s="28" t="s">
        <v>14</v>
      </c>
      <c r="F1924" s="7" t="s">
        <v>14</v>
      </c>
      <c r="G1924" s="27" t="s">
        <v>14</v>
      </c>
      <c r="H1924" s="27" t="s">
        <v>14</v>
      </c>
    </row>
    <row r="1925" spans="2:8" x14ac:dyDescent="0.3">
      <c r="B1925" s="9">
        <v>43012</v>
      </c>
      <c r="C1925" s="29" t="str">
        <f t="shared" si="30"/>
        <v/>
      </c>
      <c r="D1925" s="8">
        <v>0.5</v>
      </c>
      <c r="E1925" s="28" t="s">
        <v>14</v>
      </c>
      <c r="F1925" s="7" t="s">
        <v>14</v>
      </c>
      <c r="G1925" s="27" t="s">
        <v>14</v>
      </c>
      <c r="H1925" s="27" t="s">
        <v>14</v>
      </c>
    </row>
    <row r="1926" spans="2:8" x14ac:dyDescent="0.3">
      <c r="B1926" s="11">
        <v>43013</v>
      </c>
      <c r="C1926" s="29" t="str">
        <f t="shared" si="30"/>
        <v/>
      </c>
      <c r="D1926" s="8">
        <v>0.5</v>
      </c>
      <c r="E1926" s="28" t="s">
        <v>14</v>
      </c>
      <c r="F1926" s="7" t="s">
        <v>14</v>
      </c>
      <c r="G1926" s="27" t="s">
        <v>14</v>
      </c>
      <c r="H1926" s="27" t="s">
        <v>14</v>
      </c>
    </row>
    <row r="1927" spans="2:8" x14ac:dyDescent="0.3">
      <c r="B1927" s="9">
        <v>43014</v>
      </c>
      <c r="C1927" s="29" t="str">
        <f t="shared" si="30"/>
        <v/>
      </c>
      <c r="D1927" s="8">
        <v>0.5</v>
      </c>
      <c r="E1927" s="28" t="s">
        <v>14</v>
      </c>
      <c r="F1927" s="7" t="s">
        <v>14</v>
      </c>
      <c r="G1927" s="27" t="s">
        <v>14</v>
      </c>
      <c r="H1927" s="27" t="s">
        <v>14</v>
      </c>
    </row>
    <row r="1928" spans="2:8" x14ac:dyDescent="0.3">
      <c r="B1928" s="11">
        <v>43017</v>
      </c>
      <c r="C1928" s="29" t="str">
        <f t="shared" si="30"/>
        <v/>
      </c>
      <c r="D1928" s="8">
        <v>0.5</v>
      </c>
      <c r="E1928" s="28" t="s">
        <v>14</v>
      </c>
      <c r="F1928" s="7" t="s">
        <v>14</v>
      </c>
      <c r="G1928" s="27" t="s">
        <v>14</v>
      </c>
      <c r="H1928" s="27" t="s">
        <v>14</v>
      </c>
    </row>
    <row r="1929" spans="2:8" x14ac:dyDescent="0.3">
      <c r="B1929" s="9">
        <v>43018</v>
      </c>
      <c r="C1929" s="29" t="str">
        <f t="shared" si="30"/>
        <v/>
      </c>
      <c r="D1929" s="8">
        <v>0.5</v>
      </c>
      <c r="E1929" s="28" t="s">
        <v>14</v>
      </c>
      <c r="F1929" s="7" t="s">
        <v>14</v>
      </c>
      <c r="G1929" s="27" t="s">
        <v>14</v>
      </c>
      <c r="H1929" s="27" t="s">
        <v>14</v>
      </c>
    </row>
    <row r="1930" spans="2:8" x14ac:dyDescent="0.3">
      <c r="B1930" s="11">
        <v>43019</v>
      </c>
      <c r="C1930" s="29" t="str">
        <f t="shared" si="30"/>
        <v/>
      </c>
      <c r="D1930" s="8">
        <v>0.5</v>
      </c>
      <c r="E1930" s="28" t="s">
        <v>14</v>
      </c>
      <c r="F1930" s="7" t="s">
        <v>14</v>
      </c>
      <c r="G1930" s="27" t="s">
        <v>14</v>
      </c>
      <c r="H1930" s="27" t="s">
        <v>14</v>
      </c>
    </row>
    <row r="1931" spans="2:8" x14ac:dyDescent="0.3">
      <c r="B1931" s="9">
        <v>43021</v>
      </c>
      <c r="C1931" s="29" t="str">
        <f t="shared" si="30"/>
        <v/>
      </c>
      <c r="D1931" s="8">
        <v>0.5</v>
      </c>
      <c r="E1931" s="28" t="s">
        <v>14</v>
      </c>
      <c r="F1931" s="7" t="s">
        <v>14</v>
      </c>
      <c r="G1931" s="27" t="s">
        <v>14</v>
      </c>
      <c r="H1931" s="27" t="s">
        <v>14</v>
      </c>
    </row>
    <row r="1932" spans="2:8" x14ac:dyDescent="0.3">
      <c r="B1932" s="11">
        <v>43024</v>
      </c>
      <c r="C1932" s="29" t="str">
        <f t="shared" si="30"/>
        <v/>
      </c>
      <c r="D1932" s="8">
        <v>0.5</v>
      </c>
      <c r="E1932" s="28" t="s">
        <v>14</v>
      </c>
      <c r="F1932" s="7" t="s">
        <v>14</v>
      </c>
      <c r="G1932" s="27" t="s">
        <v>14</v>
      </c>
      <c r="H1932" s="27" t="s">
        <v>14</v>
      </c>
    </row>
    <row r="1933" spans="2:8" x14ac:dyDescent="0.3">
      <c r="B1933" s="9">
        <v>43025</v>
      </c>
      <c r="C1933" s="29" t="str">
        <f t="shared" si="30"/>
        <v/>
      </c>
      <c r="D1933" s="8">
        <v>0.5</v>
      </c>
      <c r="E1933" s="28" t="s">
        <v>14</v>
      </c>
      <c r="F1933" s="7" t="s">
        <v>14</v>
      </c>
      <c r="G1933" s="27" t="s">
        <v>14</v>
      </c>
      <c r="H1933" s="27" t="s">
        <v>14</v>
      </c>
    </row>
    <row r="1934" spans="2:8" x14ac:dyDescent="0.3">
      <c r="B1934" s="11">
        <v>43026</v>
      </c>
      <c r="C1934" s="29" t="str">
        <f t="shared" si="30"/>
        <v/>
      </c>
      <c r="D1934" s="8">
        <v>0.5</v>
      </c>
      <c r="E1934" s="28" t="s">
        <v>14</v>
      </c>
      <c r="F1934" s="7" t="s">
        <v>14</v>
      </c>
      <c r="G1934" s="27" t="s">
        <v>14</v>
      </c>
      <c r="H1934" s="27" t="s">
        <v>14</v>
      </c>
    </row>
    <row r="1935" spans="2:8" x14ac:dyDescent="0.3">
      <c r="B1935" s="9">
        <v>43027</v>
      </c>
      <c r="C1935" s="29" t="str">
        <f t="shared" si="30"/>
        <v/>
      </c>
      <c r="D1935" s="8">
        <v>0.5</v>
      </c>
      <c r="E1935" s="28" t="s">
        <v>14</v>
      </c>
      <c r="F1935" s="7" t="s">
        <v>14</v>
      </c>
      <c r="G1935" s="27" t="s">
        <v>14</v>
      </c>
      <c r="H1935" s="27" t="s">
        <v>14</v>
      </c>
    </row>
    <row r="1936" spans="2:8" x14ac:dyDescent="0.3">
      <c r="B1936" s="11">
        <v>43028</v>
      </c>
      <c r="C1936" s="29" t="str">
        <f t="shared" si="30"/>
        <v/>
      </c>
      <c r="D1936" s="8">
        <v>0.5</v>
      </c>
      <c r="E1936" s="28" t="s">
        <v>14</v>
      </c>
      <c r="F1936" s="7" t="s">
        <v>14</v>
      </c>
      <c r="G1936" s="27" t="s">
        <v>14</v>
      </c>
      <c r="H1936" s="27" t="s">
        <v>14</v>
      </c>
    </row>
    <row r="1937" spans="2:8" x14ac:dyDescent="0.3">
      <c r="B1937" s="9">
        <v>43031</v>
      </c>
      <c r="C1937" s="29" t="str">
        <f t="shared" si="30"/>
        <v/>
      </c>
      <c r="D1937" s="8">
        <v>0.5</v>
      </c>
      <c r="E1937" s="28" t="s">
        <v>14</v>
      </c>
      <c r="F1937" s="7" t="s">
        <v>14</v>
      </c>
      <c r="G1937" s="27" t="s">
        <v>14</v>
      </c>
      <c r="H1937" s="27" t="s">
        <v>14</v>
      </c>
    </row>
    <row r="1938" spans="2:8" x14ac:dyDescent="0.3">
      <c r="B1938" s="11">
        <v>43032</v>
      </c>
      <c r="C1938" s="29" t="str">
        <f t="shared" si="30"/>
        <v/>
      </c>
      <c r="D1938" s="8">
        <v>0.5</v>
      </c>
      <c r="E1938" s="28" t="s">
        <v>14</v>
      </c>
      <c r="F1938" s="7" t="s">
        <v>14</v>
      </c>
      <c r="G1938" s="27" t="s">
        <v>14</v>
      </c>
      <c r="H1938" s="27" t="s">
        <v>14</v>
      </c>
    </row>
    <row r="1939" spans="2:8" x14ac:dyDescent="0.3">
      <c r="B1939" s="9">
        <v>43033</v>
      </c>
      <c r="C1939" s="29" t="str">
        <f t="shared" si="30"/>
        <v/>
      </c>
      <c r="D1939" s="8">
        <v>0.5</v>
      </c>
      <c r="E1939" s="28" t="s">
        <v>14</v>
      </c>
      <c r="F1939" s="7" t="s">
        <v>14</v>
      </c>
      <c r="G1939" s="27" t="s">
        <v>14</v>
      </c>
      <c r="H1939" s="27" t="s">
        <v>14</v>
      </c>
    </row>
    <row r="1940" spans="2:8" x14ac:dyDescent="0.3">
      <c r="B1940" s="11">
        <v>43034</v>
      </c>
      <c r="C1940" s="29" t="str">
        <f t="shared" si="30"/>
        <v/>
      </c>
      <c r="D1940" s="8">
        <v>0.5</v>
      </c>
      <c r="E1940" s="28" t="s">
        <v>14</v>
      </c>
      <c r="F1940" s="7" t="s">
        <v>14</v>
      </c>
      <c r="G1940" s="27" t="s">
        <v>14</v>
      </c>
      <c r="H1940" s="27" t="s">
        <v>14</v>
      </c>
    </row>
    <row r="1941" spans="2:8" x14ac:dyDescent="0.3">
      <c r="B1941" s="9">
        <v>43035</v>
      </c>
      <c r="C1941" s="29" t="str">
        <f t="shared" si="30"/>
        <v/>
      </c>
      <c r="D1941" s="8">
        <v>0.5</v>
      </c>
      <c r="E1941" s="28" t="s">
        <v>14</v>
      </c>
      <c r="F1941" s="7" t="s">
        <v>14</v>
      </c>
      <c r="G1941" s="27" t="s">
        <v>14</v>
      </c>
      <c r="H1941" s="27" t="s">
        <v>14</v>
      </c>
    </row>
    <row r="1942" spans="2:8" x14ac:dyDescent="0.3">
      <c r="B1942" s="11">
        <v>43038</v>
      </c>
      <c r="C1942" s="29" t="str">
        <f t="shared" si="30"/>
        <v/>
      </c>
      <c r="D1942" s="8">
        <v>0.5</v>
      </c>
      <c r="E1942" s="28" t="s">
        <v>14</v>
      </c>
      <c r="F1942" s="7" t="s">
        <v>14</v>
      </c>
      <c r="G1942" s="27" t="s">
        <v>14</v>
      </c>
      <c r="H1942" s="27" t="s">
        <v>14</v>
      </c>
    </row>
    <row r="1943" spans="2:8" x14ac:dyDescent="0.3">
      <c r="B1943" s="9">
        <v>43039</v>
      </c>
      <c r="C1943" s="29" t="str">
        <f t="shared" si="30"/>
        <v/>
      </c>
      <c r="D1943" s="8">
        <v>0.5</v>
      </c>
      <c r="E1943" s="28">
        <v>0.5</v>
      </c>
      <c r="F1943" s="7" t="s">
        <v>14</v>
      </c>
      <c r="G1943" s="27" t="s">
        <v>14</v>
      </c>
      <c r="H1943" s="27" t="s">
        <v>14</v>
      </c>
    </row>
    <row r="1944" spans="2:8" x14ac:dyDescent="0.3">
      <c r="B1944" s="11">
        <v>43040</v>
      </c>
      <c r="C1944" s="29" t="str">
        <f t="shared" si="30"/>
        <v/>
      </c>
      <c r="D1944" s="8">
        <v>0.5</v>
      </c>
      <c r="E1944" s="28" t="s">
        <v>14</v>
      </c>
      <c r="F1944" s="7" t="s">
        <v>14</v>
      </c>
      <c r="G1944" s="27" t="s">
        <v>14</v>
      </c>
      <c r="H1944" s="27" t="s">
        <v>14</v>
      </c>
    </row>
    <row r="1945" spans="2:8" x14ac:dyDescent="0.3">
      <c r="B1945" s="9">
        <v>43042</v>
      </c>
      <c r="C1945" s="29" t="str">
        <f t="shared" si="30"/>
        <v/>
      </c>
      <c r="D1945" s="8">
        <v>0.5</v>
      </c>
      <c r="E1945" s="28" t="s">
        <v>14</v>
      </c>
      <c r="F1945" s="7" t="s">
        <v>14</v>
      </c>
      <c r="G1945" s="27" t="s">
        <v>14</v>
      </c>
      <c r="H1945" s="27" t="s">
        <v>14</v>
      </c>
    </row>
    <row r="1946" spans="2:8" x14ac:dyDescent="0.3">
      <c r="B1946" s="11">
        <v>43045</v>
      </c>
      <c r="C1946" s="29" t="str">
        <f t="shared" si="30"/>
        <v/>
      </c>
      <c r="D1946" s="8">
        <v>0.5</v>
      </c>
      <c r="E1946" s="28" t="s">
        <v>14</v>
      </c>
      <c r="F1946" s="7" t="s">
        <v>14</v>
      </c>
      <c r="G1946" s="27" t="s">
        <v>14</v>
      </c>
      <c r="H1946" s="27" t="s">
        <v>14</v>
      </c>
    </row>
    <row r="1947" spans="2:8" x14ac:dyDescent="0.3">
      <c r="B1947" s="9">
        <v>43046</v>
      </c>
      <c r="C1947" s="29" t="str">
        <f t="shared" si="30"/>
        <v/>
      </c>
      <c r="D1947" s="8">
        <v>0.5</v>
      </c>
      <c r="E1947" s="28" t="s">
        <v>14</v>
      </c>
      <c r="F1947" s="7" t="s">
        <v>14</v>
      </c>
      <c r="G1947" s="27" t="s">
        <v>14</v>
      </c>
      <c r="H1947" s="27" t="s">
        <v>14</v>
      </c>
    </row>
    <row r="1948" spans="2:8" x14ac:dyDescent="0.3">
      <c r="B1948" s="11">
        <v>43047</v>
      </c>
      <c r="C1948" s="29" t="str">
        <f t="shared" si="30"/>
        <v/>
      </c>
      <c r="D1948" s="8">
        <v>0.5</v>
      </c>
      <c r="E1948" s="28" t="s">
        <v>14</v>
      </c>
      <c r="F1948" s="7" t="s">
        <v>14</v>
      </c>
      <c r="G1948" s="27" t="s">
        <v>14</v>
      </c>
      <c r="H1948" s="27" t="s">
        <v>14</v>
      </c>
    </row>
    <row r="1949" spans="2:8" x14ac:dyDescent="0.3">
      <c r="B1949" s="9">
        <v>43048</v>
      </c>
      <c r="C1949" s="29" t="str">
        <f t="shared" si="30"/>
        <v/>
      </c>
      <c r="D1949" s="8">
        <v>0.5</v>
      </c>
      <c r="E1949" s="28" t="s">
        <v>14</v>
      </c>
      <c r="F1949" s="7" t="s">
        <v>14</v>
      </c>
      <c r="G1949" s="27" t="s">
        <v>14</v>
      </c>
      <c r="H1949" s="27" t="s">
        <v>14</v>
      </c>
    </row>
    <row r="1950" spans="2:8" x14ac:dyDescent="0.3">
      <c r="B1950" s="11">
        <v>43049</v>
      </c>
      <c r="C1950" s="29" t="str">
        <f t="shared" si="30"/>
        <v/>
      </c>
      <c r="D1950" s="8">
        <v>0.5</v>
      </c>
      <c r="E1950" s="28" t="s">
        <v>14</v>
      </c>
      <c r="F1950" s="7" t="s">
        <v>14</v>
      </c>
      <c r="G1950" s="27" t="s">
        <v>14</v>
      </c>
      <c r="H1950" s="27" t="s">
        <v>14</v>
      </c>
    </row>
    <row r="1951" spans="2:8" x14ac:dyDescent="0.3">
      <c r="B1951" s="9">
        <v>43052</v>
      </c>
      <c r="C1951" s="29" t="str">
        <f t="shared" si="30"/>
        <v/>
      </c>
      <c r="D1951" s="8">
        <v>0.5</v>
      </c>
      <c r="E1951" s="28" t="s">
        <v>14</v>
      </c>
      <c r="F1951" s="7" t="s">
        <v>14</v>
      </c>
      <c r="G1951" s="27" t="s">
        <v>14</v>
      </c>
      <c r="H1951" s="27" t="s">
        <v>14</v>
      </c>
    </row>
    <row r="1952" spans="2:8" x14ac:dyDescent="0.3">
      <c r="B1952" s="11">
        <v>43053</v>
      </c>
      <c r="C1952" s="29" t="str">
        <f t="shared" si="30"/>
        <v/>
      </c>
      <c r="D1952" s="8">
        <v>0.5</v>
      </c>
      <c r="E1952" s="28" t="s">
        <v>14</v>
      </c>
      <c r="F1952" s="7" t="s">
        <v>14</v>
      </c>
      <c r="G1952" s="27" t="s">
        <v>14</v>
      </c>
      <c r="H1952" s="27" t="s">
        <v>14</v>
      </c>
    </row>
    <row r="1953" spans="2:8" x14ac:dyDescent="0.3">
      <c r="B1953" s="9">
        <v>43055</v>
      </c>
      <c r="C1953" s="29" t="str">
        <f t="shared" si="30"/>
        <v/>
      </c>
      <c r="D1953" s="8">
        <v>0.5</v>
      </c>
      <c r="E1953" s="28" t="s">
        <v>14</v>
      </c>
      <c r="F1953" s="7" t="s">
        <v>14</v>
      </c>
      <c r="G1953" s="27" t="s">
        <v>14</v>
      </c>
      <c r="H1953" s="27" t="s">
        <v>14</v>
      </c>
    </row>
    <row r="1954" spans="2:8" x14ac:dyDescent="0.3">
      <c r="B1954" s="11">
        <v>43056</v>
      </c>
      <c r="C1954" s="29" t="str">
        <f t="shared" si="30"/>
        <v/>
      </c>
      <c r="D1954" s="8">
        <v>0.5</v>
      </c>
      <c r="E1954" s="28" t="s">
        <v>14</v>
      </c>
      <c r="F1954" s="7" t="s">
        <v>14</v>
      </c>
      <c r="G1954" s="27" t="s">
        <v>14</v>
      </c>
      <c r="H1954" s="27" t="s">
        <v>14</v>
      </c>
    </row>
    <row r="1955" spans="2:8" x14ac:dyDescent="0.3">
      <c r="B1955" s="9">
        <v>43060</v>
      </c>
      <c r="C1955" s="29" t="str">
        <f t="shared" si="30"/>
        <v/>
      </c>
      <c r="D1955" s="8">
        <v>0.5</v>
      </c>
      <c r="E1955" s="28" t="s">
        <v>14</v>
      </c>
      <c r="F1955" s="7" t="s">
        <v>14</v>
      </c>
      <c r="G1955" s="27" t="s">
        <v>14</v>
      </c>
      <c r="H1955" s="27" t="s">
        <v>14</v>
      </c>
    </row>
    <row r="1956" spans="2:8" x14ac:dyDescent="0.3">
      <c r="B1956" s="11">
        <v>43061</v>
      </c>
      <c r="C1956" s="29" t="str">
        <f t="shared" si="30"/>
        <v/>
      </c>
      <c r="D1956" s="8">
        <v>0.5</v>
      </c>
      <c r="E1956" s="28" t="s">
        <v>14</v>
      </c>
      <c r="F1956" s="7" t="s">
        <v>14</v>
      </c>
      <c r="G1956" s="27" t="s">
        <v>14</v>
      </c>
      <c r="H1956" s="27" t="s">
        <v>14</v>
      </c>
    </row>
    <row r="1957" spans="2:8" x14ac:dyDescent="0.3">
      <c r="B1957" s="9">
        <v>43062</v>
      </c>
      <c r="C1957" s="29" t="str">
        <f t="shared" si="30"/>
        <v/>
      </c>
      <c r="D1957" s="8">
        <v>0.5</v>
      </c>
      <c r="E1957" s="28" t="s">
        <v>14</v>
      </c>
      <c r="F1957" s="7" t="s">
        <v>14</v>
      </c>
      <c r="G1957" s="27" t="s">
        <v>14</v>
      </c>
      <c r="H1957" s="27" t="s">
        <v>14</v>
      </c>
    </row>
    <row r="1958" spans="2:8" x14ac:dyDescent="0.3">
      <c r="B1958" s="11">
        <v>43063</v>
      </c>
      <c r="C1958" s="29" t="str">
        <f t="shared" si="30"/>
        <v/>
      </c>
      <c r="D1958" s="8">
        <v>0.5</v>
      </c>
      <c r="E1958" s="28" t="s">
        <v>14</v>
      </c>
      <c r="F1958" s="7" t="s">
        <v>14</v>
      </c>
      <c r="G1958" s="27" t="s">
        <v>14</v>
      </c>
      <c r="H1958" s="27" t="s">
        <v>14</v>
      </c>
    </row>
    <row r="1959" spans="2:8" x14ac:dyDescent="0.3">
      <c r="B1959" s="9">
        <v>43066</v>
      </c>
      <c r="C1959" s="29" t="str">
        <f t="shared" si="30"/>
        <v/>
      </c>
      <c r="D1959" s="8">
        <v>0.5</v>
      </c>
      <c r="E1959" s="28" t="s">
        <v>14</v>
      </c>
      <c r="F1959" s="7" t="s">
        <v>14</v>
      </c>
      <c r="G1959" s="27" t="s">
        <v>14</v>
      </c>
      <c r="H1959" s="27" t="s">
        <v>14</v>
      </c>
    </row>
    <row r="1960" spans="2:8" x14ac:dyDescent="0.3">
      <c r="B1960" s="11">
        <v>43067</v>
      </c>
      <c r="C1960" s="29" t="str">
        <f t="shared" si="30"/>
        <v/>
      </c>
      <c r="D1960" s="8">
        <v>0.5</v>
      </c>
      <c r="E1960" s="28" t="s">
        <v>14</v>
      </c>
      <c r="F1960" s="7" t="s">
        <v>14</v>
      </c>
      <c r="G1960" s="27" t="s">
        <v>14</v>
      </c>
      <c r="H1960" s="27" t="s">
        <v>14</v>
      </c>
    </row>
    <row r="1961" spans="2:8" x14ac:dyDescent="0.3">
      <c r="B1961" s="9">
        <v>43068</v>
      </c>
      <c r="C1961" s="29" t="str">
        <f t="shared" si="30"/>
        <v/>
      </c>
      <c r="D1961" s="8">
        <v>0.5</v>
      </c>
      <c r="E1961" s="28" t="s">
        <v>14</v>
      </c>
      <c r="F1961" s="7" t="s">
        <v>14</v>
      </c>
      <c r="G1961" s="27" t="s">
        <v>14</v>
      </c>
      <c r="H1961" s="27" t="s">
        <v>14</v>
      </c>
    </row>
    <row r="1962" spans="2:8" x14ac:dyDescent="0.3">
      <c r="B1962" s="11">
        <v>43069</v>
      </c>
      <c r="C1962" s="29" t="str">
        <f t="shared" si="30"/>
        <v/>
      </c>
      <c r="D1962" s="8">
        <v>0.5</v>
      </c>
      <c r="E1962" s="28">
        <v>0.5</v>
      </c>
      <c r="F1962" s="7" t="s">
        <v>14</v>
      </c>
      <c r="G1962" s="27" t="s">
        <v>14</v>
      </c>
      <c r="H1962" s="27" t="s">
        <v>14</v>
      </c>
    </row>
    <row r="1963" spans="2:8" x14ac:dyDescent="0.3">
      <c r="B1963" s="9">
        <v>43070</v>
      </c>
      <c r="C1963" s="29" t="str">
        <f t="shared" si="30"/>
        <v/>
      </c>
      <c r="D1963" s="8">
        <v>0.5</v>
      </c>
      <c r="E1963" s="28" t="s">
        <v>14</v>
      </c>
      <c r="F1963" s="7" t="s">
        <v>14</v>
      </c>
      <c r="G1963" s="27" t="s">
        <v>14</v>
      </c>
      <c r="H1963" s="27" t="s">
        <v>14</v>
      </c>
    </row>
    <row r="1964" spans="2:8" x14ac:dyDescent="0.3">
      <c r="B1964" s="11">
        <v>43073</v>
      </c>
      <c r="C1964" s="29" t="str">
        <f t="shared" si="30"/>
        <v/>
      </c>
      <c r="D1964" s="8">
        <v>0.5</v>
      </c>
      <c r="E1964" s="28" t="s">
        <v>14</v>
      </c>
      <c r="F1964" s="7" t="s">
        <v>14</v>
      </c>
      <c r="G1964" s="27" t="s">
        <v>14</v>
      </c>
      <c r="H1964" s="27" t="s">
        <v>14</v>
      </c>
    </row>
    <row r="1965" spans="2:8" x14ac:dyDescent="0.3">
      <c r="B1965" s="9">
        <v>43074</v>
      </c>
      <c r="C1965" s="29" t="str">
        <f t="shared" si="30"/>
        <v/>
      </c>
      <c r="D1965" s="8">
        <v>0.5</v>
      </c>
      <c r="E1965" s="28" t="s">
        <v>14</v>
      </c>
      <c r="F1965" s="7" t="s">
        <v>14</v>
      </c>
      <c r="G1965" s="27" t="s">
        <v>14</v>
      </c>
      <c r="H1965" s="27" t="s">
        <v>14</v>
      </c>
    </row>
    <row r="1966" spans="2:8" x14ac:dyDescent="0.3">
      <c r="B1966" s="11">
        <v>43075</v>
      </c>
      <c r="C1966" s="29" t="str">
        <f t="shared" si="30"/>
        <v/>
      </c>
      <c r="D1966" s="8">
        <v>0.5</v>
      </c>
      <c r="E1966" s="28" t="s">
        <v>14</v>
      </c>
      <c r="F1966" s="7" t="s">
        <v>14</v>
      </c>
      <c r="G1966" s="27" t="s">
        <v>14</v>
      </c>
      <c r="H1966" s="27" t="s">
        <v>14</v>
      </c>
    </row>
    <row r="1967" spans="2:8" x14ac:dyDescent="0.3">
      <c r="B1967" s="9">
        <v>43076</v>
      </c>
      <c r="C1967" s="29" t="str">
        <f t="shared" si="30"/>
        <v/>
      </c>
      <c r="D1967" s="8">
        <v>0.5</v>
      </c>
      <c r="E1967" s="28" t="s">
        <v>14</v>
      </c>
      <c r="F1967" s="7" t="s">
        <v>14</v>
      </c>
      <c r="G1967" s="27" t="s">
        <v>14</v>
      </c>
      <c r="H1967" s="27" t="s">
        <v>14</v>
      </c>
    </row>
    <row r="1968" spans="2:8" x14ac:dyDescent="0.3">
      <c r="B1968" s="11">
        <v>43077</v>
      </c>
      <c r="C1968" s="29" t="str">
        <f t="shared" si="30"/>
        <v/>
      </c>
      <c r="D1968" s="8">
        <v>0.5</v>
      </c>
      <c r="E1968" s="28" t="s">
        <v>14</v>
      </c>
      <c r="F1968" s="7" t="s">
        <v>14</v>
      </c>
      <c r="G1968" s="27" t="s">
        <v>14</v>
      </c>
      <c r="H1968" s="27" t="s">
        <v>14</v>
      </c>
    </row>
    <row r="1969" spans="2:8" x14ac:dyDescent="0.3">
      <c r="B1969" s="9">
        <v>43080</v>
      </c>
      <c r="C1969" s="29" t="str">
        <f t="shared" si="30"/>
        <v/>
      </c>
      <c r="D1969" s="8">
        <v>0.5</v>
      </c>
      <c r="E1969" s="28" t="s">
        <v>14</v>
      </c>
      <c r="F1969" s="7" t="s">
        <v>14</v>
      </c>
      <c r="G1969" s="27" t="s">
        <v>14</v>
      </c>
      <c r="H1969" s="27" t="s">
        <v>14</v>
      </c>
    </row>
    <row r="1970" spans="2:8" x14ac:dyDescent="0.3">
      <c r="B1970" s="11">
        <v>43081</v>
      </c>
      <c r="C1970" s="29" t="str">
        <f t="shared" si="30"/>
        <v/>
      </c>
      <c r="D1970" s="8">
        <v>0.5</v>
      </c>
      <c r="E1970" s="28" t="s">
        <v>14</v>
      </c>
      <c r="F1970" s="7" t="s">
        <v>14</v>
      </c>
      <c r="G1970" s="27" t="s">
        <v>14</v>
      </c>
      <c r="H1970" s="27" t="s">
        <v>14</v>
      </c>
    </row>
    <row r="1971" spans="2:8" x14ac:dyDescent="0.3">
      <c r="B1971" s="9">
        <v>43082</v>
      </c>
      <c r="C1971" s="29" t="str">
        <f t="shared" si="30"/>
        <v/>
      </c>
      <c r="D1971" s="8">
        <v>0.5</v>
      </c>
      <c r="E1971" s="28" t="s">
        <v>14</v>
      </c>
      <c r="F1971" s="7" t="s">
        <v>14</v>
      </c>
      <c r="G1971" s="27" t="s">
        <v>14</v>
      </c>
      <c r="H1971" s="27" t="s">
        <v>14</v>
      </c>
    </row>
    <row r="1972" spans="2:8" x14ac:dyDescent="0.3">
      <c r="B1972" s="11">
        <v>43083</v>
      </c>
      <c r="C1972" s="29" t="str">
        <f t="shared" si="30"/>
        <v/>
      </c>
      <c r="D1972" s="8">
        <v>0.5</v>
      </c>
      <c r="E1972" s="28" t="s">
        <v>14</v>
      </c>
      <c r="F1972" s="7" t="s">
        <v>14</v>
      </c>
      <c r="G1972" s="27" t="s">
        <v>14</v>
      </c>
      <c r="H1972" s="27" t="s">
        <v>14</v>
      </c>
    </row>
    <row r="1973" spans="2:8" x14ac:dyDescent="0.3">
      <c r="B1973" s="9">
        <v>43084</v>
      </c>
      <c r="C1973" s="29" t="str">
        <f t="shared" si="30"/>
        <v/>
      </c>
      <c r="D1973" s="8">
        <v>0.5</v>
      </c>
      <c r="E1973" s="28" t="s">
        <v>14</v>
      </c>
      <c r="F1973" s="7" t="s">
        <v>14</v>
      </c>
      <c r="G1973" s="27" t="s">
        <v>14</v>
      </c>
      <c r="H1973" s="27" t="s">
        <v>14</v>
      </c>
    </row>
    <row r="1974" spans="2:8" x14ac:dyDescent="0.3">
      <c r="B1974" s="11">
        <v>43087</v>
      </c>
      <c r="C1974" s="29" t="str">
        <f t="shared" si="30"/>
        <v/>
      </c>
      <c r="D1974" s="8">
        <v>0.5</v>
      </c>
      <c r="E1974" s="28" t="s">
        <v>14</v>
      </c>
      <c r="F1974" s="7" t="s">
        <v>14</v>
      </c>
      <c r="G1974" s="27" t="s">
        <v>14</v>
      </c>
      <c r="H1974" s="27" t="s">
        <v>14</v>
      </c>
    </row>
    <row r="1975" spans="2:8" x14ac:dyDescent="0.3">
      <c r="B1975" s="9">
        <v>43088</v>
      </c>
      <c r="C1975" s="29" t="str">
        <f t="shared" si="30"/>
        <v/>
      </c>
      <c r="D1975" s="8">
        <v>0.5</v>
      </c>
      <c r="E1975" s="28" t="s">
        <v>14</v>
      </c>
      <c r="F1975" s="7" t="s">
        <v>14</v>
      </c>
      <c r="G1975" s="27" t="s">
        <v>14</v>
      </c>
      <c r="H1975" s="27" t="s">
        <v>14</v>
      </c>
    </row>
    <row r="1976" spans="2:8" x14ac:dyDescent="0.3">
      <c r="B1976" s="11">
        <v>43089</v>
      </c>
      <c r="C1976" s="29" t="str">
        <f t="shared" si="30"/>
        <v/>
      </c>
      <c r="D1976" s="8">
        <v>0.5</v>
      </c>
      <c r="E1976" s="28" t="s">
        <v>14</v>
      </c>
      <c r="F1976" s="7" t="s">
        <v>14</v>
      </c>
      <c r="G1976" s="27" t="s">
        <v>14</v>
      </c>
      <c r="H1976" s="27" t="s">
        <v>14</v>
      </c>
    </row>
    <row r="1977" spans="2:8" x14ac:dyDescent="0.3">
      <c r="B1977" s="9">
        <v>43090</v>
      </c>
      <c r="C1977" s="29" t="str">
        <f t="shared" si="30"/>
        <v/>
      </c>
      <c r="D1977" s="8">
        <v>0.5</v>
      </c>
      <c r="E1977" s="28" t="s">
        <v>14</v>
      </c>
      <c r="F1977" s="7" t="s">
        <v>14</v>
      </c>
      <c r="G1977" s="27" t="s">
        <v>14</v>
      </c>
      <c r="H1977" s="27" t="s">
        <v>14</v>
      </c>
    </row>
    <row r="1978" spans="2:8" x14ac:dyDescent="0.3">
      <c r="B1978" s="11">
        <v>43091</v>
      </c>
      <c r="C1978" s="29" t="str">
        <f t="shared" si="30"/>
        <v/>
      </c>
      <c r="D1978" s="8">
        <v>0.5</v>
      </c>
      <c r="E1978" s="28" t="s">
        <v>14</v>
      </c>
      <c r="F1978" s="7" t="s">
        <v>14</v>
      </c>
      <c r="G1978" s="27" t="s">
        <v>14</v>
      </c>
      <c r="H1978" s="27" t="s">
        <v>14</v>
      </c>
    </row>
    <row r="1979" spans="2:8" x14ac:dyDescent="0.3">
      <c r="B1979" s="9">
        <v>43095</v>
      </c>
      <c r="C1979" s="29" t="str">
        <f t="shared" si="30"/>
        <v/>
      </c>
      <c r="D1979" s="8">
        <v>0.5</v>
      </c>
      <c r="E1979" s="28" t="s">
        <v>14</v>
      </c>
      <c r="F1979" s="7" t="s">
        <v>14</v>
      </c>
      <c r="G1979" s="27" t="s">
        <v>14</v>
      </c>
      <c r="H1979" s="27" t="s">
        <v>14</v>
      </c>
    </row>
    <row r="1980" spans="2:8" x14ac:dyDescent="0.3">
      <c r="B1980" s="11">
        <v>43096</v>
      </c>
      <c r="C1980" s="29" t="str">
        <f t="shared" si="30"/>
        <v/>
      </c>
      <c r="D1980" s="8">
        <v>0.5</v>
      </c>
      <c r="E1980" s="28" t="s">
        <v>14</v>
      </c>
      <c r="F1980" s="7" t="s">
        <v>14</v>
      </c>
      <c r="G1980" s="27" t="s">
        <v>14</v>
      </c>
      <c r="H1980" s="27" t="s">
        <v>14</v>
      </c>
    </row>
    <row r="1981" spans="2:8" x14ac:dyDescent="0.3">
      <c r="B1981" s="9">
        <v>43097</v>
      </c>
      <c r="C1981" s="29">
        <f t="shared" si="30"/>
        <v>0.5</v>
      </c>
      <c r="D1981" s="8">
        <v>0.5</v>
      </c>
      <c r="E1981" s="28">
        <v>0.5</v>
      </c>
      <c r="F1981" s="7">
        <v>0.5</v>
      </c>
      <c r="G1981" s="27">
        <v>0.5</v>
      </c>
      <c r="H1981" s="27">
        <v>0.5</v>
      </c>
    </row>
    <row r="1982" spans="2:8" x14ac:dyDescent="0.3">
      <c r="B1982" s="11">
        <v>43102</v>
      </c>
      <c r="C1982" s="29" t="str">
        <f t="shared" si="30"/>
        <v/>
      </c>
      <c r="D1982" s="8">
        <v>0.5</v>
      </c>
      <c r="E1982" s="28" t="s">
        <v>14</v>
      </c>
      <c r="F1982" s="7" t="s">
        <v>14</v>
      </c>
      <c r="G1982" s="27" t="s">
        <v>14</v>
      </c>
      <c r="H1982" s="27" t="s">
        <v>14</v>
      </c>
    </row>
    <row r="1983" spans="2:8" x14ac:dyDescent="0.3">
      <c r="B1983" s="9">
        <v>43103</v>
      </c>
      <c r="C1983" s="29" t="str">
        <f t="shared" si="30"/>
        <v/>
      </c>
      <c r="D1983" s="8">
        <v>0.5</v>
      </c>
      <c r="E1983" s="28" t="s">
        <v>14</v>
      </c>
      <c r="F1983" s="7" t="s">
        <v>14</v>
      </c>
      <c r="G1983" s="27" t="s">
        <v>14</v>
      </c>
      <c r="H1983" s="27" t="s">
        <v>14</v>
      </c>
    </row>
    <row r="1984" spans="2:8" x14ac:dyDescent="0.3">
      <c r="B1984" s="11">
        <v>43104</v>
      </c>
      <c r="C1984" s="29" t="str">
        <f t="shared" si="30"/>
        <v/>
      </c>
      <c r="D1984" s="8">
        <v>0.5</v>
      </c>
      <c r="E1984" s="28" t="s">
        <v>14</v>
      </c>
      <c r="F1984" s="7" t="s">
        <v>14</v>
      </c>
      <c r="G1984" s="27" t="s">
        <v>14</v>
      </c>
      <c r="H1984" s="27" t="s">
        <v>14</v>
      </c>
    </row>
    <row r="1985" spans="2:8" x14ac:dyDescent="0.3">
      <c r="B1985" s="9">
        <v>43105</v>
      </c>
      <c r="C1985" s="29" t="str">
        <f t="shared" si="30"/>
        <v/>
      </c>
      <c r="D1985" s="8">
        <v>0.5</v>
      </c>
      <c r="E1985" s="28" t="s">
        <v>14</v>
      </c>
      <c r="F1985" s="7" t="s">
        <v>14</v>
      </c>
      <c r="G1985" s="27" t="s">
        <v>14</v>
      </c>
      <c r="H1985" s="27" t="s">
        <v>14</v>
      </c>
    </row>
    <row r="1986" spans="2:8" x14ac:dyDescent="0.3">
      <c r="B1986" s="11">
        <v>43108</v>
      </c>
      <c r="C1986" s="29" t="str">
        <f t="shared" si="30"/>
        <v/>
      </c>
      <c r="D1986" s="8">
        <v>0.5</v>
      </c>
      <c r="E1986" s="28" t="s">
        <v>14</v>
      </c>
      <c r="F1986" s="7" t="s">
        <v>14</v>
      </c>
      <c r="G1986" s="27" t="s">
        <v>14</v>
      </c>
      <c r="H1986" s="27" t="s">
        <v>14</v>
      </c>
    </row>
    <row r="1987" spans="2:8" x14ac:dyDescent="0.3">
      <c r="B1987" s="9">
        <v>43109</v>
      </c>
      <c r="C1987" s="29" t="str">
        <f t="shared" ref="C1987:C2050" si="31">INDEX(D1987:H1987,MATCH($A$1,$D$1:$H$1,0))</f>
        <v/>
      </c>
      <c r="D1987" s="8">
        <v>0.5</v>
      </c>
      <c r="E1987" s="28" t="s">
        <v>14</v>
      </c>
      <c r="F1987" s="7" t="s">
        <v>14</v>
      </c>
      <c r="G1987" s="27" t="s">
        <v>14</v>
      </c>
      <c r="H1987" s="27" t="s">
        <v>14</v>
      </c>
    </row>
    <row r="1988" spans="2:8" x14ac:dyDescent="0.3">
      <c r="B1988" s="11">
        <v>43110</v>
      </c>
      <c r="C1988" s="29" t="str">
        <f t="shared" si="31"/>
        <v/>
      </c>
      <c r="D1988" s="8">
        <v>0.5</v>
      </c>
      <c r="E1988" s="28" t="s">
        <v>14</v>
      </c>
      <c r="F1988" s="7" t="s">
        <v>14</v>
      </c>
      <c r="G1988" s="27" t="s">
        <v>14</v>
      </c>
      <c r="H1988" s="27" t="s">
        <v>14</v>
      </c>
    </row>
    <row r="1989" spans="2:8" x14ac:dyDescent="0.3">
      <c r="B1989" s="9">
        <v>43111</v>
      </c>
      <c r="C1989" s="29" t="str">
        <f t="shared" si="31"/>
        <v/>
      </c>
      <c r="D1989" s="8">
        <v>0.5</v>
      </c>
      <c r="E1989" s="28" t="s">
        <v>14</v>
      </c>
      <c r="F1989" s="7" t="s">
        <v>14</v>
      </c>
      <c r="G1989" s="27" t="s">
        <v>14</v>
      </c>
      <c r="H1989" s="27" t="s">
        <v>14</v>
      </c>
    </row>
    <row r="1990" spans="2:8" x14ac:dyDescent="0.3">
      <c r="B1990" s="11">
        <v>43112</v>
      </c>
      <c r="C1990" s="29" t="str">
        <f t="shared" si="31"/>
        <v/>
      </c>
      <c r="D1990" s="8">
        <v>0.5</v>
      </c>
      <c r="E1990" s="28" t="s">
        <v>14</v>
      </c>
      <c r="F1990" s="7" t="s">
        <v>14</v>
      </c>
      <c r="G1990" s="27" t="s">
        <v>14</v>
      </c>
      <c r="H1990" s="27" t="s">
        <v>14</v>
      </c>
    </row>
    <row r="1991" spans="2:8" x14ac:dyDescent="0.3">
      <c r="B1991" s="9">
        <v>43115</v>
      </c>
      <c r="C1991" s="29" t="str">
        <f t="shared" si="31"/>
        <v/>
      </c>
      <c r="D1991" s="8">
        <v>0.5</v>
      </c>
      <c r="E1991" s="28" t="s">
        <v>14</v>
      </c>
      <c r="F1991" s="7" t="s">
        <v>14</v>
      </c>
      <c r="G1991" s="27" t="s">
        <v>14</v>
      </c>
      <c r="H1991" s="27" t="s">
        <v>14</v>
      </c>
    </row>
    <row r="1992" spans="2:8" x14ac:dyDescent="0.3">
      <c r="B1992" s="11">
        <v>43116</v>
      </c>
      <c r="C1992" s="29" t="str">
        <f t="shared" si="31"/>
        <v/>
      </c>
      <c r="D1992" s="8">
        <v>0.5</v>
      </c>
      <c r="E1992" s="28" t="s">
        <v>14</v>
      </c>
      <c r="F1992" s="7" t="s">
        <v>14</v>
      </c>
      <c r="G1992" s="27" t="s">
        <v>14</v>
      </c>
      <c r="H1992" s="27" t="s">
        <v>14</v>
      </c>
    </row>
    <row r="1993" spans="2:8" x14ac:dyDescent="0.3">
      <c r="B1993" s="9">
        <v>43117</v>
      </c>
      <c r="C1993" s="29" t="str">
        <f t="shared" si="31"/>
        <v/>
      </c>
      <c r="D1993" s="8">
        <v>0.5</v>
      </c>
      <c r="E1993" s="28" t="s">
        <v>14</v>
      </c>
      <c r="F1993" s="7" t="s">
        <v>14</v>
      </c>
      <c r="G1993" s="27" t="s">
        <v>14</v>
      </c>
      <c r="H1993" s="27" t="s">
        <v>14</v>
      </c>
    </row>
    <row r="1994" spans="2:8" x14ac:dyDescent="0.3">
      <c r="B1994" s="11">
        <v>43118</v>
      </c>
      <c r="C1994" s="29" t="str">
        <f t="shared" si="31"/>
        <v/>
      </c>
      <c r="D1994" s="8">
        <v>0.5</v>
      </c>
      <c r="E1994" s="28" t="s">
        <v>14</v>
      </c>
      <c r="F1994" s="7" t="s">
        <v>14</v>
      </c>
      <c r="G1994" s="27" t="s">
        <v>14</v>
      </c>
      <c r="H1994" s="27" t="s">
        <v>14</v>
      </c>
    </row>
    <row r="1995" spans="2:8" x14ac:dyDescent="0.3">
      <c r="B1995" s="9">
        <v>43119</v>
      </c>
      <c r="C1995" s="29" t="str">
        <f t="shared" si="31"/>
        <v/>
      </c>
      <c r="D1995" s="8">
        <v>0.5</v>
      </c>
      <c r="E1995" s="28" t="s">
        <v>14</v>
      </c>
      <c r="F1995" s="7" t="s">
        <v>14</v>
      </c>
      <c r="G1995" s="27" t="s">
        <v>14</v>
      </c>
      <c r="H1995" s="27" t="s">
        <v>14</v>
      </c>
    </row>
    <row r="1996" spans="2:8" x14ac:dyDescent="0.3">
      <c r="B1996" s="11">
        <v>43122</v>
      </c>
      <c r="C1996" s="29" t="str">
        <f t="shared" si="31"/>
        <v/>
      </c>
      <c r="D1996" s="8">
        <v>0.5</v>
      </c>
      <c r="E1996" s="28" t="s">
        <v>14</v>
      </c>
      <c r="F1996" s="7" t="s">
        <v>14</v>
      </c>
      <c r="G1996" s="27" t="s">
        <v>14</v>
      </c>
      <c r="H1996" s="27" t="s">
        <v>14</v>
      </c>
    </row>
    <row r="1997" spans="2:8" x14ac:dyDescent="0.3">
      <c r="B1997" s="9">
        <v>43123</v>
      </c>
      <c r="C1997" s="29" t="str">
        <f t="shared" si="31"/>
        <v/>
      </c>
      <c r="D1997" s="8">
        <v>0.5</v>
      </c>
      <c r="E1997" s="28" t="s">
        <v>14</v>
      </c>
      <c r="F1997" s="7" t="s">
        <v>14</v>
      </c>
      <c r="G1997" s="27" t="s">
        <v>14</v>
      </c>
      <c r="H1997" s="27" t="s">
        <v>14</v>
      </c>
    </row>
    <row r="1998" spans="2:8" x14ac:dyDescent="0.3">
      <c r="B1998" s="11">
        <v>43124</v>
      </c>
      <c r="C1998" s="29" t="str">
        <f t="shared" si="31"/>
        <v/>
      </c>
      <c r="D1998" s="8">
        <v>0.5</v>
      </c>
      <c r="E1998" s="28" t="s">
        <v>14</v>
      </c>
      <c r="F1998" s="7" t="s">
        <v>14</v>
      </c>
      <c r="G1998" s="27" t="s">
        <v>14</v>
      </c>
      <c r="H1998" s="27" t="s">
        <v>14</v>
      </c>
    </row>
    <row r="1999" spans="2:8" x14ac:dyDescent="0.3">
      <c r="B1999" s="9">
        <v>43126</v>
      </c>
      <c r="C1999" s="29" t="str">
        <f t="shared" si="31"/>
        <v/>
      </c>
      <c r="D1999" s="8">
        <v>0.5</v>
      </c>
      <c r="E1999" s="28" t="s">
        <v>14</v>
      </c>
      <c r="F1999" s="7" t="s">
        <v>14</v>
      </c>
      <c r="G1999" s="27" t="s">
        <v>14</v>
      </c>
      <c r="H1999" s="27" t="s">
        <v>14</v>
      </c>
    </row>
    <row r="2000" spans="2:8" x14ac:dyDescent="0.3">
      <c r="B2000" s="11">
        <v>43129</v>
      </c>
      <c r="C2000" s="29" t="str">
        <f t="shared" si="31"/>
        <v/>
      </c>
      <c r="D2000" s="8">
        <v>0.5</v>
      </c>
      <c r="E2000" s="28" t="s">
        <v>14</v>
      </c>
      <c r="F2000" s="7" t="s">
        <v>14</v>
      </c>
      <c r="G2000" s="27" t="s">
        <v>14</v>
      </c>
      <c r="H2000" s="27" t="s">
        <v>14</v>
      </c>
    </row>
    <row r="2001" spans="2:8" x14ac:dyDescent="0.3">
      <c r="B2001" s="9">
        <v>43130</v>
      </c>
      <c r="C2001" s="29" t="str">
        <f t="shared" si="31"/>
        <v/>
      </c>
      <c r="D2001" s="8">
        <v>0.5</v>
      </c>
      <c r="E2001" s="28" t="s">
        <v>14</v>
      </c>
      <c r="F2001" s="7" t="s">
        <v>14</v>
      </c>
      <c r="G2001" s="27" t="s">
        <v>14</v>
      </c>
      <c r="H2001" s="27" t="s">
        <v>14</v>
      </c>
    </row>
    <row r="2002" spans="2:8" x14ac:dyDescent="0.3">
      <c r="B2002" s="11">
        <v>43131</v>
      </c>
      <c r="C2002" s="29" t="str">
        <f t="shared" si="31"/>
        <v/>
      </c>
      <c r="D2002" s="8">
        <v>0.5</v>
      </c>
      <c r="E2002" s="28">
        <v>0.5</v>
      </c>
      <c r="F2002" s="7" t="s">
        <v>14</v>
      </c>
      <c r="G2002" s="27" t="s">
        <v>14</v>
      </c>
      <c r="H2002" s="27" t="s">
        <v>14</v>
      </c>
    </row>
    <row r="2003" spans="2:8" x14ac:dyDescent="0.3">
      <c r="B2003" s="9">
        <v>43132</v>
      </c>
      <c r="C2003" s="29" t="str">
        <f t="shared" si="31"/>
        <v/>
      </c>
      <c r="D2003" s="8">
        <v>0.5</v>
      </c>
      <c r="E2003" s="28" t="s">
        <v>14</v>
      </c>
      <c r="F2003" s="7" t="s">
        <v>14</v>
      </c>
      <c r="G2003" s="27" t="s">
        <v>14</v>
      </c>
      <c r="H2003" s="27" t="s">
        <v>14</v>
      </c>
    </row>
    <row r="2004" spans="2:8" x14ac:dyDescent="0.3">
      <c r="B2004" s="11">
        <v>43133</v>
      </c>
      <c r="C2004" s="29" t="str">
        <f t="shared" si="31"/>
        <v/>
      </c>
      <c r="D2004" s="8">
        <v>0.5</v>
      </c>
      <c r="E2004" s="28" t="s">
        <v>14</v>
      </c>
      <c r="F2004" s="7" t="s">
        <v>14</v>
      </c>
      <c r="G2004" s="27" t="s">
        <v>14</v>
      </c>
      <c r="H2004" s="27" t="s">
        <v>14</v>
      </c>
    </row>
    <row r="2005" spans="2:8" x14ac:dyDescent="0.3">
      <c r="B2005" s="9">
        <v>43136</v>
      </c>
      <c r="C2005" s="29" t="str">
        <f t="shared" si="31"/>
        <v/>
      </c>
      <c r="D2005" s="8">
        <v>0.5</v>
      </c>
      <c r="E2005" s="28" t="s">
        <v>14</v>
      </c>
      <c r="F2005" s="7" t="s">
        <v>14</v>
      </c>
      <c r="G2005" s="27" t="s">
        <v>14</v>
      </c>
      <c r="H2005" s="27" t="s">
        <v>14</v>
      </c>
    </row>
    <row r="2006" spans="2:8" x14ac:dyDescent="0.3">
      <c r="B2006" s="11">
        <v>43137</v>
      </c>
      <c r="C2006" s="29" t="str">
        <f t="shared" si="31"/>
        <v/>
      </c>
      <c r="D2006" s="8">
        <v>0.5</v>
      </c>
      <c r="E2006" s="28" t="s">
        <v>14</v>
      </c>
      <c r="F2006" s="7" t="s">
        <v>14</v>
      </c>
      <c r="G2006" s="27" t="s">
        <v>14</v>
      </c>
      <c r="H2006" s="27" t="s">
        <v>14</v>
      </c>
    </row>
    <row r="2007" spans="2:8" x14ac:dyDescent="0.3">
      <c r="B2007" s="9">
        <v>43138</v>
      </c>
      <c r="C2007" s="29" t="str">
        <f t="shared" si="31"/>
        <v/>
      </c>
      <c r="D2007" s="8">
        <v>0.5</v>
      </c>
      <c r="E2007" s="28" t="s">
        <v>14</v>
      </c>
      <c r="F2007" s="7" t="s">
        <v>14</v>
      </c>
      <c r="G2007" s="27" t="s">
        <v>14</v>
      </c>
      <c r="H2007" s="27" t="s">
        <v>14</v>
      </c>
    </row>
    <row r="2008" spans="2:8" x14ac:dyDescent="0.3">
      <c r="B2008" s="11">
        <v>43139</v>
      </c>
      <c r="C2008" s="29" t="str">
        <f t="shared" si="31"/>
        <v/>
      </c>
      <c r="D2008" s="8">
        <v>0.5</v>
      </c>
      <c r="E2008" s="28" t="s">
        <v>14</v>
      </c>
      <c r="F2008" s="7" t="s">
        <v>14</v>
      </c>
      <c r="G2008" s="27" t="s">
        <v>14</v>
      </c>
      <c r="H2008" s="27" t="s">
        <v>14</v>
      </c>
    </row>
    <row r="2009" spans="2:8" x14ac:dyDescent="0.3">
      <c r="B2009" s="9">
        <v>43140</v>
      </c>
      <c r="C2009" s="29" t="str">
        <f t="shared" si="31"/>
        <v/>
      </c>
      <c r="D2009" s="8">
        <v>0.5</v>
      </c>
      <c r="E2009" s="28" t="s">
        <v>14</v>
      </c>
      <c r="F2009" s="7" t="s">
        <v>14</v>
      </c>
      <c r="G2009" s="27" t="s">
        <v>14</v>
      </c>
      <c r="H2009" s="27" t="s">
        <v>14</v>
      </c>
    </row>
    <row r="2010" spans="2:8" x14ac:dyDescent="0.3">
      <c r="B2010" s="11">
        <v>43145</v>
      </c>
      <c r="C2010" s="29" t="str">
        <f t="shared" si="31"/>
        <v/>
      </c>
      <c r="D2010" s="8">
        <v>0.5</v>
      </c>
      <c r="E2010" s="28" t="s">
        <v>14</v>
      </c>
      <c r="F2010" s="7" t="s">
        <v>14</v>
      </c>
      <c r="G2010" s="27" t="s">
        <v>14</v>
      </c>
      <c r="H2010" s="27" t="s">
        <v>14</v>
      </c>
    </row>
    <row r="2011" spans="2:8" x14ac:dyDescent="0.3">
      <c r="B2011" s="9">
        <v>43146</v>
      </c>
      <c r="C2011" s="29" t="str">
        <f t="shared" si="31"/>
        <v/>
      </c>
      <c r="D2011" s="8">
        <v>0.5</v>
      </c>
      <c r="E2011" s="28" t="s">
        <v>14</v>
      </c>
      <c r="F2011" s="7" t="s">
        <v>14</v>
      </c>
      <c r="G2011" s="27" t="s">
        <v>14</v>
      </c>
      <c r="H2011" s="27" t="s">
        <v>14</v>
      </c>
    </row>
    <row r="2012" spans="2:8" x14ac:dyDescent="0.3">
      <c r="B2012" s="11">
        <v>43147</v>
      </c>
      <c r="C2012" s="29" t="str">
        <f t="shared" si="31"/>
        <v/>
      </c>
      <c r="D2012" s="8">
        <v>0.5</v>
      </c>
      <c r="E2012" s="28" t="s">
        <v>14</v>
      </c>
      <c r="F2012" s="7" t="s">
        <v>14</v>
      </c>
      <c r="G2012" s="27" t="s">
        <v>14</v>
      </c>
      <c r="H2012" s="27" t="s">
        <v>14</v>
      </c>
    </row>
    <row r="2013" spans="2:8" x14ac:dyDescent="0.3">
      <c r="B2013" s="9">
        <v>43150</v>
      </c>
      <c r="C2013" s="29" t="str">
        <f t="shared" si="31"/>
        <v/>
      </c>
      <c r="D2013" s="8">
        <v>0.5</v>
      </c>
      <c r="E2013" s="28" t="s">
        <v>14</v>
      </c>
      <c r="F2013" s="7" t="s">
        <v>14</v>
      </c>
      <c r="G2013" s="27" t="s">
        <v>14</v>
      </c>
      <c r="H2013" s="27" t="s">
        <v>14</v>
      </c>
    </row>
    <row r="2014" spans="2:8" x14ac:dyDescent="0.3">
      <c r="B2014" s="11">
        <v>43151</v>
      </c>
      <c r="C2014" s="29" t="str">
        <f t="shared" si="31"/>
        <v/>
      </c>
      <c r="D2014" s="8">
        <v>0.5</v>
      </c>
      <c r="E2014" s="28" t="s">
        <v>14</v>
      </c>
      <c r="F2014" s="7" t="s">
        <v>14</v>
      </c>
      <c r="G2014" s="27" t="s">
        <v>14</v>
      </c>
      <c r="H2014" s="27" t="s">
        <v>14</v>
      </c>
    </row>
    <row r="2015" spans="2:8" x14ac:dyDescent="0.3">
      <c r="B2015" s="9">
        <v>43152</v>
      </c>
      <c r="C2015" s="29" t="str">
        <f t="shared" si="31"/>
        <v/>
      </c>
      <c r="D2015" s="8">
        <v>0.5</v>
      </c>
      <c r="E2015" s="28" t="s">
        <v>14</v>
      </c>
      <c r="F2015" s="7" t="s">
        <v>14</v>
      </c>
      <c r="G2015" s="27" t="s">
        <v>14</v>
      </c>
      <c r="H2015" s="27" t="s">
        <v>14</v>
      </c>
    </row>
    <row r="2016" spans="2:8" x14ac:dyDescent="0.3">
      <c r="B2016" s="11">
        <v>43153</v>
      </c>
      <c r="C2016" s="29" t="str">
        <f t="shared" si="31"/>
        <v/>
      </c>
      <c r="D2016" s="8">
        <v>0.5</v>
      </c>
      <c r="E2016" s="28" t="s">
        <v>14</v>
      </c>
      <c r="F2016" s="7" t="s">
        <v>14</v>
      </c>
      <c r="G2016" s="27" t="s">
        <v>14</v>
      </c>
      <c r="H2016" s="27" t="s">
        <v>14</v>
      </c>
    </row>
    <row r="2017" spans="2:8" x14ac:dyDescent="0.3">
      <c r="B2017" s="9">
        <v>43154</v>
      </c>
      <c r="C2017" s="29" t="str">
        <f t="shared" si="31"/>
        <v/>
      </c>
      <c r="D2017" s="8">
        <v>0.5</v>
      </c>
      <c r="E2017" s="28" t="s">
        <v>14</v>
      </c>
      <c r="F2017" s="7" t="s">
        <v>14</v>
      </c>
      <c r="G2017" s="27" t="s">
        <v>14</v>
      </c>
      <c r="H2017" s="27" t="s">
        <v>14</v>
      </c>
    </row>
    <row r="2018" spans="2:8" x14ac:dyDescent="0.3">
      <c r="B2018" s="11">
        <v>43157</v>
      </c>
      <c r="C2018" s="29" t="str">
        <f t="shared" si="31"/>
        <v/>
      </c>
      <c r="D2018" s="8">
        <v>0.5</v>
      </c>
      <c r="E2018" s="28" t="s">
        <v>14</v>
      </c>
      <c r="F2018" s="7" t="s">
        <v>14</v>
      </c>
      <c r="G2018" s="27" t="s">
        <v>14</v>
      </c>
      <c r="H2018" s="27" t="s">
        <v>14</v>
      </c>
    </row>
    <row r="2019" spans="2:8" x14ac:dyDescent="0.3">
      <c r="B2019" s="9">
        <v>43158</v>
      </c>
      <c r="C2019" s="29" t="str">
        <f t="shared" si="31"/>
        <v/>
      </c>
      <c r="D2019" s="8">
        <v>0.5</v>
      </c>
      <c r="E2019" s="28" t="s">
        <v>14</v>
      </c>
      <c r="F2019" s="7" t="s">
        <v>14</v>
      </c>
      <c r="G2019" s="27" t="s">
        <v>14</v>
      </c>
      <c r="H2019" s="27" t="s">
        <v>14</v>
      </c>
    </row>
    <row r="2020" spans="2:8" x14ac:dyDescent="0.3">
      <c r="B2020" s="11">
        <v>43159</v>
      </c>
      <c r="C2020" s="29" t="str">
        <f t="shared" si="31"/>
        <v/>
      </c>
      <c r="D2020" s="8">
        <v>0.5</v>
      </c>
      <c r="E2020" s="28">
        <v>0.5</v>
      </c>
      <c r="F2020" s="7" t="s">
        <v>14</v>
      </c>
      <c r="G2020" s="27" t="s">
        <v>14</v>
      </c>
      <c r="H2020" s="27" t="s">
        <v>14</v>
      </c>
    </row>
    <row r="2021" spans="2:8" x14ac:dyDescent="0.3">
      <c r="B2021" s="9">
        <v>43160</v>
      </c>
      <c r="C2021" s="29" t="str">
        <f t="shared" si="31"/>
        <v/>
      </c>
      <c r="D2021" s="8">
        <v>0.5</v>
      </c>
      <c r="E2021" s="28" t="s">
        <v>14</v>
      </c>
      <c r="F2021" s="7" t="s">
        <v>14</v>
      </c>
      <c r="G2021" s="27" t="s">
        <v>14</v>
      </c>
      <c r="H2021" s="27" t="s">
        <v>14</v>
      </c>
    </row>
    <row r="2022" spans="2:8" x14ac:dyDescent="0.3">
      <c r="B2022" s="11">
        <v>43161</v>
      </c>
      <c r="C2022" s="29" t="str">
        <f t="shared" si="31"/>
        <v/>
      </c>
      <c r="D2022" s="8">
        <v>0.5</v>
      </c>
      <c r="E2022" s="28" t="s">
        <v>14</v>
      </c>
      <c r="F2022" s="7" t="s">
        <v>14</v>
      </c>
      <c r="G2022" s="27" t="s">
        <v>14</v>
      </c>
      <c r="H2022" s="27" t="s">
        <v>14</v>
      </c>
    </row>
    <row r="2023" spans="2:8" x14ac:dyDescent="0.3">
      <c r="B2023" s="9">
        <v>43164</v>
      </c>
      <c r="C2023" s="29" t="str">
        <f t="shared" si="31"/>
        <v/>
      </c>
      <c r="D2023" s="8">
        <v>0.5</v>
      </c>
      <c r="E2023" s="28" t="s">
        <v>14</v>
      </c>
      <c r="F2023" s="7" t="s">
        <v>14</v>
      </c>
      <c r="G2023" s="27" t="s">
        <v>14</v>
      </c>
      <c r="H2023" s="27" t="s">
        <v>14</v>
      </c>
    </row>
    <row r="2024" spans="2:8" x14ac:dyDescent="0.3">
      <c r="B2024" s="11">
        <v>43165</v>
      </c>
      <c r="C2024" s="29" t="str">
        <f t="shared" si="31"/>
        <v/>
      </c>
      <c r="D2024" s="8">
        <v>0.5</v>
      </c>
      <c r="E2024" s="28" t="s">
        <v>14</v>
      </c>
      <c r="F2024" s="7" t="s">
        <v>14</v>
      </c>
      <c r="G2024" s="27" t="s">
        <v>14</v>
      </c>
      <c r="H2024" s="27" t="s">
        <v>14</v>
      </c>
    </row>
    <row r="2025" spans="2:8" x14ac:dyDescent="0.3">
      <c r="B2025" s="9">
        <v>43166</v>
      </c>
      <c r="C2025" s="29" t="str">
        <f t="shared" si="31"/>
        <v/>
      </c>
      <c r="D2025" s="8">
        <v>0.5</v>
      </c>
      <c r="E2025" s="28" t="s">
        <v>14</v>
      </c>
      <c r="F2025" s="7" t="s">
        <v>14</v>
      </c>
      <c r="G2025" s="27" t="s">
        <v>14</v>
      </c>
      <c r="H2025" s="27" t="s">
        <v>14</v>
      </c>
    </row>
    <row r="2026" spans="2:8" x14ac:dyDescent="0.3">
      <c r="B2026" s="11">
        <v>43167</v>
      </c>
      <c r="C2026" s="29" t="str">
        <f t="shared" si="31"/>
        <v/>
      </c>
      <c r="D2026" s="8">
        <v>0.5</v>
      </c>
      <c r="E2026" s="28" t="s">
        <v>14</v>
      </c>
      <c r="F2026" s="7" t="s">
        <v>14</v>
      </c>
      <c r="G2026" s="27" t="s">
        <v>14</v>
      </c>
      <c r="H2026" s="27" t="s">
        <v>14</v>
      </c>
    </row>
    <row r="2027" spans="2:8" x14ac:dyDescent="0.3">
      <c r="B2027" s="9">
        <v>43168</v>
      </c>
      <c r="C2027" s="29" t="str">
        <f t="shared" si="31"/>
        <v/>
      </c>
      <c r="D2027" s="8">
        <v>0.5</v>
      </c>
      <c r="E2027" s="28" t="s">
        <v>14</v>
      </c>
      <c r="F2027" s="7" t="s">
        <v>14</v>
      </c>
      <c r="G2027" s="27" t="s">
        <v>14</v>
      </c>
      <c r="H2027" s="27" t="s">
        <v>14</v>
      </c>
    </row>
    <row r="2028" spans="2:8" x14ac:dyDescent="0.3">
      <c r="B2028" s="11">
        <v>43171</v>
      </c>
      <c r="C2028" s="29" t="str">
        <f t="shared" si="31"/>
        <v/>
      </c>
      <c r="D2028" s="8">
        <v>0.5</v>
      </c>
      <c r="E2028" s="28" t="s">
        <v>14</v>
      </c>
      <c r="F2028" s="7" t="s">
        <v>14</v>
      </c>
      <c r="G2028" s="27" t="s">
        <v>14</v>
      </c>
      <c r="H2028" s="27" t="s">
        <v>14</v>
      </c>
    </row>
    <row r="2029" spans="2:8" x14ac:dyDescent="0.3">
      <c r="B2029" s="9">
        <v>43172</v>
      </c>
      <c r="C2029" s="29" t="str">
        <f t="shared" si="31"/>
        <v/>
      </c>
      <c r="D2029" s="8">
        <v>0.5</v>
      </c>
      <c r="E2029" s="28" t="s">
        <v>14</v>
      </c>
      <c r="F2029" s="7" t="s">
        <v>14</v>
      </c>
      <c r="G2029" s="27" t="s">
        <v>14</v>
      </c>
      <c r="H2029" s="27" t="s">
        <v>14</v>
      </c>
    </row>
    <row r="2030" spans="2:8" x14ac:dyDescent="0.3">
      <c r="B2030" s="11">
        <v>43173</v>
      </c>
      <c r="C2030" s="29" t="str">
        <f t="shared" si="31"/>
        <v/>
      </c>
      <c r="D2030" s="8">
        <v>0.5</v>
      </c>
      <c r="E2030" s="28" t="s">
        <v>14</v>
      </c>
      <c r="F2030" s="7" t="s">
        <v>14</v>
      </c>
      <c r="G2030" s="27" t="s">
        <v>14</v>
      </c>
      <c r="H2030" s="27" t="s">
        <v>14</v>
      </c>
    </row>
    <row r="2031" spans="2:8" x14ac:dyDescent="0.3">
      <c r="B2031" s="9">
        <v>43174</v>
      </c>
      <c r="C2031" s="29" t="str">
        <f t="shared" si="31"/>
        <v/>
      </c>
      <c r="D2031" s="8">
        <v>0.5</v>
      </c>
      <c r="E2031" s="28" t="s">
        <v>14</v>
      </c>
      <c r="F2031" s="7" t="s">
        <v>14</v>
      </c>
      <c r="G2031" s="27" t="s">
        <v>14</v>
      </c>
      <c r="H2031" s="27" t="s">
        <v>14</v>
      </c>
    </row>
    <row r="2032" spans="2:8" x14ac:dyDescent="0.3">
      <c r="B2032" s="11">
        <v>43175</v>
      </c>
      <c r="C2032" s="29" t="str">
        <f t="shared" si="31"/>
        <v/>
      </c>
      <c r="D2032" s="8">
        <v>0.5</v>
      </c>
      <c r="E2032" s="28" t="s">
        <v>14</v>
      </c>
      <c r="F2032" s="7" t="s">
        <v>14</v>
      </c>
      <c r="G2032" s="27" t="s">
        <v>14</v>
      </c>
      <c r="H2032" s="27" t="s">
        <v>14</v>
      </c>
    </row>
    <row r="2033" spans="2:8" x14ac:dyDescent="0.3">
      <c r="B2033" s="9">
        <v>43178</v>
      </c>
      <c r="C2033" s="29" t="str">
        <f t="shared" si="31"/>
        <v/>
      </c>
      <c r="D2033" s="8">
        <v>0.5</v>
      </c>
      <c r="E2033" s="28" t="s">
        <v>14</v>
      </c>
      <c r="F2033" s="7" t="s">
        <v>14</v>
      </c>
      <c r="G2033" s="27" t="s">
        <v>14</v>
      </c>
      <c r="H2033" s="27" t="s">
        <v>14</v>
      </c>
    </row>
    <row r="2034" spans="2:8" x14ac:dyDescent="0.3">
      <c r="B2034" s="11">
        <v>43179</v>
      </c>
      <c r="C2034" s="29" t="str">
        <f t="shared" si="31"/>
        <v/>
      </c>
      <c r="D2034" s="8">
        <v>0.5</v>
      </c>
      <c r="E2034" s="28" t="s">
        <v>14</v>
      </c>
      <c r="F2034" s="7" t="s">
        <v>14</v>
      </c>
      <c r="G2034" s="27" t="s">
        <v>14</v>
      </c>
      <c r="H2034" s="27" t="s">
        <v>14</v>
      </c>
    </row>
    <row r="2035" spans="2:8" x14ac:dyDescent="0.3">
      <c r="B2035" s="9">
        <v>43180</v>
      </c>
      <c r="C2035" s="29" t="str">
        <f t="shared" si="31"/>
        <v/>
      </c>
      <c r="D2035" s="8">
        <v>0.5</v>
      </c>
      <c r="E2035" s="28" t="s">
        <v>14</v>
      </c>
      <c r="F2035" s="7" t="s">
        <v>14</v>
      </c>
      <c r="G2035" s="27" t="s">
        <v>14</v>
      </c>
      <c r="H2035" s="27" t="s">
        <v>14</v>
      </c>
    </row>
    <row r="2036" spans="2:8" x14ac:dyDescent="0.3">
      <c r="B2036" s="11">
        <v>43181</v>
      </c>
      <c r="C2036" s="29" t="str">
        <f t="shared" si="31"/>
        <v/>
      </c>
      <c r="D2036" s="8">
        <v>0.5</v>
      </c>
      <c r="E2036" s="28" t="s">
        <v>14</v>
      </c>
      <c r="F2036" s="7" t="s">
        <v>14</v>
      </c>
      <c r="G2036" s="27" t="s">
        <v>14</v>
      </c>
      <c r="H2036" s="27" t="s">
        <v>14</v>
      </c>
    </row>
    <row r="2037" spans="2:8" x14ac:dyDescent="0.3">
      <c r="B2037" s="9">
        <v>43182</v>
      </c>
      <c r="C2037" s="29" t="str">
        <f t="shared" si="31"/>
        <v/>
      </c>
      <c r="D2037" s="8">
        <v>0.5</v>
      </c>
      <c r="E2037" s="28" t="s">
        <v>14</v>
      </c>
      <c r="F2037" s="7" t="s">
        <v>14</v>
      </c>
      <c r="G2037" s="27" t="s">
        <v>14</v>
      </c>
      <c r="H2037" s="27" t="s">
        <v>14</v>
      </c>
    </row>
    <row r="2038" spans="2:8" x14ac:dyDescent="0.3">
      <c r="B2038" s="11">
        <v>43185</v>
      </c>
      <c r="C2038" s="29" t="str">
        <f t="shared" si="31"/>
        <v/>
      </c>
      <c r="D2038" s="8">
        <v>0.5</v>
      </c>
      <c r="E2038" s="28" t="s">
        <v>14</v>
      </c>
      <c r="F2038" s="7" t="s">
        <v>14</v>
      </c>
      <c r="G2038" s="27" t="s">
        <v>14</v>
      </c>
      <c r="H2038" s="27" t="s">
        <v>14</v>
      </c>
    </row>
    <row r="2039" spans="2:8" x14ac:dyDescent="0.3">
      <c r="B2039" s="9">
        <v>43186</v>
      </c>
      <c r="C2039" s="29" t="str">
        <f t="shared" si="31"/>
        <v/>
      </c>
      <c r="D2039" s="8">
        <v>0.5</v>
      </c>
      <c r="E2039" s="28" t="s">
        <v>14</v>
      </c>
      <c r="F2039" s="7" t="s">
        <v>14</v>
      </c>
      <c r="G2039" s="27" t="s">
        <v>14</v>
      </c>
      <c r="H2039" s="27" t="s">
        <v>14</v>
      </c>
    </row>
    <row r="2040" spans="2:8" x14ac:dyDescent="0.3">
      <c r="B2040" s="11">
        <v>43187</v>
      </c>
      <c r="C2040" s="29" t="str">
        <f t="shared" si="31"/>
        <v/>
      </c>
      <c r="D2040" s="8">
        <v>0.5</v>
      </c>
      <c r="E2040" s="28" t="s">
        <v>14</v>
      </c>
      <c r="F2040" s="7" t="s">
        <v>14</v>
      </c>
      <c r="G2040" s="27" t="s">
        <v>14</v>
      </c>
      <c r="H2040" s="27" t="s">
        <v>14</v>
      </c>
    </row>
    <row r="2041" spans="2:8" x14ac:dyDescent="0.3">
      <c r="B2041" s="9">
        <v>43188</v>
      </c>
      <c r="C2041" s="29">
        <f t="shared" si="31"/>
        <v>0</v>
      </c>
      <c r="D2041" s="8">
        <v>0.5</v>
      </c>
      <c r="E2041" s="28">
        <v>0.5</v>
      </c>
      <c r="F2041" s="7">
        <v>0.5</v>
      </c>
    </row>
    <row r="2042" spans="2:8" x14ac:dyDescent="0.3">
      <c r="B2042" s="11">
        <v>43192</v>
      </c>
      <c r="C2042" s="29" t="str">
        <f t="shared" si="31"/>
        <v/>
      </c>
      <c r="D2042" s="8">
        <v>0.5</v>
      </c>
      <c r="E2042" s="28" t="s">
        <v>14</v>
      </c>
      <c r="F2042" s="7" t="s">
        <v>14</v>
      </c>
      <c r="G2042" s="27" t="s">
        <v>14</v>
      </c>
      <c r="H2042" s="27" t="s">
        <v>14</v>
      </c>
    </row>
    <row r="2043" spans="2:8" x14ac:dyDescent="0.3">
      <c r="B2043" s="9">
        <v>43193</v>
      </c>
      <c r="C2043" s="29" t="str">
        <f t="shared" si="31"/>
        <v/>
      </c>
      <c r="D2043" s="8">
        <v>0.5</v>
      </c>
      <c r="E2043" s="28" t="s">
        <v>14</v>
      </c>
      <c r="F2043" s="7" t="s">
        <v>14</v>
      </c>
      <c r="G2043" s="27" t="s">
        <v>14</v>
      </c>
      <c r="H2043" s="27" t="s">
        <v>14</v>
      </c>
    </row>
    <row r="2044" spans="2:8" x14ac:dyDescent="0.3">
      <c r="B2044" s="11">
        <v>43194</v>
      </c>
      <c r="C2044" s="29" t="str">
        <f t="shared" si="31"/>
        <v/>
      </c>
      <c r="D2044" s="8">
        <v>0.5</v>
      </c>
      <c r="E2044" s="28" t="s">
        <v>14</v>
      </c>
      <c r="F2044" s="7" t="s">
        <v>14</v>
      </c>
      <c r="G2044" s="27" t="s">
        <v>14</v>
      </c>
      <c r="H2044" s="27" t="s">
        <v>14</v>
      </c>
    </row>
    <row r="2045" spans="2:8" x14ac:dyDescent="0.3">
      <c r="B2045" s="9">
        <v>43195</v>
      </c>
      <c r="C2045" s="29" t="str">
        <f t="shared" si="31"/>
        <v/>
      </c>
      <c r="D2045" s="8">
        <v>0.5</v>
      </c>
      <c r="E2045" s="28" t="s">
        <v>14</v>
      </c>
      <c r="F2045" s="7" t="s">
        <v>14</v>
      </c>
      <c r="G2045" s="27" t="s">
        <v>14</v>
      </c>
      <c r="H2045" s="27" t="s">
        <v>14</v>
      </c>
    </row>
    <row r="2046" spans="2:8" x14ac:dyDescent="0.3">
      <c r="B2046" s="11">
        <v>43196</v>
      </c>
      <c r="C2046" s="29" t="str">
        <f t="shared" si="31"/>
        <v/>
      </c>
      <c r="D2046" s="8">
        <v>0.5</v>
      </c>
      <c r="E2046" s="28" t="s">
        <v>14</v>
      </c>
      <c r="F2046" s="7" t="s">
        <v>14</v>
      </c>
      <c r="G2046" s="27" t="s">
        <v>14</v>
      </c>
      <c r="H2046" s="27" t="s">
        <v>14</v>
      </c>
    </row>
    <row r="2047" spans="2:8" x14ac:dyDescent="0.3">
      <c r="B2047" s="9">
        <v>43199</v>
      </c>
      <c r="C2047" s="29" t="str">
        <f t="shared" si="31"/>
        <v/>
      </c>
      <c r="D2047" s="8">
        <v>0.5</v>
      </c>
      <c r="E2047" s="28" t="s">
        <v>14</v>
      </c>
      <c r="F2047" s="7" t="s">
        <v>14</v>
      </c>
      <c r="G2047" s="27" t="s">
        <v>14</v>
      </c>
      <c r="H2047" s="27" t="s">
        <v>14</v>
      </c>
    </row>
    <row r="2048" spans="2:8" x14ac:dyDescent="0.3">
      <c r="B2048" s="11">
        <v>43200</v>
      </c>
      <c r="C2048" s="29" t="str">
        <f t="shared" si="31"/>
        <v/>
      </c>
      <c r="D2048" s="8">
        <v>0.5</v>
      </c>
      <c r="E2048" s="28" t="s">
        <v>14</v>
      </c>
      <c r="F2048" s="7" t="s">
        <v>14</v>
      </c>
      <c r="G2048" s="27" t="s">
        <v>14</v>
      </c>
      <c r="H2048" s="27" t="s">
        <v>14</v>
      </c>
    </row>
    <row r="2049" spans="2:8" x14ac:dyDescent="0.3">
      <c r="B2049" s="9">
        <v>43201</v>
      </c>
      <c r="C2049" s="29" t="str">
        <f t="shared" si="31"/>
        <v/>
      </c>
      <c r="D2049" s="8">
        <v>0.5</v>
      </c>
      <c r="E2049" s="28" t="s">
        <v>14</v>
      </c>
      <c r="F2049" s="7" t="s">
        <v>14</v>
      </c>
      <c r="G2049" s="27" t="s">
        <v>14</v>
      </c>
      <c r="H2049" s="27" t="s">
        <v>14</v>
      </c>
    </row>
    <row r="2050" spans="2:8" x14ac:dyDescent="0.3">
      <c r="B2050" s="11">
        <v>43202</v>
      </c>
      <c r="C2050" s="29" t="str">
        <f t="shared" si="31"/>
        <v/>
      </c>
      <c r="D2050" s="8">
        <v>0.5</v>
      </c>
      <c r="E2050" s="28" t="s">
        <v>14</v>
      </c>
      <c r="F2050" s="7" t="s">
        <v>14</v>
      </c>
      <c r="G2050" s="27" t="s">
        <v>14</v>
      </c>
      <c r="H2050" s="27" t="s">
        <v>14</v>
      </c>
    </row>
    <row r="2051" spans="2:8" x14ac:dyDescent="0.3">
      <c r="B2051" s="9">
        <v>43203</v>
      </c>
      <c r="C2051" s="29" t="str">
        <f t="shared" ref="C2051:C2114" si="32">INDEX(D2051:H2051,MATCH($A$1,$D$1:$H$1,0))</f>
        <v/>
      </c>
      <c r="D2051" s="8">
        <v>0.5</v>
      </c>
      <c r="E2051" s="28" t="s">
        <v>14</v>
      </c>
      <c r="F2051" s="7" t="s">
        <v>14</v>
      </c>
      <c r="G2051" s="27" t="s">
        <v>14</v>
      </c>
      <c r="H2051" s="27" t="s">
        <v>14</v>
      </c>
    </row>
    <row r="2052" spans="2:8" x14ac:dyDescent="0.3">
      <c r="B2052" s="11">
        <v>43206</v>
      </c>
      <c r="C2052" s="29" t="str">
        <f t="shared" si="32"/>
        <v/>
      </c>
      <c r="D2052" s="8">
        <v>0.5</v>
      </c>
      <c r="E2052" s="28" t="s">
        <v>14</v>
      </c>
      <c r="F2052" s="7" t="s">
        <v>14</v>
      </c>
      <c r="G2052" s="27" t="s">
        <v>14</v>
      </c>
      <c r="H2052" s="27" t="s">
        <v>14</v>
      </c>
    </row>
    <row r="2053" spans="2:8" x14ac:dyDescent="0.3">
      <c r="B2053" s="9">
        <v>43207</v>
      </c>
      <c r="C2053" s="29" t="str">
        <f t="shared" si="32"/>
        <v/>
      </c>
      <c r="D2053" s="8">
        <v>0.5</v>
      </c>
      <c r="E2053" s="28" t="s">
        <v>14</v>
      </c>
      <c r="F2053" s="7" t="s">
        <v>14</v>
      </c>
      <c r="G2053" s="27" t="s">
        <v>14</v>
      </c>
      <c r="H2053" s="27" t="s">
        <v>14</v>
      </c>
    </row>
    <row r="2054" spans="2:8" x14ac:dyDescent="0.3">
      <c r="B2054" s="11">
        <v>43208</v>
      </c>
      <c r="C2054" s="29" t="str">
        <f t="shared" si="32"/>
        <v/>
      </c>
      <c r="D2054" s="8">
        <v>0.5</v>
      </c>
      <c r="E2054" s="28" t="s">
        <v>14</v>
      </c>
      <c r="F2054" s="7" t="s">
        <v>14</v>
      </c>
      <c r="G2054" s="27" t="s">
        <v>14</v>
      </c>
      <c r="H2054" s="27" t="s">
        <v>14</v>
      </c>
    </row>
    <row r="2055" spans="2:8" x14ac:dyDescent="0.3">
      <c r="B2055" s="9">
        <v>43209</v>
      </c>
      <c r="C2055" s="29" t="str">
        <f t="shared" si="32"/>
        <v/>
      </c>
      <c r="D2055" s="8">
        <v>0.5</v>
      </c>
      <c r="E2055" s="28" t="s">
        <v>14</v>
      </c>
      <c r="F2055" s="7" t="s">
        <v>14</v>
      </c>
      <c r="G2055" s="27" t="s">
        <v>14</v>
      </c>
      <c r="H2055" s="27" t="s">
        <v>14</v>
      </c>
    </row>
    <row r="2056" spans="2:8" x14ac:dyDescent="0.3">
      <c r="B2056" s="11">
        <v>43210</v>
      </c>
      <c r="C2056" s="29" t="str">
        <f t="shared" si="32"/>
        <v/>
      </c>
      <c r="D2056" s="8">
        <v>0.5</v>
      </c>
      <c r="E2056" s="28" t="s">
        <v>14</v>
      </c>
      <c r="F2056" s="7" t="s">
        <v>14</v>
      </c>
      <c r="G2056" s="27" t="s">
        <v>14</v>
      </c>
      <c r="H2056" s="27" t="s">
        <v>14</v>
      </c>
    </row>
    <row r="2057" spans="2:8" x14ac:dyDescent="0.3">
      <c r="B2057" s="9">
        <v>43213</v>
      </c>
      <c r="C2057" s="29" t="str">
        <f t="shared" si="32"/>
        <v/>
      </c>
      <c r="D2057" s="8">
        <v>0.5</v>
      </c>
      <c r="E2057" s="28" t="s">
        <v>14</v>
      </c>
      <c r="F2057" s="7" t="s">
        <v>14</v>
      </c>
      <c r="G2057" s="27" t="s">
        <v>14</v>
      </c>
      <c r="H2057" s="27" t="s">
        <v>14</v>
      </c>
    </row>
    <row r="2058" spans="2:8" x14ac:dyDescent="0.3">
      <c r="B2058" s="11">
        <v>43214</v>
      </c>
      <c r="C2058" s="29" t="str">
        <f t="shared" si="32"/>
        <v/>
      </c>
      <c r="D2058" s="8">
        <v>0.5</v>
      </c>
      <c r="E2058" s="28" t="s">
        <v>14</v>
      </c>
      <c r="F2058" s="7" t="s">
        <v>14</v>
      </c>
      <c r="G2058" s="27" t="s">
        <v>14</v>
      </c>
      <c r="H2058" s="27" t="s">
        <v>14</v>
      </c>
    </row>
    <row r="2059" spans="2:8" x14ac:dyDescent="0.3">
      <c r="B2059" s="9">
        <v>43215</v>
      </c>
      <c r="C2059" s="29" t="str">
        <f t="shared" si="32"/>
        <v/>
      </c>
      <c r="D2059" s="8">
        <v>0.5</v>
      </c>
      <c r="E2059" s="28" t="s">
        <v>14</v>
      </c>
      <c r="F2059" s="7" t="s">
        <v>14</v>
      </c>
      <c r="G2059" s="27" t="s">
        <v>14</v>
      </c>
      <c r="H2059" s="27" t="s">
        <v>14</v>
      </c>
    </row>
    <row r="2060" spans="2:8" x14ac:dyDescent="0.3">
      <c r="B2060" s="11">
        <v>43216</v>
      </c>
      <c r="C2060" s="29" t="str">
        <f t="shared" si="32"/>
        <v/>
      </c>
      <c r="D2060" s="8">
        <v>0.5</v>
      </c>
      <c r="E2060" s="28" t="s">
        <v>14</v>
      </c>
      <c r="F2060" s="7" t="s">
        <v>14</v>
      </c>
      <c r="G2060" s="27" t="s">
        <v>14</v>
      </c>
      <c r="H2060" s="27" t="s">
        <v>14</v>
      </c>
    </row>
    <row r="2061" spans="2:8" x14ac:dyDescent="0.3">
      <c r="B2061" s="9">
        <v>43217</v>
      </c>
      <c r="C2061" s="29" t="str">
        <f t="shared" si="32"/>
        <v/>
      </c>
      <c r="D2061" s="8">
        <v>0.5</v>
      </c>
      <c r="E2061" s="28" t="s">
        <v>14</v>
      </c>
      <c r="F2061" s="7" t="s">
        <v>14</v>
      </c>
      <c r="G2061" s="27" t="s">
        <v>14</v>
      </c>
      <c r="H2061" s="27" t="s">
        <v>14</v>
      </c>
    </row>
    <row r="2062" spans="2:8" x14ac:dyDescent="0.3">
      <c r="B2062" s="11">
        <v>43220</v>
      </c>
      <c r="C2062" s="29" t="str">
        <f t="shared" si="32"/>
        <v/>
      </c>
      <c r="D2062" s="8">
        <v>0.5</v>
      </c>
      <c r="E2062" s="28">
        <v>0.5</v>
      </c>
      <c r="F2062" s="7" t="s">
        <v>14</v>
      </c>
      <c r="G2062" s="27" t="s">
        <v>14</v>
      </c>
      <c r="H2062" s="27" t="s">
        <v>14</v>
      </c>
    </row>
    <row r="2063" spans="2:8" x14ac:dyDescent="0.3">
      <c r="B2063" s="9">
        <v>43222</v>
      </c>
      <c r="C2063" s="29" t="str">
        <f t="shared" si="32"/>
        <v/>
      </c>
      <c r="D2063" s="8">
        <v>0.5</v>
      </c>
      <c r="E2063" s="28" t="s">
        <v>14</v>
      </c>
      <c r="F2063" s="7" t="s">
        <v>14</v>
      </c>
      <c r="G2063" s="27" t="s">
        <v>14</v>
      </c>
      <c r="H2063" s="27" t="s">
        <v>14</v>
      </c>
    </row>
    <row r="2064" spans="2:8" x14ac:dyDescent="0.3">
      <c r="B2064" s="11">
        <v>43223</v>
      </c>
      <c r="C2064" s="29" t="str">
        <f t="shared" si="32"/>
        <v/>
      </c>
      <c r="D2064" s="8">
        <v>0.5</v>
      </c>
      <c r="E2064" s="28" t="s">
        <v>14</v>
      </c>
      <c r="F2064" s="7" t="s">
        <v>14</v>
      </c>
      <c r="G2064" s="27" t="s">
        <v>14</v>
      </c>
      <c r="H2064" s="27" t="s">
        <v>14</v>
      </c>
    </row>
    <row r="2065" spans="2:8" x14ac:dyDescent="0.3">
      <c r="B2065" s="9">
        <v>43224</v>
      </c>
      <c r="C2065" s="29" t="str">
        <f t="shared" si="32"/>
        <v/>
      </c>
      <c r="D2065" s="8">
        <v>0.5</v>
      </c>
      <c r="E2065" s="28" t="s">
        <v>14</v>
      </c>
      <c r="F2065" s="7" t="s">
        <v>14</v>
      </c>
      <c r="G2065" s="27" t="s">
        <v>14</v>
      </c>
      <c r="H2065" s="27" t="s">
        <v>14</v>
      </c>
    </row>
    <row r="2066" spans="2:8" x14ac:dyDescent="0.3">
      <c r="B2066" s="11">
        <v>43227</v>
      </c>
      <c r="C2066" s="29" t="str">
        <f t="shared" si="32"/>
        <v/>
      </c>
      <c r="D2066" s="8">
        <v>0.5</v>
      </c>
      <c r="E2066" s="28" t="s">
        <v>14</v>
      </c>
      <c r="F2066" s="7" t="s">
        <v>14</v>
      </c>
      <c r="G2066" s="27" t="s">
        <v>14</v>
      </c>
      <c r="H2066" s="27" t="s">
        <v>14</v>
      </c>
    </row>
    <row r="2067" spans="2:8" x14ac:dyDescent="0.3">
      <c r="B2067" s="9">
        <v>43228</v>
      </c>
      <c r="C2067" s="29" t="str">
        <f t="shared" si="32"/>
        <v/>
      </c>
      <c r="D2067" s="8">
        <v>0.5</v>
      </c>
      <c r="E2067" s="28" t="s">
        <v>14</v>
      </c>
      <c r="F2067" s="7" t="s">
        <v>14</v>
      </c>
      <c r="G2067" s="27" t="s">
        <v>14</v>
      </c>
      <c r="H2067" s="27" t="s">
        <v>14</v>
      </c>
    </row>
    <row r="2068" spans="2:8" x14ac:dyDescent="0.3">
      <c r="B2068" s="11">
        <v>43229</v>
      </c>
      <c r="C2068" s="29" t="str">
        <f t="shared" si="32"/>
        <v/>
      </c>
      <c r="D2068" s="8">
        <v>0.5</v>
      </c>
      <c r="E2068" s="28" t="s">
        <v>14</v>
      </c>
      <c r="F2068" s="7" t="s">
        <v>14</v>
      </c>
      <c r="G2068" s="27" t="s">
        <v>14</v>
      </c>
      <c r="H2068" s="27" t="s">
        <v>14</v>
      </c>
    </row>
    <row r="2069" spans="2:8" x14ac:dyDescent="0.3">
      <c r="B2069" s="9">
        <v>43230</v>
      </c>
      <c r="C2069" s="29" t="str">
        <f t="shared" si="32"/>
        <v/>
      </c>
      <c r="D2069" s="8">
        <v>0.5</v>
      </c>
      <c r="E2069" s="28" t="s">
        <v>14</v>
      </c>
      <c r="F2069" s="7" t="s">
        <v>14</v>
      </c>
      <c r="G2069" s="27" t="s">
        <v>14</v>
      </c>
      <c r="H2069" s="27" t="s">
        <v>14</v>
      </c>
    </row>
    <row r="2070" spans="2:8" x14ac:dyDescent="0.3">
      <c r="B2070" s="11">
        <v>43231</v>
      </c>
      <c r="C2070" s="29" t="str">
        <f t="shared" si="32"/>
        <v/>
      </c>
      <c r="D2070" s="8">
        <v>0.5</v>
      </c>
      <c r="E2070" s="28" t="s">
        <v>14</v>
      </c>
      <c r="F2070" s="7" t="s">
        <v>14</v>
      </c>
      <c r="G2070" s="27" t="s">
        <v>14</v>
      </c>
      <c r="H2070" s="27" t="s">
        <v>14</v>
      </c>
    </row>
    <row r="2071" spans="2:8" x14ac:dyDescent="0.3">
      <c r="B2071" s="9">
        <v>43234</v>
      </c>
      <c r="C2071" s="29" t="str">
        <f t="shared" si="32"/>
        <v/>
      </c>
      <c r="D2071" s="8">
        <v>0.5</v>
      </c>
      <c r="E2071" s="28" t="s">
        <v>14</v>
      </c>
      <c r="F2071" s="7" t="s">
        <v>14</v>
      </c>
      <c r="G2071" s="27" t="s">
        <v>14</v>
      </c>
      <c r="H2071" s="27" t="s">
        <v>14</v>
      </c>
    </row>
    <row r="2072" spans="2:8" x14ac:dyDescent="0.3">
      <c r="B2072" s="11">
        <v>43235</v>
      </c>
      <c r="C2072" s="29" t="str">
        <f t="shared" si="32"/>
        <v/>
      </c>
      <c r="D2072" s="8">
        <v>0.5</v>
      </c>
      <c r="E2072" s="28" t="s">
        <v>14</v>
      </c>
      <c r="F2072" s="7" t="s">
        <v>14</v>
      </c>
      <c r="G2072" s="27" t="s">
        <v>14</v>
      </c>
      <c r="H2072" s="27" t="s">
        <v>14</v>
      </c>
    </row>
    <row r="2073" spans="2:8" x14ac:dyDescent="0.3">
      <c r="B2073" s="9">
        <v>43236</v>
      </c>
      <c r="C2073" s="29" t="str">
        <f t="shared" si="32"/>
        <v/>
      </c>
      <c r="D2073" s="8">
        <v>0.5</v>
      </c>
      <c r="E2073" s="28" t="s">
        <v>14</v>
      </c>
      <c r="F2073" s="7" t="s">
        <v>14</v>
      </c>
      <c r="G2073" s="27" t="s">
        <v>14</v>
      </c>
      <c r="H2073" s="27" t="s">
        <v>14</v>
      </c>
    </row>
    <row r="2074" spans="2:8" x14ac:dyDescent="0.3">
      <c r="B2074" s="11">
        <v>43237</v>
      </c>
      <c r="C2074" s="29" t="str">
        <f t="shared" si="32"/>
        <v/>
      </c>
      <c r="D2074" s="8">
        <v>0.5</v>
      </c>
      <c r="E2074" s="28" t="s">
        <v>14</v>
      </c>
      <c r="F2074" s="7" t="s">
        <v>14</v>
      </c>
      <c r="G2074" s="27" t="s">
        <v>14</v>
      </c>
      <c r="H2074" s="27" t="s">
        <v>14</v>
      </c>
    </row>
    <row r="2075" spans="2:8" x14ac:dyDescent="0.3">
      <c r="B2075" s="9">
        <v>43238</v>
      </c>
      <c r="C2075" s="29" t="str">
        <f t="shared" si="32"/>
        <v/>
      </c>
      <c r="D2075" s="8">
        <v>0.5</v>
      </c>
      <c r="E2075" s="28" t="s">
        <v>14</v>
      </c>
      <c r="F2075" s="7" t="s">
        <v>14</v>
      </c>
      <c r="G2075" s="27" t="s">
        <v>14</v>
      </c>
      <c r="H2075" s="27" t="s">
        <v>14</v>
      </c>
    </row>
    <row r="2076" spans="2:8" x14ac:dyDescent="0.3">
      <c r="B2076" s="11">
        <v>43241</v>
      </c>
      <c r="C2076" s="29" t="str">
        <f t="shared" si="32"/>
        <v/>
      </c>
      <c r="D2076" s="8">
        <v>0.5</v>
      </c>
      <c r="E2076" s="28" t="s">
        <v>14</v>
      </c>
      <c r="F2076" s="7" t="s">
        <v>14</v>
      </c>
      <c r="G2076" s="27" t="s">
        <v>14</v>
      </c>
      <c r="H2076" s="27" t="s">
        <v>14</v>
      </c>
    </row>
    <row r="2077" spans="2:8" x14ac:dyDescent="0.3">
      <c r="B2077" s="9">
        <v>43242</v>
      </c>
      <c r="C2077" s="29" t="str">
        <f t="shared" si="32"/>
        <v/>
      </c>
      <c r="D2077" s="8">
        <v>0.5</v>
      </c>
      <c r="E2077" s="28" t="s">
        <v>14</v>
      </c>
      <c r="F2077" s="7" t="s">
        <v>14</v>
      </c>
      <c r="G2077" s="27" t="s">
        <v>14</v>
      </c>
      <c r="H2077" s="27" t="s">
        <v>14</v>
      </c>
    </row>
    <row r="2078" spans="2:8" x14ac:dyDescent="0.3">
      <c r="B2078" s="11">
        <v>43243</v>
      </c>
      <c r="C2078" s="29" t="str">
        <f t="shared" si="32"/>
        <v/>
      </c>
      <c r="D2078" s="8">
        <v>0.5</v>
      </c>
      <c r="E2078" s="28" t="s">
        <v>14</v>
      </c>
      <c r="F2078" s="7" t="s">
        <v>14</v>
      </c>
      <c r="G2078" s="27" t="s">
        <v>14</v>
      </c>
      <c r="H2078" s="27" t="s">
        <v>14</v>
      </c>
    </row>
    <row r="2079" spans="2:8" x14ac:dyDescent="0.3">
      <c r="B2079" s="9">
        <v>43244</v>
      </c>
      <c r="C2079" s="29" t="str">
        <f t="shared" si="32"/>
        <v/>
      </c>
      <c r="D2079" s="8">
        <v>0.5</v>
      </c>
      <c r="E2079" s="28" t="s">
        <v>14</v>
      </c>
      <c r="F2079" s="7" t="s">
        <v>14</v>
      </c>
      <c r="G2079" s="27" t="s">
        <v>14</v>
      </c>
      <c r="H2079" s="27" t="s">
        <v>14</v>
      </c>
    </row>
    <row r="2080" spans="2:8" x14ac:dyDescent="0.3">
      <c r="B2080" s="11">
        <v>43245</v>
      </c>
      <c r="C2080" s="29" t="str">
        <f t="shared" si="32"/>
        <v/>
      </c>
      <c r="D2080" s="8">
        <v>0.5</v>
      </c>
      <c r="E2080" s="28" t="s">
        <v>14</v>
      </c>
      <c r="F2080" s="7" t="s">
        <v>14</v>
      </c>
      <c r="G2080" s="27" t="s">
        <v>14</v>
      </c>
      <c r="H2080" s="27" t="s">
        <v>14</v>
      </c>
    </row>
    <row r="2081" spans="2:8" x14ac:dyDescent="0.3">
      <c r="B2081" s="9">
        <v>43248</v>
      </c>
      <c r="C2081" s="29" t="str">
        <f t="shared" si="32"/>
        <v/>
      </c>
      <c r="D2081" s="8">
        <v>0.5</v>
      </c>
      <c r="E2081" s="28" t="s">
        <v>14</v>
      </c>
      <c r="F2081" s="7" t="s">
        <v>14</v>
      </c>
      <c r="G2081" s="27" t="s">
        <v>14</v>
      </c>
      <c r="H2081" s="27" t="s">
        <v>14</v>
      </c>
    </row>
    <row r="2082" spans="2:8" x14ac:dyDescent="0.3">
      <c r="B2082" s="11">
        <v>43249</v>
      </c>
      <c r="C2082" s="29" t="str">
        <f t="shared" si="32"/>
        <v/>
      </c>
      <c r="D2082" s="8">
        <v>0.5</v>
      </c>
      <c r="E2082" s="28" t="s">
        <v>14</v>
      </c>
      <c r="F2082" s="7" t="s">
        <v>14</v>
      </c>
      <c r="G2082" s="27" t="s">
        <v>14</v>
      </c>
      <c r="H2082" s="27" t="s">
        <v>14</v>
      </c>
    </row>
    <row r="2083" spans="2:8" x14ac:dyDescent="0.3">
      <c r="B2083" s="9">
        <v>43250</v>
      </c>
      <c r="C2083" s="29" t="str">
        <f t="shared" si="32"/>
        <v/>
      </c>
      <c r="D2083" s="8">
        <v>0.5</v>
      </c>
      <c r="E2083" s="28">
        <v>0.5</v>
      </c>
      <c r="F2083" s="7" t="s">
        <v>14</v>
      </c>
      <c r="G2083" s="27" t="s">
        <v>14</v>
      </c>
      <c r="H2083" s="27" t="s">
        <v>14</v>
      </c>
    </row>
    <row r="2084" spans="2:8" x14ac:dyDescent="0.3">
      <c r="B2084" s="11">
        <v>43252</v>
      </c>
      <c r="C2084" s="29" t="str">
        <f t="shared" si="32"/>
        <v/>
      </c>
      <c r="D2084" s="8">
        <v>0.5</v>
      </c>
      <c r="E2084" s="28" t="s">
        <v>14</v>
      </c>
      <c r="F2084" s="7" t="s">
        <v>14</v>
      </c>
      <c r="G2084" s="27" t="s">
        <v>14</v>
      </c>
      <c r="H2084" s="27" t="s">
        <v>14</v>
      </c>
    </row>
    <row r="2085" spans="2:8" x14ac:dyDescent="0.3">
      <c r="B2085" s="9">
        <v>43255</v>
      </c>
      <c r="C2085" s="29" t="str">
        <f t="shared" si="32"/>
        <v/>
      </c>
      <c r="D2085" s="8">
        <v>0.5</v>
      </c>
      <c r="E2085" s="28" t="s">
        <v>14</v>
      </c>
      <c r="F2085" s="7" t="s">
        <v>14</v>
      </c>
      <c r="G2085" s="27" t="s">
        <v>14</v>
      </c>
      <c r="H2085" s="27" t="s">
        <v>14</v>
      </c>
    </row>
    <row r="2086" spans="2:8" x14ac:dyDescent="0.3">
      <c r="B2086" s="11">
        <v>43256</v>
      </c>
      <c r="C2086" s="29" t="str">
        <f t="shared" si="32"/>
        <v/>
      </c>
      <c r="D2086" s="8">
        <v>0.5</v>
      </c>
      <c r="E2086" s="28" t="s">
        <v>14</v>
      </c>
      <c r="F2086" s="7" t="s">
        <v>14</v>
      </c>
      <c r="G2086" s="27" t="s">
        <v>14</v>
      </c>
      <c r="H2086" s="27" t="s">
        <v>14</v>
      </c>
    </row>
    <row r="2087" spans="2:8" x14ac:dyDescent="0.3">
      <c r="B2087" s="9">
        <v>43257</v>
      </c>
      <c r="C2087" s="29" t="str">
        <f t="shared" si="32"/>
        <v/>
      </c>
      <c r="D2087" s="8">
        <v>0.5</v>
      </c>
      <c r="E2087" s="28" t="s">
        <v>14</v>
      </c>
      <c r="F2087" s="7" t="s">
        <v>14</v>
      </c>
      <c r="G2087" s="27" t="s">
        <v>14</v>
      </c>
      <c r="H2087" s="27" t="s">
        <v>14</v>
      </c>
    </row>
    <row r="2088" spans="2:8" x14ac:dyDescent="0.3">
      <c r="B2088" s="11">
        <v>43258</v>
      </c>
      <c r="C2088" s="29" t="str">
        <f t="shared" si="32"/>
        <v/>
      </c>
      <c r="D2088" s="8">
        <v>0.5</v>
      </c>
      <c r="E2088" s="28" t="s">
        <v>14</v>
      </c>
      <c r="F2088" s="7" t="s">
        <v>14</v>
      </c>
      <c r="G2088" s="27" t="s">
        <v>14</v>
      </c>
      <c r="H2088" s="27" t="s">
        <v>14</v>
      </c>
    </row>
    <row r="2089" spans="2:8" x14ac:dyDescent="0.3">
      <c r="B2089" s="9">
        <v>43259</v>
      </c>
      <c r="C2089" s="29" t="str">
        <f t="shared" si="32"/>
        <v/>
      </c>
      <c r="D2089" s="8">
        <v>0.5</v>
      </c>
      <c r="E2089" s="28" t="s">
        <v>14</v>
      </c>
      <c r="F2089" s="7" t="s">
        <v>14</v>
      </c>
      <c r="G2089" s="27" t="s">
        <v>14</v>
      </c>
      <c r="H2089" s="27" t="s">
        <v>14</v>
      </c>
    </row>
    <row r="2090" spans="2:8" x14ac:dyDescent="0.3">
      <c r="B2090" s="11">
        <v>43262</v>
      </c>
      <c r="C2090" s="29" t="str">
        <f t="shared" si="32"/>
        <v/>
      </c>
      <c r="D2090" s="8">
        <v>0.5</v>
      </c>
      <c r="E2090" s="28" t="s">
        <v>14</v>
      </c>
      <c r="F2090" s="7" t="s">
        <v>14</v>
      </c>
      <c r="G2090" s="27" t="s">
        <v>14</v>
      </c>
      <c r="H2090" s="27" t="s">
        <v>14</v>
      </c>
    </row>
    <row r="2091" spans="2:8" x14ac:dyDescent="0.3">
      <c r="B2091" s="9">
        <v>43263</v>
      </c>
      <c r="C2091" s="29" t="str">
        <f t="shared" si="32"/>
        <v/>
      </c>
      <c r="D2091" s="8">
        <v>0.5</v>
      </c>
      <c r="E2091" s="28" t="s">
        <v>14</v>
      </c>
      <c r="F2091" s="7" t="s">
        <v>14</v>
      </c>
      <c r="G2091" s="27" t="s">
        <v>14</v>
      </c>
      <c r="H2091" s="27" t="s">
        <v>14</v>
      </c>
    </row>
    <row r="2092" spans="2:8" x14ac:dyDescent="0.3">
      <c r="B2092" s="11">
        <v>43264</v>
      </c>
      <c r="C2092" s="29" t="str">
        <f t="shared" si="32"/>
        <v/>
      </c>
      <c r="D2092" s="8">
        <v>0.5</v>
      </c>
      <c r="E2092" s="28" t="s">
        <v>14</v>
      </c>
      <c r="F2092" s="7" t="s">
        <v>14</v>
      </c>
      <c r="G2092" s="27" t="s">
        <v>14</v>
      </c>
      <c r="H2092" s="27" t="s">
        <v>14</v>
      </c>
    </row>
    <row r="2093" spans="2:8" x14ac:dyDescent="0.3">
      <c r="B2093" s="9">
        <v>43265</v>
      </c>
      <c r="C2093" s="29" t="str">
        <f t="shared" si="32"/>
        <v/>
      </c>
      <c r="D2093" s="8">
        <v>0.5</v>
      </c>
      <c r="E2093" s="28" t="s">
        <v>14</v>
      </c>
      <c r="F2093" s="7" t="s">
        <v>14</v>
      </c>
      <c r="G2093" s="27" t="s">
        <v>14</v>
      </c>
      <c r="H2093" s="27" t="s">
        <v>14</v>
      </c>
    </row>
    <row r="2094" spans="2:8" x14ac:dyDescent="0.3">
      <c r="B2094" s="11">
        <v>43266</v>
      </c>
      <c r="C2094" s="29" t="str">
        <f t="shared" si="32"/>
        <v/>
      </c>
      <c r="D2094" s="8">
        <v>0.5</v>
      </c>
      <c r="E2094" s="28" t="s">
        <v>14</v>
      </c>
      <c r="F2094" s="7" t="s">
        <v>14</v>
      </c>
      <c r="G2094" s="27" t="s">
        <v>14</v>
      </c>
      <c r="H2094" s="27" t="s">
        <v>14</v>
      </c>
    </row>
    <row r="2095" spans="2:8" x14ac:dyDescent="0.3">
      <c r="B2095" s="9">
        <v>43269</v>
      </c>
      <c r="C2095" s="29" t="str">
        <f t="shared" si="32"/>
        <v/>
      </c>
      <c r="D2095" s="8">
        <v>0.5</v>
      </c>
      <c r="E2095" s="28" t="s">
        <v>14</v>
      </c>
      <c r="F2095" s="7" t="s">
        <v>14</v>
      </c>
      <c r="G2095" s="27" t="s">
        <v>14</v>
      </c>
      <c r="H2095" s="27" t="s">
        <v>14</v>
      </c>
    </row>
    <row r="2096" spans="2:8" x14ac:dyDescent="0.3">
      <c r="B2096" s="11">
        <v>43270</v>
      </c>
      <c r="C2096" s="29" t="str">
        <f t="shared" si="32"/>
        <v/>
      </c>
      <c r="D2096" s="8">
        <v>0.5</v>
      </c>
      <c r="E2096" s="28" t="s">
        <v>14</v>
      </c>
      <c r="F2096" s="7" t="s">
        <v>14</v>
      </c>
      <c r="G2096" s="27" t="s">
        <v>14</v>
      </c>
      <c r="H2096" s="27" t="s">
        <v>14</v>
      </c>
    </row>
    <row r="2097" spans="2:8" x14ac:dyDescent="0.3">
      <c r="B2097" s="9">
        <v>43271</v>
      </c>
      <c r="C2097" s="29" t="str">
        <f t="shared" si="32"/>
        <v/>
      </c>
      <c r="D2097" s="8">
        <v>0.5</v>
      </c>
      <c r="E2097" s="28" t="s">
        <v>14</v>
      </c>
      <c r="F2097" s="7" t="s">
        <v>14</v>
      </c>
      <c r="G2097" s="27" t="s">
        <v>14</v>
      </c>
      <c r="H2097" s="27" t="s">
        <v>14</v>
      </c>
    </row>
    <row r="2098" spans="2:8" x14ac:dyDescent="0.3">
      <c r="B2098" s="11">
        <v>43272</v>
      </c>
      <c r="C2098" s="29" t="str">
        <f t="shared" si="32"/>
        <v/>
      </c>
      <c r="D2098" s="8">
        <v>0.5</v>
      </c>
      <c r="E2098" s="28" t="s">
        <v>14</v>
      </c>
      <c r="F2098" s="7" t="s">
        <v>14</v>
      </c>
      <c r="G2098" s="27" t="s">
        <v>14</v>
      </c>
      <c r="H2098" s="27" t="s">
        <v>14</v>
      </c>
    </row>
    <row r="2099" spans="2:8" x14ac:dyDescent="0.3">
      <c r="B2099" s="9">
        <v>43273</v>
      </c>
      <c r="C2099" s="29" t="str">
        <f t="shared" si="32"/>
        <v/>
      </c>
      <c r="D2099" s="8">
        <v>0.5</v>
      </c>
      <c r="E2099" s="28" t="s">
        <v>14</v>
      </c>
      <c r="F2099" s="7" t="s">
        <v>14</v>
      </c>
      <c r="G2099" s="27" t="s">
        <v>14</v>
      </c>
      <c r="H2099" s="27" t="s">
        <v>14</v>
      </c>
    </row>
    <row r="2100" spans="2:8" x14ac:dyDescent="0.3">
      <c r="B2100" s="11">
        <v>43276</v>
      </c>
      <c r="C2100" s="29" t="str">
        <f t="shared" si="32"/>
        <v/>
      </c>
      <c r="D2100" s="8">
        <v>0.5</v>
      </c>
      <c r="E2100" s="28" t="s">
        <v>14</v>
      </c>
      <c r="F2100" s="7" t="s">
        <v>14</v>
      </c>
      <c r="G2100" s="27" t="s">
        <v>14</v>
      </c>
      <c r="H2100" s="27" t="s">
        <v>14</v>
      </c>
    </row>
    <row r="2101" spans="2:8" x14ac:dyDescent="0.3">
      <c r="B2101" s="9">
        <v>43277</v>
      </c>
      <c r="C2101" s="29" t="str">
        <f t="shared" si="32"/>
        <v/>
      </c>
      <c r="D2101" s="8">
        <v>0.5</v>
      </c>
      <c r="E2101" s="28" t="s">
        <v>14</v>
      </c>
      <c r="F2101" s="7" t="s">
        <v>14</v>
      </c>
      <c r="G2101" s="27" t="s">
        <v>14</v>
      </c>
      <c r="H2101" s="27" t="s">
        <v>14</v>
      </c>
    </row>
    <row r="2102" spans="2:8" x14ac:dyDescent="0.3">
      <c r="B2102" s="11">
        <v>43278</v>
      </c>
      <c r="C2102" s="29" t="str">
        <f t="shared" si="32"/>
        <v/>
      </c>
      <c r="D2102" s="8">
        <v>0.5</v>
      </c>
      <c r="E2102" s="28" t="s">
        <v>14</v>
      </c>
      <c r="F2102" s="7" t="s">
        <v>14</v>
      </c>
      <c r="G2102" s="27" t="s">
        <v>14</v>
      </c>
      <c r="H2102" s="27" t="s">
        <v>14</v>
      </c>
    </row>
    <row r="2103" spans="2:8" x14ac:dyDescent="0.3">
      <c r="B2103" s="9">
        <v>43279</v>
      </c>
      <c r="C2103" s="29" t="str">
        <f t="shared" si="32"/>
        <v/>
      </c>
      <c r="D2103" s="8">
        <v>0.5</v>
      </c>
      <c r="E2103" s="28" t="s">
        <v>14</v>
      </c>
      <c r="F2103" s="7" t="s">
        <v>14</v>
      </c>
      <c r="G2103" s="27" t="s">
        <v>14</v>
      </c>
      <c r="H2103" s="27" t="s">
        <v>14</v>
      </c>
    </row>
    <row r="2104" spans="2:8" x14ac:dyDescent="0.3">
      <c r="B2104" s="11">
        <v>43280</v>
      </c>
      <c r="C2104" s="29">
        <f t="shared" si="32"/>
        <v>0</v>
      </c>
      <c r="D2104" s="8">
        <v>0.5</v>
      </c>
      <c r="E2104" s="28">
        <v>0.5</v>
      </c>
      <c r="F2104" s="7">
        <v>0.5</v>
      </c>
      <c r="G2104" s="27">
        <v>0.5</v>
      </c>
    </row>
    <row r="2105" spans="2:8" x14ac:dyDescent="0.3">
      <c r="B2105" s="9">
        <v>43283</v>
      </c>
      <c r="C2105" s="29" t="str">
        <f t="shared" si="32"/>
        <v/>
      </c>
      <c r="D2105" s="8">
        <v>0.5</v>
      </c>
      <c r="E2105" s="28" t="s">
        <v>14</v>
      </c>
      <c r="F2105" s="7" t="s">
        <v>14</v>
      </c>
      <c r="G2105" s="27" t="s">
        <v>14</v>
      </c>
      <c r="H2105" s="27" t="s">
        <v>14</v>
      </c>
    </row>
    <row r="2106" spans="2:8" x14ac:dyDescent="0.3">
      <c r="B2106" s="11">
        <v>43284</v>
      </c>
      <c r="C2106" s="29" t="str">
        <f t="shared" si="32"/>
        <v/>
      </c>
      <c r="D2106" s="8">
        <v>0.5</v>
      </c>
      <c r="E2106" s="28" t="s">
        <v>14</v>
      </c>
      <c r="F2106" s="7" t="s">
        <v>14</v>
      </c>
      <c r="G2106" s="27" t="s">
        <v>14</v>
      </c>
      <c r="H2106" s="27" t="s">
        <v>14</v>
      </c>
    </row>
    <row r="2107" spans="2:8" x14ac:dyDescent="0.3">
      <c r="B2107" s="9">
        <v>43285</v>
      </c>
      <c r="C2107" s="29" t="str">
        <f t="shared" si="32"/>
        <v/>
      </c>
      <c r="D2107" s="8">
        <v>0.5</v>
      </c>
      <c r="E2107" s="28" t="s">
        <v>14</v>
      </c>
      <c r="F2107" s="7" t="s">
        <v>14</v>
      </c>
      <c r="G2107" s="27" t="s">
        <v>14</v>
      </c>
      <c r="H2107" s="27" t="s">
        <v>14</v>
      </c>
    </row>
    <row r="2108" spans="2:8" x14ac:dyDescent="0.3">
      <c r="B2108" s="11">
        <v>43286</v>
      </c>
      <c r="C2108" s="29" t="str">
        <f t="shared" si="32"/>
        <v/>
      </c>
      <c r="D2108" s="8">
        <v>0.5</v>
      </c>
      <c r="E2108" s="28" t="s">
        <v>14</v>
      </c>
      <c r="F2108" s="7" t="s">
        <v>14</v>
      </c>
      <c r="G2108" s="27" t="s">
        <v>14</v>
      </c>
      <c r="H2108" s="27" t="s">
        <v>14</v>
      </c>
    </row>
    <row r="2109" spans="2:8" x14ac:dyDescent="0.3">
      <c r="B2109" s="9">
        <v>43287</v>
      </c>
      <c r="C2109" s="29" t="str">
        <f t="shared" si="32"/>
        <v/>
      </c>
      <c r="D2109" s="8">
        <v>0.5</v>
      </c>
      <c r="E2109" s="28" t="s">
        <v>14</v>
      </c>
      <c r="F2109" s="7" t="s">
        <v>14</v>
      </c>
      <c r="G2109" s="27" t="s">
        <v>14</v>
      </c>
      <c r="H2109" s="27" t="s">
        <v>14</v>
      </c>
    </row>
    <row r="2110" spans="2:8" x14ac:dyDescent="0.3">
      <c r="B2110" s="11">
        <v>43291</v>
      </c>
      <c r="C2110" s="29" t="str">
        <f t="shared" si="32"/>
        <v/>
      </c>
      <c r="D2110" s="8">
        <v>0.5</v>
      </c>
      <c r="E2110" s="28" t="s">
        <v>14</v>
      </c>
      <c r="F2110" s="7" t="s">
        <v>14</v>
      </c>
      <c r="G2110" s="27" t="s">
        <v>14</v>
      </c>
      <c r="H2110" s="27" t="s">
        <v>14</v>
      </c>
    </row>
    <row r="2111" spans="2:8" x14ac:dyDescent="0.3">
      <c r="B2111" s="9">
        <v>43292</v>
      </c>
      <c r="C2111" s="29" t="str">
        <f t="shared" si="32"/>
        <v/>
      </c>
      <c r="D2111" s="8">
        <v>0.5</v>
      </c>
      <c r="E2111" s="28" t="s">
        <v>14</v>
      </c>
      <c r="F2111" s="7" t="s">
        <v>14</v>
      </c>
      <c r="G2111" s="27" t="s">
        <v>14</v>
      </c>
      <c r="H2111" s="27" t="s">
        <v>14</v>
      </c>
    </row>
    <row r="2112" spans="2:8" x14ac:dyDescent="0.3">
      <c r="B2112" s="11">
        <v>43293</v>
      </c>
      <c r="C2112" s="29" t="str">
        <f t="shared" si="32"/>
        <v/>
      </c>
      <c r="D2112" s="8">
        <v>0.5</v>
      </c>
      <c r="E2112" s="28" t="s">
        <v>14</v>
      </c>
      <c r="F2112" s="7" t="s">
        <v>14</v>
      </c>
      <c r="G2112" s="27" t="s">
        <v>14</v>
      </c>
      <c r="H2112" s="27" t="s">
        <v>14</v>
      </c>
    </row>
    <row r="2113" spans="2:8" x14ac:dyDescent="0.3">
      <c r="B2113" s="9">
        <v>43294</v>
      </c>
      <c r="C2113" s="29" t="str">
        <f t="shared" si="32"/>
        <v/>
      </c>
      <c r="D2113" s="8">
        <v>0.5</v>
      </c>
      <c r="E2113" s="28" t="s">
        <v>14</v>
      </c>
      <c r="F2113" s="7" t="s">
        <v>14</v>
      </c>
      <c r="G2113" s="27" t="s">
        <v>14</v>
      </c>
      <c r="H2113" s="27" t="s">
        <v>14</v>
      </c>
    </row>
    <row r="2114" spans="2:8" x14ac:dyDescent="0.3">
      <c r="B2114" s="11">
        <v>43297</v>
      </c>
      <c r="C2114" s="29" t="str">
        <f t="shared" si="32"/>
        <v/>
      </c>
      <c r="D2114" s="8">
        <v>0.5</v>
      </c>
      <c r="E2114" s="28" t="s">
        <v>14</v>
      </c>
      <c r="F2114" s="7" t="s">
        <v>14</v>
      </c>
      <c r="G2114" s="27" t="s">
        <v>14</v>
      </c>
      <c r="H2114" s="27" t="s">
        <v>14</v>
      </c>
    </row>
    <row r="2115" spans="2:8" x14ac:dyDescent="0.3">
      <c r="B2115" s="9">
        <v>43298</v>
      </c>
      <c r="C2115" s="29" t="str">
        <f t="shared" ref="C2115:C2178" si="33">INDEX(D2115:H2115,MATCH($A$1,$D$1:$H$1,0))</f>
        <v/>
      </c>
      <c r="D2115" s="8">
        <v>0.5</v>
      </c>
      <c r="E2115" s="28" t="s">
        <v>14</v>
      </c>
      <c r="F2115" s="7" t="s">
        <v>14</v>
      </c>
      <c r="G2115" s="27" t="s">
        <v>14</v>
      </c>
      <c r="H2115" s="27" t="s">
        <v>14</v>
      </c>
    </row>
    <row r="2116" spans="2:8" x14ac:dyDescent="0.3">
      <c r="B2116" s="11">
        <v>43299</v>
      </c>
      <c r="C2116" s="29" t="str">
        <f t="shared" si="33"/>
        <v/>
      </c>
      <c r="D2116" s="8">
        <v>0.5</v>
      </c>
      <c r="E2116" s="28" t="s">
        <v>14</v>
      </c>
      <c r="F2116" s="7" t="s">
        <v>14</v>
      </c>
      <c r="G2116" s="27" t="s">
        <v>14</v>
      </c>
      <c r="H2116" s="27" t="s">
        <v>14</v>
      </c>
    </row>
    <row r="2117" spans="2:8" x14ac:dyDescent="0.3">
      <c r="B2117" s="9">
        <v>43300</v>
      </c>
      <c r="C2117" s="29" t="str">
        <f t="shared" si="33"/>
        <v/>
      </c>
      <c r="D2117" s="8">
        <v>0.5</v>
      </c>
      <c r="E2117" s="28" t="s">
        <v>14</v>
      </c>
      <c r="F2117" s="7" t="s">
        <v>14</v>
      </c>
      <c r="G2117" s="27" t="s">
        <v>14</v>
      </c>
      <c r="H2117" s="27" t="s">
        <v>14</v>
      </c>
    </row>
    <row r="2118" spans="2:8" x14ac:dyDescent="0.3">
      <c r="B2118" s="11">
        <v>43301</v>
      </c>
      <c r="C2118" s="29" t="str">
        <f t="shared" si="33"/>
        <v/>
      </c>
      <c r="D2118" s="8">
        <v>0.5</v>
      </c>
      <c r="E2118" s="28" t="s">
        <v>14</v>
      </c>
      <c r="F2118" s="7" t="s">
        <v>14</v>
      </c>
      <c r="G2118" s="27" t="s">
        <v>14</v>
      </c>
      <c r="H2118" s="27" t="s">
        <v>14</v>
      </c>
    </row>
    <row r="2119" spans="2:8" x14ac:dyDescent="0.3">
      <c r="B2119" s="9">
        <v>43304</v>
      </c>
      <c r="C2119" s="29" t="str">
        <f t="shared" si="33"/>
        <v/>
      </c>
      <c r="D2119" s="8">
        <v>0.5</v>
      </c>
      <c r="E2119" s="28" t="s">
        <v>14</v>
      </c>
      <c r="F2119" s="7" t="s">
        <v>14</v>
      </c>
      <c r="G2119" s="27" t="s">
        <v>14</v>
      </c>
      <c r="H2119" s="27" t="s">
        <v>14</v>
      </c>
    </row>
    <row r="2120" spans="2:8" x14ac:dyDescent="0.3">
      <c r="B2120" s="11">
        <v>43305</v>
      </c>
      <c r="C2120" s="29" t="str">
        <f t="shared" si="33"/>
        <v/>
      </c>
      <c r="D2120" s="8">
        <v>0.5</v>
      </c>
      <c r="E2120" s="28" t="s">
        <v>14</v>
      </c>
      <c r="F2120" s="7" t="s">
        <v>14</v>
      </c>
      <c r="G2120" s="27" t="s">
        <v>14</v>
      </c>
      <c r="H2120" s="27" t="s">
        <v>14</v>
      </c>
    </row>
    <row r="2121" spans="2:8" x14ac:dyDescent="0.3">
      <c r="B2121" s="9">
        <v>43306</v>
      </c>
      <c r="C2121" s="29" t="str">
        <f t="shared" si="33"/>
        <v/>
      </c>
      <c r="D2121" s="8">
        <v>0.5</v>
      </c>
      <c r="E2121" s="28" t="s">
        <v>14</v>
      </c>
      <c r="F2121" s="7" t="s">
        <v>14</v>
      </c>
      <c r="G2121" s="27" t="s">
        <v>14</v>
      </c>
      <c r="H2121" s="27" t="s">
        <v>14</v>
      </c>
    </row>
    <row r="2122" spans="2:8" x14ac:dyDescent="0.3">
      <c r="B2122" s="11">
        <v>43307</v>
      </c>
      <c r="C2122" s="29" t="str">
        <f t="shared" si="33"/>
        <v/>
      </c>
      <c r="D2122" s="8">
        <v>0.5</v>
      </c>
      <c r="E2122" s="28" t="s">
        <v>14</v>
      </c>
      <c r="F2122" s="7" t="s">
        <v>14</v>
      </c>
      <c r="G2122" s="27" t="s">
        <v>14</v>
      </c>
      <c r="H2122" s="27" t="s">
        <v>14</v>
      </c>
    </row>
    <row r="2123" spans="2:8" x14ac:dyDescent="0.3">
      <c r="B2123" s="9">
        <v>43308</v>
      </c>
      <c r="C2123" s="29" t="str">
        <f t="shared" si="33"/>
        <v/>
      </c>
      <c r="D2123" s="8">
        <v>0.5</v>
      </c>
      <c r="E2123" s="28" t="s">
        <v>14</v>
      </c>
      <c r="F2123" s="7" t="s">
        <v>14</v>
      </c>
      <c r="G2123" s="27" t="s">
        <v>14</v>
      </c>
      <c r="H2123" s="27" t="s">
        <v>14</v>
      </c>
    </row>
    <row r="2124" spans="2:8" x14ac:dyDescent="0.3">
      <c r="B2124" s="11">
        <v>43311</v>
      </c>
      <c r="C2124" s="29" t="str">
        <f t="shared" si="33"/>
        <v/>
      </c>
      <c r="D2124" s="8">
        <v>0.5</v>
      </c>
      <c r="E2124" s="28" t="s">
        <v>14</v>
      </c>
      <c r="F2124" s="7" t="s">
        <v>14</v>
      </c>
      <c r="G2124" s="27" t="s">
        <v>14</v>
      </c>
      <c r="H2124" s="27" t="s">
        <v>14</v>
      </c>
    </row>
    <row r="2125" spans="2:8" x14ac:dyDescent="0.3">
      <c r="B2125" s="9">
        <v>43312</v>
      </c>
      <c r="C2125" s="29" t="str">
        <f t="shared" si="33"/>
        <v/>
      </c>
      <c r="D2125" s="8">
        <v>0.5</v>
      </c>
      <c r="E2125" s="28">
        <v>0.5</v>
      </c>
      <c r="F2125" s="7" t="s">
        <v>14</v>
      </c>
      <c r="G2125" s="27" t="s">
        <v>14</v>
      </c>
      <c r="H2125" s="27" t="s">
        <v>14</v>
      </c>
    </row>
    <row r="2126" spans="2:8" x14ac:dyDescent="0.3">
      <c r="B2126" s="11">
        <v>43313</v>
      </c>
      <c r="C2126" s="29" t="str">
        <f t="shared" si="33"/>
        <v/>
      </c>
      <c r="D2126" s="8">
        <v>0.5</v>
      </c>
      <c r="E2126" s="28" t="s">
        <v>14</v>
      </c>
      <c r="F2126" s="7" t="s">
        <v>14</v>
      </c>
      <c r="G2126" s="27" t="s">
        <v>14</v>
      </c>
      <c r="H2126" s="27" t="s">
        <v>14</v>
      </c>
    </row>
    <row r="2127" spans="2:8" x14ac:dyDescent="0.3">
      <c r="B2127" s="9">
        <v>43314</v>
      </c>
      <c r="C2127" s="29" t="str">
        <f t="shared" si="33"/>
        <v/>
      </c>
      <c r="D2127" s="8">
        <v>0.5</v>
      </c>
      <c r="E2127" s="28" t="s">
        <v>14</v>
      </c>
      <c r="F2127" s="7" t="s">
        <v>14</v>
      </c>
      <c r="G2127" s="27" t="s">
        <v>14</v>
      </c>
      <c r="H2127" s="27" t="s">
        <v>14</v>
      </c>
    </row>
    <row r="2128" spans="2:8" x14ac:dyDescent="0.3">
      <c r="B2128" s="11">
        <v>43315</v>
      </c>
      <c r="C2128" s="29" t="str">
        <f t="shared" si="33"/>
        <v/>
      </c>
      <c r="D2128" s="8">
        <v>0.5</v>
      </c>
      <c r="E2128" s="28" t="s">
        <v>14</v>
      </c>
      <c r="F2128" s="7" t="s">
        <v>14</v>
      </c>
      <c r="G2128" s="27" t="s">
        <v>14</v>
      </c>
      <c r="H2128" s="27" t="s">
        <v>14</v>
      </c>
    </row>
    <row r="2129" spans="2:8" x14ac:dyDescent="0.3">
      <c r="B2129" s="9">
        <v>43318</v>
      </c>
      <c r="C2129" s="29" t="str">
        <f t="shared" si="33"/>
        <v/>
      </c>
      <c r="D2129" s="8">
        <v>0.5</v>
      </c>
      <c r="E2129" s="28" t="s">
        <v>14</v>
      </c>
      <c r="F2129" s="7" t="s">
        <v>14</v>
      </c>
      <c r="G2129" s="27" t="s">
        <v>14</v>
      </c>
      <c r="H2129" s="27" t="s">
        <v>14</v>
      </c>
    </row>
    <row r="2130" spans="2:8" x14ac:dyDescent="0.3">
      <c r="B2130" s="11">
        <v>43319</v>
      </c>
      <c r="C2130" s="29" t="str">
        <f t="shared" si="33"/>
        <v/>
      </c>
      <c r="D2130" s="8">
        <v>0.5</v>
      </c>
      <c r="E2130" s="28" t="s">
        <v>14</v>
      </c>
      <c r="F2130" s="7" t="s">
        <v>14</v>
      </c>
      <c r="G2130" s="27" t="s">
        <v>14</v>
      </c>
      <c r="H2130" s="27" t="s">
        <v>14</v>
      </c>
    </row>
    <row r="2131" spans="2:8" x14ac:dyDescent="0.3">
      <c r="B2131" s="9">
        <v>43320</v>
      </c>
      <c r="C2131" s="29" t="str">
        <f t="shared" si="33"/>
        <v/>
      </c>
      <c r="D2131" s="8">
        <v>0.5</v>
      </c>
      <c r="E2131" s="28" t="s">
        <v>14</v>
      </c>
      <c r="F2131" s="7" t="s">
        <v>14</v>
      </c>
      <c r="G2131" s="27" t="s">
        <v>14</v>
      </c>
      <c r="H2131" s="27" t="s">
        <v>14</v>
      </c>
    </row>
    <row r="2132" spans="2:8" x14ac:dyDescent="0.3">
      <c r="B2132" s="11">
        <v>43321</v>
      </c>
      <c r="C2132" s="29" t="str">
        <f t="shared" si="33"/>
        <v/>
      </c>
      <c r="D2132" s="8">
        <v>0.5</v>
      </c>
      <c r="E2132" s="28" t="s">
        <v>14</v>
      </c>
      <c r="F2132" s="7" t="s">
        <v>14</v>
      </c>
      <c r="G2132" s="27" t="s">
        <v>14</v>
      </c>
      <c r="H2132" s="27" t="s">
        <v>14</v>
      </c>
    </row>
    <row r="2133" spans="2:8" x14ac:dyDescent="0.3">
      <c r="B2133" s="9">
        <v>43322</v>
      </c>
      <c r="C2133" s="29" t="str">
        <f t="shared" si="33"/>
        <v/>
      </c>
      <c r="D2133" s="8">
        <v>0.5</v>
      </c>
      <c r="E2133" s="28" t="s">
        <v>14</v>
      </c>
      <c r="F2133" s="7" t="s">
        <v>14</v>
      </c>
      <c r="G2133" s="27" t="s">
        <v>14</v>
      </c>
      <c r="H2133" s="27" t="s">
        <v>14</v>
      </c>
    </row>
    <row r="2134" spans="2:8" x14ac:dyDescent="0.3">
      <c r="B2134" s="11">
        <v>43325</v>
      </c>
      <c r="C2134" s="29" t="str">
        <f t="shared" si="33"/>
        <v/>
      </c>
      <c r="D2134" s="8">
        <v>0.5</v>
      </c>
      <c r="E2134" s="28" t="s">
        <v>14</v>
      </c>
      <c r="F2134" s="7" t="s">
        <v>14</v>
      </c>
      <c r="G2134" s="27" t="s">
        <v>14</v>
      </c>
      <c r="H2134" s="27" t="s">
        <v>14</v>
      </c>
    </row>
    <row r="2135" spans="2:8" x14ac:dyDescent="0.3">
      <c r="B2135" s="9">
        <v>43326</v>
      </c>
      <c r="C2135" s="29" t="str">
        <f t="shared" si="33"/>
        <v/>
      </c>
      <c r="D2135" s="8">
        <v>0.5</v>
      </c>
      <c r="E2135" s="28" t="s">
        <v>14</v>
      </c>
      <c r="F2135" s="7" t="s">
        <v>14</v>
      </c>
      <c r="G2135" s="27" t="s">
        <v>14</v>
      </c>
      <c r="H2135" s="27" t="s">
        <v>14</v>
      </c>
    </row>
    <row r="2136" spans="2:8" x14ac:dyDescent="0.3">
      <c r="B2136" s="11">
        <v>43327</v>
      </c>
      <c r="C2136" s="29" t="str">
        <f t="shared" si="33"/>
        <v/>
      </c>
      <c r="D2136" s="8">
        <v>0.5</v>
      </c>
      <c r="E2136" s="28" t="s">
        <v>14</v>
      </c>
      <c r="F2136" s="7" t="s">
        <v>14</v>
      </c>
      <c r="G2136" s="27" t="s">
        <v>14</v>
      </c>
      <c r="H2136" s="27" t="s">
        <v>14</v>
      </c>
    </row>
    <row r="2137" spans="2:8" x14ac:dyDescent="0.3">
      <c r="B2137" s="9">
        <v>43328</v>
      </c>
      <c r="C2137" s="29" t="str">
        <f t="shared" si="33"/>
        <v/>
      </c>
      <c r="D2137" s="8">
        <v>0.5</v>
      </c>
      <c r="E2137" s="28" t="s">
        <v>14</v>
      </c>
      <c r="F2137" s="7" t="s">
        <v>14</v>
      </c>
      <c r="G2137" s="27" t="s">
        <v>14</v>
      </c>
      <c r="H2137" s="27" t="s">
        <v>14</v>
      </c>
    </row>
    <row r="2138" spans="2:8" x14ac:dyDescent="0.3">
      <c r="B2138" s="11">
        <v>43329</v>
      </c>
      <c r="C2138" s="29" t="str">
        <f t="shared" si="33"/>
        <v/>
      </c>
      <c r="D2138" s="8">
        <v>0.5</v>
      </c>
      <c r="E2138" s="28" t="s">
        <v>14</v>
      </c>
      <c r="F2138" s="7" t="s">
        <v>14</v>
      </c>
      <c r="G2138" s="27" t="s">
        <v>14</v>
      </c>
      <c r="H2138" s="27" t="s">
        <v>14</v>
      </c>
    </row>
    <row r="2139" spans="2:8" x14ac:dyDescent="0.3">
      <c r="B2139" s="9">
        <v>43332</v>
      </c>
      <c r="C2139" s="29" t="str">
        <f t="shared" si="33"/>
        <v/>
      </c>
      <c r="D2139" s="8">
        <v>0.5</v>
      </c>
      <c r="E2139" s="28" t="s">
        <v>14</v>
      </c>
      <c r="F2139" s="7" t="s">
        <v>14</v>
      </c>
      <c r="G2139" s="27" t="s">
        <v>14</v>
      </c>
      <c r="H2139" s="27" t="s">
        <v>14</v>
      </c>
    </row>
    <row r="2140" spans="2:8" x14ac:dyDescent="0.3">
      <c r="B2140" s="11">
        <v>43333</v>
      </c>
      <c r="C2140" s="29" t="str">
        <f t="shared" si="33"/>
        <v/>
      </c>
      <c r="D2140" s="8">
        <v>0.5</v>
      </c>
      <c r="E2140" s="28" t="s">
        <v>14</v>
      </c>
      <c r="F2140" s="7" t="s">
        <v>14</v>
      </c>
      <c r="G2140" s="27" t="s">
        <v>14</v>
      </c>
      <c r="H2140" s="27" t="s">
        <v>14</v>
      </c>
    </row>
    <row r="2141" spans="2:8" x14ac:dyDescent="0.3">
      <c r="B2141" s="9">
        <v>43334</v>
      </c>
      <c r="C2141" s="29" t="str">
        <f t="shared" si="33"/>
        <v/>
      </c>
      <c r="D2141" s="8">
        <v>0.5</v>
      </c>
      <c r="E2141" s="28" t="s">
        <v>14</v>
      </c>
      <c r="F2141" s="7" t="s">
        <v>14</v>
      </c>
      <c r="G2141" s="27" t="s">
        <v>14</v>
      </c>
      <c r="H2141" s="27" t="s">
        <v>14</v>
      </c>
    </row>
    <row r="2142" spans="2:8" x14ac:dyDescent="0.3">
      <c r="B2142" s="11">
        <v>43335</v>
      </c>
      <c r="C2142" s="29" t="str">
        <f t="shared" si="33"/>
        <v/>
      </c>
      <c r="D2142" s="8">
        <v>0.5</v>
      </c>
      <c r="E2142" s="28" t="s">
        <v>14</v>
      </c>
      <c r="F2142" s="7" t="s">
        <v>14</v>
      </c>
      <c r="G2142" s="27" t="s">
        <v>14</v>
      </c>
      <c r="H2142" s="27" t="s">
        <v>14</v>
      </c>
    </row>
    <row r="2143" spans="2:8" x14ac:dyDescent="0.3">
      <c r="B2143" s="9">
        <v>43336</v>
      </c>
      <c r="C2143" s="29" t="str">
        <f t="shared" si="33"/>
        <v/>
      </c>
      <c r="D2143" s="8">
        <v>0.5</v>
      </c>
      <c r="E2143" s="28" t="s">
        <v>14</v>
      </c>
      <c r="F2143" s="7" t="s">
        <v>14</v>
      </c>
      <c r="G2143" s="27" t="s">
        <v>14</v>
      </c>
      <c r="H2143" s="27" t="s">
        <v>14</v>
      </c>
    </row>
    <row r="2144" spans="2:8" x14ac:dyDescent="0.3">
      <c r="B2144" s="11">
        <v>43339</v>
      </c>
      <c r="C2144" s="29" t="str">
        <f t="shared" si="33"/>
        <v/>
      </c>
      <c r="D2144" s="8">
        <v>0.5</v>
      </c>
      <c r="E2144" s="28" t="s">
        <v>14</v>
      </c>
      <c r="F2144" s="7" t="s">
        <v>14</v>
      </c>
      <c r="G2144" s="27" t="s">
        <v>14</v>
      </c>
      <c r="H2144" s="27" t="s">
        <v>14</v>
      </c>
    </row>
    <row r="2145" spans="2:8" x14ac:dyDescent="0.3">
      <c r="B2145" s="9">
        <v>43340</v>
      </c>
      <c r="C2145" s="29" t="str">
        <f t="shared" si="33"/>
        <v/>
      </c>
      <c r="D2145" s="8">
        <v>0.5</v>
      </c>
      <c r="E2145" s="28" t="s">
        <v>14</v>
      </c>
      <c r="F2145" s="7" t="s">
        <v>14</v>
      </c>
      <c r="G2145" s="27" t="s">
        <v>14</v>
      </c>
      <c r="H2145" s="27" t="s">
        <v>14</v>
      </c>
    </row>
    <row r="2146" spans="2:8" x14ac:dyDescent="0.3">
      <c r="B2146" s="11">
        <v>43341</v>
      </c>
      <c r="C2146" s="29" t="str">
        <f t="shared" si="33"/>
        <v/>
      </c>
      <c r="D2146" s="8">
        <v>0.5</v>
      </c>
      <c r="E2146" s="28" t="s">
        <v>14</v>
      </c>
      <c r="F2146" s="7" t="s">
        <v>14</v>
      </c>
      <c r="G2146" s="27" t="s">
        <v>14</v>
      </c>
      <c r="H2146" s="27" t="s">
        <v>14</v>
      </c>
    </row>
    <row r="2147" spans="2:8" x14ac:dyDescent="0.3">
      <c r="B2147" s="9">
        <v>43342</v>
      </c>
      <c r="C2147" s="29" t="str">
        <f t="shared" si="33"/>
        <v/>
      </c>
      <c r="D2147" s="8">
        <v>0.5</v>
      </c>
      <c r="E2147" s="28" t="s">
        <v>14</v>
      </c>
      <c r="F2147" s="7" t="s">
        <v>14</v>
      </c>
      <c r="G2147" s="27" t="s">
        <v>14</v>
      </c>
      <c r="H2147" s="27" t="s">
        <v>14</v>
      </c>
    </row>
    <row r="2148" spans="2:8" x14ac:dyDescent="0.3">
      <c r="B2148" s="11">
        <v>43343</v>
      </c>
      <c r="C2148" s="29" t="str">
        <f t="shared" si="33"/>
        <v/>
      </c>
      <c r="D2148" s="8">
        <v>0.5</v>
      </c>
      <c r="E2148" s="28">
        <v>0.5</v>
      </c>
      <c r="F2148" s="7" t="s">
        <v>14</v>
      </c>
      <c r="G2148" s="27" t="s">
        <v>14</v>
      </c>
      <c r="H2148" s="27" t="s">
        <v>14</v>
      </c>
    </row>
    <row r="2149" spans="2:8" x14ac:dyDescent="0.3">
      <c r="B2149" s="9">
        <v>43346</v>
      </c>
      <c r="C2149" s="29" t="str">
        <f t="shared" si="33"/>
        <v/>
      </c>
      <c r="D2149" s="8">
        <v>0.5</v>
      </c>
      <c r="E2149" s="28" t="s">
        <v>14</v>
      </c>
      <c r="F2149" s="7" t="s">
        <v>14</v>
      </c>
      <c r="G2149" s="27" t="s">
        <v>14</v>
      </c>
      <c r="H2149" s="27" t="s">
        <v>14</v>
      </c>
    </row>
    <row r="2150" spans="2:8" x14ac:dyDescent="0.3">
      <c r="B2150" s="11">
        <v>43347</v>
      </c>
      <c r="C2150" s="29" t="str">
        <f t="shared" si="33"/>
        <v/>
      </c>
      <c r="D2150" s="8">
        <v>0.5</v>
      </c>
      <c r="E2150" s="28" t="s">
        <v>14</v>
      </c>
      <c r="F2150" s="7" t="s">
        <v>14</v>
      </c>
      <c r="G2150" s="27" t="s">
        <v>14</v>
      </c>
      <c r="H2150" s="27" t="s">
        <v>14</v>
      </c>
    </row>
    <row r="2151" spans="2:8" x14ac:dyDescent="0.3">
      <c r="B2151" s="9">
        <v>43348</v>
      </c>
      <c r="C2151" s="29" t="str">
        <f t="shared" si="33"/>
        <v/>
      </c>
      <c r="D2151" s="8">
        <v>0.5</v>
      </c>
      <c r="E2151" s="28" t="s">
        <v>14</v>
      </c>
      <c r="F2151" s="7" t="s">
        <v>14</v>
      </c>
      <c r="G2151" s="27" t="s">
        <v>14</v>
      </c>
      <c r="H2151" s="27" t="s">
        <v>14</v>
      </c>
    </row>
    <row r="2152" spans="2:8" x14ac:dyDescent="0.3">
      <c r="B2152" s="11">
        <v>43349</v>
      </c>
      <c r="C2152" s="29" t="str">
        <f t="shared" si="33"/>
        <v/>
      </c>
      <c r="D2152" s="8">
        <v>0.5</v>
      </c>
      <c r="E2152" s="28" t="s">
        <v>14</v>
      </c>
      <c r="F2152" s="7" t="s">
        <v>14</v>
      </c>
      <c r="G2152" s="27" t="s">
        <v>14</v>
      </c>
      <c r="H2152" s="27" t="s">
        <v>14</v>
      </c>
    </row>
    <row r="2153" spans="2:8" x14ac:dyDescent="0.3">
      <c r="B2153" s="9">
        <v>43353</v>
      </c>
      <c r="C2153" s="29" t="str">
        <f t="shared" si="33"/>
        <v/>
      </c>
      <c r="D2153" s="8">
        <v>0.5</v>
      </c>
      <c r="E2153" s="28" t="s">
        <v>14</v>
      </c>
      <c r="F2153" s="7" t="s">
        <v>14</v>
      </c>
      <c r="G2153" s="27" t="s">
        <v>14</v>
      </c>
      <c r="H2153" s="27" t="s">
        <v>14</v>
      </c>
    </row>
    <row r="2154" spans="2:8" x14ac:dyDescent="0.3">
      <c r="B2154" s="11">
        <v>43354</v>
      </c>
      <c r="C2154" s="29" t="str">
        <f t="shared" si="33"/>
        <v/>
      </c>
      <c r="D2154" s="8">
        <v>0.5</v>
      </c>
      <c r="E2154" s="28" t="s">
        <v>14</v>
      </c>
      <c r="F2154" s="7" t="s">
        <v>14</v>
      </c>
      <c r="G2154" s="27" t="s">
        <v>14</v>
      </c>
      <c r="H2154" s="27" t="s">
        <v>14</v>
      </c>
    </row>
    <row r="2155" spans="2:8" x14ac:dyDescent="0.3">
      <c r="B2155" s="9">
        <v>43355</v>
      </c>
      <c r="C2155" s="29" t="str">
        <f t="shared" si="33"/>
        <v/>
      </c>
      <c r="D2155" s="8">
        <v>0.5</v>
      </c>
      <c r="E2155" s="28" t="s">
        <v>14</v>
      </c>
      <c r="F2155" s="7" t="s">
        <v>14</v>
      </c>
      <c r="G2155" s="27" t="s">
        <v>14</v>
      </c>
      <c r="H2155" s="27" t="s">
        <v>14</v>
      </c>
    </row>
    <row r="2156" spans="2:8" x14ac:dyDescent="0.3">
      <c r="B2156" s="11">
        <v>43356</v>
      </c>
      <c r="C2156" s="29" t="str">
        <f t="shared" si="33"/>
        <v/>
      </c>
      <c r="D2156" s="8">
        <v>0.5</v>
      </c>
      <c r="E2156" s="28" t="s">
        <v>14</v>
      </c>
      <c r="F2156" s="7" t="s">
        <v>14</v>
      </c>
      <c r="G2156" s="27" t="s">
        <v>14</v>
      </c>
      <c r="H2156" s="27" t="s">
        <v>14</v>
      </c>
    </row>
    <row r="2157" spans="2:8" x14ac:dyDescent="0.3">
      <c r="B2157" s="9">
        <v>43357</v>
      </c>
      <c r="C2157" s="29" t="str">
        <f t="shared" si="33"/>
        <v/>
      </c>
      <c r="D2157" s="8">
        <v>0.5</v>
      </c>
      <c r="E2157" s="28" t="s">
        <v>14</v>
      </c>
      <c r="F2157" s="7" t="s">
        <v>14</v>
      </c>
      <c r="G2157" s="27" t="s">
        <v>14</v>
      </c>
      <c r="H2157" s="27" t="s">
        <v>14</v>
      </c>
    </row>
    <row r="2158" spans="2:8" x14ac:dyDescent="0.3">
      <c r="B2158" s="11">
        <v>43360</v>
      </c>
      <c r="C2158" s="29" t="str">
        <f t="shared" si="33"/>
        <v/>
      </c>
      <c r="D2158" s="8">
        <v>0.5</v>
      </c>
      <c r="E2158" s="28" t="s">
        <v>14</v>
      </c>
      <c r="F2158" s="7" t="s">
        <v>14</v>
      </c>
      <c r="G2158" s="27" t="s">
        <v>14</v>
      </c>
      <c r="H2158" s="27" t="s">
        <v>14</v>
      </c>
    </row>
    <row r="2159" spans="2:8" x14ac:dyDescent="0.3">
      <c r="B2159" s="9">
        <v>43361</v>
      </c>
      <c r="C2159" s="29" t="str">
        <f t="shared" si="33"/>
        <v/>
      </c>
      <c r="D2159" s="8">
        <v>0.5</v>
      </c>
      <c r="E2159" s="28" t="s">
        <v>14</v>
      </c>
      <c r="F2159" s="7" t="s">
        <v>14</v>
      </c>
      <c r="G2159" s="27" t="s">
        <v>14</v>
      </c>
      <c r="H2159" s="27" t="s">
        <v>14</v>
      </c>
    </row>
    <row r="2160" spans="2:8" x14ac:dyDescent="0.3">
      <c r="B2160" s="11">
        <v>43362</v>
      </c>
      <c r="C2160" s="29" t="str">
        <f t="shared" si="33"/>
        <v/>
      </c>
      <c r="D2160" s="8">
        <v>0.5</v>
      </c>
      <c r="E2160" s="28" t="s">
        <v>14</v>
      </c>
      <c r="F2160" s="7" t="s">
        <v>14</v>
      </c>
      <c r="G2160" s="27" t="s">
        <v>14</v>
      </c>
      <c r="H2160" s="27" t="s">
        <v>14</v>
      </c>
    </row>
    <row r="2161" spans="2:8" x14ac:dyDescent="0.3">
      <c r="B2161" s="9">
        <v>43363</v>
      </c>
      <c r="C2161" s="29" t="str">
        <f t="shared" si="33"/>
        <v/>
      </c>
      <c r="D2161" s="8">
        <v>0.5</v>
      </c>
      <c r="E2161" s="28" t="s">
        <v>14</v>
      </c>
      <c r="F2161" s="7" t="s">
        <v>14</v>
      </c>
      <c r="G2161" s="27" t="s">
        <v>14</v>
      </c>
      <c r="H2161" s="27" t="s">
        <v>14</v>
      </c>
    </row>
    <row r="2162" spans="2:8" x14ac:dyDescent="0.3">
      <c r="B2162" s="11">
        <v>43364</v>
      </c>
      <c r="C2162" s="29" t="str">
        <f t="shared" si="33"/>
        <v/>
      </c>
      <c r="D2162" s="8">
        <v>0.5</v>
      </c>
      <c r="E2162" s="28" t="s">
        <v>14</v>
      </c>
      <c r="F2162" s="7" t="s">
        <v>14</v>
      </c>
      <c r="G2162" s="27" t="s">
        <v>14</v>
      </c>
      <c r="H2162" s="27" t="s">
        <v>14</v>
      </c>
    </row>
    <row r="2163" spans="2:8" x14ac:dyDescent="0.3">
      <c r="B2163" s="9">
        <v>43367</v>
      </c>
      <c r="C2163" s="29" t="str">
        <f t="shared" si="33"/>
        <v/>
      </c>
      <c r="D2163" s="8">
        <v>0.5</v>
      </c>
      <c r="E2163" s="28" t="s">
        <v>14</v>
      </c>
      <c r="F2163" s="7" t="s">
        <v>14</v>
      </c>
      <c r="G2163" s="27" t="s">
        <v>14</v>
      </c>
      <c r="H2163" s="27" t="s">
        <v>14</v>
      </c>
    </row>
    <row r="2164" spans="2:8" x14ac:dyDescent="0.3">
      <c r="B2164" s="11">
        <v>43368</v>
      </c>
      <c r="C2164" s="29" t="str">
        <f t="shared" si="33"/>
        <v/>
      </c>
      <c r="D2164" s="8">
        <v>0.5</v>
      </c>
      <c r="E2164" s="28" t="s">
        <v>14</v>
      </c>
      <c r="F2164" s="7" t="s">
        <v>14</v>
      </c>
      <c r="G2164" s="27" t="s">
        <v>14</v>
      </c>
      <c r="H2164" s="27" t="s">
        <v>14</v>
      </c>
    </row>
    <row r="2165" spans="2:8" x14ac:dyDescent="0.3">
      <c r="B2165" s="9">
        <v>43369</v>
      </c>
      <c r="C2165" s="29" t="str">
        <f t="shared" si="33"/>
        <v/>
      </c>
      <c r="D2165" s="8">
        <v>0.5</v>
      </c>
      <c r="E2165" s="28" t="s">
        <v>14</v>
      </c>
      <c r="F2165" s="7" t="s">
        <v>14</v>
      </c>
      <c r="G2165" s="27" t="s">
        <v>14</v>
      </c>
      <c r="H2165" s="27" t="s">
        <v>14</v>
      </c>
    </row>
    <row r="2166" spans="2:8" x14ac:dyDescent="0.3">
      <c r="B2166" s="11">
        <v>43370</v>
      </c>
      <c r="C2166" s="29" t="str">
        <f t="shared" si="33"/>
        <v/>
      </c>
      <c r="D2166" s="8">
        <v>0.5</v>
      </c>
      <c r="E2166" s="28" t="s">
        <v>14</v>
      </c>
      <c r="F2166" s="7" t="s">
        <v>14</v>
      </c>
      <c r="G2166" s="27" t="s">
        <v>14</v>
      </c>
      <c r="H2166" s="27" t="s">
        <v>14</v>
      </c>
    </row>
    <row r="2167" spans="2:8" x14ac:dyDescent="0.3">
      <c r="B2167" s="9">
        <v>43371</v>
      </c>
      <c r="C2167" s="29">
        <f t="shared" si="33"/>
        <v>0</v>
      </c>
      <c r="D2167" s="8">
        <v>0.5</v>
      </c>
      <c r="E2167" s="28">
        <v>0.5</v>
      </c>
      <c r="F2167" s="7">
        <v>0.5</v>
      </c>
    </row>
    <row r="2168" spans="2:8" x14ac:dyDescent="0.3">
      <c r="B2168" s="11">
        <v>43374</v>
      </c>
      <c r="C2168" s="29" t="str">
        <f t="shared" si="33"/>
        <v/>
      </c>
      <c r="D2168" s="8">
        <v>0.5</v>
      </c>
      <c r="E2168" s="28" t="s">
        <v>14</v>
      </c>
      <c r="F2168" s="7" t="s">
        <v>14</v>
      </c>
      <c r="G2168" s="27" t="s">
        <v>14</v>
      </c>
      <c r="H2168" s="27" t="s">
        <v>14</v>
      </c>
    </row>
    <row r="2169" spans="2:8" x14ac:dyDescent="0.3">
      <c r="B2169" s="9">
        <v>43375</v>
      </c>
      <c r="C2169" s="29" t="str">
        <f t="shared" si="33"/>
        <v/>
      </c>
      <c r="D2169" s="8">
        <v>0.5</v>
      </c>
      <c r="E2169" s="28" t="s">
        <v>14</v>
      </c>
      <c r="F2169" s="7" t="s">
        <v>14</v>
      </c>
      <c r="G2169" s="27" t="s">
        <v>14</v>
      </c>
      <c r="H2169" s="27" t="s">
        <v>14</v>
      </c>
    </row>
    <row r="2170" spans="2:8" x14ac:dyDescent="0.3">
      <c r="B2170" s="11">
        <v>43376</v>
      </c>
      <c r="C2170" s="29" t="str">
        <f t="shared" si="33"/>
        <v/>
      </c>
      <c r="D2170" s="8">
        <v>0.5</v>
      </c>
      <c r="E2170" s="28" t="s">
        <v>14</v>
      </c>
      <c r="F2170" s="7" t="s">
        <v>14</v>
      </c>
      <c r="G2170" s="27" t="s">
        <v>14</v>
      </c>
      <c r="H2170" s="27" t="s">
        <v>14</v>
      </c>
    </row>
    <row r="2171" spans="2:8" x14ac:dyDescent="0.3">
      <c r="B2171" s="9">
        <v>43377</v>
      </c>
      <c r="C2171" s="29" t="str">
        <f t="shared" si="33"/>
        <v/>
      </c>
      <c r="D2171" s="8">
        <v>0.5</v>
      </c>
      <c r="E2171" s="28" t="s">
        <v>14</v>
      </c>
      <c r="F2171" s="7" t="s">
        <v>14</v>
      </c>
      <c r="G2171" s="27" t="s">
        <v>14</v>
      </c>
      <c r="H2171" s="27" t="s">
        <v>14</v>
      </c>
    </row>
    <row r="2172" spans="2:8" x14ac:dyDescent="0.3">
      <c r="B2172" s="11">
        <v>43378</v>
      </c>
      <c r="C2172" s="29" t="str">
        <f t="shared" si="33"/>
        <v/>
      </c>
      <c r="D2172" s="8">
        <v>0.5</v>
      </c>
      <c r="E2172" s="28" t="s">
        <v>14</v>
      </c>
      <c r="F2172" s="7" t="s">
        <v>14</v>
      </c>
      <c r="G2172" s="27" t="s">
        <v>14</v>
      </c>
      <c r="H2172" s="27" t="s">
        <v>14</v>
      </c>
    </row>
    <row r="2173" spans="2:8" x14ac:dyDescent="0.3">
      <c r="B2173" s="9">
        <v>43381</v>
      </c>
      <c r="C2173" s="29" t="str">
        <f t="shared" si="33"/>
        <v/>
      </c>
      <c r="D2173" s="8">
        <v>0.5</v>
      </c>
      <c r="E2173" s="28" t="s">
        <v>14</v>
      </c>
      <c r="F2173" s="7" t="s">
        <v>14</v>
      </c>
      <c r="G2173" s="27" t="s">
        <v>14</v>
      </c>
      <c r="H2173" s="27" t="s">
        <v>14</v>
      </c>
    </row>
    <row r="2174" spans="2:8" x14ac:dyDescent="0.3">
      <c r="B2174" s="11">
        <v>43382</v>
      </c>
      <c r="C2174" s="29" t="str">
        <f t="shared" si="33"/>
        <v/>
      </c>
      <c r="D2174" s="8">
        <v>0.5</v>
      </c>
      <c r="E2174" s="28" t="s">
        <v>14</v>
      </c>
      <c r="F2174" s="7" t="s">
        <v>14</v>
      </c>
      <c r="G2174" s="27" t="s">
        <v>14</v>
      </c>
      <c r="H2174" s="27" t="s">
        <v>14</v>
      </c>
    </row>
    <row r="2175" spans="2:8" x14ac:dyDescent="0.3">
      <c r="B2175" s="9">
        <v>43383</v>
      </c>
      <c r="C2175" s="29" t="str">
        <f t="shared" si="33"/>
        <v/>
      </c>
      <c r="D2175" s="8">
        <v>0.5</v>
      </c>
      <c r="E2175" s="28" t="s">
        <v>14</v>
      </c>
      <c r="F2175" s="7" t="s">
        <v>14</v>
      </c>
      <c r="G2175" s="27" t="s">
        <v>14</v>
      </c>
      <c r="H2175" s="27" t="s">
        <v>14</v>
      </c>
    </row>
    <row r="2176" spans="2:8" x14ac:dyDescent="0.3">
      <c r="B2176" s="11">
        <v>43384</v>
      </c>
      <c r="C2176" s="29" t="str">
        <f t="shared" si="33"/>
        <v/>
      </c>
      <c r="D2176" s="8">
        <v>0.5</v>
      </c>
      <c r="E2176" s="28" t="s">
        <v>14</v>
      </c>
      <c r="F2176" s="7" t="s">
        <v>14</v>
      </c>
      <c r="G2176" s="27" t="s">
        <v>14</v>
      </c>
      <c r="H2176" s="27" t="s">
        <v>14</v>
      </c>
    </row>
    <row r="2177" spans="2:8" x14ac:dyDescent="0.3">
      <c r="B2177" s="9">
        <v>43388</v>
      </c>
      <c r="C2177" s="29" t="str">
        <f t="shared" si="33"/>
        <v/>
      </c>
      <c r="D2177" s="8">
        <v>0.5</v>
      </c>
      <c r="E2177" s="28" t="s">
        <v>14</v>
      </c>
      <c r="F2177" s="7" t="s">
        <v>14</v>
      </c>
      <c r="G2177" s="27" t="s">
        <v>14</v>
      </c>
      <c r="H2177" s="27" t="s">
        <v>14</v>
      </c>
    </row>
    <row r="2178" spans="2:8" x14ac:dyDescent="0.3">
      <c r="B2178" s="11">
        <v>43389</v>
      </c>
      <c r="C2178" s="29" t="str">
        <f t="shared" si="33"/>
        <v/>
      </c>
      <c r="D2178" s="8">
        <v>0.5</v>
      </c>
      <c r="E2178" s="28" t="s">
        <v>14</v>
      </c>
      <c r="F2178" s="7" t="s">
        <v>14</v>
      </c>
      <c r="G2178" s="27" t="s">
        <v>14</v>
      </c>
      <c r="H2178" s="27" t="s">
        <v>14</v>
      </c>
    </row>
    <row r="2179" spans="2:8" x14ac:dyDescent="0.3">
      <c r="B2179" s="9">
        <v>43390</v>
      </c>
      <c r="C2179" s="29" t="str">
        <f t="shared" ref="C2179:C2242" si="34">INDEX(D2179:H2179,MATCH($A$1,$D$1:$H$1,0))</f>
        <v/>
      </c>
      <c r="D2179" s="8">
        <v>0.5</v>
      </c>
      <c r="E2179" s="28" t="s">
        <v>14</v>
      </c>
      <c r="F2179" s="7" t="s">
        <v>14</v>
      </c>
      <c r="G2179" s="27" t="s">
        <v>14</v>
      </c>
      <c r="H2179" s="27" t="s">
        <v>14</v>
      </c>
    </row>
    <row r="2180" spans="2:8" x14ac:dyDescent="0.3">
      <c r="B2180" s="11">
        <v>43391</v>
      </c>
      <c r="C2180" s="29" t="str">
        <f t="shared" si="34"/>
        <v/>
      </c>
      <c r="D2180" s="8">
        <v>0.5</v>
      </c>
      <c r="E2180" s="28" t="s">
        <v>14</v>
      </c>
      <c r="F2180" s="7" t="s">
        <v>14</v>
      </c>
      <c r="G2180" s="27" t="s">
        <v>14</v>
      </c>
      <c r="H2180" s="27" t="s">
        <v>14</v>
      </c>
    </row>
    <row r="2181" spans="2:8" x14ac:dyDescent="0.3">
      <c r="B2181" s="9">
        <v>43392</v>
      </c>
      <c r="C2181" s="29" t="str">
        <f t="shared" si="34"/>
        <v/>
      </c>
      <c r="D2181" s="8">
        <v>0.5</v>
      </c>
      <c r="E2181" s="28" t="s">
        <v>14</v>
      </c>
      <c r="F2181" s="7" t="s">
        <v>14</v>
      </c>
      <c r="G2181" s="27" t="s">
        <v>14</v>
      </c>
      <c r="H2181" s="27" t="s">
        <v>14</v>
      </c>
    </row>
    <row r="2182" spans="2:8" x14ac:dyDescent="0.3">
      <c r="B2182" s="11">
        <v>43395</v>
      </c>
      <c r="C2182" s="29" t="str">
        <f t="shared" si="34"/>
        <v/>
      </c>
      <c r="D2182" s="8">
        <v>0.5</v>
      </c>
      <c r="E2182" s="28" t="s">
        <v>14</v>
      </c>
      <c r="F2182" s="7" t="s">
        <v>14</v>
      </c>
      <c r="G2182" s="27" t="s">
        <v>14</v>
      </c>
      <c r="H2182" s="27" t="s">
        <v>14</v>
      </c>
    </row>
    <row r="2183" spans="2:8" x14ac:dyDescent="0.3">
      <c r="B2183" s="9">
        <v>43396</v>
      </c>
      <c r="C2183" s="29" t="str">
        <f t="shared" si="34"/>
        <v/>
      </c>
      <c r="D2183" s="8">
        <v>0.5</v>
      </c>
      <c r="E2183" s="28" t="s">
        <v>14</v>
      </c>
      <c r="F2183" s="7" t="s">
        <v>14</v>
      </c>
      <c r="G2183" s="27" t="s">
        <v>14</v>
      </c>
      <c r="H2183" s="27" t="s">
        <v>14</v>
      </c>
    </row>
    <row r="2184" spans="2:8" x14ac:dyDescent="0.3">
      <c r="B2184" s="11">
        <v>43397</v>
      </c>
      <c r="C2184" s="29" t="str">
        <f t="shared" si="34"/>
        <v/>
      </c>
      <c r="D2184" s="8">
        <v>0.5</v>
      </c>
      <c r="E2184" s="28" t="s">
        <v>14</v>
      </c>
      <c r="F2184" s="7" t="s">
        <v>14</v>
      </c>
      <c r="G2184" s="27" t="s">
        <v>14</v>
      </c>
      <c r="H2184" s="27" t="s">
        <v>14</v>
      </c>
    </row>
    <row r="2185" spans="2:8" x14ac:dyDescent="0.3">
      <c r="B2185" s="9">
        <v>43398</v>
      </c>
      <c r="C2185" s="29" t="str">
        <f t="shared" si="34"/>
        <v/>
      </c>
      <c r="D2185" s="8">
        <v>0.5</v>
      </c>
      <c r="E2185" s="28" t="s">
        <v>14</v>
      </c>
      <c r="F2185" s="7" t="s">
        <v>14</v>
      </c>
      <c r="G2185" s="27" t="s">
        <v>14</v>
      </c>
      <c r="H2185" s="27" t="s">
        <v>14</v>
      </c>
    </row>
    <row r="2186" spans="2:8" x14ac:dyDescent="0.3">
      <c r="B2186" s="11">
        <v>43399</v>
      </c>
      <c r="C2186" s="29" t="str">
        <f t="shared" si="34"/>
        <v/>
      </c>
      <c r="D2186" s="8">
        <v>0.5</v>
      </c>
      <c r="E2186" s="28" t="s">
        <v>14</v>
      </c>
      <c r="F2186" s="7" t="s">
        <v>14</v>
      </c>
      <c r="G2186" s="27" t="s">
        <v>14</v>
      </c>
      <c r="H2186" s="27" t="s">
        <v>14</v>
      </c>
    </row>
    <row r="2187" spans="2:8" x14ac:dyDescent="0.3">
      <c r="B2187" s="9">
        <v>43402</v>
      </c>
      <c r="C2187" s="29" t="str">
        <f t="shared" si="34"/>
        <v/>
      </c>
      <c r="D2187" s="8">
        <v>0.5</v>
      </c>
      <c r="E2187" s="28" t="s">
        <v>14</v>
      </c>
      <c r="F2187" s="7" t="s">
        <v>14</v>
      </c>
      <c r="G2187" s="27" t="s">
        <v>14</v>
      </c>
      <c r="H2187" s="27" t="s">
        <v>14</v>
      </c>
    </row>
    <row r="2188" spans="2:8" x14ac:dyDescent="0.3">
      <c r="B2188" s="11">
        <v>43403</v>
      </c>
      <c r="C2188" s="29" t="str">
        <f t="shared" si="34"/>
        <v/>
      </c>
      <c r="D2188" s="8">
        <v>0.5</v>
      </c>
      <c r="E2188" s="28" t="s">
        <v>14</v>
      </c>
      <c r="F2188" s="7" t="s">
        <v>14</v>
      </c>
      <c r="G2188" s="27" t="s">
        <v>14</v>
      </c>
      <c r="H2188" s="27" t="s">
        <v>14</v>
      </c>
    </row>
    <row r="2189" spans="2:8" x14ac:dyDescent="0.3">
      <c r="B2189" s="9">
        <v>43404</v>
      </c>
      <c r="C2189" s="29" t="str">
        <f t="shared" si="34"/>
        <v/>
      </c>
      <c r="D2189" s="8">
        <v>0.5</v>
      </c>
      <c r="E2189" s="28">
        <v>0.5</v>
      </c>
      <c r="F2189" s="7" t="s">
        <v>14</v>
      </c>
      <c r="G2189" s="27" t="s">
        <v>14</v>
      </c>
      <c r="H2189" s="27" t="s">
        <v>14</v>
      </c>
    </row>
    <row r="2190" spans="2:8" x14ac:dyDescent="0.3">
      <c r="B2190" s="11">
        <v>43405</v>
      </c>
      <c r="C2190" s="29" t="str">
        <f t="shared" si="34"/>
        <v/>
      </c>
      <c r="D2190" s="8">
        <v>0.5</v>
      </c>
      <c r="E2190" s="28" t="s">
        <v>14</v>
      </c>
      <c r="F2190" s="7" t="s">
        <v>14</v>
      </c>
      <c r="G2190" s="27" t="s">
        <v>14</v>
      </c>
      <c r="H2190" s="27" t="s">
        <v>14</v>
      </c>
    </row>
    <row r="2191" spans="2:8" x14ac:dyDescent="0.3">
      <c r="B2191" s="9">
        <v>43409</v>
      </c>
      <c r="C2191" s="29" t="str">
        <f t="shared" si="34"/>
        <v/>
      </c>
      <c r="D2191" s="8">
        <v>0.5</v>
      </c>
      <c r="E2191" s="28" t="s">
        <v>14</v>
      </c>
      <c r="F2191" s="7" t="s">
        <v>14</v>
      </c>
      <c r="G2191" s="27" t="s">
        <v>14</v>
      </c>
      <c r="H2191" s="27" t="s">
        <v>14</v>
      </c>
    </row>
    <row r="2192" spans="2:8" x14ac:dyDescent="0.3">
      <c r="B2192" s="11">
        <v>43410</v>
      </c>
      <c r="C2192" s="29" t="str">
        <f t="shared" si="34"/>
        <v/>
      </c>
      <c r="D2192" s="8">
        <v>0.5</v>
      </c>
      <c r="E2192" s="28" t="s">
        <v>14</v>
      </c>
      <c r="F2192" s="7" t="s">
        <v>14</v>
      </c>
      <c r="G2192" s="27" t="s">
        <v>14</v>
      </c>
      <c r="H2192" s="27" t="s">
        <v>14</v>
      </c>
    </row>
    <row r="2193" spans="2:8" x14ac:dyDescent="0.3">
      <c r="B2193" s="9">
        <v>43411</v>
      </c>
      <c r="C2193" s="29" t="str">
        <f t="shared" si="34"/>
        <v/>
      </c>
      <c r="D2193" s="8">
        <v>0.5</v>
      </c>
      <c r="E2193" s="28" t="s">
        <v>14</v>
      </c>
      <c r="F2193" s="7" t="s">
        <v>14</v>
      </c>
      <c r="G2193" s="27" t="s">
        <v>14</v>
      </c>
      <c r="H2193" s="27" t="s">
        <v>14</v>
      </c>
    </row>
    <row r="2194" spans="2:8" x14ac:dyDescent="0.3">
      <c r="B2194" s="11">
        <v>43412</v>
      </c>
      <c r="C2194" s="29" t="str">
        <f t="shared" si="34"/>
        <v/>
      </c>
      <c r="D2194" s="8">
        <v>0.5</v>
      </c>
      <c r="E2194" s="28" t="s">
        <v>14</v>
      </c>
      <c r="F2194" s="7" t="s">
        <v>14</v>
      </c>
      <c r="G2194" s="27" t="s">
        <v>14</v>
      </c>
      <c r="H2194" s="27" t="s">
        <v>14</v>
      </c>
    </row>
    <row r="2195" spans="2:8" x14ac:dyDescent="0.3">
      <c r="B2195" s="9">
        <v>43413</v>
      </c>
      <c r="C2195" s="29" t="str">
        <f t="shared" si="34"/>
        <v/>
      </c>
      <c r="D2195" s="8">
        <v>0.5</v>
      </c>
      <c r="E2195" s="28" t="s">
        <v>14</v>
      </c>
      <c r="F2195" s="7" t="s">
        <v>14</v>
      </c>
      <c r="G2195" s="27" t="s">
        <v>14</v>
      </c>
      <c r="H2195" s="27" t="s">
        <v>14</v>
      </c>
    </row>
    <row r="2196" spans="2:8" x14ac:dyDescent="0.3">
      <c r="B2196" s="11">
        <v>43416</v>
      </c>
      <c r="C2196" s="29" t="str">
        <f t="shared" si="34"/>
        <v/>
      </c>
      <c r="D2196" s="8">
        <v>0.5</v>
      </c>
      <c r="E2196" s="28" t="s">
        <v>14</v>
      </c>
      <c r="F2196" s="7" t="s">
        <v>14</v>
      </c>
      <c r="G2196" s="27" t="s">
        <v>14</v>
      </c>
      <c r="H2196" s="27" t="s">
        <v>14</v>
      </c>
    </row>
    <row r="2197" spans="2:8" x14ac:dyDescent="0.3">
      <c r="B2197" s="9">
        <v>43417</v>
      </c>
      <c r="C2197" s="29" t="str">
        <f t="shared" si="34"/>
        <v/>
      </c>
      <c r="D2197" s="8">
        <v>0.5</v>
      </c>
      <c r="E2197" s="28" t="s">
        <v>14</v>
      </c>
      <c r="F2197" s="7" t="s">
        <v>14</v>
      </c>
      <c r="G2197" s="27" t="s">
        <v>14</v>
      </c>
      <c r="H2197" s="27" t="s">
        <v>14</v>
      </c>
    </row>
    <row r="2198" spans="2:8" x14ac:dyDescent="0.3">
      <c r="B2198" s="11">
        <v>43418</v>
      </c>
      <c r="C2198" s="29" t="str">
        <f t="shared" si="34"/>
        <v/>
      </c>
      <c r="D2198" s="8">
        <v>0.5</v>
      </c>
      <c r="E2198" s="28" t="s">
        <v>14</v>
      </c>
      <c r="F2198" s="7" t="s">
        <v>14</v>
      </c>
      <c r="G2198" s="27" t="s">
        <v>14</v>
      </c>
      <c r="H2198" s="27" t="s">
        <v>14</v>
      </c>
    </row>
    <row r="2199" spans="2:8" x14ac:dyDescent="0.3">
      <c r="B2199" s="9">
        <v>43420</v>
      </c>
      <c r="C2199" s="29" t="str">
        <f t="shared" si="34"/>
        <v/>
      </c>
      <c r="D2199" s="8">
        <v>0.5</v>
      </c>
      <c r="E2199" s="28" t="s">
        <v>14</v>
      </c>
      <c r="F2199" s="7" t="s">
        <v>14</v>
      </c>
      <c r="G2199" s="27" t="s">
        <v>14</v>
      </c>
      <c r="H2199" s="27" t="s">
        <v>14</v>
      </c>
    </row>
    <row r="2200" spans="2:8" x14ac:dyDescent="0.3">
      <c r="B2200" s="11">
        <v>43423</v>
      </c>
      <c r="C2200" s="29" t="str">
        <f t="shared" si="34"/>
        <v/>
      </c>
      <c r="D2200" s="8">
        <v>0.5</v>
      </c>
      <c r="E2200" s="28" t="s">
        <v>14</v>
      </c>
      <c r="F2200" s="7" t="s">
        <v>14</v>
      </c>
      <c r="G2200" s="27" t="s">
        <v>14</v>
      </c>
      <c r="H2200" s="27" t="s">
        <v>14</v>
      </c>
    </row>
    <row r="2201" spans="2:8" x14ac:dyDescent="0.3">
      <c r="B2201" s="9">
        <v>43425</v>
      </c>
      <c r="C2201" s="29" t="str">
        <f t="shared" si="34"/>
        <v/>
      </c>
      <c r="D2201" s="8">
        <v>0.5</v>
      </c>
      <c r="E2201" s="28" t="s">
        <v>14</v>
      </c>
      <c r="F2201" s="7" t="s">
        <v>14</v>
      </c>
      <c r="G2201" s="27" t="s">
        <v>14</v>
      </c>
      <c r="H2201" s="27" t="s">
        <v>14</v>
      </c>
    </row>
    <row r="2202" spans="2:8" x14ac:dyDescent="0.3">
      <c r="B2202" s="11">
        <v>43426</v>
      </c>
      <c r="C2202" s="29" t="str">
        <f t="shared" si="34"/>
        <v/>
      </c>
      <c r="D2202" s="8">
        <v>0.5</v>
      </c>
      <c r="E2202" s="28" t="s">
        <v>14</v>
      </c>
      <c r="F2202" s="7" t="s">
        <v>14</v>
      </c>
      <c r="G2202" s="27" t="s">
        <v>14</v>
      </c>
      <c r="H2202" s="27" t="s">
        <v>14</v>
      </c>
    </row>
    <row r="2203" spans="2:8" x14ac:dyDescent="0.3">
      <c r="B2203" s="9">
        <v>43427</v>
      </c>
      <c r="C2203" s="29" t="str">
        <f t="shared" si="34"/>
        <v/>
      </c>
      <c r="D2203" s="8">
        <v>0.5</v>
      </c>
      <c r="E2203" s="28" t="s">
        <v>14</v>
      </c>
      <c r="F2203" s="7" t="s">
        <v>14</v>
      </c>
      <c r="G2203" s="27" t="s">
        <v>14</v>
      </c>
      <c r="H2203" s="27" t="s">
        <v>14</v>
      </c>
    </row>
    <row r="2204" spans="2:8" x14ac:dyDescent="0.3">
      <c r="B2204" s="11">
        <v>43430</v>
      </c>
      <c r="C2204" s="29" t="str">
        <f t="shared" si="34"/>
        <v/>
      </c>
      <c r="D2204" s="8">
        <v>0.5</v>
      </c>
      <c r="E2204" s="28" t="s">
        <v>14</v>
      </c>
      <c r="F2204" s="7" t="s">
        <v>14</v>
      </c>
      <c r="G2204" s="27" t="s">
        <v>14</v>
      </c>
      <c r="H2204" s="27" t="s">
        <v>14</v>
      </c>
    </row>
    <row r="2205" spans="2:8" x14ac:dyDescent="0.3">
      <c r="B2205" s="9">
        <v>43431</v>
      </c>
      <c r="C2205" s="29" t="str">
        <f t="shared" si="34"/>
        <v/>
      </c>
      <c r="D2205" s="8">
        <v>0.5</v>
      </c>
      <c r="E2205" s="28" t="s">
        <v>14</v>
      </c>
      <c r="F2205" s="7" t="s">
        <v>14</v>
      </c>
      <c r="G2205" s="27" t="s">
        <v>14</v>
      </c>
      <c r="H2205" s="27" t="s">
        <v>14</v>
      </c>
    </row>
    <row r="2206" spans="2:8" x14ac:dyDescent="0.3">
      <c r="B2206" s="11">
        <v>43432</v>
      </c>
      <c r="C2206" s="29" t="str">
        <f t="shared" si="34"/>
        <v/>
      </c>
      <c r="D2206" s="8">
        <v>0.5</v>
      </c>
      <c r="E2206" s="28" t="s">
        <v>14</v>
      </c>
      <c r="F2206" s="7" t="s">
        <v>14</v>
      </c>
      <c r="G2206" s="27" t="s">
        <v>14</v>
      </c>
      <c r="H2206" s="27" t="s">
        <v>14</v>
      </c>
    </row>
    <row r="2207" spans="2:8" x14ac:dyDescent="0.3">
      <c r="B2207" s="9">
        <v>43433</v>
      </c>
      <c r="C2207" s="29" t="str">
        <f t="shared" si="34"/>
        <v/>
      </c>
      <c r="D2207" s="8">
        <v>0.5</v>
      </c>
      <c r="E2207" s="28" t="s">
        <v>14</v>
      </c>
      <c r="F2207" s="7" t="s">
        <v>14</v>
      </c>
      <c r="G2207" s="27" t="s">
        <v>14</v>
      </c>
      <c r="H2207" s="27" t="s">
        <v>14</v>
      </c>
    </row>
    <row r="2208" spans="2:8" x14ac:dyDescent="0.3">
      <c r="B2208" s="11">
        <v>43434</v>
      </c>
      <c r="C2208" s="29" t="str">
        <f t="shared" si="34"/>
        <v/>
      </c>
      <c r="D2208" s="8">
        <v>0.5</v>
      </c>
      <c r="E2208" s="28">
        <v>0.5</v>
      </c>
      <c r="F2208" s="7" t="s">
        <v>14</v>
      </c>
      <c r="G2208" s="27" t="s">
        <v>14</v>
      </c>
      <c r="H2208" s="27" t="s">
        <v>14</v>
      </c>
    </row>
    <row r="2209" spans="2:8" x14ac:dyDescent="0.3">
      <c r="B2209" s="9">
        <v>43437</v>
      </c>
      <c r="C2209" s="29" t="str">
        <f t="shared" si="34"/>
        <v/>
      </c>
      <c r="D2209" s="8">
        <v>0.5</v>
      </c>
      <c r="E2209" s="28" t="s">
        <v>14</v>
      </c>
      <c r="F2209" s="7" t="s">
        <v>14</v>
      </c>
      <c r="G2209" s="27" t="s">
        <v>14</v>
      </c>
      <c r="H2209" s="27" t="s">
        <v>14</v>
      </c>
    </row>
    <row r="2210" spans="2:8" x14ac:dyDescent="0.3">
      <c r="B2210" s="11">
        <v>43438</v>
      </c>
      <c r="C2210" s="29" t="str">
        <f t="shared" si="34"/>
        <v/>
      </c>
      <c r="D2210" s="8">
        <v>0.5</v>
      </c>
      <c r="E2210" s="28" t="s">
        <v>14</v>
      </c>
      <c r="F2210" s="7" t="s">
        <v>14</v>
      </c>
      <c r="G2210" s="27" t="s">
        <v>14</v>
      </c>
      <c r="H2210" s="27" t="s">
        <v>14</v>
      </c>
    </row>
    <row r="2211" spans="2:8" x14ac:dyDescent="0.3">
      <c r="B2211" s="9">
        <v>43439</v>
      </c>
      <c r="C2211" s="29" t="str">
        <f t="shared" si="34"/>
        <v/>
      </c>
      <c r="D2211" s="8">
        <v>0.5</v>
      </c>
      <c r="E2211" s="28" t="s">
        <v>14</v>
      </c>
      <c r="F2211" s="7" t="s">
        <v>14</v>
      </c>
      <c r="G2211" s="27" t="s">
        <v>14</v>
      </c>
      <c r="H2211" s="27" t="s">
        <v>14</v>
      </c>
    </row>
    <row r="2212" spans="2:8" x14ac:dyDescent="0.3">
      <c r="B2212" s="11">
        <v>43440</v>
      </c>
      <c r="C2212" s="29" t="str">
        <f t="shared" si="34"/>
        <v/>
      </c>
      <c r="D2212" s="8">
        <v>0.5</v>
      </c>
      <c r="E2212" s="28" t="s">
        <v>14</v>
      </c>
      <c r="F2212" s="7" t="s">
        <v>14</v>
      </c>
      <c r="G2212" s="27" t="s">
        <v>14</v>
      </c>
      <c r="H2212" s="27" t="s">
        <v>14</v>
      </c>
    </row>
    <row r="2213" spans="2:8" x14ac:dyDescent="0.3">
      <c r="B2213" s="9">
        <v>43441</v>
      </c>
      <c r="C2213" s="29" t="str">
        <f t="shared" si="34"/>
        <v/>
      </c>
      <c r="D2213" s="8">
        <v>0.5</v>
      </c>
      <c r="E2213" s="28" t="s">
        <v>14</v>
      </c>
      <c r="F2213" s="7" t="s">
        <v>14</v>
      </c>
      <c r="G2213" s="27" t="s">
        <v>14</v>
      </c>
      <c r="H2213" s="27" t="s">
        <v>14</v>
      </c>
    </row>
    <row r="2214" spans="2:8" x14ac:dyDescent="0.3">
      <c r="B2214" s="11">
        <v>43444</v>
      </c>
      <c r="C2214" s="29" t="str">
        <f t="shared" si="34"/>
        <v/>
      </c>
      <c r="D2214" s="8">
        <v>0.5</v>
      </c>
      <c r="E2214" s="28" t="s">
        <v>14</v>
      </c>
      <c r="F2214" s="7" t="s">
        <v>14</v>
      </c>
      <c r="G2214" s="27" t="s">
        <v>14</v>
      </c>
      <c r="H2214" s="27" t="s">
        <v>14</v>
      </c>
    </row>
    <row r="2215" spans="2:8" x14ac:dyDescent="0.3">
      <c r="B2215" s="9">
        <v>43445</v>
      </c>
      <c r="C2215" s="29" t="str">
        <f t="shared" si="34"/>
        <v/>
      </c>
      <c r="D2215" s="8">
        <v>0.5</v>
      </c>
      <c r="E2215" s="28" t="s">
        <v>14</v>
      </c>
      <c r="F2215" s="7" t="s">
        <v>14</v>
      </c>
      <c r="G2215" s="27" t="s">
        <v>14</v>
      </c>
      <c r="H2215" s="27" t="s">
        <v>14</v>
      </c>
    </row>
    <row r="2216" spans="2:8" x14ac:dyDescent="0.3">
      <c r="B2216" s="11">
        <v>43446</v>
      </c>
      <c r="C2216" s="29" t="str">
        <f t="shared" si="34"/>
        <v/>
      </c>
      <c r="D2216" s="8">
        <v>0.5</v>
      </c>
      <c r="E2216" s="28" t="s">
        <v>14</v>
      </c>
      <c r="F2216" s="7" t="s">
        <v>14</v>
      </c>
      <c r="G2216" s="27" t="s">
        <v>14</v>
      </c>
      <c r="H2216" s="27" t="s">
        <v>14</v>
      </c>
    </row>
    <row r="2217" spans="2:8" x14ac:dyDescent="0.3">
      <c r="B2217" s="9">
        <v>43447</v>
      </c>
      <c r="C2217" s="29" t="str">
        <f t="shared" si="34"/>
        <v/>
      </c>
      <c r="D2217" s="8">
        <v>0.5</v>
      </c>
      <c r="E2217" s="28" t="s">
        <v>14</v>
      </c>
      <c r="F2217" s="7" t="s">
        <v>14</v>
      </c>
      <c r="G2217" s="27" t="s">
        <v>14</v>
      </c>
      <c r="H2217" s="27" t="s">
        <v>14</v>
      </c>
    </row>
    <row r="2218" spans="2:8" x14ac:dyDescent="0.3">
      <c r="B2218" s="11">
        <v>43448</v>
      </c>
      <c r="C2218" s="29" t="str">
        <f t="shared" si="34"/>
        <v/>
      </c>
      <c r="D2218" s="8">
        <v>0.5</v>
      </c>
      <c r="E2218" s="28" t="s">
        <v>14</v>
      </c>
      <c r="F2218" s="7" t="s">
        <v>14</v>
      </c>
      <c r="G2218" s="27" t="s">
        <v>14</v>
      </c>
      <c r="H2218" s="27" t="s">
        <v>14</v>
      </c>
    </row>
    <row r="2219" spans="2:8" x14ac:dyDescent="0.3">
      <c r="B2219" s="9">
        <v>43451</v>
      </c>
      <c r="C2219" s="29" t="str">
        <f t="shared" si="34"/>
        <v/>
      </c>
      <c r="D2219" s="8">
        <v>0.5</v>
      </c>
      <c r="E2219" s="28" t="s">
        <v>14</v>
      </c>
      <c r="F2219" s="7" t="s">
        <v>14</v>
      </c>
      <c r="G2219" s="27" t="s">
        <v>14</v>
      </c>
      <c r="H2219" s="27" t="s">
        <v>14</v>
      </c>
    </row>
    <row r="2220" spans="2:8" x14ac:dyDescent="0.3">
      <c r="B2220" s="11">
        <v>43452</v>
      </c>
      <c r="C2220" s="29" t="str">
        <f t="shared" si="34"/>
        <v/>
      </c>
      <c r="D2220" s="8">
        <v>0.5</v>
      </c>
      <c r="E2220" s="28" t="s">
        <v>14</v>
      </c>
      <c r="F2220" s="7" t="s">
        <v>14</v>
      </c>
      <c r="G2220" s="27" t="s">
        <v>14</v>
      </c>
      <c r="H2220" s="27" t="s">
        <v>14</v>
      </c>
    </row>
    <row r="2221" spans="2:8" x14ac:dyDescent="0.3">
      <c r="B2221" s="9">
        <v>43453</v>
      </c>
      <c r="C2221" s="29" t="str">
        <f t="shared" si="34"/>
        <v/>
      </c>
      <c r="D2221" s="8">
        <v>0.5</v>
      </c>
      <c r="E2221" s="28" t="s">
        <v>14</v>
      </c>
      <c r="F2221" s="7" t="s">
        <v>14</v>
      </c>
      <c r="G2221" s="27" t="s">
        <v>14</v>
      </c>
      <c r="H2221" s="27" t="s">
        <v>14</v>
      </c>
    </row>
    <row r="2222" spans="2:8" x14ac:dyDescent="0.3">
      <c r="B2222" s="11">
        <v>43454</v>
      </c>
      <c r="C2222" s="29" t="str">
        <f t="shared" si="34"/>
        <v/>
      </c>
      <c r="D2222" s="8">
        <v>0.5</v>
      </c>
      <c r="E2222" s="28" t="s">
        <v>14</v>
      </c>
      <c r="F2222" s="7" t="s">
        <v>14</v>
      </c>
      <c r="G2222" s="27" t="s">
        <v>14</v>
      </c>
      <c r="H2222" s="27" t="s">
        <v>14</v>
      </c>
    </row>
    <row r="2223" spans="2:8" x14ac:dyDescent="0.3">
      <c r="B2223" s="9">
        <v>43455</v>
      </c>
      <c r="C2223" s="29" t="str">
        <f t="shared" si="34"/>
        <v/>
      </c>
      <c r="D2223" s="8">
        <v>0.5</v>
      </c>
      <c r="E2223" s="28" t="s">
        <v>14</v>
      </c>
      <c r="F2223" s="7" t="s">
        <v>14</v>
      </c>
      <c r="G2223" s="27" t="s">
        <v>14</v>
      </c>
      <c r="H2223" s="27" t="s">
        <v>14</v>
      </c>
    </row>
    <row r="2224" spans="2:8" x14ac:dyDescent="0.3">
      <c r="B2224" s="11">
        <v>43460</v>
      </c>
      <c r="C2224" s="29" t="str">
        <f t="shared" si="34"/>
        <v/>
      </c>
      <c r="D2224" s="8">
        <v>0.5</v>
      </c>
      <c r="E2224" s="28" t="s">
        <v>14</v>
      </c>
      <c r="F2224" s="7" t="s">
        <v>14</v>
      </c>
      <c r="G2224" s="27" t="s">
        <v>14</v>
      </c>
      <c r="H2224" s="27" t="s">
        <v>14</v>
      </c>
    </row>
    <row r="2225" spans="2:8" x14ac:dyDescent="0.3">
      <c r="B2225" s="9">
        <v>43461</v>
      </c>
      <c r="C2225" s="29" t="str">
        <f t="shared" si="34"/>
        <v/>
      </c>
      <c r="D2225" s="8">
        <v>0.5</v>
      </c>
      <c r="E2225" s="28" t="s">
        <v>14</v>
      </c>
      <c r="F2225" s="7" t="s">
        <v>14</v>
      </c>
      <c r="G2225" s="27" t="s">
        <v>14</v>
      </c>
      <c r="H2225" s="27" t="s">
        <v>14</v>
      </c>
    </row>
    <row r="2226" spans="2:8" x14ac:dyDescent="0.3">
      <c r="B2226" s="11">
        <v>43462</v>
      </c>
      <c r="C2226" s="29">
        <f t="shared" si="34"/>
        <v>0.5</v>
      </c>
      <c r="D2226" s="8">
        <v>0.5</v>
      </c>
      <c r="E2226" s="28">
        <v>0.5</v>
      </c>
      <c r="F2226" s="7">
        <v>0.5</v>
      </c>
      <c r="G2226" s="27">
        <v>0.5</v>
      </c>
      <c r="H2226" s="27">
        <v>0.5</v>
      </c>
    </row>
    <row r="2227" spans="2:8" x14ac:dyDescent="0.3">
      <c r="B2227" s="9">
        <v>43467</v>
      </c>
      <c r="C2227" s="29" t="str">
        <f t="shared" si="34"/>
        <v/>
      </c>
      <c r="D2227" s="8">
        <v>0.5</v>
      </c>
      <c r="E2227" s="28" t="s">
        <v>14</v>
      </c>
      <c r="F2227" s="7" t="s">
        <v>14</v>
      </c>
      <c r="G2227" s="27" t="s">
        <v>14</v>
      </c>
      <c r="H2227" s="27" t="s">
        <v>14</v>
      </c>
    </row>
    <row r="2228" spans="2:8" x14ac:dyDescent="0.3">
      <c r="B2228" s="11">
        <v>43468</v>
      </c>
      <c r="C2228" s="29" t="str">
        <f t="shared" si="34"/>
        <v/>
      </c>
      <c r="D2228" s="8">
        <v>0.5</v>
      </c>
      <c r="E2228" s="28" t="s">
        <v>14</v>
      </c>
      <c r="F2228" s="7" t="s">
        <v>14</v>
      </c>
      <c r="G2228" s="27" t="s">
        <v>14</v>
      </c>
      <c r="H2228" s="27" t="s">
        <v>14</v>
      </c>
    </row>
    <row r="2229" spans="2:8" x14ac:dyDescent="0.3">
      <c r="B2229" s="9">
        <v>43469</v>
      </c>
      <c r="C2229" s="29" t="str">
        <f t="shared" si="34"/>
        <v/>
      </c>
      <c r="D2229" s="8">
        <v>0.5</v>
      </c>
      <c r="E2229" s="28" t="s">
        <v>14</v>
      </c>
      <c r="F2229" s="7" t="s">
        <v>14</v>
      </c>
      <c r="G2229" s="27" t="s">
        <v>14</v>
      </c>
      <c r="H2229" s="27" t="s">
        <v>14</v>
      </c>
    </row>
    <row r="2230" spans="2:8" x14ac:dyDescent="0.3">
      <c r="B2230" s="11">
        <v>43472</v>
      </c>
      <c r="C2230" s="29" t="str">
        <f t="shared" si="34"/>
        <v/>
      </c>
      <c r="D2230" s="8">
        <v>0.5</v>
      </c>
      <c r="E2230" s="28" t="s">
        <v>14</v>
      </c>
      <c r="F2230" s="7" t="s">
        <v>14</v>
      </c>
      <c r="G2230" s="27" t="s">
        <v>14</v>
      </c>
      <c r="H2230" s="27" t="s">
        <v>14</v>
      </c>
    </row>
    <row r="2231" spans="2:8" x14ac:dyDescent="0.3">
      <c r="B2231" s="9">
        <v>43473</v>
      </c>
      <c r="C2231" s="29" t="str">
        <f t="shared" si="34"/>
        <v/>
      </c>
      <c r="D2231" s="8">
        <v>0.5</v>
      </c>
      <c r="E2231" s="28" t="s">
        <v>14</v>
      </c>
      <c r="F2231" s="7" t="s">
        <v>14</v>
      </c>
      <c r="G2231" s="27" t="s">
        <v>14</v>
      </c>
      <c r="H2231" s="27" t="s">
        <v>14</v>
      </c>
    </row>
    <row r="2232" spans="2:8" x14ac:dyDescent="0.3">
      <c r="B2232" s="11">
        <v>43474</v>
      </c>
      <c r="C2232" s="29" t="str">
        <f t="shared" si="34"/>
        <v/>
      </c>
      <c r="D2232" s="8">
        <v>0.5</v>
      </c>
      <c r="E2232" s="28" t="s">
        <v>14</v>
      </c>
      <c r="F2232" s="7" t="s">
        <v>14</v>
      </c>
      <c r="G2232" s="27" t="s">
        <v>14</v>
      </c>
      <c r="H2232" s="27" t="s">
        <v>14</v>
      </c>
    </row>
    <row r="2233" spans="2:8" x14ac:dyDescent="0.3">
      <c r="B2233" s="9">
        <v>43475</v>
      </c>
      <c r="C2233" s="29" t="str">
        <f t="shared" si="34"/>
        <v/>
      </c>
      <c r="D2233" s="8">
        <v>0.5</v>
      </c>
      <c r="E2233" s="28" t="s">
        <v>14</v>
      </c>
      <c r="F2233" s="7" t="s">
        <v>14</v>
      </c>
      <c r="G2233" s="27" t="s">
        <v>14</v>
      </c>
      <c r="H2233" s="27" t="s">
        <v>14</v>
      </c>
    </row>
    <row r="2234" spans="2:8" x14ac:dyDescent="0.3">
      <c r="B2234" s="11">
        <v>43476</v>
      </c>
      <c r="C2234" s="29" t="str">
        <f t="shared" si="34"/>
        <v/>
      </c>
      <c r="D2234" s="8">
        <v>0.5</v>
      </c>
      <c r="E2234" s="28" t="s">
        <v>14</v>
      </c>
      <c r="F2234" s="7" t="s">
        <v>14</v>
      </c>
      <c r="G2234" s="27" t="s">
        <v>14</v>
      </c>
      <c r="H2234" s="27" t="s">
        <v>14</v>
      </c>
    </row>
    <row r="2235" spans="2:8" x14ac:dyDescent="0.3">
      <c r="B2235" s="9">
        <v>43479</v>
      </c>
      <c r="C2235" s="29" t="str">
        <f t="shared" si="34"/>
        <v/>
      </c>
      <c r="D2235" s="8">
        <v>0.5</v>
      </c>
      <c r="E2235" s="28" t="s">
        <v>14</v>
      </c>
      <c r="F2235" s="7" t="s">
        <v>14</v>
      </c>
      <c r="G2235" s="27" t="s">
        <v>14</v>
      </c>
      <c r="H2235" s="27" t="s">
        <v>14</v>
      </c>
    </row>
    <row r="2236" spans="2:8" x14ac:dyDescent="0.3">
      <c r="B2236" s="11">
        <v>43480</v>
      </c>
      <c r="C2236" s="29" t="str">
        <f t="shared" si="34"/>
        <v/>
      </c>
      <c r="D2236" s="8">
        <v>0.5</v>
      </c>
      <c r="E2236" s="28" t="s">
        <v>14</v>
      </c>
      <c r="F2236" s="7" t="s">
        <v>14</v>
      </c>
      <c r="G2236" s="27" t="s">
        <v>14</v>
      </c>
      <c r="H2236" s="27" t="s">
        <v>14</v>
      </c>
    </row>
    <row r="2237" spans="2:8" x14ac:dyDescent="0.3">
      <c r="B2237" s="9">
        <v>43481</v>
      </c>
      <c r="C2237" s="29" t="str">
        <f t="shared" si="34"/>
        <v/>
      </c>
      <c r="D2237" s="8">
        <v>0.5</v>
      </c>
      <c r="E2237" s="28" t="s">
        <v>14</v>
      </c>
      <c r="F2237" s="7" t="s">
        <v>14</v>
      </c>
      <c r="G2237" s="27" t="s">
        <v>14</v>
      </c>
      <c r="H2237" s="27" t="s">
        <v>14</v>
      </c>
    </row>
    <row r="2238" spans="2:8" x14ac:dyDescent="0.3">
      <c r="B2238" s="11">
        <v>43482</v>
      </c>
      <c r="C2238" s="29" t="str">
        <f t="shared" si="34"/>
        <v/>
      </c>
      <c r="D2238" s="8">
        <v>0.5</v>
      </c>
      <c r="E2238" s="28" t="s">
        <v>14</v>
      </c>
      <c r="F2238" s="7" t="s">
        <v>14</v>
      </c>
      <c r="G2238" s="27" t="s">
        <v>14</v>
      </c>
      <c r="H2238" s="27" t="s">
        <v>14</v>
      </c>
    </row>
    <row r="2239" spans="2:8" x14ac:dyDescent="0.3">
      <c r="B2239" s="9">
        <v>43483</v>
      </c>
      <c r="C2239" s="29" t="str">
        <f t="shared" si="34"/>
        <v/>
      </c>
      <c r="D2239" s="8">
        <v>0.5</v>
      </c>
      <c r="E2239" s="28" t="s">
        <v>14</v>
      </c>
      <c r="F2239" s="7" t="s">
        <v>14</v>
      </c>
      <c r="G2239" s="27" t="s">
        <v>14</v>
      </c>
      <c r="H2239" s="27" t="s">
        <v>14</v>
      </c>
    </row>
    <row r="2240" spans="2:8" x14ac:dyDescent="0.3">
      <c r="B2240" s="11">
        <v>43486</v>
      </c>
      <c r="C2240" s="29" t="str">
        <f t="shared" si="34"/>
        <v/>
      </c>
      <c r="D2240" s="8">
        <v>0.5</v>
      </c>
      <c r="E2240" s="28" t="s">
        <v>14</v>
      </c>
      <c r="F2240" s="7" t="s">
        <v>14</v>
      </c>
      <c r="G2240" s="27" t="s">
        <v>14</v>
      </c>
      <c r="H2240" s="27" t="s">
        <v>14</v>
      </c>
    </row>
    <row r="2241" spans="2:8" x14ac:dyDescent="0.3">
      <c r="B2241" s="9">
        <v>43487</v>
      </c>
      <c r="C2241" s="29" t="str">
        <f t="shared" si="34"/>
        <v/>
      </c>
      <c r="D2241" s="8">
        <v>0.5</v>
      </c>
      <c r="E2241" s="28" t="s">
        <v>14</v>
      </c>
      <c r="F2241" s="7" t="s">
        <v>14</v>
      </c>
      <c r="G2241" s="27" t="s">
        <v>14</v>
      </c>
      <c r="H2241" s="27" t="s">
        <v>14</v>
      </c>
    </row>
    <row r="2242" spans="2:8" x14ac:dyDescent="0.3">
      <c r="B2242" s="11">
        <v>43488</v>
      </c>
      <c r="C2242" s="29" t="str">
        <f t="shared" si="34"/>
        <v/>
      </c>
      <c r="D2242" s="8">
        <v>0.5</v>
      </c>
      <c r="E2242" s="28" t="s">
        <v>14</v>
      </c>
      <c r="F2242" s="7" t="s">
        <v>14</v>
      </c>
      <c r="G2242" s="27" t="s">
        <v>14</v>
      </c>
      <c r="H2242" s="27" t="s">
        <v>14</v>
      </c>
    </row>
    <row r="2243" spans="2:8" x14ac:dyDescent="0.3">
      <c r="B2243" s="9">
        <v>43489</v>
      </c>
      <c r="C2243" s="29" t="str">
        <f t="shared" ref="C2243:C2306" si="35">INDEX(D2243:H2243,MATCH($A$1,$D$1:$H$1,0))</f>
        <v/>
      </c>
      <c r="D2243" s="8">
        <v>0.5</v>
      </c>
      <c r="E2243" s="28" t="s">
        <v>14</v>
      </c>
      <c r="F2243" s="7" t="s">
        <v>14</v>
      </c>
      <c r="G2243" s="27" t="s">
        <v>14</v>
      </c>
      <c r="H2243" s="27" t="s">
        <v>14</v>
      </c>
    </row>
    <row r="2244" spans="2:8" x14ac:dyDescent="0.3">
      <c r="B2244" s="11">
        <v>43493</v>
      </c>
      <c r="C2244" s="29" t="str">
        <f t="shared" si="35"/>
        <v/>
      </c>
      <c r="D2244" s="8">
        <v>0.5</v>
      </c>
      <c r="E2244" s="28" t="s">
        <v>14</v>
      </c>
      <c r="F2244" s="7" t="s">
        <v>14</v>
      </c>
      <c r="G2244" s="27" t="s">
        <v>14</v>
      </c>
      <c r="H2244" s="27" t="s">
        <v>14</v>
      </c>
    </row>
    <row r="2245" spans="2:8" x14ac:dyDescent="0.3">
      <c r="B2245" s="9">
        <v>43494</v>
      </c>
      <c r="C2245" s="29" t="str">
        <f t="shared" si="35"/>
        <v/>
      </c>
      <c r="D2245" s="8">
        <v>0.5</v>
      </c>
      <c r="E2245" s="28" t="s">
        <v>14</v>
      </c>
      <c r="F2245" s="7" t="s">
        <v>14</v>
      </c>
      <c r="G2245" s="27" t="s">
        <v>14</v>
      </c>
      <c r="H2245" s="27" t="s">
        <v>14</v>
      </c>
    </row>
    <row r="2246" spans="2:8" x14ac:dyDescent="0.3">
      <c r="B2246" s="11">
        <v>43495</v>
      </c>
      <c r="C2246" s="29" t="str">
        <f t="shared" si="35"/>
        <v/>
      </c>
      <c r="D2246" s="8">
        <v>0.5</v>
      </c>
      <c r="E2246" s="28" t="s">
        <v>14</v>
      </c>
      <c r="F2246" s="7" t="s">
        <v>14</v>
      </c>
      <c r="G2246" s="27" t="s">
        <v>14</v>
      </c>
      <c r="H2246" s="27" t="s">
        <v>14</v>
      </c>
    </row>
    <row r="2247" spans="2:8" x14ac:dyDescent="0.3">
      <c r="B2247" s="9">
        <v>43496</v>
      </c>
      <c r="C2247" s="29" t="str">
        <f t="shared" si="35"/>
        <v/>
      </c>
      <c r="D2247" s="8">
        <v>0.5</v>
      </c>
      <c r="E2247" s="28">
        <v>0.5</v>
      </c>
      <c r="F2247" s="7" t="s">
        <v>14</v>
      </c>
      <c r="G2247" s="27" t="s">
        <v>14</v>
      </c>
      <c r="H2247" s="27" t="s">
        <v>14</v>
      </c>
    </row>
    <row r="2248" spans="2:8" x14ac:dyDescent="0.3">
      <c r="B2248" s="11">
        <v>43497</v>
      </c>
      <c r="C2248" s="29" t="str">
        <f t="shared" si="35"/>
        <v/>
      </c>
      <c r="D2248" s="8">
        <v>0.5</v>
      </c>
      <c r="E2248" s="28" t="s">
        <v>14</v>
      </c>
      <c r="F2248" s="7" t="s">
        <v>14</v>
      </c>
      <c r="G2248" s="27" t="s">
        <v>14</v>
      </c>
      <c r="H2248" s="27" t="s">
        <v>14</v>
      </c>
    </row>
    <row r="2249" spans="2:8" x14ac:dyDescent="0.3">
      <c r="B2249" s="9">
        <v>43500</v>
      </c>
      <c r="C2249" s="29" t="str">
        <f t="shared" si="35"/>
        <v/>
      </c>
      <c r="D2249" s="8">
        <v>0.5</v>
      </c>
      <c r="E2249" s="28" t="s">
        <v>14</v>
      </c>
      <c r="F2249" s="7" t="s">
        <v>14</v>
      </c>
      <c r="G2249" s="27" t="s">
        <v>14</v>
      </c>
      <c r="H2249" s="27" t="s">
        <v>14</v>
      </c>
    </row>
    <row r="2250" spans="2:8" x14ac:dyDescent="0.3">
      <c r="B2250" s="11">
        <v>43501</v>
      </c>
      <c r="C2250" s="29" t="str">
        <f t="shared" si="35"/>
        <v/>
      </c>
      <c r="D2250" s="8">
        <v>0.5</v>
      </c>
      <c r="E2250" s="28" t="s">
        <v>14</v>
      </c>
      <c r="F2250" s="7" t="s">
        <v>14</v>
      </c>
      <c r="G2250" s="27" t="s">
        <v>14</v>
      </c>
      <c r="H2250" s="27" t="s">
        <v>14</v>
      </c>
    </row>
    <row r="2251" spans="2:8" x14ac:dyDescent="0.3">
      <c r="B2251" s="9">
        <v>43502</v>
      </c>
      <c r="C2251" s="29" t="str">
        <f t="shared" si="35"/>
        <v/>
      </c>
      <c r="D2251" s="8">
        <v>0.5</v>
      </c>
      <c r="E2251" s="28" t="s">
        <v>14</v>
      </c>
      <c r="F2251" s="7" t="s">
        <v>14</v>
      </c>
      <c r="G2251" s="27" t="s">
        <v>14</v>
      </c>
      <c r="H2251" s="27" t="s">
        <v>14</v>
      </c>
    </row>
    <row r="2252" spans="2:8" x14ac:dyDescent="0.3">
      <c r="B2252" s="11">
        <v>43503</v>
      </c>
      <c r="C2252" s="29" t="str">
        <f t="shared" si="35"/>
        <v/>
      </c>
      <c r="D2252" s="8">
        <v>0.5</v>
      </c>
      <c r="E2252" s="28" t="s">
        <v>14</v>
      </c>
      <c r="F2252" s="7" t="s">
        <v>14</v>
      </c>
      <c r="G2252" s="27" t="s">
        <v>14</v>
      </c>
      <c r="H2252" s="27" t="s">
        <v>14</v>
      </c>
    </row>
    <row r="2253" spans="2:8" x14ac:dyDescent="0.3">
      <c r="B2253" s="9">
        <v>43504</v>
      </c>
      <c r="C2253" s="29" t="str">
        <f t="shared" si="35"/>
        <v/>
      </c>
      <c r="D2253" s="8">
        <v>0.5</v>
      </c>
      <c r="E2253" s="28" t="s">
        <v>14</v>
      </c>
      <c r="F2253" s="7" t="s">
        <v>14</v>
      </c>
      <c r="G2253" s="27" t="s">
        <v>14</v>
      </c>
      <c r="H2253" s="27" t="s">
        <v>14</v>
      </c>
    </row>
    <row r="2254" spans="2:8" x14ac:dyDescent="0.3">
      <c r="B2254" s="11">
        <v>43507</v>
      </c>
      <c r="C2254" s="29" t="str">
        <f t="shared" si="35"/>
        <v/>
      </c>
      <c r="D2254" s="8">
        <v>0.5</v>
      </c>
      <c r="E2254" s="28" t="s">
        <v>14</v>
      </c>
      <c r="F2254" s="7" t="s">
        <v>14</v>
      </c>
      <c r="G2254" s="27" t="s">
        <v>14</v>
      </c>
      <c r="H2254" s="27" t="s">
        <v>14</v>
      </c>
    </row>
    <row r="2255" spans="2:8" x14ac:dyDescent="0.3">
      <c r="B2255" s="9">
        <v>43508</v>
      </c>
      <c r="C2255" s="29" t="str">
        <f t="shared" si="35"/>
        <v/>
      </c>
      <c r="D2255" s="8">
        <v>0.5</v>
      </c>
      <c r="E2255" s="28" t="s">
        <v>14</v>
      </c>
      <c r="F2255" s="7" t="s">
        <v>14</v>
      </c>
      <c r="G2255" s="27" t="s">
        <v>14</v>
      </c>
      <c r="H2255" s="27" t="s">
        <v>14</v>
      </c>
    </row>
    <row r="2256" spans="2:8" x14ac:dyDescent="0.3">
      <c r="B2256" s="11">
        <v>43509</v>
      </c>
      <c r="C2256" s="29" t="str">
        <f t="shared" si="35"/>
        <v/>
      </c>
      <c r="D2256" s="8">
        <v>0.5</v>
      </c>
      <c r="E2256" s="28" t="s">
        <v>14</v>
      </c>
      <c r="F2256" s="7" t="s">
        <v>14</v>
      </c>
      <c r="G2256" s="27" t="s">
        <v>14</v>
      </c>
      <c r="H2256" s="27" t="s">
        <v>14</v>
      </c>
    </row>
    <row r="2257" spans="2:8" x14ac:dyDescent="0.3">
      <c r="B2257" s="9">
        <v>43510</v>
      </c>
      <c r="C2257" s="29" t="str">
        <f t="shared" si="35"/>
        <v/>
      </c>
      <c r="D2257" s="8">
        <v>0.5</v>
      </c>
      <c r="E2257" s="28" t="s">
        <v>14</v>
      </c>
      <c r="F2257" s="7" t="s">
        <v>14</v>
      </c>
      <c r="G2257" s="27" t="s">
        <v>14</v>
      </c>
      <c r="H2257" s="27" t="s">
        <v>14</v>
      </c>
    </row>
    <row r="2258" spans="2:8" x14ac:dyDescent="0.3">
      <c r="B2258" s="11">
        <v>43511</v>
      </c>
      <c r="C2258" s="29" t="str">
        <f t="shared" si="35"/>
        <v/>
      </c>
      <c r="D2258" s="8">
        <v>0.5</v>
      </c>
      <c r="E2258" s="28" t="s">
        <v>14</v>
      </c>
      <c r="F2258" s="7" t="s">
        <v>14</v>
      </c>
      <c r="G2258" s="27" t="s">
        <v>14</v>
      </c>
      <c r="H2258" s="27" t="s">
        <v>14</v>
      </c>
    </row>
    <row r="2259" spans="2:8" x14ac:dyDescent="0.3">
      <c r="B2259" s="9">
        <v>43514</v>
      </c>
      <c r="C2259" s="29" t="str">
        <f t="shared" si="35"/>
        <v/>
      </c>
      <c r="D2259" s="8">
        <v>0.5</v>
      </c>
      <c r="E2259" s="28" t="s">
        <v>14</v>
      </c>
      <c r="F2259" s="7" t="s">
        <v>14</v>
      </c>
      <c r="G2259" s="27" t="s">
        <v>14</v>
      </c>
      <c r="H2259" s="27" t="s">
        <v>14</v>
      </c>
    </row>
    <row r="2260" spans="2:8" x14ac:dyDescent="0.3">
      <c r="B2260" s="11">
        <v>43515</v>
      </c>
      <c r="C2260" s="29" t="str">
        <f t="shared" si="35"/>
        <v/>
      </c>
      <c r="D2260" s="8">
        <v>0.5</v>
      </c>
      <c r="E2260" s="28" t="s">
        <v>14</v>
      </c>
      <c r="F2260" s="7" t="s">
        <v>14</v>
      </c>
      <c r="G2260" s="27" t="s">
        <v>14</v>
      </c>
      <c r="H2260" s="27" t="s">
        <v>14</v>
      </c>
    </row>
    <row r="2261" spans="2:8" x14ac:dyDescent="0.3">
      <c r="B2261" s="9">
        <v>43516</v>
      </c>
      <c r="C2261" s="29" t="str">
        <f t="shared" si="35"/>
        <v/>
      </c>
      <c r="D2261" s="8">
        <v>0.5</v>
      </c>
      <c r="E2261" s="28" t="s">
        <v>14</v>
      </c>
      <c r="F2261" s="7" t="s">
        <v>14</v>
      </c>
      <c r="G2261" s="27" t="s">
        <v>14</v>
      </c>
      <c r="H2261" s="27" t="s">
        <v>14</v>
      </c>
    </row>
    <row r="2262" spans="2:8" x14ac:dyDescent="0.3">
      <c r="B2262" s="11">
        <v>43517</v>
      </c>
      <c r="C2262" s="29" t="str">
        <f t="shared" si="35"/>
        <v/>
      </c>
      <c r="D2262" s="8">
        <v>0.5</v>
      </c>
      <c r="E2262" s="28" t="s">
        <v>14</v>
      </c>
      <c r="F2262" s="7" t="s">
        <v>14</v>
      </c>
      <c r="G2262" s="27" t="s">
        <v>14</v>
      </c>
      <c r="H2262" s="27" t="s">
        <v>14</v>
      </c>
    </row>
    <row r="2263" spans="2:8" x14ac:dyDescent="0.3">
      <c r="B2263" s="9">
        <v>43518</v>
      </c>
      <c r="C2263" s="29" t="str">
        <f t="shared" si="35"/>
        <v/>
      </c>
      <c r="D2263" s="8">
        <v>0.5</v>
      </c>
      <c r="E2263" s="28" t="s">
        <v>14</v>
      </c>
      <c r="F2263" s="7" t="s">
        <v>14</v>
      </c>
      <c r="G2263" s="27" t="s">
        <v>14</v>
      </c>
      <c r="H2263" s="27" t="s">
        <v>14</v>
      </c>
    </row>
    <row r="2264" spans="2:8" x14ac:dyDescent="0.3">
      <c r="B2264" s="11">
        <v>43521</v>
      </c>
      <c r="C2264" s="29" t="str">
        <f t="shared" si="35"/>
        <v/>
      </c>
      <c r="D2264" s="8">
        <v>0.5</v>
      </c>
      <c r="E2264" s="28" t="s">
        <v>14</v>
      </c>
      <c r="F2264" s="7" t="s">
        <v>14</v>
      </c>
      <c r="G2264" s="27" t="s">
        <v>14</v>
      </c>
      <c r="H2264" s="27" t="s">
        <v>14</v>
      </c>
    </row>
    <row r="2265" spans="2:8" x14ac:dyDescent="0.3">
      <c r="B2265" s="9">
        <v>43522</v>
      </c>
      <c r="C2265" s="29" t="str">
        <f t="shared" si="35"/>
        <v/>
      </c>
      <c r="D2265" s="8">
        <v>0.5</v>
      </c>
      <c r="E2265" s="28" t="s">
        <v>14</v>
      </c>
      <c r="F2265" s="7" t="s">
        <v>14</v>
      </c>
      <c r="G2265" s="27" t="s">
        <v>14</v>
      </c>
      <c r="H2265" s="27" t="s">
        <v>14</v>
      </c>
    </row>
    <row r="2266" spans="2:8" x14ac:dyDescent="0.3">
      <c r="B2266" s="11">
        <v>43523</v>
      </c>
      <c r="C2266" s="29" t="str">
        <f t="shared" si="35"/>
        <v/>
      </c>
      <c r="D2266" s="8">
        <v>0.5</v>
      </c>
      <c r="E2266" s="28" t="s">
        <v>14</v>
      </c>
      <c r="F2266" s="7" t="s">
        <v>14</v>
      </c>
      <c r="G2266" s="27" t="s">
        <v>14</v>
      </c>
      <c r="H2266" s="27" t="s">
        <v>14</v>
      </c>
    </row>
    <row r="2267" spans="2:8" x14ac:dyDescent="0.3">
      <c r="B2267" s="9">
        <v>43524</v>
      </c>
      <c r="C2267" s="29" t="str">
        <f t="shared" si="35"/>
        <v/>
      </c>
      <c r="D2267" s="8">
        <v>0.5</v>
      </c>
      <c r="E2267" s="28">
        <v>0.5</v>
      </c>
      <c r="F2267" s="7" t="s">
        <v>14</v>
      </c>
      <c r="G2267" s="27" t="s">
        <v>14</v>
      </c>
      <c r="H2267" s="27" t="s">
        <v>14</v>
      </c>
    </row>
    <row r="2268" spans="2:8" x14ac:dyDescent="0.3">
      <c r="B2268" s="11">
        <v>43525</v>
      </c>
      <c r="C2268" s="29" t="str">
        <f t="shared" si="35"/>
        <v/>
      </c>
      <c r="D2268" s="8">
        <v>0.5</v>
      </c>
      <c r="E2268" s="28" t="s">
        <v>14</v>
      </c>
      <c r="F2268" s="7" t="s">
        <v>14</v>
      </c>
      <c r="G2268" s="27" t="s">
        <v>14</v>
      </c>
      <c r="H2268" s="27" t="s">
        <v>14</v>
      </c>
    </row>
    <row r="2269" spans="2:8" x14ac:dyDescent="0.3">
      <c r="B2269" s="9">
        <v>43530</v>
      </c>
      <c r="C2269" s="29" t="str">
        <f t="shared" si="35"/>
        <v/>
      </c>
      <c r="D2269" s="8">
        <v>0.5</v>
      </c>
      <c r="E2269" s="28" t="s">
        <v>14</v>
      </c>
      <c r="F2269" s="7" t="s">
        <v>14</v>
      </c>
      <c r="G2269" s="27" t="s">
        <v>14</v>
      </c>
      <c r="H2269" s="27" t="s">
        <v>14</v>
      </c>
    </row>
    <row r="2270" spans="2:8" x14ac:dyDescent="0.3">
      <c r="B2270" s="11">
        <v>43531</v>
      </c>
      <c r="C2270" s="29" t="str">
        <f t="shared" si="35"/>
        <v/>
      </c>
      <c r="D2270" s="8">
        <v>0.5</v>
      </c>
      <c r="E2270" s="28" t="s">
        <v>14</v>
      </c>
      <c r="F2270" s="7" t="s">
        <v>14</v>
      </c>
      <c r="G2270" s="27" t="s">
        <v>14</v>
      </c>
      <c r="H2270" s="27" t="s">
        <v>14</v>
      </c>
    </row>
    <row r="2271" spans="2:8" x14ac:dyDescent="0.3">
      <c r="B2271" s="9">
        <v>43532</v>
      </c>
      <c r="C2271" s="29" t="str">
        <f t="shared" si="35"/>
        <v/>
      </c>
      <c r="D2271" s="8">
        <v>0.5</v>
      </c>
      <c r="E2271" s="28" t="s">
        <v>14</v>
      </c>
      <c r="F2271" s="7" t="s">
        <v>14</v>
      </c>
      <c r="G2271" s="27" t="s">
        <v>14</v>
      </c>
      <c r="H2271" s="27" t="s">
        <v>14</v>
      </c>
    </row>
    <row r="2272" spans="2:8" x14ac:dyDescent="0.3">
      <c r="B2272" s="11">
        <v>43535</v>
      </c>
      <c r="C2272" s="29" t="str">
        <f t="shared" si="35"/>
        <v/>
      </c>
      <c r="D2272" s="8">
        <v>0.5</v>
      </c>
      <c r="E2272" s="28" t="s">
        <v>14</v>
      </c>
      <c r="F2272" s="7" t="s">
        <v>14</v>
      </c>
      <c r="G2272" s="27" t="s">
        <v>14</v>
      </c>
      <c r="H2272" s="27" t="s">
        <v>14</v>
      </c>
    </row>
    <row r="2273" spans="2:8" x14ac:dyDescent="0.3">
      <c r="B2273" s="9">
        <v>43536</v>
      </c>
      <c r="C2273" s="29" t="str">
        <f t="shared" si="35"/>
        <v/>
      </c>
      <c r="D2273" s="8">
        <v>0.5</v>
      </c>
      <c r="E2273" s="28" t="s">
        <v>14</v>
      </c>
      <c r="F2273" s="7" t="s">
        <v>14</v>
      </c>
      <c r="G2273" s="27" t="s">
        <v>14</v>
      </c>
      <c r="H2273" s="27" t="s">
        <v>14</v>
      </c>
    </row>
    <row r="2274" spans="2:8" x14ac:dyDescent="0.3">
      <c r="B2274" s="11">
        <v>43537</v>
      </c>
      <c r="C2274" s="29" t="str">
        <f t="shared" si="35"/>
        <v/>
      </c>
      <c r="D2274" s="8">
        <v>0.5</v>
      </c>
      <c r="E2274" s="28" t="s">
        <v>14</v>
      </c>
      <c r="F2274" s="7" t="s">
        <v>14</v>
      </c>
      <c r="G2274" s="27" t="s">
        <v>14</v>
      </c>
      <c r="H2274" s="27" t="s">
        <v>14</v>
      </c>
    </row>
    <row r="2275" spans="2:8" x14ac:dyDescent="0.3">
      <c r="B2275" s="9">
        <v>43538</v>
      </c>
      <c r="C2275" s="29" t="str">
        <f t="shared" si="35"/>
        <v/>
      </c>
      <c r="D2275" s="8">
        <v>0.5</v>
      </c>
      <c r="E2275" s="28" t="s">
        <v>14</v>
      </c>
      <c r="F2275" s="7" t="s">
        <v>14</v>
      </c>
      <c r="G2275" s="27" t="s">
        <v>14</v>
      </c>
      <c r="H2275" s="27" t="s">
        <v>14</v>
      </c>
    </row>
    <row r="2276" spans="2:8" x14ac:dyDescent="0.3">
      <c r="B2276" s="11">
        <v>43539</v>
      </c>
      <c r="C2276" s="29" t="str">
        <f t="shared" si="35"/>
        <v/>
      </c>
      <c r="D2276" s="8">
        <v>0.5</v>
      </c>
      <c r="E2276" s="28" t="s">
        <v>14</v>
      </c>
      <c r="F2276" s="7" t="s">
        <v>14</v>
      </c>
      <c r="G2276" s="27" t="s">
        <v>14</v>
      </c>
      <c r="H2276" s="27" t="s">
        <v>14</v>
      </c>
    </row>
    <row r="2277" spans="2:8" x14ac:dyDescent="0.3">
      <c r="B2277" s="9">
        <v>43542</v>
      </c>
      <c r="C2277" s="29" t="str">
        <f t="shared" si="35"/>
        <v/>
      </c>
      <c r="D2277" s="8">
        <v>0.5</v>
      </c>
      <c r="E2277" s="28" t="s">
        <v>14</v>
      </c>
      <c r="F2277" s="7" t="s">
        <v>14</v>
      </c>
      <c r="G2277" s="27" t="s">
        <v>14</v>
      </c>
      <c r="H2277" s="27" t="s">
        <v>14</v>
      </c>
    </row>
    <row r="2278" spans="2:8" x14ac:dyDescent="0.3">
      <c r="B2278" s="11">
        <v>43543</v>
      </c>
      <c r="C2278" s="29" t="str">
        <f t="shared" si="35"/>
        <v/>
      </c>
      <c r="D2278" s="8">
        <v>0.5</v>
      </c>
      <c r="E2278" s="28" t="s">
        <v>14</v>
      </c>
      <c r="F2278" s="7" t="s">
        <v>14</v>
      </c>
      <c r="G2278" s="27" t="s">
        <v>14</v>
      </c>
      <c r="H2278" s="27" t="s">
        <v>14</v>
      </c>
    </row>
    <row r="2279" spans="2:8" x14ac:dyDescent="0.3">
      <c r="B2279" s="9">
        <v>43544</v>
      </c>
      <c r="C2279" s="29" t="str">
        <f t="shared" si="35"/>
        <v/>
      </c>
      <c r="D2279" s="8">
        <v>0.5</v>
      </c>
      <c r="E2279" s="28" t="s">
        <v>14</v>
      </c>
      <c r="F2279" s="7" t="s">
        <v>14</v>
      </c>
      <c r="G2279" s="27" t="s">
        <v>14</v>
      </c>
      <c r="H2279" s="27" t="s">
        <v>14</v>
      </c>
    </row>
    <row r="2280" spans="2:8" x14ac:dyDescent="0.3">
      <c r="B2280" s="11">
        <v>43545</v>
      </c>
      <c r="C2280" s="29" t="str">
        <f t="shared" si="35"/>
        <v/>
      </c>
      <c r="D2280" s="8">
        <v>0.5</v>
      </c>
      <c r="E2280" s="28" t="s">
        <v>14</v>
      </c>
      <c r="F2280" s="7" t="s">
        <v>14</v>
      </c>
      <c r="G2280" s="27" t="s">
        <v>14</v>
      </c>
      <c r="H2280" s="27" t="s">
        <v>14</v>
      </c>
    </row>
    <row r="2281" spans="2:8" x14ac:dyDescent="0.3">
      <c r="B2281" s="9">
        <v>43546</v>
      </c>
      <c r="C2281" s="29" t="str">
        <f t="shared" si="35"/>
        <v/>
      </c>
      <c r="D2281" s="8">
        <v>0.5</v>
      </c>
      <c r="E2281" s="28" t="s">
        <v>14</v>
      </c>
      <c r="F2281" s="7" t="s">
        <v>14</v>
      </c>
      <c r="G2281" s="27" t="s">
        <v>14</v>
      </c>
      <c r="H2281" s="27" t="s">
        <v>14</v>
      </c>
    </row>
    <row r="2282" spans="2:8" x14ac:dyDescent="0.3">
      <c r="B2282" s="11">
        <v>43549</v>
      </c>
      <c r="C2282" s="29" t="str">
        <f t="shared" si="35"/>
        <v/>
      </c>
      <c r="D2282" s="8">
        <v>0.5</v>
      </c>
      <c r="E2282" s="28" t="s">
        <v>14</v>
      </c>
      <c r="F2282" s="7" t="s">
        <v>14</v>
      </c>
      <c r="G2282" s="27" t="s">
        <v>14</v>
      </c>
      <c r="H2282" s="27" t="s">
        <v>14</v>
      </c>
    </row>
    <row r="2283" spans="2:8" x14ac:dyDescent="0.3">
      <c r="B2283" s="9">
        <v>43550</v>
      </c>
      <c r="C2283" s="29" t="str">
        <f t="shared" si="35"/>
        <v/>
      </c>
      <c r="D2283" s="8">
        <v>0.5</v>
      </c>
      <c r="E2283" s="28" t="s">
        <v>14</v>
      </c>
      <c r="F2283" s="7" t="s">
        <v>14</v>
      </c>
      <c r="G2283" s="27" t="s">
        <v>14</v>
      </c>
      <c r="H2283" s="27" t="s">
        <v>14</v>
      </c>
    </row>
    <row r="2284" spans="2:8" x14ac:dyDescent="0.3">
      <c r="B2284" s="11">
        <v>43551</v>
      </c>
      <c r="C2284" s="29" t="str">
        <f t="shared" si="35"/>
        <v/>
      </c>
      <c r="D2284" s="8">
        <v>0.5</v>
      </c>
      <c r="E2284" s="28" t="s">
        <v>14</v>
      </c>
      <c r="F2284" s="7" t="s">
        <v>14</v>
      </c>
      <c r="G2284" s="27" t="s">
        <v>14</v>
      </c>
      <c r="H2284" s="27" t="s">
        <v>14</v>
      </c>
    </row>
    <row r="2285" spans="2:8" x14ac:dyDescent="0.3">
      <c r="B2285" s="9">
        <v>43552</v>
      </c>
      <c r="C2285" s="29" t="str">
        <f t="shared" si="35"/>
        <v/>
      </c>
      <c r="D2285" s="8">
        <v>0.5</v>
      </c>
      <c r="E2285" s="28" t="s">
        <v>14</v>
      </c>
      <c r="F2285" s="7" t="s">
        <v>14</v>
      </c>
      <c r="G2285" s="27" t="s">
        <v>14</v>
      </c>
      <c r="H2285" s="27" t="s">
        <v>14</v>
      </c>
    </row>
    <row r="2286" spans="2:8" x14ac:dyDescent="0.3">
      <c r="B2286" s="11">
        <v>43553</v>
      </c>
      <c r="C2286" s="29">
        <f t="shared" si="35"/>
        <v>0</v>
      </c>
      <c r="D2286" s="8">
        <v>0.5</v>
      </c>
      <c r="E2286" s="28">
        <v>0.5</v>
      </c>
      <c r="F2286" s="7">
        <v>0.5</v>
      </c>
    </row>
    <row r="2287" spans="2:8" x14ac:dyDescent="0.3">
      <c r="B2287" s="9">
        <v>43556</v>
      </c>
      <c r="C2287" s="29" t="str">
        <f t="shared" si="35"/>
        <v/>
      </c>
      <c r="D2287" s="8">
        <v>0.5</v>
      </c>
      <c r="E2287" s="28" t="s">
        <v>14</v>
      </c>
      <c r="F2287" s="7" t="s">
        <v>14</v>
      </c>
      <c r="G2287" s="27" t="s">
        <v>14</v>
      </c>
      <c r="H2287" s="27" t="s">
        <v>14</v>
      </c>
    </row>
    <row r="2288" spans="2:8" x14ac:dyDescent="0.3">
      <c r="B2288" s="11">
        <v>43557</v>
      </c>
      <c r="C2288" s="29" t="str">
        <f t="shared" si="35"/>
        <v/>
      </c>
      <c r="D2288" s="8">
        <v>0.5</v>
      </c>
      <c r="E2288" s="28" t="s">
        <v>14</v>
      </c>
      <c r="F2288" s="7" t="s">
        <v>14</v>
      </c>
      <c r="G2288" s="27" t="s">
        <v>14</v>
      </c>
      <c r="H2288" s="27" t="s">
        <v>14</v>
      </c>
    </row>
    <row r="2289" spans="2:8" x14ac:dyDescent="0.3">
      <c r="B2289" s="9">
        <v>43558</v>
      </c>
      <c r="C2289" s="29" t="str">
        <f t="shared" si="35"/>
        <v/>
      </c>
      <c r="D2289" s="8">
        <v>0.5</v>
      </c>
      <c r="E2289" s="28" t="s">
        <v>14</v>
      </c>
      <c r="F2289" s="7" t="s">
        <v>14</v>
      </c>
      <c r="G2289" s="27" t="s">
        <v>14</v>
      </c>
      <c r="H2289" s="27" t="s">
        <v>14</v>
      </c>
    </row>
    <row r="2290" spans="2:8" x14ac:dyDescent="0.3">
      <c r="B2290" s="11">
        <v>43559</v>
      </c>
      <c r="C2290" s="29" t="str">
        <f t="shared" si="35"/>
        <v/>
      </c>
      <c r="D2290" s="8">
        <v>0.5</v>
      </c>
      <c r="E2290" s="28" t="s">
        <v>14</v>
      </c>
      <c r="F2290" s="7" t="s">
        <v>14</v>
      </c>
      <c r="G2290" s="27" t="s">
        <v>14</v>
      </c>
      <c r="H2290" s="27" t="s">
        <v>14</v>
      </c>
    </row>
    <row r="2291" spans="2:8" x14ac:dyDescent="0.3">
      <c r="B2291" s="9">
        <v>43560</v>
      </c>
      <c r="C2291" s="29" t="str">
        <f t="shared" si="35"/>
        <v/>
      </c>
      <c r="D2291" s="8">
        <v>0.5</v>
      </c>
      <c r="E2291" s="28" t="s">
        <v>14</v>
      </c>
      <c r="F2291" s="7" t="s">
        <v>14</v>
      </c>
      <c r="G2291" s="27" t="s">
        <v>14</v>
      </c>
      <c r="H2291" s="27" t="s">
        <v>14</v>
      </c>
    </row>
    <row r="2292" spans="2:8" x14ac:dyDescent="0.3">
      <c r="B2292" s="11">
        <v>43563</v>
      </c>
      <c r="C2292" s="29" t="str">
        <f t="shared" si="35"/>
        <v/>
      </c>
      <c r="D2292" s="8">
        <v>0.5</v>
      </c>
      <c r="E2292" s="28" t="s">
        <v>14</v>
      </c>
      <c r="F2292" s="7" t="s">
        <v>14</v>
      </c>
      <c r="G2292" s="27" t="s">
        <v>14</v>
      </c>
      <c r="H2292" s="27" t="s">
        <v>14</v>
      </c>
    </row>
    <row r="2293" spans="2:8" x14ac:dyDescent="0.3">
      <c r="B2293" s="9">
        <v>43564</v>
      </c>
      <c r="C2293" s="29" t="str">
        <f t="shared" si="35"/>
        <v/>
      </c>
      <c r="D2293" s="8">
        <v>0.5</v>
      </c>
      <c r="E2293" s="28" t="s">
        <v>14</v>
      </c>
      <c r="F2293" s="7" t="s">
        <v>14</v>
      </c>
      <c r="G2293" s="27" t="s">
        <v>14</v>
      </c>
      <c r="H2293" s="27" t="s">
        <v>14</v>
      </c>
    </row>
    <row r="2294" spans="2:8" x14ac:dyDescent="0.3">
      <c r="B2294" s="11">
        <v>43565</v>
      </c>
      <c r="C2294" s="29" t="str">
        <f t="shared" si="35"/>
        <v/>
      </c>
      <c r="D2294" s="8">
        <v>0.5</v>
      </c>
      <c r="E2294" s="28" t="s">
        <v>14</v>
      </c>
      <c r="F2294" s="7" t="s">
        <v>14</v>
      </c>
      <c r="G2294" s="27" t="s">
        <v>14</v>
      </c>
      <c r="H2294" s="27" t="s">
        <v>14</v>
      </c>
    </row>
    <row r="2295" spans="2:8" x14ac:dyDescent="0.3">
      <c r="B2295" s="9">
        <v>43566</v>
      </c>
      <c r="C2295" s="29" t="str">
        <f t="shared" si="35"/>
        <v/>
      </c>
      <c r="D2295" s="8">
        <v>0.5</v>
      </c>
      <c r="E2295" s="28" t="s">
        <v>14</v>
      </c>
      <c r="F2295" s="7" t="s">
        <v>14</v>
      </c>
      <c r="G2295" s="27" t="s">
        <v>14</v>
      </c>
      <c r="H2295" s="27" t="s">
        <v>14</v>
      </c>
    </row>
    <row r="2296" spans="2:8" x14ac:dyDescent="0.3">
      <c r="B2296" s="11">
        <v>43567</v>
      </c>
      <c r="C2296" s="29" t="str">
        <f t="shared" si="35"/>
        <v/>
      </c>
      <c r="D2296" s="8">
        <v>0.5</v>
      </c>
      <c r="E2296" s="28" t="s">
        <v>14</v>
      </c>
      <c r="F2296" s="7" t="s">
        <v>14</v>
      </c>
      <c r="G2296" s="27" t="s">
        <v>14</v>
      </c>
      <c r="H2296" s="27" t="s">
        <v>14</v>
      </c>
    </row>
    <row r="2297" spans="2:8" x14ac:dyDescent="0.3">
      <c r="B2297" s="9">
        <v>43570</v>
      </c>
      <c r="C2297" s="29" t="str">
        <f t="shared" si="35"/>
        <v/>
      </c>
      <c r="D2297" s="8">
        <v>0.5</v>
      </c>
      <c r="E2297" s="28" t="s">
        <v>14</v>
      </c>
      <c r="F2297" s="7" t="s">
        <v>14</v>
      </c>
      <c r="G2297" s="27" t="s">
        <v>14</v>
      </c>
      <c r="H2297" s="27" t="s">
        <v>14</v>
      </c>
    </row>
    <row r="2298" spans="2:8" x14ac:dyDescent="0.3">
      <c r="B2298" s="11">
        <v>43571</v>
      </c>
      <c r="C2298" s="29" t="str">
        <f t="shared" si="35"/>
        <v/>
      </c>
      <c r="D2298" s="8">
        <v>0.5</v>
      </c>
      <c r="E2298" s="28" t="s">
        <v>14</v>
      </c>
      <c r="F2298" s="7" t="s">
        <v>14</v>
      </c>
      <c r="G2298" s="27" t="s">
        <v>14</v>
      </c>
      <c r="H2298" s="27" t="s">
        <v>14</v>
      </c>
    </row>
    <row r="2299" spans="2:8" x14ac:dyDescent="0.3">
      <c r="B2299" s="9">
        <v>43572</v>
      </c>
      <c r="C2299" s="29" t="str">
        <f t="shared" si="35"/>
        <v/>
      </c>
      <c r="D2299" s="8">
        <v>0.5</v>
      </c>
      <c r="E2299" s="28" t="s">
        <v>14</v>
      </c>
      <c r="F2299" s="7" t="s">
        <v>14</v>
      </c>
      <c r="G2299" s="27" t="s">
        <v>14</v>
      </c>
      <c r="H2299" s="27" t="s">
        <v>14</v>
      </c>
    </row>
    <row r="2300" spans="2:8" x14ac:dyDescent="0.3">
      <c r="B2300" s="11">
        <v>43573</v>
      </c>
      <c r="C2300" s="29" t="str">
        <f t="shared" si="35"/>
        <v/>
      </c>
      <c r="D2300" s="8">
        <v>0.5</v>
      </c>
      <c r="E2300" s="28" t="s">
        <v>14</v>
      </c>
      <c r="F2300" s="7" t="s">
        <v>14</v>
      </c>
      <c r="G2300" s="27" t="s">
        <v>14</v>
      </c>
      <c r="H2300" s="27" t="s">
        <v>14</v>
      </c>
    </row>
    <row r="2301" spans="2:8" x14ac:dyDescent="0.3">
      <c r="B2301" s="9">
        <v>43577</v>
      </c>
      <c r="C2301" s="29" t="str">
        <f t="shared" si="35"/>
        <v/>
      </c>
      <c r="D2301" s="8">
        <v>0.5</v>
      </c>
      <c r="E2301" s="28" t="s">
        <v>14</v>
      </c>
      <c r="F2301" s="7" t="s">
        <v>14</v>
      </c>
      <c r="G2301" s="27" t="s">
        <v>14</v>
      </c>
      <c r="H2301" s="27" t="s">
        <v>14</v>
      </c>
    </row>
    <row r="2302" spans="2:8" x14ac:dyDescent="0.3">
      <c r="B2302" s="11">
        <v>43578</v>
      </c>
      <c r="C2302" s="29" t="str">
        <f t="shared" si="35"/>
        <v/>
      </c>
      <c r="D2302" s="8">
        <v>0.5</v>
      </c>
      <c r="E2302" s="28" t="s">
        <v>14</v>
      </c>
      <c r="F2302" s="7" t="s">
        <v>14</v>
      </c>
      <c r="G2302" s="27" t="s">
        <v>14</v>
      </c>
      <c r="H2302" s="27" t="s">
        <v>14</v>
      </c>
    </row>
    <row r="2303" spans="2:8" x14ac:dyDescent="0.3">
      <c r="B2303" s="9">
        <v>43579</v>
      </c>
      <c r="C2303" s="29" t="str">
        <f t="shared" si="35"/>
        <v/>
      </c>
      <c r="D2303" s="8">
        <v>0.5</v>
      </c>
      <c r="E2303" s="28" t="s">
        <v>14</v>
      </c>
      <c r="F2303" s="7" t="s">
        <v>14</v>
      </c>
      <c r="G2303" s="27" t="s">
        <v>14</v>
      </c>
      <c r="H2303" s="27" t="s">
        <v>14</v>
      </c>
    </row>
    <row r="2304" spans="2:8" x14ac:dyDescent="0.3">
      <c r="B2304" s="11">
        <v>43580</v>
      </c>
      <c r="C2304" s="29" t="str">
        <f t="shared" si="35"/>
        <v/>
      </c>
      <c r="D2304" s="8">
        <v>0.5</v>
      </c>
      <c r="E2304" s="28" t="s">
        <v>14</v>
      </c>
      <c r="F2304" s="7" t="s">
        <v>14</v>
      </c>
      <c r="G2304" s="27" t="s">
        <v>14</v>
      </c>
      <c r="H2304" s="27" t="s">
        <v>14</v>
      </c>
    </row>
    <row r="2305" spans="2:8" x14ac:dyDescent="0.3">
      <c r="B2305" s="9">
        <v>43581</v>
      </c>
      <c r="C2305" s="29" t="str">
        <f t="shared" si="35"/>
        <v/>
      </c>
      <c r="D2305" s="8">
        <v>0.5</v>
      </c>
      <c r="E2305" s="28" t="s">
        <v>14</v>
      </c>
      <c r="F2305" s="7" t="s">
        <v>14</v>
      </c>
      <c r="G2305" s="27" t="s">
        <v>14</v>
      </c>
      <c r="H2305" s="27" t="s">
        <v>14</v>
      </c>
    </row>
    <row r="2306" spans="2:8" x14ac:dyDescent="0.3">
      <c r="B2306" s="11">
        <v>43584</v>
      </c>
      <c r="C2306" s="29" t="str">
        <f t="shared" si="35"/>
        <v/>
      </c>
      <c r="D2306" s="8">
        <v>0.5</v>
      </c>
      <c r="E2306" s="28" t="s">
        <v>14</v>
      </c>
      <c r="F2306" s="7" t="s">
        <v>14</v>
      </c>
      <c r="G2306" s="27" t="s">
        <v>14</v>
      </c>
      <c r="H2306" s="27" t="s">
        <v>14</v>
      </c>
    </row>
    <row r="2307" spans="2:8" x14ac:dyDescent="0.3">
      <c r="B2307" s="9">
        <v>43585</v>
      </c>
      <c r="C2307" s="29" t="str">
        <f t="shared" ref="C2307:C2370" si="36">INDEX(D2307:H2307,MATCH($A$1,$D$1:$H$1,0))</f>
        <v/>
      </c>
      <c r="D2307" s="8">
        <v>0.5</v>
      </c>
      <c r="E2307" s="28">
        <v>0.5</v>
      </c>
      <c r="F2307" s="7" t="s">
        <v>14</v>
      </c>
      <c r="G2307" s="27" t="s">
        <v>14</v>
      </c>
      <c r="H2307" s="27" t="s">
        <v>14</v>
      </c>
    </row>
    <row r="2308" spans="2:8" x14ac:dyDescent="0.3">
      <c r="B2308" s="11">
        <v>43587</v>
      </c>
      <c r="C2308" s="29" t="str">
        <f t="shared" si="36"/>
        <v/>
      </c>
      <c r="D2308" s="8">
        <v>0.5</v>
      </c>
      <c r="E2308" s="28" t="s">
        <v>14</v>
      </c>
      <c r="F2308" s="7" t="s">
        <v>14</v>
      </c>
      <c r="G2308" s="27" t="s">
        <v>14</v>
      </c>
      <c r="H2308" s="27" t="s">
        <v>14</v>
      </c>
    </row>
    <row r="2309" spans="2:8" x14ac:dyDescent="0.3">
      <c r="B2309" s="9">
        <v>43588</v>
      </c>
      <c r="C2309" s="29" t="str">
        <f t="shared" si="36"/>
        <v/>
      </c>
      <c r="D2309" s="8">
        <v>0.5</v>
      </c>
      <c r="E2309" s="28" t="s">
        <v>14</v>
      </c>
      <c r="F2309" s="7" t="s">
        <v>14</v>
      </c>
      <c r="G2309" s="27" t="s">
        <v>14</v>
      </c>
      <c r="H2309" s="27" t="s">
        <v>14</v>
      </c>
    </row>
    <row r="2310" spans="2:8" x14ac:dyDescent="0.3">
      <c r="B2310" s="11">
        <v>43591</v>
      </c>
      <c r="C2310" s="29" t="str">
        <f t="shared" si="36"/>
        <v/>
      </c>
      <c r="D2310" s="8">
        <v>0.5</v>
      </c>
      <c r="E2310" s="28" t="s">
        <v>14</v>
      </c>
      <c r="F2310" s="7" t="s">
        <v>14</v>
      </c>
      <c r="G2310" s="27" t="s">
        <v>14</v>
      </c>
      <c r="H2310" s="27" t="s">
        <v>14</v>
      </c>
    </row>
    <row r="2311" spans="2:8" x14ac:dyDescent="0.3">
      <c r="B2311" s="9">
        <v>43592</v>
      </c>
      <c r="C2311" s="29" t="str">
        <f t="shared" si="36"/>
        <v/>
      </c>
      <c r="D2311" s="8">
        <v>0.5</v>
      </c>
      <c r="E2311" s="28" t="s">
        <v>14</v>
      </c>
      <c r="F2311" s="7" t="s">
        <v>14</v>
      </c>
      <c r="G2311" s="27" t="s">
        <v>14</v>
      </c>
      <c r="H2311" s="27" t="s">
        <v>14</v>
      </c>
    </row>
    <row r="2312" spans="2:8" x14ac:dyDescent="0.3">
      <c r="B2312" s="11">
        <v>43593</v>
      </c>
      <c r="C2312" s="29" t="str">
        <f t="shared" si="36"/>
        <v/>
      </c>
      <c r="D2312" s="8">
        <v>0.5</v>
      </c>
      <c r="E2312" s="28" t="s">
        <v>14</v>
      </c>
      <c r="F2312" s="7" t="s">
        <v>14</v>
      </c>
      <c r="G2312" s="27" t="s">
        <v>14</v>
      </c>
      <c r="H2312" s="27" t="s">
        <v>14</v>
      </c>
    </row>
    <row r="2313" spans="2:8" x14ac:dyDescent="0.3">
      <c r="B2313" s="9">
        <v>43594</v>
      </c>
      <c r="C2313" s="29" t="str">
        <f t="shared" si="36"/>
        <v/>
      </c>
      <c r="D2313" s="8">
        <v>0.5</v>
      </c>
      <c r="E2313" s="28" t="s">
        <v>14</v>
      </c>
      <c r="F2313" s="7" t="s">
        <v>14</v>
      </c>
      <c r="G2313" s="27" t="s">
        <v>14</v>
      </c>
      <c r="H2313" s="27" t="s">
        <v>14</v>
      </c>
    </row>
    <row r="2314" spans="2:8" x14ac:dyDescent="0.3">
      <c r="B2314" s="11">
        <v>43595</v>
      </c>
      <c r="C2314" s="29" t="str">
        <f t="shared" si="36"/>
        <v/>
      </c>
      <c r="D2314" s="8">
        <v>0.5</v>
      </c>
      <c r="E2314" s="28" t="s">
        <v>14</v>
      </c>
      <c r="F2314" s="7" t="s">
        <v>14</v>
      </c>
      <c r="G2314" s="27" t="s">
        <v>14</v>
      </c>
      <c r="H2314" s="27" t="s">
        <v>14</v>
      </c>
    </row>
    <row r="2315" spans="2:8" x14ac:dyDescent="0.3">
      <c r="B2315" s="9">
        <v>43598</v>
      </c>
      <c r="C2315" s="29" t="str">
        <f t="shared" si="36"/>
        <v/>
      </c>
      <c r="D2315" s="8">
        <v>0.5</v>
      </c>
      <c r="E2315" s="28" t="s">
        <v>14</v>
      </c>
      <c r="F2315" s="7" t="s">
        <v>14</v>
      </c>
      <c r="G2315" s="27" t="s">
        <v>14</v>
      </c>
      <c r="H2315" s="27" t="s">
        <v>14</v>
      </c>
    </row>
    <row r="2316" spans="2:8" x14ac:dyDescent="0.3">
      <c r="B2316" s="11">
        <v>43599</v>
      </c>
      <c r="C2316" s="29" t="str">
        <f t="shared" si="36"/>
        <v/>
      </c>
      <c r="D2316" s="8">
        <v>0.5</v>
      </c>
      <c r="E2316" s="28" t="s">
        <v>14</v>
      </c>
      <c r="F2316" s="7" t="s">
        <v>14</v>
      </c>
      <c r="G2316" s="27" t="s">
        <v>14</v>
      </c>
      <c r="H2316" s="27" t="s">
        <v>14</v>
      </c>
    </row>
    <row r="2317" spans="2:8" x14ac:dyDescent="0.3">
      <c r="B2317" s="9">
        <v>43600</v>
      </c>
      <c r="C2317" s="29" t="str">
        <f t="shared" si="36"/>
        <v/>
      </c>
      <c r="D2317" s="8">
        <v>0.5</v>
      </c>
      <c r="E2317" s="28" t="s">
        <v>14</v>
      </c>
      <c r="F2317" s="7" t="s">
        <v>14</v>
      </c>
      <c r="G2317" s="27" t="s">
        <v>14</v>
      </c>
      <c r="H2317" s="27" t="s">
        <v>14</v>
      </c>
    </row>
    <row r="2318" spans="2:8" x14ac:dyDescent="0.3">
      <c r="B2318" s="11">
        <v>43601</v>
      </c>
      <c r="C2318" s="29" t="str">
        <f t="shared" si="36"/>
        <v/>
      </c>
      <c r="D2318" s="8">
        <v>0.5</v>
      </c>
      <c r="E2318" s="28" t="s">
        <v>14</v>
      </c>
      <c r="F2318" s="7" t="s">
        <v>14</v>
      </c>
      <c r="G2318" s="27" t="s">
        <v>14</v>
      </c>
      <c r="H2318" s="27" t="s">
        <v>14</v>
      </c>
    </row>
    <row r="2319" spans="2:8" x14ac:dyDescent="0.3">
      <c r="B2319" s="9">
        <v>43602</v>
      </c>
      <c r="C2319" s="29" t="str">
        <f t="shared" si="36"/>
        <v/>
      </c>
      <c r="D2319" s="8">
        <v>0.5</v>
      </c>
      <c r="E2319" s="28" t="s">
        <v>14</v>
      </c>
      <c r="F2319" s="7" t="s">
        <v>14</v>
      </c>
      <c r="G2319" s="27" t="s">
        <v>14</v>
      </c>
      <c r="H2319" s="27" t="s">
        <v>14</v>
      </c>
    </row>
    <row r="2320" spans="2:8" x14ac:dyDescent="0.3">
      <c r="B2320" s="11">
        <v>43605</v>
      </c>
      <c r="C2320" s="29" t="str">
        <f t="shared" si="36"/>
        <v/>
      </c>
      <c r="D2320" s="8">
        <v>0.5</v>
      </c>
      <c r="E2320" s="28" t="s">
        <v>14</v>
      </c>
      <c r="F2320" s="7" t="s">
        <v>14</v>
      </c>
      <c r="G2320" s="27" t="s">
        <v>14</v>
      </c>
      <c r="H2320" s="27" t="s">
        <v>14</v>
      </c>
    </row>
    <row r="2321" spans="2:8" x14ac:dyDescent="0.3">
      <c r="B2321" s="9">
        <v>43606</v>
      </c>
      <c r="C2321" s="29" t="str">
        <f t="shared" si="36"/>
        <v/>
      </c>
      <c r="D2321" s="8">
        <v>0.5</v>
      </c>
      <c r="E2321" s="28" t="s">
        <v>14</v>
      </c>
      <c r="F2321" s="7" t="s">
        <v>14</v>
      </c>
      <c r="G2321" s="27" t="s">
        <v>14</v>
      </c>
      <c r="H2321" s="27" t="s">
        <v>14</v>
      </c>
    </row>
    <row r="2322" spans="2:8" x14ac:dyDescent="0.3">
      <c r="B2322" s="11">
        <v>43607</v>
      </c>
      <c r="C2322" s="29" t="str">
        <f t="shared" si="36"/>
        <v/>
      </c>
      <c r="D2322" s="8">
        <v>0.5</v>
      </c>
      <c r="E2322" s="28" t="s">
        <v>14</v>
      </c>
      <c r="F2322" s="7" t="s">
        <v>14</v>
      </c>
      <c r="G2322" s="27" t="s">
        <v>14</v>
      </c>
      <c r="H2322" s="27" t="s">
        <v>14</v>
      </c>
    </row>
    <row r="2323" spans="2:8" x14ac:dyDescent="0.3">
      <c r="B2323" s="9">
        <v>43608</v>
      </c>
      <c r="C2323" s="29" t="str">
        <f t="shared" si="36"/>
        <v/>
      </c>
      <c r="D2323" s="8">
        <v>0.5</v>
      </c>
      <c r="E2323" s="28" t="s">
        <v>14</v>
      </c>
      <c r="F2323" s="7" t="s">
        <v>14</v>
      </c>
      <c r="G2323" s="27" t="s">
        <v>14</v>
      </c>
      <c r="H2323" s="27" t="s">
        <v>14</v>
      </c>
    </row>
    <row r="2324" spans="2:8" x14ac:dyDescent="0.3">
      <c r="B2324" s="11">
        <v>43609</v>
      </c>
      <c r="C2324" s="29" t="str">
        <f t="shared" si="36"/>
        <v/>
      </c>
      <c r="D2324" s="8">
        <v>0.5</v>
      </c>
      <c r="E2324" s="28" t="s">
        <v>14</v>
      </c>
      <c r="F2324" s="7" t="s">
        <v>14</v>
      </c>
      <c r="G2324" s="27" t="s">
        <v>14</v>
      </c>
      <c r="H2324" s="27" t="s">
        <v>14</v>
      </c>
    </row>
    <row r="2325" spans="2:8" x14ac:dyDescent="0.3">
      <c r="B2325" s="9">
        <v>43612</v>
      </c>
      <c r="C2325" s="29" t="str">
        <f t="shared" si="36"/>
        <v/>
      </c>
      <c r="D2325" s="8">
        <v>0.5</v>
      </c>
      <c r="E2325" s="28" t="s">
        <v>14</v>
      </c>
      <c r="F2325" s="7" t="s">
        <v>14</v>
      </c>
      <c r="G2325" s="27" t="s">
        <v>14</v>
      </c>
      <c r="H2325" s="27" t="s">
        <v>14</v>
      </c>
    </row>
    <row r="2326" spans="2:8" x14ac:dyDescent="0.3">
      <c r="B2326" s="11">
        <v>43613</v>
      </c>
      <c r="C2326" s="29" t="str">
        <f t="shared" si="36"/>
        <v/>
      </c>
      <c r="D2326" s="8">
        <v>0.5</v>
      </c>
      <c r="E2326" s="28" t="s">
        <v>14</v>
      </c>
      <c r="F2326" s="7" t="s">
        <v>14</v>
      </c>
      <c r="G2326" s="27" t="s">
        <v>14</v>
      </c>
      <c r="H2326" s="27" t="s">
        <v>14</v>
      </c>
    </row>
    <row r="2327" spans="2:8" x14ac:dyDescent="0.3">
      <c r="B2327" s="9">
        <v>43614</v>
      </c>
      <c r="C2327" s="29" t="str">
        <f t="shared" si="36"/>
        <v/>
      </c>
      <c r="D2327" s="8">
        <v>0.5</v>
      </c>
      <c r="E2327" s="28" t="s">
        <v>14</v>
      </c>
      <c r="F2327" s="7" t="s">
        <v>14</v>
      </c>
      <c r="G2327" s="27" t="s">
        <v>14</v>
      </c>
      <c r="H2327" s="27" t="s">
        <v>14</v>
      </c>
    </row>
    <row r="2328" spans="2:8" x14ac:dyDescent="0.3">
      <c r="B2328" s="11">
        <v>43615</v>
      </c>
      <c r="C2328" s="29" t="str">
        <f t="shared" si="36"/>
        <v/>
      </c>
      <c r="D2328" s="8">
        <v>0.5</v>
      </c>
      <c r="E2328" s="28" t="s">
        <v>14</v>
      </c>
      <c r="F2328" s="7" t="s">
        <v>14</v>
      </c>
      <c r="G2328" s="27" t="s">
        <v>14</v>
      </c>
      <c r="H2328" s="27" t="s">
        <v>14</v>
      </c>
    </row>
    <row r="2329" spans="2:8" x14ac:dyDescent="0.3">
      <c r="B2329" s="9">
        <v>43616</v>
      </c>
      <c r="C2329" s="29" t="str">
        <f t="shared" si="36"/>
        <v/>
      </c>
      <c r="D2329" s="8">
        <v>0.5</v>
      </c>
      <c r="E2329" s="28">
        <v>0.5</v>
      </c>
      <c r="F2329" s="7" t="s">
        <v>14</v>
      </c>
      <c r="G2329" s="27" t="s">
        <v>14</v>
      </c>
      <c r="H2329" s="27" t="s">
        <v>14</v>
      </c>
    </row>
    <row r="2330" spans="2:8" x14ac:dyDescent="0.3">
      <c r="B2330" s="11">
        <v>43619</v>
      </c>
      <c r="C2330" s="29" t="str">
        <f t="shared" si="36"/>
        <v/>
      </c>
      <c r="D2330" s="8">
        <v>0.5</v>
      </c>
      <c r="E2330" s="28" t="s">
        <v>14</v>
      </c>
      <c r="F2330" s="7" t="s">
        <v>14</v>
      </c>
      <c r="G2330" s="27" t="s">
        <v>14</v>
      </c>
      <c r="H2330" s="27" t="s">
        <v>14</v>
      </c>
    </row>
    <row r="2331" spans="2:8" x14ac:dyDescent="0.3">
      <c r="B2331" s="9">
        <v>43620</v>
      </c>
      <c r="C2331" s="29" t="str">
        <f t="shared" si="36"/>
        <v/>
      </c>
      <c r="D2331" s="8">
        <v>0.5</v>
      </c>
      <c r="E2331" s="28" t="s">
        <v>14</v>
      </c>
      <c r="F2331" s="7" t="s">
        <v>14</v>
      </c>
      <c r="G2331" s="27" t="s">
        <v>14</v>
      </c>
      <c r="H2331" s="27" t="s">
        <v>14</v>
      </c>
    </row>
    <row r="2332" spans="2:8" x14ac:dyDescent="0.3">
      <c r="B2332" s="11">
        <v>43621</v>
      </c>
      <c r="C2332" s="29" t="str">
        <f t="shared" si="36"/>
        <v/>
      </c>
      <c r="D2332" s="8">
        <v>0.5</v>
      </c>
      <c r="E2332" s="28" t="s">
        <v>14</v>
      </c>
      <c r="F2332" s="7" t="s">
        <v>14</v>
      </c>
      <c r="G2332" s="27" t="s">
        <v>14</v>
      </c>
      <c r="H2332" s="27" t="s">
        <v>14</v>
      </c>
    </row>
    <row r="2333" spans="2:8" x14ac:dyDescent="0.3">
      <c r="B2333" s="9">
        <v>43622</v>
      </c>
      <c r="C2333" s="29" t="str">
        <f t="shared" si="36"/>
        <v/>
      </c>
      <c r="D2333" s="8">
        <v>0.5</v>
      </c>
      <c r="E2333" s="28" t="s">
        <v>14</v>
      </c>
      <c r="F2333" s="7" t="s">
        <v>14</v>
      </c>
      <c r="G2333" s="27" t="s">
        <v>14</v>
      </c>
      <c r="H2333" s="27" t="s">
        <v>14</v>
      </c>
    </row>
    <row r="2334" spans="2:8" x14ac:dyDescent="0.3">
      <c r="B2334" s="11">
        <v>43623</v>
      </c>
      <c r="C2334" s="29" t="str">
        <f t="shared" si="36"/>
        <v/>
      </c>
      <c r="D2334" s="8">
        <v>0.5</v>
      </c>
      <c r="E2334" s="28" t="s">
        <v>14</v>
      </c>
      <c r="F2334" s="7" t="s">
        <v>14</v>
      </c>
      <c r="G2334" s="27" t="s">
        <v>14</v>
      </c>
      <c r="H2334" s="27" t="s">
        <v>14</v>
      </c>
    </row>
    <row r="2335" spans="2:8" x14ac:dyDescent="0.3">
      <c r="B2335" s="9">
        <v>43626</v>
      </c>
      <c r="C2335" s="29" t="str">
        <f t="shared" si="36"/>
        <v/>
      </c>
      <c r="D2335" s="8">
        <v>0.5</v>
      </c>
      <c r="E2335" s="28" t="s">
        <v>14</v>
      </c>
      <c r="F2335" s="7" t="s">
        <v>14</v>
      </c>
      <c r="G2335" s="27" t="s">
        <v>14</v>
      </c>
      <c r="H2335" s="27" t="s">
        <v>14</v>
      </c>
    </row>
    <row r="2336" spans="2:8" x14ac:dyDescent="0.3">
      <c r="B2336" s="11">
        <v>43627</v>
      </c>
      <c r="C2336" s="29" t="str">
        <f t="shared" si="36"/>
        <v/>
      </c>
      <c r="D2336" s="8">
        <v>0.5</v>
      </c>
      <c r="E2336" s="28" t="s">
        <v>14</v>
      </c>
      <c r="F2336" s="7" t="s">
        <v>14</v>
      </c>
      <c r="G2336" s="27" t="s">
        <v>14</v>
      </c>
      <c r="H2336" s="27" t="s">
        <v>14</v>
      </c>
    </row>
    <row r="2337" spans="2:8" x14ac:dyDescent="0.3">
      <c r="B2337" s="9">
        <v>43628</v>
      </c>
      <c r="C2337" s="29" t="str">
        <f t="shared" si="36"/>
        <v/>
      </c>
      <c r="D2337" s="8">
        <v>0.5</v>
      </c>
      <c r="E2337" s="28" t="s">
        <v>14</v>
      </c>
      <c r="F2337" s="7" t="s">
        <v>14</v>
      </c>
      <c r="G2337" s="27" t="s">
        <v>14</v>
      </c>
      <c r="H2337" s="27" t="s">
        <v>14</v>
      </c>
    </row>
    <row r="2338" spans="2:8" x14ac:dyDescent="0.3">
      <c r="B2338" s="11">
        <v>43629</v>
      </c>
      <c r="C2338" s="29" t="str">
        <f t="shared" si="36"/>
        <v/>
      </c>
      <c r="D2338" s="8">
        <v>0.5</v>
      </c>
      <c r="E2338" s="28" t="s">
        <v>14</v>
      </c>
      <c r="F2338" s="7" t="s">
        <v>14</v>
      </c>
      <c r="G2338" s="27" t="s">
        <v>14</v>
      </c>
      <c r="H2338" s="27" t="s">
        <v>14</v>
      </c>
    </row>
    <row r="2339" spans="2:8" x14ac:dyDescent="0.3">
      <c r="B2339" s="9">
        <v>43630</v>
      </c>
      <c r="C2339" s="29" t="str">
        <f t="shared" si="36"/>
        <v/>
      </c>
      <c r="D2339" s="8">
        <v>0.5</v>
      </c>
      <c r="E2339" s="28" t="s">
        <v>14</v>
      </c>
      <c r="F2339" s="7" t="s">
        <v>14</v>
      </c>
      <c r="G2339" s="27" t="s">
        <v>14</v>
      </c>
      <c r="H2339" s="27" t="s">
        <v>14</v>
      </c>
    </row>
    <row r="2340" spans="2:8" x14ac:dyDescent="0.3">
      <c r="B2340" s="11">
        <v>43633</v>
      </c>
      <c r="C2340" s="29" t="str">
        <f t="shared" si="36"/>
        <v/>
      </c>
      <c r="D2340" s="8">
        <v>0.5</v>
      </c>
      <c r="E2340" s="28" t="s">
        <v>14</v>
      </c>
      <c r="F2340" s="7" t="s">
        <v>14</v>
      </c>
      <c r="G2340" s="27" t="s">
        <v>14</v>
      </c>
      <c r="H2340" s="27" t="s">
        <v>14</v>
      </c>
    </row>
    <row r="2341" spans="2:8" x14ac:dyDescent="0.3">
      <c r="B2341" s="9">
        <v>43634</v>
      </c>
      <c r="C2341" s="29" t="str">
        <f t="shared" si="36"/>
        <v/>
      </c>
      <c r="D2341" s="8">
        <v>0.5</v>
      </c>
      <c r="E2341" s="28" t="s">
        <v>14</v>
      </c>
      <c r="F2341" s="7" t="s">
        <v>14</v>
      </c>
      <c r="G2341" s="27" t="s">
        <v>14</v>
      </c>
      <c r="H2341" s="27" t="s">
        <v>14</v>
      </c>
    </row>
    <row r="2342" spans="2:8" x14ac:dyDescent="0.3">
      <c r="B2342" s="11">
        <v>43635</v>
      </c>
      <c r="C2342" s="29" t="str">
        <f t="shared" si="36"/>
        <v/>
      </c>
      <c r="D2342" s="8">
        <v>0.5</v>
      </c>
      <c r="E2342" s="28" t="s">
        <v>14</v>
      </c>
      <c r="F2342" s="7" t="s">
        <v>14</v>
      </c>
      <c r="G2342" s="27" t="s">
        <v>14</v>
      </c>
      <c r="H2342" s="27" t="s">
        <v>14</v>
      </c>
    </row>
    <row r="2343" spans="2:8" x14ac:dyDescent="0.3">
      <c r="B2343" s="9">
        <v>43637</v>
      </c>
      <c r="C2343" s="29" t="str">
        <f t="shared" si="36"/>
        <v/>
      </c>
      <c r="D2343" s="8">
        <v>0.5</v>
      </c>
      <c r="E2343" s="28" t="s">
        <v>14</v>
      </c>
      <c r="F2343" s="7" t="s">
        <v>14</v>
      </c>
      <c r="G2343" s="27" t="s">
        <v>14</v>
      </c>
      <c r="H2343" s="27" t="s">
        <v>14</v>
      </c>
    </row>
    <row r="2344" spans="2:8" x14ac:dyDescent="0.3">
      <c r="B2344" s="11">
        <v>43640</v>
      </c>
      <c r="C2344" s="29" t="str">
        <f t="shared" si="36"/>
        <v/>
      </c>
      <c r="D2344" s="8">
        <v>0.5</v>
      </c>
      <c r="E2344" s="28" t="s">
        <v>14</v>
      </c>
      <c r="F2344" s="7" t="s">
        <v>14</v>
      </c>
      <c r="G2344" s="27" t="s">
        <v>14</v>
      </c>
      <c r="H2344" s="27" t="s">
        <v>14</v>
      </c>
    </row>
    <row r="2345" spans="2:8" x14ac:dyDescent="0.3">
      <c r="B2345" s="9">
        <v>43641</v>
      </c>
      <c r="C2345" s="29" t="str">
        <f t="shared" si="36"/>
        <v/>
      </c>
      <c r="D2345" s="8">
        <v>0.5</v>
      </c>
      <c r="E2345" s="28" t="s">
        <v>14</v>
      </c>
      <c r="F2345" s="7" t="s">
        <v>14</v>
      </c>
      <c r="G2345" s="27" t="s">
        <v>14</v>
      </c>
      <c r="H2345" s="27" t="s">
        <v>14</v>
      </c>
    </row>
    <row r="2346" spans="2:8" x14ac:dyDescent="0.3">
      <c r="B2346" s="11">
        <v>43642</v>
      </c>
      <c r="C2346" s="29" t="str">
        <f t="shared" si="36"/>
        <v/>
      </c>
      <c r="D2346" s="8">
        <v>0.5</v>
      </c>
      <c r="E2346" s="28" t="s">
        <v>14</v>
      </c>
      <c r="F2346" s="7" t="s">
        <v>14</v>
      </c>
      <c r="G2346" s="27" t="s">
        <v>14</v>
      </c>
      <c r="H2346" s="27" t="s">
        <v>14</v>
      </c>
    </row>
    <row r="2347" spans="2:8" x14ac:dyDescent="0.3">
      <c r="B2347" s="9">
        <v>43643</v>
      </c>
      <c r="C2347" s="29" t="str">
        <f t="shared" si="36"/>
        <v/>
      </c>
      <c r="D2347" s="8">
        <v>0.5</v>
      </c>
      <c r="E2347" s="28" t="s">
        <v>14</v>
      </c>
      <c r="F2347" s="7" t="s">
        <v>14</v>
      </c>
      <c r="G2347" s="27" t="s">
        <v>14</v>
      </c>
      <c r="H2347" s="27" t="s">
        <v>14</v>
      </c>
    </row>
    <row r="2348" spans="2:8" x14ac:dyDescent="0.3">
      <c r="B2348" s="11">
        <v>43644</v>
      </c>
      <c r="C2348" s="29">
        <f t="shared" si="36"/>
        <v>0</v>
      </c>
      <c r="D2348" s="8">
        <v>0.5</v>
      </c>
      <c r="E2348" s="28">
        <v>0.5</v>
      </c>
      <c r="F2348" s="7">
        <v>0.5</v>
      </c>
      <c r="G2348" s="27">
        <v>0.5</v>
      </c>
    </row>
    <row r="2349" spans="2:8" x14ac:dyDescent="0.3">
      <c r="B2349" s="9">
        <v>43647</v>
      </c>
      <c r="C2349" s="29" t="str">
        <f t="shared" si="36"/>
        <v/>
      </c>
      <c r="D2349" s="8">
        <v>0.5</v>
      </c>
      <c r="E2349" s="28" t="s">
        <v>14</v>
      </c>
      <c r="F2349" s="7" t="s">
        <v>14</v>
      </c>
      <c r="G2349" s="27" t="s">
        <v>14</v>
      </c>
      <c r="H2349" s="27" t="s">
        <v>14</v>
      </c>
    </row>
    <row r="2350" spans="2:8" x14ac:dyDescent="0.3">
      <c r="B2350" s="11">
        <v>43648</v>
      </c>
      <c r="C2350" s="29" t="str">
        <f t="shared" si="36"/>
        <v/>
      </c>
      <c r="D2350" s="8">
        <v>0.5</v>
      </c>
      <c r="E2350" s="28" t="s">
        <v>14</v>
      </c>
      <c r="F2350" s="7" t="s">
        <v>14</v>
      </c>
      <c r="G2350" s="27" t="s">
        <v>14</v>
      </c>
      <c r="H2350" s="27" t="s">
        <v>14</v>
      </c>
    </row>
    <row r="2351" spans="2:8" x14ac:dyDescent="0.3">
      <c r="B2351" s="9">
        <v>43649</v>
      </c>
      <c r="C2351" s="29" t="str">
        <f t="shared" si="36"/>
        <v/>
      </c>
      <c r="D2351" s="8">
        <v>0.5</v>
      </c>
      <c r="E2351" s="28" t="s">
        <v>14</v>
      </c>
      <c r="F2351" s="7" t="s">
        <v>14</v>
      </c>
      <c r="G2351" s="27" t="s">
        <v>14</v>
      </c>
      <c r="H2351" s="27" t="s">
        <v>14</v>
      </c>
    </row>
    <row r="2352" spans="2:8" x14ac:dyDescent="0.3">
      <c r="B2352" s="11">
        <v>43650</v>
      </c>
      <c r="C2352" s="29" t="str">
        <f t="shared" si="36"/>
        <v/>
      </c>
      <c r="D2352" s="8">
        <v>0.5</v>
      </c>
      <c r="E2352" s="28" t="s">
        <v>14</v>
      </c>
      <c r="F2352" s="7" t="s">
        <v>14</v>
      </c>
      <c r="G2352" s="27" t="s">
        <v>14</v>
      </c>
      <c r="H2352" s="27" t="s">
        <v>14</v>
      </c>
    </row>
    <row r="2353" spans="2:8" x14ac:dyDescent="0.3">
      <c r="B2353" s="9">
        <v>43651</v>
      </c>
      <c r="C2353" s="29" t="str">
        <f t="shared" si="36"/>
        <v/>
      </c>
      <c r="D2353" s="8">
        <v>0.5</v>
      </c>
      <c r="E2353" s="28" t="s">
        <v>14</v>
      </c>
      <c r="F2353" s="7" t="s">
        <v>14</v>
      </c>
      <c r="G2353" s="27" t="s">
        <v>14</v>
      </c>
      <c r="H2353" s="27" t="s">
        <v>14</v>
      </c>
    </row>
    <row r="2354" spans="2:8" x14ac:dyDescent="0.3">
      <c r="B2354" s="11">
        <v>43654</v>
      </c>
      <c r="C2354" s="29" t="str">
        <f t="shared" si="36"/>
        <v/>
      </c>
      <c r="D2354" s="8">
        <v>0.5</v>
      </c>
      <c r="E2354" s="28" t="s">
        <v>14</v>
      </c>
      <c r="F2354" s="7" t="s">
        <v>14</v>
      </c>
      <c r="G2354" s="27" t="s">
        <v>14</v>
      </c>
      <c r="H2354" s="27" t="s">
        <v>14</v>
      </c>
    </row>
    <row r="2355" spans="2:8" x14ac:dyDescent="0.3">
      <c r="B2355" s="9">
        <v>43656</v>
      </c>
      <c r="C2355" s="29" t="str">
        <f t="shared" si="36"/>
        <v/>
      </c>
      <c r="D2355" s="8">
        <v>0.5</v>
      </c>
      <c r="E2355" s="28" t="s">
        <v>14</v>
      </c>
      <c r="F2355" s="7" t="s">
        <v>14</v>
      </c>
      <c r="G2355" s="27" t="s">
        <v>14</v>
      </c>
      <c r="H2355" s="27" t="s">
        <v>14</v>
      </c>
    </row>
    <row r="2356" spans="2:8" x14ac:dyDescent="0.3">
      <c r="B2356" s="11">
        <v>43657</v>
      </c>
      <c r="C2356" s="29" t="str">
        <f t="shared" si="36"/>
        <v/>
      </c>
      <c r="D2356" s="8">
        <v>0.5</v>
      </c>
      <c r="E2356" s="28" t="s">
        <v>14</v>
      </c>
      <c r="F2356" s="7" t="s">
        <v>14</v>
      </c>
      <c r="G2356" s="27" t="s">
        <v>14</v>
      </c>
      <c r="H2356" s="27" t="s">
        <v>14</v>
      </c>
    </row>
    <row r="2357" spans="2:8" x14ac:dyDescent="0.3">
      <c r="B2357" s="9">
        <v>43658</v>
      </c>
      <c r="C2357" s="29" t="str">
        <f t="shared" si="36"/>
        <v/>
      </c>
      <c r="D2357" s="8">
        <v>0.5</v>
      </c>
      <c r="E2357" s="28" t="s">
        <v>14</v>
      </c>
      <c r="F2357" s="7" t="s">
        <v>14</v>
      </c>
      <c r="G2357" s="27" t="s">
        <v>14</v>
      </c>
      <c r="H2357" s="27" t="s">
        <v>14</v>
      </c>
    </row>
    <row r="2358" spans="2:8" x14ac:dyDescent="0.3">
      <c r="B2358" s="11">
        <v>43661</v>
      </c>
      <c r="C2358" s="29" t="str">
        <f t="shared" si="36"/>
        <v/>
      </c>
      <c r="D2358" s="8">
        <v>0.5</v>
      </c>
      <c r="E2358" s="28" t="s">
        <v>14</v>
      </c>
      <c r="F2358" s="7" t="s">
        <v>14</v>
      </c>
      <c r="G2358" s="27" t="s">
        <v>14</v>
      </c>
      <c r="H2358" s="27" t="s">
        <v>14</v>
      </c>
    </row>
    <row r="2359" spans="2:8" x14ac:dyDescent="0.3">
      <c r="B2359" s="9">
        <v>43662</v>
      </c>
      <c r="C2359" s="29" t="str">
        <f t="shared" si="36"/>
        <v/>
      </c>
      <c r="D2359" s="8">
        <v>0.5</v>
      </c>
      <c r="E2359" s="28" t="s">
        <v>14</v>
      </c>
      <c r="F2359" s="7" t="s">
        <v>14</v>
      </c>
      <c r="G2359" s="27" t="s">
        <v>14</v>
      </c>
      <c r="H2359" s="27" t="s">
        <v>14</v>
      </c>
    </row>
    <row r="2360" spans="2:8" x14ac:dyDescent="0.3">
      <c r="B2360" s="11">
        <v>43663</v>
      </c>
      <c r="C2360" s="29" t="str">
        <f t="shared" si="36"/>
        <v/>
      </c>
      <c r="D2360" s="8">
        <v>0.5</v>
      </c>
      <c r="E2360" s="28" t="s">
        <v>14</v>
      </c>
      <c r="F2360" s="7" t="s">
        <v>14</v>
      </c>
      <c r="G2360" s="27" t="s">
        <v>14</v>
      </c>
      <c r="H2360" s="27" t="s">
        <v>14</v>
      </c>
    </row>
    <row r="2361" spans="2:8" x14ac:dyDescent="0.3">
      <c r="B2361" s="9">
        <v>43664</v>
      </c>
      <c r="C2361" s="29" t="str">
        <f t="shared" si="36"/>
        <v/>
      </c>
      <c r="D2361" s="8">
        <v>0.5</v>
      </c>
      <c r="E2361" s="28" t="s">
        <v>14</v>
      </c>
      <c r="F2361" s="7" t="s">
        <v>14</v>
      </c>
      <c r="G2361" s="27" t="s">
        <v>14</v>
      </c>
      <c r="H2361" s="27" t="s">
        <v>14</v>
      </c>
    </row>
    <row r="2362" spans="2:8" x14ac:dyDescent="0.3">
      <c r="B2362" s="11">
        <v>43665</v>
      </c>
      <c r="C2362" s="29" t="str">
        <f t="shared" si="36"/>
        <v/>
      </c>
      <c r="D2362" s="8">
        <v>0.5</v>
      </c>
      <c r="E2362" s="28" t="s">
        <v>14</v>
      </c>
      <c r="F2362" s="7" t="s">
        <v>14</v>
      </c>
      <c r="G2362" s="27" t="s">
        <v>14</v>
      </c>
      <c r="H2362" s="27" t="s">
        <v>14</v>
      </c>
    </row>
    <row r="2363" spans="2:8" x14ac:dyDescent="0.3">
      <c r="B2363" s="9">
        <v>43668</v>
      </c>
      <c r="C2363" s="29" t="str">
        <f t="shared" si="36"/>
        <v/>
      </c>
      <c r="D2363" s="8">
        <v>0.5</v>
      </c>
      <c r="E2363" s="28" t="s">
        <v>14</v>
      </c>
      <c r="F2363" s="7" t="s">
        <v>14</v>
      </c>
      <c r="G2363" s="27" t="s">
        <v>14</v>
      </c>
      <c r="H2363" s="27" t="s">
        <v>14</v>
      </c>
    </row>
    <row r="2364" spans="2:8" x14ac:dyDescent="0.3">
      <c r="B2364" s="11">
        <v>43669</v>
      </c>
      <c r="C2364" s="29" t="str">
        <f t="shared" si="36"/>
        <v/>
      </c>
      <c r="D2364" s="8">
        <v>0.5</v>
      </c>
      <c r="E2364" s="28" t="s">
        <v>14</v>
      </c>
      <c r="F2364" s="7" t="s">
        <v>14</v>
      </c>
      <c r="G2364" s="27" t="s">
        <v>14</v>
      </c>
      <c r="H2364" s="27" t="s">
        <v>14</v>
      </c>
    </row>
    <row r="2365" spans="2:8" x14ac:dyDescent="0.3">
      <c r="B2365" s="9">
        <v>43670</v>
      </c>
      <c r="C2365" s="29" t="str">
        <f t="shared" si="36"/>
        <v/>
      </c>
      <c r="D2365" s="8">
        <v>0.5</v>
      </c>
      <c r="E2365" s="28" t="s">
        <v>14</v>
      </c>
      <c r="F2365" s="7" t="s">
        <v>14</v>
      </c>
      <c r="G2365" s="27" t="s">
        <v>14</v>
      </c>
      <c r="H2365" s="27" t="s">
        <v>14</v>
      </c>
    </row>
    <row r="2366" spans="2:8" x14ac:dyDescent="0.3">
      <c r="B2366" s="11">
        <v>43671</v>
      </c>
      <c r="C2366" s="29" t="str">
        <f t="shared" si="36"/>
        <v/>
      </c>
      <c r="D2366" s="8">
        <v>0.5</v>
      </c>
      <c r="E2366" s="28" t="s">
        <v>14</v>
      </c>
      <c r="F2366" s="7" t="s">
        <v>14</v>
      </c>
      <c r="G2366" s="27" t="s">
        <v>14</v>
      </c>
      <c r="H2366" s="27" t="s">
        <v>14</v>
      </c>
    </row>
    <row r="2367" spans="2:8" x14ac:dyDescent="0.3">
      <c r="B2367" s="9">
        <v>43672</v>
      </c>
      <c r="C2367" s="29" t="str">
        <f t="shared" si="36"/>
        <v/>
      </c>
      <c r="D2367" s="8">
        <v>0.5</v>
      </c>
      <c r="E2367" s="28" t="s">
        <v>14</v>
      </c>
      <c r="F2367" s="7" t="s">
        <v>14</v>
      </c>
      <c r="G2367" s="27" t="s">
        <v>14</v>
      </c>
      <c r="H2367" s="27" t="s">
        <v>14</v>
      </c>
    </row>
    <row r="2368" spans="2:8" x14ac:dyDescent="0.3">
      <c r="B2368" s="11">
        <v>43675</v>
      </c>
      <c r="C2368" s="29" t="str">
        <f t="shared" si="36"/>
        <v/>
      </c>
      <c r="D2368" s="8">
        <v>0.5</v>
      </c>
      <c r="E2368" s="28" t="s">
        <v>14</v>
      </c>
      <c r="F2368" s="7" t="s">
        <v>14</v>
      </c>
      <c r="G2368" s="27" t="s">
        <v>14</v>
      </c>
      <c r="H2368" s="27" t="s">
        <v>14</v>
      </c>
    </row>
    <row r="2369" spans="2:8" x14ac:dyDescent="0.3">
      <c r="B2369" s="9">
        <v>43676</v>
      </c>
      <c r="C2369" s="29" t="str">
        <f t="shared" si="36"/>
        <v/>
      </c>
      <c r="D2369" s="8">
        <v>0.5</v>
      </c>
      <c r="E2369" s="28" t="s">
        <v>14</v>
      </c>
      <c r="F2369" s="7" t="s">
        <v>14</v>
      </c>
      <c r="G2369" s="27" t="s">
        <v>14</v>
      </c>
      <c r="H2369" s="27" t="s">
        <v>14</v>
      </c>
    </row>
    <row r="2370" spans="2:8" x14ac:dyDescent="0.3">
      <c r="B2370" s="11">
        <v>43677</v>
      </c>
      <c r="C2370" s="29" t="str">
        <f t="shared" si="36"/>
        <v/>
      </c>
      <c r="D2370" s="8">
        <v>0.5</v>
      </c>
      <c r="E2370" s="28">
        <v>0.5</v>
      </c>
      <c r="F2370" s="7" t="s">
        <v>14</v>
      </c>
      <c r="G2370" s="27" t="s">
        <v>14</v>
      </c>
      <c r="H2370" s="27" t="s">
        <v>14</v>
      </c>
    </row>
    <row r="2371" spans="2:8" x14ac:dyDescent="0.3">
      <c r="B2371" s="9">
        <v>43678</v>
      </c>
      <c r="C2371" s="29" t="str">
        <f t="shared" ref="C2371:C2434" si="37">INDEX(D2371:H2371,MATCH($A$1,$D$1:$H$1,0))</f>
        <v/>
      </c>
      <c r="D2371" s="8">
        <v>0.5</v>
      </c>
      <c r="E2371" s="28" t="s">
        <v>14</v>
      </c>
      <c r="F2371" s="7" t="s">
        <v>14</v>
      </c>
      <c r="G2371" s="27" t="s">
        <v>14</v>
      </c>
      <c r="H2371" s="27" t="s">
        <v>14</v>
      </c>
    </row>
    <row r="2372" spans="2:8" x14ac:dyDescent="0.3">
      <c r="B2372" s="11">
        <v>43679</v>
      </c>
      <c r="C2372" s="29" t="str">
        <f t="shared" si="37"/>
        <v/>
      </c>
      <c r="D2372" s="8">
        <v>0.5</v>
      </c>
      <c r="E2372" s="28" t="s">
        <v>14</v>
      </c>
      <c r="F2372" s="7" t="s">
        <v>14</v>
      </c>
      <c r="G2372" s="27" t="s">
        <v>14</v>
      </c>
      <c r="H2372" s="27" t="s">
        <v>14</v>
      </c>
    </row>
    <row r="2373" spans="2:8" x14ac:dyDescent="0.3">
      <c r="B2373" s="9">
        <v>43682</v>
      </c>
      <c r="C2373" s="29" t="str">
        <f t="shared" si="37"/>
        <v/>
      </c>
      <c r="D2373" s="8">
        <v>0.5</v>
      </c>
      <c r="E2373" s="28" t="s">
        <v>14</v>
      </c>
      <c r="F2373" s="7" t="s">
        <v>14</v>
      </c>
      <c r="G2373" s="27" t="s">
        <v>14</v>
      </c>
      <c r="H2373" s="27" t="s">
        <v>14</v>
      </c>
    </row>
    <row r="2374" spans="2:8" x14ac:dyDescent="0.3">
      <c r="B2374" s="11">
        <v>43683</v>
      </c>
      <c r="C2374" s="29" t="str">
        <f t="shared" si="37"/>
        <v/>
      </c>
      <c r="D2374" s="8">
        <v>0.5</v>
      </c>
      <c r="E2374" s="28" t="s">
        <v>14</v>
      </c>
      <c r="F2374" s="7" t="s">
        <v>14</v>
      </c>
      <c r="G2374" s="27" t="s">
        <v>14</v>
      </c>
      <c r="H2374" s="27" t="s">
        <v>14</v>
      </c>
    </row>
    <row r="2375" spans="2:8" x14ac:dyDescent="0.3">
      <c r="B2375" s="9">
        <v>43684</v>
      </c>
      <c r="C2375" s="29" t="str">
        <f t="shared" si="37"/>
        <v/>
      </c>
      <c r="D2375" s="8">
        <v>0.5</v>
      </c>
      <c r="E2375" s="28" t="s">
        <v>14</v>
      </c>
      <c r="F2375" s="7" t="s">
        <v>14</v>
      </c>
      <c r="G2375" s="27" t="s">
        <v>14</v>
      </c>
      <c r="H2375" s="27" t="s">
        <v>14</v>
      </c>
    </row>
    <row r="2376" spans="2:8" x14ac:dyDescent="0.3">
      <c r="B2376" s="11">
        <v>43685</v>
      </c>
      <c r="C2376" s="29" t="str">
        <f t="shared" si="37"/>
        <v/>
      </c>
      <c r="D2376" s="8">
        <v>0.5</v>
      </c>
      <c r="E2376" s="28" t="s">
        <v>14</v>
      </c>
      <c r="F2376" s="7" t="s">
        <v>14</v>
      </c>
      <c r="G2376" s="27" t="s">
        <v>14</v>
      </c>
      <c r="H2376" s="27" t="s">
        <v>14</v>
      </c>
    </row>
    <row r="2377" spans="2:8" x14ac:dyDescent="0.3">
      <c r="B2377" s="9">
        <v>43686</v>
      </c>
      <c r="C2377" s="29" t="str">
        <f t="shared" si="37"/>
        <v/>
      </c>
      <c r="D2377" s="8">
        <v>0.5</v>
      </c>
      <c r="E2377" s="28" t="s">
        <v>14</v>
      </c>
      <c r="F2377" s="7" t="s">
        <v>14</v>
      </c>
      <c r="G2377" s="27" t="s">
        <v>14</v>
      </c>
      <c r="H2377" s="27" t="s">
        <v>14</v>
      </c>
    </row>
    <row r="2378" spans="2:8" x14ac:dyDescent="0.3">
      <c r="B2378" s="11">
        <v>43689</v>
      </c>
      <c r="C2378" s="29" t="str">
        <f t="shared" si="37"/>
        <v/>
      </c>
      <c r="D2378" s="8">
        <v>0.5</v>
      </c>
      <c r="E2378" s="28" t="s">
        <v>14</v>
      </c>
      <c r="F2378" s="7" t="s">
        <v>14</v>
      </c>
      <c r="G2378" s="27" t="s">
        <v>14</v>
      </c>
      <c r="H2378" s="27" t="s">
        <v>14</v>
      </c>
    </row>
    <row r="2379" spans="2:8" x14ac:dyDescent="0.3">
      <c r="B2379" s="9">
        <v>43690</v>
      </c>
      <c r="C2379" s="29" t="str">
        <f t="shared" si="37"/>
        <v/>
      </c>
      <c r="D2379" s="8">
        <v>0.5</v>
      </c>
      <c r="E2379" s="28" t="s">
        <v>14</v>
      </c>
      <c r="F2379" s="7" t="s">
        <v>14</v>
      </c>
      <c r="G2379" s="27" t="s">
        <v>14</v>
      </c>
      <c r="H2379" s="27" t="s">
        <v>14</v>
      </c>
    </row>
    <row r="2380" spans="2:8" x14ac:dyDescent="0.3">
      <c r="B2380" s="11">
        <v>43691</v>
      </c>
      <c r="C2380" s="29" t="str">
        <f t="shared" si="37"/>
        <v/>
      </c>
      <c r="D2380" s="8">
        <v>0.5</v>
      </c>
      <c r="E2380" s="28" t="s">
        <v>14</v>
      </c>
      <c r="F2380" s="7" t="s">
        <v>14</v>
      </c>
      <c r="G2380" s="27" t="s">
        <v>14</v>
      </c>
      <c r="H2380" s="27" t="s">
        <v>14</v>
      </c>
    </row>
    <row r="2381" spans="2:8" x14ac:dyDescent="0.3">
      <c r="B2381" s="9">
        <v>43692</v>
      </c>
      <c r="C2381" s="29" t="str">
        <f t="shared" si="37"/>
        <v/>
      </c>
      <c r="D2381" s="8">
        <v>0.5</v>
      </c>
      <c r="E2381" s="28" t="s">
        <v>14</v>
      </c>
      <c r="F2381" s="7" t="s">
        <v>14</v>
      </c>
      <c r="G2381" s="27" t="s">
        <v>14</v>
      </c>
      <c r="H2381" s="27" t="s">
        <v>14</v>
      </c>
    </row>
    <row r="2382" spans="2:8" x14ac:dyDescent="0.3">
      <c r="B2382" s="11">
        <v>43693</v>
      </c>
      <c r="C2382" s="29" t="str">
        <f t="shared" si="37"/>
        <v/>
      </c>
      <c r="D2382" s="8">
        <v>0.5</v>
      </c>
      <c r="E2382" s="28" t="s">
        <v>14</v>
      </c>
      <c r="F2382" s="7" t="s">
        <v>14</v>
      </c>
      <c r="G2382" s="27" t="s">
        <v>14</v>
      </c>
      <c r="H2382" s="27" t="s">
        <v>14</v>
      </c>
    </row>
    <row r="2383" spans="2:8" x14ac:dyDescent="0.3">
      <c r="B2383" s="9">
        <v>43696</v>
      </c>
      <c r="C2383" s="29" t="str">
        <f t="shared" si="37"/>
        <v/>
      </c>
      <c r="D2383" s="8">
        <v>0.5</v>
      </c>
      <c r="E2383" s="28" t="s">
        <v>14</v>
      </c>
      <c r="F2383" s="7" t="s">
        <v>14</v>
      </c>
      <c r="G2383" s="27" t="s">
        <v>14</v>
      </c>
      <c r="H2383" s="27" t="s">
        <v>14</v>
      </c>
    </row>
    <row r="2384" spans="2:8" x14ac:dyDescent="0.3">
      <c r="B2384" s="11">
        <v>43697</v>
      </c>
      <c r="C2384" s="29" t="str">
        <f t="shared" si="37"/>
        <v/>
      </c>
      <c r="D2384" s="8">
        <v>0.5</v>
      </c>
      <c r="E2384" s="28" t="s">
        <v>14</v>
      </c>
      <c r="F2384" s="7" t="s">
        <v>14</v>
      </c>
      <c r="G2384" s="27" t="s">
        <v>14</v>
      </c>
      <c r="H2384" s="27" t="s">
        <v>14</v>
      </c>
    </row>
    <row r="2385" spans="2:8" x14ac:dyDescent="0.3">
      <c r="B2385" s="9">
        <v>43698</v>
      </c>
      <c r="C2385" s="29" t="str">
        <f t="shared" si="37"/>
        <v/>
      </c>
      <c r="D2385" s="8">
        <v>0.5</v>
      </c>
      <c r="E2385" s="28" t="s">
        <v>14</v>
      </c>
      <c r="F2385" s="7" t="s">
        <v>14</v>
      </c>
      <c r="G2385" s="27" t="s">
        <v>14</v>
      </c>
      <c r="H2385" s="27" t="s">
        <v>14</v>
      </c>
    </row>
    <row r="2386" spans="2:8" x14ac:dyDescent="0.3">
      <c r="B2386" s="11">
        <v>43699</v>
      </c>
      <c r="C2386" s="29" t="str">
        <f t="shared" si="37"/>
        <v/>
      </c>
      <c r="D2386" s="8">
        <v>0.5</v>
      </c>
      <c r="E2386" s="28" t="s">
        <v>14</v>
      </c>
      <c r="F2386" s="7" t="s">
        <v>14</v>
      </c>
      <c r="G2386" s="27" t="s">
        <v>14</v>
      </c>
      <c r="H2386" s="27" t="s">
        <v>14</v>
      </c>
    </row>
    <row r="2387" spans="2:8" x14ac:dyDescent="0.3">
      <c r="B2387" s="9">
        <v>43700</v>
      </c>
      <c r="C2387" s="29" t="str">
        <f t="shared" si="37"/>
        <v/>
      </c>
      <c r="D2387" s="8">
        <v>0.5</v>
      </c>
      <c r="E2387" s="28" t="s">
        <v>14</v>
      </c>
      <c r="F2387" s="7" t="s">
        <v>14</v>
      </c>
      <c r="G2387" s="27" t="s">
        <v>14</v>
      </c>
      <c r="H2387" s="27" t="s">
        <v>14</v>
      </c>
    </row>
    <row r="2388" spans="2:8" x14ac:dyDescent="0.3">
      <c r="B2388" s="11">
        <v>43703</v>
      </c>
      <c r="C2388" s="29" t="str">
        <f t="shared" si="37"/>
        <v/>
      </c>
      <c r="D2388" s="8">
        <v>0.5</v>
      </c>
      <c r="E2388" s="28" t="s">
        <v>14</v>
      </c>
      <c r="F2388" s="7" t="s">
        <v>14</v>
      </c>
      <c r="G2388" s="27" t="s">
        <v>14</v>
      </c>
      <c r="H2388" s="27" t="s">
        <v>14</v>
      </c>
    </row>
    <row r="2389" spans="2:8" x14ac:dyDescent="0.3">
      <c r="B2389" s="9">
        <v>43704</v>
      </c>
      <c r="C2389" s="29" t="str">
        <f t="shared" si="37"/>
        <v/>
      </c>
      <c r="D2389" s="8">
        <v>0.5</v>
      </c>
      <c r="E2389" s="28" t="s">
        <v>14</v>
      </c>
      <c r="F2389" s="7" t="s">
        <v>14</v>
      </c>
      <c r="G2389" s="27" t="s">
        <v>14</v>
      </c>
      <c r="H2389" s="27" t="s">
        <v>14</v>
      </c>
    </row>
    <row r="2390" spans="2:8" x14ac:dyDescent="0.3">
      <c r="B2390" s="11">
        <v>43705</v>
      </c>
      <c r="C2390" s="29" t="str">
        <f t="shared" si="37"/>
        <v/>
      </c>
      <c r="D2390" s="8">
        <v>0.5</v>
      </c>
      <c r="E2390" s="28" t="s">
        <v>14</v>
      </c>
      <c r="F2390" s="7" t="s">
        <v>14</v>
      </c>
      <c r="G2390" s="27" t="s">
        <v>14</v>
      </c>
      <c r="H2390" s="27" t="s">
        <v>14</v>
      </c>
    </row>
    <row r="2391" spans="2:8" x14ac:dyDescent="0.3">
      <c r="B2391" s="9">
        <v>43706</v>
      </c>
      <c r="C2391" s="29" t="str">
        <f t="shared" si="37"/>
        <v/>
      </c>
      <c r="D2391" s="8">
        <v>0.5</v>
      </c>
      <c r="E2391" s="28" t="s">
        <v>14</v>
      </c>
      <c r="F2391" s="7" t="s">
        <v>14</v>
      </c>
      <c r="G2391" s="27" t="s">
        <v>14</v>
      </c>
      <c r="H2391" s="27" t="s">
        <v>14</v>
      </c>
    </row>
    <row r="2392" spans="2:8" x14ac:dyDescent="0.3">
      <c r="B2392" s="11">
        <v>43707</v>
      </c>
      <c r="C2392" s="29" t="str">
        <f t="shared" si="37"/>
        <v/>
      </c>
      <c r="D2392" s="8">
        <v>0.5</v>
      </c>
      <c r="E2392" s="28">
        <v>0.5</v>
      </c>
      <c r="F2392" s="7" t="s">
        <v>14</v>
      </c>
      <c r="G2392" s="27" t="s">
        <v>14</v>
      </c>
      <c r="H2392" s="27" t="s">
        <v>14</v>
      </c>
    </row>
    <row r="2393" spans="2:8" x14ac:dyDescent="0.3">
      <c r="B2393" s="9">
        <v>43710</v>
      </c>
      <c r="C2393" s="29" t="str">
        <f t="shared" si="37"/>
        <v/>
      </c>
      <c r="D2393" s="8">
        <v>0.5</v>
      </c>
      <c r="E2393" s="28" t="s">
        <v>14</v>
      </c>
      <c r="F2393" s="7" t="s">
        <v>14</v>
      </c>
      <c r="G2393" s="27" t="s">
        <v>14</v>
      </c>
      <c r="H2393" s="27" t="s">
        <v>14</v>
      </c>
    </row>
    <row r="2394" spans="2:8" x14ac:dyDescent="0.3">
      <c r="B2394" s="11">
        <v>43711</v>
      </c>
      <c r="C2394" s="29" t="str">
        <f t="shared" si="37"/>
        <v/>
      </c>
      <c r="D2394" s="8">
        <v>0.5</v>
      </c>
      <c r="E2394" s="28" t="s">
        <v>14</v>
      </c>
      <c r="F2394" s="7" t="s">
        <v>14</v>
      </c>
      <c r="G2394" s="27" t="s">
        <v>14</v>
      </c>
      <c r="H2394" s="27" t="s">
        <v>14</v>
      </c>
    </row>
    <row r="2395" spans="2:8" x14ac:dyDescent="0.3">
      <c r="B2395" s="9">
        <v>43712</v>
      </c>
      <c r="C2395" s="29" t="str">
        <f t="shared" si="37"/>
        <v/>
      </c>
      <c r="D2395" s="8">
        <v>0.5</v>
      </c>
      <c r="E2395" s="28" t="s">
        <v>14</v>
      </c>
      <c r="F2395" s="7" t="s">
        <v>14</v>
      </c>
      <c r="G2395" s="27" t="s">
        <v>14</v>
      </c>
      <c r="H2395" s="27" t="s">
        <v>14</v>
      </c>
    </row>
    <row r="2396" spans="2:8" x14ac:dyDescent="0.3">
      <c r="B2396" s="11">
        <v>43713</v>
      </c>
      <c r="C2396" s="29" t="str">
        <f t="shared" si="37"/>
        <v/>
      </c>
      <c r="D2396" s="8">
        <v>0.5</v>
      </c>
      <c r="E2396" s="28" t="s">
        <v>14</v>
      </c>
      <c r="F2396" s="7" t="s">
        <v>14</v>
      </c>
      <c r="G2396" s="27" t="s">
        <v>14</v>
      </c>
      <c r="H2396" s="27" t="s">
        <v>14</v>
      </c>
    </row>
    <row r="2397" spans="2:8" x14ac:dyDescent="0.3">
      <c r="B2397" s="9">
        <v>43714</v>
      </c>
      <c r="C2397" s="29" t="str">
        <f t="shared" si="37"/>
        <v/>
      </c>
      <c r="D2397" s="8">
        <v>0.5</v>
      </c>
      <c r="E2397" s="28" t="s">
        <v>14</v>
      </c>
      <c r="F2397" s="7" t="s">
        <v>14</v>
      </c>
      <c r="G2397" s="27" t="s">
        <v>14</v>
      </c>
      <c r="H2397" s="27" t="s">
        <v>14</v>
      </c>
    </row>
    <row r="2398" spans="2:8" x14ac:dyDescent="0.3">
      <c r="B2398" s="11">
        <v>43717</v>
      </c>
      <c r="C2398" s="29" t="str">
        <f t="shared" si="37"/>
        <v/>
      </c>
      <c r="D2398" s="8">
        <v>0.5</v>
      </c>
      <c r="E2398" s="28" t="s">
        <v>14</v>
      </c>
      <c r="F2398" s="7" t="s">
        <v>14</v>
      </c>
      <c r="G2398" s="27" t="s">
        <v>14</v>
      </c>
      <c r="H2398" s="27" t="s">
        <v>14</v>
      </c>
    </row>
    <row r="2399" spans="2:8" x14ac:dyDescent="0.3">
      <c r="B2399" s="9">
        <v>43718</v>
      </c>
      <c r="C2399" s="29" t="str">
        <f t="shared" si="37"/>
        <v/>
      </c>
      <c r="D2399" s="8">
        <v>0.5</v>
      </c>
      <c r="E2399" s="28" t="s">
        <v>14</v>
      </c>
      <c r="F2399" s="7" t="s">
        <v>14</v>
      </c>
      <c r="G2399" s="27" t="s">
        <v>14</v>
      </c>
      <c r="H2399" s="27" t="s">
        <v>14</v>
      </c>
    </row>
    <row r="2400" spans="2:8" x14ac:dyDescent="0.3">
      <c r="B2400" s="11">
        <v>43719</v>
      </c>
      <c r="C2400" s="29" t="str">
        <f t="shared" si="37"/>
        <v/>
      </c>
      <c r="D2400" s="8">
        <v>0.5</v>
      </c>
      <c r="E2400" s="28" t="s">
        <v>14</v>
      </c>
      <c r="F2400" s="7" t="s">
        <v>14</v>
      </c>
      <c r="G2400" s="27" t="s">
        <v>14</v>
      </c>
      <c r="H2400" s="27" t="s">
        <v>14</v>
      </c>
    </row>
    <row r="2401" spans="2:8" x14ac:dyDescent="0.3">
      <c r="B2401" s="9">
        <v>43720</v>
      </c>
      <c r="C2401" s="29" t="str">
        <f t="shared" si="37"/>
        <v/>
      </c>
      <c r="D2401" s="8">
        <v>0.5</v>
      </c>
      <c r="E2401" s="28" t="s">
        <v>14</v>
      </c>
      <c r="F2401" s="7" t="s">
        <v>14</v>
      </c>
      <c r="G2401" s="27" t="s">
        <v>14</v>
      </c>
      <c r="H2401" s="27" t="s">
        <v>14</v>
      </c>
    </row>
    <row r="2402" spans="2:8" x14ac:dyDescent="0.3">
      <c r="B2402" s="11">
        <v>43721</v>
      </c>
      <c r="C2402" s="29" t="str">
        <f t="shared" si="37"/>
        <v/>
      </c>
      <c r="D2402" s="8">
        <v>0.5</v>
      </c>
      <c r="E2402" s="28" t="s">
        <v>14</v>
      </c>
      <c r="F2402" s="7" t="s">
        <v>14</v>
      </c>
      <c r="G2402" s="27" t="s">
        <v>14</v>
      </c>
      <c r="H2402" s="27" t="s">
        <v>14</v>
      </c>
    </row>
    <row r="2403" spans="2:8" x14ac:dyDescent="0.3">
      <c r="B2403" s="9">
        <v>43724</v>
      </c>
      <c r="C2403" s="29" t="str">
        <f t="shared" si="37"/>
        <v/>
      </c>
      <c r="D2403" s="8">
        <v>0.5</v>
      </c>
      <c r="E2403" s="28" t="s">
        <v>14</v>
      </c>
      <c r="F2403" s="7" t="s">
        <v>14</v>
      </c>
      <c r="G2403" s="27" t="s">
        <v>14</v>
      </c>
      <c r="H2403" s="27" t="s">
        <v>14</v>
      </c>
    </row>
    <row r="2404" spans="2:8" x14ac:dyDescent="0.3">
      <c r="B2404" s="11">
        <v>43725</v>
      </c>
      <c r="C2404" s="29" t="str">
        <f t="shared" si="37"/>
        <v/>
      </c>
      <c r="D2404" s="8">
        <v>0.5</v>
      </c>
      <c r="E2404" s="28" t="s">
        <v>14</v>
      </c>
      <c r="F2404" s="7" t="s">
        <v>14</v>
      </c>
      <c r="G2404" s="27" t="s">
        <v>14</v>
      </c>
      <c r="H2404" s="27" t="s">
        <v>14</v>
      </c>
    </row>
    <row r="2405" spans="2:8" x14ac:dyDescent="0.3">
      <c r="B2405" s="9">
        <v>43726</v>
      </c>
      <c r="C2405" s="29" t="str">
        <f t="shared" si="37"/>
        <v/>
      </c>
      <c r="D2405" s="8">
        <v>0.5</v>
      </c>
      <c r="E2405" s="28" t="s">
        <v>14</v>
      </c>
      <c r="F2405" s="7" t="s">
        <v>14</v>
      </c>
      <c r="G2405" s="27" t="s">
        <v>14</v>
      </c>
      <c r="H2405" s="27" t="s">
        <v>14</v>
      </c>
    </row>
    <row r="2406" spans="2:8" x14ac:dyDescent="0.3">
      <c r="B2406" s="11">
        <v>43727</v>
      </c>
      <c r="C2406" s="29" t="str">
        <f t="shared" si="37"/>
        <v/>
      </c>
      <c r="D2406" s="8">
        <v>0.5</v>
      </c>
      <c r="E2406" s="28" t="s">
        <v>14</v>
      </c>
      <c r="F2406" s="7" t="s">
        <v>14</v>
      </c>
      <c r="G2406" s="27" t="s">
        <v>14</v>
      </c>
      <c r="H2406" s="27" t="s">
        <v>14</v>
      </c>
    </row>
    <row r="2407" spans="2:8" x14ac:dyDescent="0.3">
      <c r="B2407" s="9">
        <v>43728</v>
      </c>
      <c r="C2407" s="29" t="str">
        <f t="shared" si="37"/>
        <v/>
      </c>
      <c r="D2407" s="8">
        <v>0.5</v>
      </c>
      <c r="E2407" s="28" t="s">
        <v>14</v>
      </c>
      <c r="F2407" s="7" t="s">
        <v>14</v>
      </c>
      <c r="G2407" s="27" t="s">
        <v>14</v>
      </c>
      <c r="H2407" s="27" t="s">
        <v>14</v>
      </c>
    </row>
    <row r="2408" spans="2:8" x14ac:dyDescent="0.3">
      <c r="B2408" s="11">
        <v>43731</v>
      </c>
      <c r="C2408" s="29" t="str">
        <f t="shared" si="37"/>
        <v/>
      </c>
      <c r="D2408" s="8">
        <v>0.5</v>
      </c>
      <c r="E2408" s="28" t="s">
        <v>14</v>
      </c>
      <c r="F2408" s="7" t="s">
        <v>14</v>
      </c>
      <c r="G2408" s="27" t="s">
        <v>14</v>
      </c>
      <c r="H2408" s="27" t="s">
        <v>14</v>
      </c>
    </row>
    <row r="2409" spans="2:8" x14ac:dyDescent="0.3">
      <c r="B2409" s="9">
        <v>43732</v>
      </c>
      <c r="C2409" s="29" t="str">
        <f t="shared" si="37"/>
        <v/>
      </c>
      <c r="D2409" s="8">
        <v>0.5</v>
      </c>
      <c r="E2409" s="28" t="s">
        <v>14</v>
      </c>
      <c r="F2409" s="7" t="s">
        <v>14</v>
      </c>
      <c r="G2409" s="27" t="s">
        <v>14</v>
      </c>
      <c r="H2409" s="27" t="s">
        <v>14</v>
      </c>
    </row>
    <row r="2410" spans="2:8" x14ac:dyDescent="0.3">
      <c r="B2410" s="11">
        <v>43733</v>
      </c>
      <c r="C2410" s="29" t="str">
        <f t="shared" si="37"/>
        <v/>
      </c>
      <c r="D2410" s="8">
        <v>0.5</v>
      </c>
      <c r="E2410" s="28" t="s">
        <v>14</v>
      </c>
      <c r="F2410" s="7" t="s">
        <v>14</v>
      </c>
      <c r="G2410" s="27" t="s">
        <v>14</v>
      </c>
      <c r="H2410" s="27" t="s">
        <v>14</v>
      </c>
    </row>
    <row r="2411" spans="2:8" x14ac:dyDescent="0.3">
      <c r="B2411" s="9">
        <v>43734</v>
      </c>
      <c r="C2411" s="29" t="str">
        <f t="shared" si="37"/>
        <v/>
      </c>
      <c r="D2411" s="8">
        <v>0.5</v>
      </c>
      <c r="E2411" s="28" t="s">
        <v>14</v>
      </c>
      <c r="F2411" s="7" t="s">
        <v>14</v>
      </c>
      <c r="G2411" s="27" t="s">
        <v>14</v>
      </c>
      <c r="H2411" s="27" t="s">
        <v>14</v>
      </c>
    </row>
    <row r="2412" spans="2:8" x14ac:dyDescent="0.3">
      <c r="B2412" s="11">
        <v>43735</v>
      </c>
      <c r="C2412" s="29" t="str">
        <f t="shared" si="37"/>
        <v/>
      </c>
      <c r="D2412" s="8">
        <v>0.5</v>
      </c>
      <c r="E2412" s="28" t="s">
        <v>14</v>
      </c>
      <c r="F2412" s="7" t="s">
        <v>14</v>
      </c>
      <c r="G2412" s="27" t="s">
        <v>14</v>
      </c>
      <c r="H2412" s="27" t="s">
        <v>14</v>
      </c>
    </row>
    <row r="2413" spans="2:8" x14ac:dyDescent="0.3">
      <c r="B2413" s="9">
        <v>43738</v>
      </c>
      <c r="C2413" s="29">
        <f t="shared" si="37"/>
        <v>0</v>
      </c>
      <c r="D2413" s="8">
        <v>0.5</v>
      </c>
      <c r="E2413" s="28">
        <v>0.5</v>
      </c>
      <c r="F2413" s="7">
        <v>0.5</v>
      </c>
    </row>
    <row r="2414" spans="2:8" x14ac:dyDescent="0.3">
      <c r="B2414" s="11">
        <v>43739</v>
      </c>
      <c r="C2414" s="29" t="str">
        <f t="shared" si="37"/>
        <v/>
      </c>
      <c r="D2414" s="8">
        <v>0.5</v>
      </c>
      <c r="E2414" s="28" t="s">
        <v>14</v>
      </c>
      <c r="F2414" s="7" t="s">
        <v>14</v>
      </c>
      <c r="G2414" s="27" t="s">
        <v>14</v>
      </c>
      <c r="H2414" s="27" t="s">
        <v>14</v>
      </c>
    </row>
    <row r="2415" spans="2:8" x14ac:dyDescent="0.3">
      <c r="B2415" s="9">
        <v>43740</v>
      </c>
      <c r="C2415" s="29" t="str">
        <f t="shared" si="37"/>
        <v/>
      </c>
      <c r="D2415" s="8">
        <v>0.5</v>
      </c>
      <c r="E2415" s="28" t="s">
        <v>14</v>
      </c>
      <c r="F2415" s="7" t="s">
        <v>14</v>
      </c>
      <c r="G2415" s="27" t="s">
        <v>14</v>
      </c>
      <c r="H2415" s="27" t="s">
        <v>14</v>
      </c>
    </row>
    <row r="2416" spans="2:8" x14ac:dyDescent="0.3">
      <c r="B2416" s="11">
        <v>43741</v>
      </c>
      <c r="C2416" s="29" t="str">
        <f t="shared" si="37"/>
        <v/>
      </c>
      <c r="D2416" s="8">
        <v>0.5</v>
      </c>
      <c r="E2416" s="28" t="s">
        <v>14</v>
      </c>
      <c r="F2416" s="7" t="s">
        <v>14</v>
      </c>
      <c r="G2416" s="27" t="s">
        <v>14</v>
      </c>
      <c r="H2416" s="27" t="s">
        <v>14</v>
      </c>
    </row>
    <row r="2417" spans="2:8" x14ac:dyDescent="0.3">
      <c r="B2417" s="9">
        <v>43742</v>
      </c>
      <c r="C2417" s="29" t="str">
        <f t="shared" si="37"/>
        <v/>
      </c>
      <c r="D2417" s="8">
        <v>0.5</v>
      </c>
      <c r="E2417" s="28" t="s">
        <v>14</v>
      </c>
      <c r="F2417" s="7" t="s">
        <v>14</v>
      </c>
      <c r="G2417" s="27" t="s">
        <v>14</v>
      </c>
      <c r="H2417" s="27" t="s">
        <v>14</v>
      </c>
    </row>
    <row r="2418" spans="2:8" x14ac:dyDescent="0.3">
      <c r="B2418" s="11">
        <v>43745</v>
      </c>
      <c r="C2418" s="29" t="str">
        <f t="shared" si="37"/>
        <v/>
      </c>
      <c r="D2418" s="8">
        <v>0.5</v>
      </c>
      <c r="E2418" s="28" t="s">
        <v>14</v>
      </c>
      <c r="F2418" s="7" t="s">
        <v>14</v>
      </c>
      <c r="G2418" s="27" t="s">
        <v>14</v>
      </c>
      <c r="H2418" s="27" t="s">
        <v>14</v>
      </c>
    </row>
    <row r="2419" spans="2:8" x14ac:dyDescent="0.3">
      <c r="B2419" s="9">
        <v>43746</v>
      </c>
      <c r="C2419" s="29" t="str">
        <f t="shared" si="37"/>
        <v/>
      </c>
      <c r="D2419" s="8">
        <v>0.5</v>
      </c>
      <c r="E2419" s="28" t="s">
        <v>14</v>
      </c>
      <c r="F2419" s="7" t="s">
        <v>14</v>
      </c>
      <c r="G2419" s="27" t="s">
        <v>14</v>
      </c>
      <c r="H2419" s="27" t="s">
        <v>14</v>
      </c>
    </row>
    <row r="2420" spans="2:8" x14ac:dyDescent="0.3">
      <c r="B2420" s="11">
        <v>43747</v>
      </c>
      <c r="C2420" s="29" t="str">
        <f t="shared" si="37"/>
        <v/>
      </c>
      <c r="D2420" s="8">
        <v>0.5</v>
      </c>
      <c r="E2420" s="28" t="s">
        <v>14</v>
      </c>
      <c r="F2420" s="7" t="s">
        <v>14</v>
      </c>
      <c r="G2420" s="27" t="s">
        <v>14</v>
      </c>
      <c r="H2420" s="27" t="s">
        <v>14</v>
      </c>
    </row>
    <row r="2421" spans="2:8" x14ac:dyDescent="0.3">
      <c r="B2421" s="9">
        <v>43748</v>
      </c>
      <c r="C2421" s="29" t="str">
        <f t="shared" si="37"/>
        <v/>
      </c>
      <c r="D2421" s="8">
        <v>0.5</v>
      </c>
      <c r="E2421" s="28" t="s">
        <v>14</v>
      </c>
      <c r="F2421" s="7" t="s">
        <v>14</v>
      </c>
      <c r="G2421" s="27" t="s">
        <v>14</v>
      </c>
      <c r="H2421" s="27" t="s">
        <v>14</v>
      </c>
    </row>
    <row r="2422" spans="2:8" x14ac:dyDescent="0.3">
      <c r="B2422" s="11">
        <v>43749</v>
      </c>
      <c r="C2422" s="29" t="str">
        <f t="shared" si="37"/>
        <v/>
      </c>
      <c r="D2422" s="8">
        <v>0.5</v>
      </c>
      <c r="E2422" s="28" t="s">
        <v>14</v>
      </c>
      <c r="F2422" s="7" t="s">
        <v>14</v>
      </c>
      <c r="G2422" s="27" t="s">
        <v>14</v>
      </c>
      <c r="H2422" s="27" t="s">
        <v>14</v>
      </c>
    </row>
    <row r="2423" spans="2:8" x14ac:dyDescent="0.3">
      <c r="B2423" s="9">
        <v>43752</v>
      </c>
      <c r="C2423" s="29" t="str">
        <f t="shared" si="37"/>
        <v/>
      </c>
      <c r="D2423" s="8">
        <v>0.5</v>
      </c>
      <c r="E2423" s="28" t="s">
        <v>14</v>
      </c>
      <c r="F2423" s="7" t="s">
        <v>14</v>
      </c>
      <c r="G2423" s="27" t="s">
        <v>14</v>
      </c>
      <c r="H2423" s="27" t="s">
        <v>14</v>
      </c>
    </row>
    <row r="2424" spans="2:8" x14ac:dyDescent="0.3">
      <c r="B2424" s="11">
        <v>43753</v>
      </c>
      <c r="C2424" s="29" t="str">
        <f t="shared" si="37"/>
        <v/>
      </c>
      <c r="D2424" s="8">
        <v>0.5</v>
      </c>
      <c r="E2424" s="28" t="s">
        <v>14</v>
      </c>
      <c r="F2424" s="7" t="s">
        <v>14</v>
      </c>
      <c r="G2424" s="27" t="s">
        <v>14</v>
      </c>
      <c r="H2424" s="27" t="s">
        <v>14</v>
      </c>
    </row>
    <row r="2425" spans="2:8" x14ac:dyDescent="0.3">
      <c r="B2425" s="9">
        <v>43754</v>
      </c>
      <c r="C2425" s="29" t="str">
        <f t="shared" si="37"/>
        <v/>
      </c>
      <c r="D2425" s="8">
        <v>0.5</v>
      </c>
      <c r="E2425" s="28" t="s">
        <v>14</v>
      </c>
      <c r="F2425" s="7" t="s">
        <v>14</v>
      </c>
      <c r="G2425" s="27" t="s">
        <v>14</v>
      </c>
      <c r="H2425" s="27" t="s">
        <v>14</v>
      </c>
    </row>
    <row r="2426" spans="2:8" x14ac:dyDescent="0.3">
      <c r="B2426" s="11">
        <v>43755</v>
      </c>
      <c r="C2426" s="29" t="str">
        <f t="shared" si="37"/>
        <v/>
      </c>
      <c r="D2426" s="8">
        <v>0.5</v>
      </c>
      <c r="E2426" s="28" t="s">
        <v>14</v>
      </c>
      <c r="F2426" s="7" t="s">
        <v>14</v>
      </c>
      <c r="G2426" s="27" t="s">
        <v>14</v>
      </c>
      <c r="H2426" s="27" t="s">
        <v>14</v>
      </c>
    </row>
    <row r="2427" spans="2:8" x14ac:dyDescent="0.3">
      <c r="B2427" s="9">
        <v>43756</v>
      </c>
      <c r="C2427" s="29" t="str">
        <f t="shared" si="37"/>
        <v/>
      </c>
      <c r="D2427" s="8">
        <v>0.5</v>
      </c>
      <c r="E2427" s="28" t="s">
        <v>14</v>
      </c>
      <c r="F2427" s="7" t="s">
        <v>14</v>
      </c>
      <c r="G2427" s="27" t="s">
        <v>14</v>
      </c>
      <c r="H2427" s="27" t="s">
        <v>14</v>
      </c>
    </row>
    <row r="2428" spans="2:8" x14ac:dyDescent="0.3">
      <c r="B2428" s="11">
        <v>43759</v>
      </c>
      <c r="C2428" s="29" t="str">
        <f t="shared" si="37"/>
        <v/>
      </c>
      <c r="D2428" s="8">
        <v>0.5</v>
      </c>
      <c r="E2428" s="28" t="s">
        <v>14</v>
      </c>
      <c r="F2428" s="7" t="s">
        <v>14</v>
      </c>
      <c r="G2428" s="27" t="s">
        <v>14</v>
      </c>
      <c r="H2428" s="27" t="s">
        <v>14</v>
      </c>
    </row>
    <row r="2429" spans="2:8" x14ac:dyDescent="0.3">
      <c r="B2429" s="9">
        <v>43760</v>
      </c>
      <c r="C2429" s="29" t="str">
        <f t="shared" si="37"/>
        <v/>
      </c>
      <c r="D2429" s="8">
        <v>0.5</v>
      </c>
      <c r="E2429" s="28" t="s">
        <v>14</v>
      </c>
      <c r="F2429" s="7" t="s">
        <v>14</v>
      </c>
      <c r="G2429" s="27" t="s">
        <v>14</v>
      </c>
      <c r="H2429" s="27" t="s">
        <v>14</v>
      </c>
    </row>
    <row r="2430" spans="2:8" x14ac:dyDescent="0.3">
      <c r="B2430" s="11">
        <v>43761</v>
      </c>
      <c r="C2430" s="29" t="str">
        <f t="shared" si="37"/>
        <v/>
      </c>
      <c r="D2430" s="8">
        <v>0.5</v>
      </c>
      <c r="E2430" s="28" t="s">
        <v>14</v>
      </c>
      <c r="F2430" s="7" t="s">
        <v>14</v>
      </c>
      <c r="G2430" s="27" t="s">
        <v>14</v>
      </c>
      <c r="H2430" s="27" t="s">
        <v>14</v>
      </c>
    </row>
    <row r="2431" spans="2:8" x14ac:dyDescent="0.3">
      <c r="B2431" s="9">
        <v>43762</v>
      </c>
      <c r="C2431" s="29" t="str">
        <f t="shared" si="37"/>
        <v/>
      </c>
      <c r="D2431" s="8">
        <v>0.5</v>
      </c>
      <c r="E2431" s="28" t="s">
        <v>14</v>
      </c>
      <c r="F2431" s="7" t="s">
        <v>14</v>
      </c>
      <c r="G2431" s="27" t="s">
        <v>14</v>
      </c>
      <c r="H2431" s="27" t="s">
        <v>14</v>
      </c>
    </row>
    <row r="2432" spans="2:8" x14ac:dyDescent="0.3">
      <c r="B2432" s="11">
        <v>43763</v>
      </c>
      <c r="C2432" s="29" t="str">
        <f t="shared" si="37"/>
        <v/>
      </c>
      <c r="D2432" s="8">
        <v>0.5</v>
      </c>
      <c r="E2432" s="28" t="s">
        <v>14</v>
      </c>
      <c r="F2432" s="7" t="s">
        <v>14</v>
      </c>
      <c r="G2432" s="27" t="s">
        <v>14</v>
      </c>
      <c r="H2432" s="27" t="s">
        <v>14</v>
      </c>
    </row>
    <row r="2433" spans="2:8" x14ac:dyDescent="0.3">
      <c r="B2433" s="9">
        <v>43766</v>
      </c>
      <c r="C2433" s="29" t="str">
        <f t="shared" si="37"/>
        <v/>
      </c>
      <c r="D2433" s="8">
        <v>0.5</v>
      </c>
      <c r="E2433" s="28" t="s">
        <v>14</v>
      </c>
      <c r="F2433" s="7" t="s">
        <v>14</v>
      </c>
      <c r="G2433" s="27" t="s">
        <v>14</v>
      </c>
      <c r="H2433" s="27" t="s">
        <v>14</v>
      </c>
    </row>
    <row r="2434" spans="2:8" x14ac:dyDescent="0.3">
      <c r="B2434" s="11">
        <v>43767</v>
      </c>
      <c r="C2434" s="29" t="str">
        <f t="shared" si="37"/>
        <v/>
      </c>
      <c r="D2434" s="8">
        <v>0.5</v>
      </c>
      <c r="E2434" s="28" t="s">
        <v>14</v>
      </c>
      <c r="F2434" s="7" t="s">
        <v>14</v>
      </c>
      <c r="G2434" s="27" t="s">
        <v>14</v>
      </c>
      <c r="H2434" s="27" t="s">
        <v>14</v>
      </c>
    </row>
    <row r="2435" spans="2:8" x14ac:dyDescent="0.3">
      <c r="B2435" s="9">
        <v>43768</v>
      </c>
      <c r="C2435" s="29" t="str">
        <f t="shared" ref="C2435:C2474" si="38">INDEX(D2435:H2435,MATCH($A$1,$D$1:$H$1,0))</f>
        <v/>
      </c>
      <c r="D2435" s="8">
        <v>0.5</v>
      </c>
      <c r="E2435" s="28" t="s">
        <v>14</v>
      </c>
      <c r="F2435" s="7" t="s">
        <v>14</v>
      </c>
      <c r="G2435" s="27" t="s">
        <v>14</v>
      </c>
      <c r="H2435" s="27" t="s">
        <v>14</v>
      </c>
    </row>
    <row r="2436" spans="2:8" x14ac:dyDescent="0.3">
      <c r="B2436" s="11">
        <v>43769</v>
      </c>
      <c r="C2436" s="29" t="str">
        <f t="shared" si="38"/>
        <v/>
      </c>
      <c r="D2436" s="8">
        <v>0.5</v>
      </c>
      <c r="E2436" s="28">
        <v>0.5</v>
      </c>
      <c r="F2436" s="7" t="s">
        <v>14</v>
      </c>
      <c r="G2436" s="27" t="s">
        <v>14</v>
      </c>
      <c r="H2436" s="27" t="s">
        <v>14</v>
      </c>
    </row>
    <row r="2437" spans="2:8" x14ac:dyDescent="0.3">
      <c r="B2437" s="9">
        <v>43770</v>
      </c>
      <c r="C2437" s="29" t="str">
        <f t="shared" si="38"/>
        <v/>
      </c>
      <c r="D2437" s="8">
        <v>0.5</v>
      </c>
      <c r="E2437" s="28" t="s">
        <v>14</v>
      </c>
      <c r="F2437" s="7" t="s">
        <v>14</v>
      </c>
      <c r="G2437" s="27" t="s">
        <v>14</v>
      </c>
      <c r="H2437" s="27" t="s">
        <v>14</v>
      </c>
    </row>
    <row r="2438" spans="2:8" x14ac:dyDescent="0.3">
      <c r="B2438" s="11">
        <v>43773</v>
      </c>
      <c r="C2438" s="29" t="str">
        <f t="shared" si="38"/>
        <v/>
      </c>
      <c r="D2438" s="8">
        <v>0.5</v>
      </c>
      <c r="E2438" s="28" t="s">
        <v>14</v>
      </c>
      <c r="F2438" s="7" t="s">
        <v>14</v>
      </c>
      <c r="G2438" s="27" t="s">
        <v>14</v>
      </c>
      <c r="H2438" s="27" t="s">
        <v>14</v>
      </c>
    </row>
    <row r="2439" spans="2:8" x14ac:dyDescent="0.3">
      <c r="B2439" s="9">
        <v>43774</v>
      </c>
      <c r="C2439" s="29" t="str">
        <f t="shared" si="38"/>
        <v/>
      </c>
      <c r="D2439" s="8">
        <v>0.5</v>
      </c>
      <c r="E2439" s="28" t="s">
        <v>14</v>
      </c>
      <c r="F2439" s="7" t="s">
        <v>14</v>
      </c>
      <c r="G2439" s="27" t="s">
        <v>14</v>
      </c>
      <c r="H2439" s="27" t="s">
        <v>14</v>
      </c>
    </row>
    <row r="2440" spans="2:8" x14ac:dyDescent="0.3">
      <c r="B2440" s="11">
        <v>43775</v>
      </c>
      <c r="C2440" s="29" t="str">
        <f t="shared" si="38"/>
        <v/>
      </c>
      <c r="D2440" s="8">
        <v>0.5</v>
      </c>
      <c r="E2440" s="28" t="s">
        <v>14</v>
      </c>
      <c r="F2440" s="7" t="s">
        <v>14</v>
      </c>
      <c r="G2440" s="27" t="s">
        <v>14</v>
      </c>
      <c r="H2440" s="27" t="s">
        <v>14</v>
      </c>
    </row>
    <row r="2441" spans="2:8" x14ac:dyDescent="0.3">
      <c r="B2441" s="9">
        <v>43776</v>
      </c>
      <c r="C2441" s="29" t="str">
        <f t="shared" si="38"/>
        <v/>
      </c>
      <c r="D2441" s="8">
        <v>0.5</v>
      </c>
      <c r="E2441" s="28" t="s">
        <v>14</v>
      </c>
      <c r="F2441" s="7" t="s">
        <v>14</v>
      </c>
      <c r="G2441" s="27" t="s">
        <v>14</v>
      </c>
      <c r="H2441" s="27" t="s">
        <v>14</v>
      </c>
    </row>
    <row r="2442" spans="2:8" x14ac:dyDescent="0.3">
      <c r="B2442" s="11">
        <v>43777</v>
      </c>
      <c r="C2442" s="29" t="str">
        <f t="shared" si="38"/>
        <v/>
      </c>
      <c r="D2442" s="8">
        <v>0.5</v>
      </c>
      <c r="E2442" s="28" t="s">
        <v>14</v>
      </c>
      <c r="F2442" s="7" t="s">
        <v>14</v>
      </c>
      <c r="G2442" s="27" t="s">
        <v>14</v>
      </c>
      <c r="H2442" s="27" t="s">
        <v>14</v>
      </c>
    </row>
    <row r="2443" spans="2:8" x14ac:dyDescent="0.3">
      <c r="B2443" s="9">
        <v>43780</v>
      </c>
      <c r="C2443" s="29" t="str">
        <f t="shared" si="38"/>
        <v/>
      </c>
      <c r="D2443" s="8">
        <v>0.5</v>
      </c>
      <c r="E2443" s="28" t="s">
        <v>14</v>
      </c>
      <c r="F2443" s="7" t="s">
        <v>14</v>
      </c>
      <c r="G2443" s="27" t="s">
        <v>14</v>
      </c>
      <c r="H2443" s="27" t="s">
        <v>14</v>
      </c>
    </row>
    <row r="2444" spans="2:8" x14ac:dyDescent="0.3">
      <c r="B2444" s="11">
        <v>43781</v>
      </c>
      <c r="C2444" s="29" t="str">
        <f t="shared" si="38"/>
        <v/>
      </c>
      <c r="D2444" s="8">
        <v>0.5</v>
      </c>
      <c r="E2444" s="28" t="s">
        <v>14</v>
      </c>
      <c r="F2444" s="7" t="s">
        <v>14</v>
      </c>
      <c r="G2444" s="27" t="s">
        <v>14</v>
      </c>
      <c r="H2444" s="27" t="s">
        <v>14</v>
      </c>
    </row>
    <row r="2445" spans="2:8" x14ac:dyDescent="0.3">
      <c r="B2445" s="9">
        <v>43782</v>
      </c>
      <c r="C2445" s="29" t="str">
        <f t="shared" si="38"/>
        <v/>
      </c>
      <c r="D2445" s="8">
        <v>0.5</v>
      </c>
      <c r="E2445" s="28" t="s">
        <v>14</v>
      </c>
      <c r="F2445" s="7" t="s">
        <v>14</v>
      </c>
      <c r="G2445" s="27" t="s">
        <v>14</v>
      </c>
      <c r="H2445" s="27" t="s">
        <v>14</v>
      </c>
    </row>
    <row r="2446" spans="2:8" x14ac:dyDescent="0.3">
      <c r="B2446" s="11">
        <v>43783</v>
      </c>
      <c r="C2446" s="29" t="str">
        <f t="shared" si="38"/>
        <v/>
      </c>
      <c r="D2446" s="8">
        <v>0.5</v>
      </c>
      <c r="E2446" s="28" t="s">
        <v>14</v>
      </c>
      <c r="F2446" s="7" t="s">
        <v>14</v>
      </c>
      <c r="G2446" s="27" t="s">
        <v>14</v>
      </c>
      <c r="H2446" s="27" t="s">
        <v>14</v>
      </c>
    </row>
    <row r="2447" spans="2:8" x14ac:dyDescent="0.3">
      <c r="B2447" s="9">
        <v>43787</v>
      </c>
      <c r="C2447" s="29" t="str">
        <f t="shared" si="38"/>
        <v/>
      </c>
      <c r="D2447" s="8">
        <v>0.5</v>
      </c>
      <c r="E2447" s="28" t="s">
        <v>14</v>
      </c>
      <c r="F2447" s="7" t="s">
        <v>14</v>
      </c>
      <c r="G2447" s="27" t="s">
        <v>14</v>
      </c>
      <c r="H2447" s="27" t="s">
        <v>14</v>
      </c>
    </row>
    <row r="2448" spans="2:8" x14ac:dyDescent="0.3">
      <c r="B2448" s="11">
        <v>43788</v>
      </c>
      <c r="C2448" s="29" t="str">
        <f t="shared" si="38"/>
        <v/>
      </c>
      <c r="D2448" s="8">
        <v>0.5</v>
      </c>
      <c r="E2448" s="28" t="s">
        <v>14</v>
      </c>
      <c r="F2448" s="7" t="s">
        <v>14</v>
      </c>
      <c r="G2448" s="27" t="s">
        <v>14</v>
      </c>
      <c r="H2448" s="27" t="s">
        <v>14</v>
      </c>
    </row>
    <row r="2449" spans="2:8" x14ac:dyDescent="0.3">
      <c r="B2449" s="9">
        <v>43790</v>
      </c>
      <c r="C2449" s="29" t="str">
        <f t="shared" si="38"/>
        <v/>
      </c>
      <c r="D2449" s="8">
        <v>0.5</v>
      </c>
      <c r="E2449" s="28" t="s">
        <v>14</v>
      </c>
      <c r="F2449" s="7" t="s">
        <v>14</v>
      </c>
      <c r="G2449" s="27" t="s">
        <v>14</v>
      </c>
      <c r="H2449" s="27" t="s">
        <v>14</v>
      </c>
    </row>
    <row r="2450" spans="2:8" x14ac:dyDescent="0.3">
      <c r="B2450" s="11">
        <v>43791</v>
      </c>
      <c r="C2450" s="29" t="str">
        <f t="shared" si="38"/>
        <v/>
      </c>
      <c r="D2450" s="8">
        <v>0.5</v>
      </c>
      <c r="E2450" s="28" t="s">
        <v>14</v>
      </c>
      <c r="F2450" s="7" t="s">
        <v>14</v>
      </c>
      <c r="G2450" s="27" t="s">
        <v>14</v>
      </c>
      <c r="H2450" s="27" t="s">
        <v>14</v>
      </c>
    </row>
    <row r="2451" spans="2:8" x14ac:dyDescent="0.3">
      <c r="B2451" s="9">
        <v>43794</v>
      </c>
      <c r="C2451" s="29" t="str">
        <f t="shared" si="38"/>
        <v/>
      </c>
      <c r="D2451" s="8">
        <v>0.5</v>
      </c>
      <c r="E2451" s="28" t="s">
        <v>14</v>
      </c>
      <c r="F2451" s="7" t="s">
        <v>14</v>
      </c>
      <c r="G2451" s="27" t="s">
        <v>14</v>
      </c>
      <c r="H2451" s="27" t="s">
        <v>14</v>
      </c>
    </row>
    <row r="2452" spans="2:8" x14ac:dyDescent="0.3">
      <c r="B2452" s="11">
        <v>43795</v>
      </c>
      <c r="C2452" s="29" t="str">
        <f t="shared" si="38"/>
        <v/>
      </c>
      <c r="D2452" s="8">
        <v>0.5</v>
      </c>
      <c r="E2452" s="28" t="s">
        <v>14</v>
      </c>
      <c r="F2452" s="7" t="s">
        <v>14</v>
      </c>
      <c r="G2452" s="27" t="s">
        <v>14</v>
      </c>
      <c r="H2452" s="27" t="s">
        <v>14</v>
      </c>
    </row>
    <row r="2453" spans="2:8" x14ac:dyDescent="0.3">
      <c r="B2453" s="9">
        <v>43796</v>
      </c>
      <c r="C2453" s="29" t="str">
        <f t="shared" si="38"/>
        <v/>
      </c>
      <c r="D2453" s="8">
        <v>0.5</v>
      </c>
      <c r="E2453" s="28" t="s">
        <v>14</v>
      </c>
      <c r="F2453" s="7" t="s">
        <v>14</v>
      </c>
      <c r="G2453" s="27" t="s">
        <v>14</v>
      </c>
      <c r="H2453" s="27" t="s">
        <v>14</v>
      </c>
    </row>
    <row r="2454" spans="2:8" x14ac:dyDescent="0.3">
      <c r="B2454" s="11">
        <v>43797</v>
      </c>
      <c r="C2454" s="29" t="str">
        <f t="shared" si="38"/>
        <v/>
      </c>
      <c r="D2454" s="8">
        <v>0.5</v>
      </c>
      <c r="E2454" s="28" t="s">
        <v>14</v>
      </c>
      <c r="F2454" s="7" t="s">
        <v>14</v>
      </c>
      <c r="G2454" s="27" t="s">
        <v>14</v>
      </c>
      <c r="H2454" s="27" t="s">
        <v>14</v>
      </c>
    </row>
    <row r="2455" spans="2:8" x14ac:dyDescent="0.3">
      <c r="B2455" s="9">
        <v>43798</v>
      </c>
      <c r="C2455" s="29" t="str">
        <f t="shared" si="38"/>
        <v/>
      </c>
      <c r="D2455" s="8">
        <v>0.5</v>
      </c>
      <c r="E2455" s="28">
        <v>0.5</v>
      </c>
      <c r="F2455" s="7" t="s">
        <v>14</v>
      </c>
      <c r="G2455" s="27" t="s">
        <v>14</v>
      </c>
      <c r="H2455" s="27" t="s">
        <v>14</v>
      </c>
    </row>
    <row r="2456" spans="2:8" x14ac:dyDescent="0.3">
      <c r="B2456" s="11">
        <v>43801</v>
      </c>
      <c r="C2456" s="29" t="str">
        <f t="shared" si="38"/>
        <v/>
      </c>
      <c r="D2456" s="8">
        <v>0.5</v>
      </c>
      <c r="E2456" s="28" t="s">
        <v>14</v>
      </c>
      <c r="F2456" s="7" t="s">
        <v>14</v>
      </c>
      <c r="G2456" s="27" t="s">
        <v>14</v>
      </c>
      <c r="H2456" s="27" t="s">
        <v>14</v>
      </c>
    </row>
    <row r="2457" spans="2:8" x14ac:dyDescent="0.3">
      <c r="B2457" s="9">
        <v>43802</v>
      </c>
      <c r="C2457" s="29" t="str">
        <f t="shared" si="38"/>
        <v/>
      </c>
      <c r="D2457" s="8">
        <v>0.5</v>
      </c>
      <c r="E2457" s="28" t="s">
        <v>14</v>
      </c>
      <c r="F2457" s="7" t="s">
        <v>14</v>
      </c>
      <c r="G2457" s="27" t="s">
        <v>14</v>
      </c>
      <c r="H2457" s="27" t="s">
        <v>14</v>
      </c>
    </row>
    <row r="2458" spans="2:8" x14ac:dyDescent="0.3">
      <c r="B2458" s="11">
        <v>43803</v>
      </c>
      <c r="C2458" s="29" t="str">
        <f t="shared" si="38"/>
        <v/>
      </c>
      <c r="D2458" s="8">
        <v>0.5</v>
      </c>
      <c r="E2458" s="28" t="s">
        <v>14</v>
      </c>
      <c r="F2458" s="7" t="s">
        <v>14</v>
      </c>
      <c r="G2458" s="27" t="s">
        <v>14</v>
      </c>
      <c r="H2458" s="27" t="s">
        <v>14</v>
      </c>
    </row>
    <row r="2459" spans="2:8" x14ac:dyDescent="0.3">
      <c r="B2459" s="9">
        <v>43804</v>
      </c>
      <c r="C2459" s="29" t="str">
        <f t="shared" si="38"/>
        <v/>
      </c>
      <c r="D2459" s="8">
        <v>0.5</v>
      </c>
      <c r="E2459" s="28" t="s">
        <v>14</v>
      </c>
      <c r="F2459" s="7" t="s">
        <v>14</v>
      </c>
      <c r="G2459" s="27" t="s">
        <v>14</v>
      </c>
      <c r="H2459" s="27" t="s">
        <v>14</v>
      </c>
    </row>
    <row r="2460" spans="2:8" x14ac:dyDescent="0.3">
      <c r="B2460" s="11">
        <v>43805</v>
      </c>
      <c r="C2460" s="29" t="str">
        <f t="shared" si="38"/>
        <v/>
      </c>
      <c r="D2460" s="8">
        <v>0.5</v>
      </c>
      <c r="E2460" s="28" t="s">
        <v>14</v>
      </c>
      <c r="F2460" s="7" t="s">
        <v>14</v>
      </c>
      <c r="G2460" s="27" t="s">
        <v>14</v>
      </c>
      <c r="H2460" s="27" t="s">
        <v>14</v>
      </c>
    </row>
    <row r="2461" spans="2:8" x14ac:dyDescent="0.3">
      <c r="B2461" s="9">
        <v>43808</v>
      </c>
      <c r="C2461" s="29" t="str">
        <f t="shared" si="38"/>
        <v/>
      </c>
      <c r="D2461" s="8">
        <v>0.5</v>
      </c>
      <c r="E2461" s="28" t="s">
        <v>14</v>
      </c>
      <c r="F2461" s="7" t="s">
        <v>14</v>
      </c>
      <c r="G2461" s="27" t="s">
        <v>14</v>
      </c>
      <c r="H2461" s="27" t="s">
        <v>14</v>
      </c>
    </row>
    <row r="2462" spans="2:8" x14ac:dyDescent="0.3">
      <c r="B2462" s="11">
        <v>43809</v>
      </c>
      <c r="C2462" s="29" t="str">
        <f t="shared" si="38"/>
        <v/>
      </c>
      <c r="D2462" s="8">
        <v>0.5</v>
      </c>
      <c r="E2462" s="28" t="s">
        <v>14</v>
      </c>
      <c r="F2462" s="7" t="s">
        <v>14</v>
      </c>
      <c r="G2462" s="27" t="s">
        <v>14</v>
      </c>
      <c r="H2462" s="27" t="s">
        <v>14</v>
      </c>
    </row>
    <row r="2463" spans="2:8" x14ac:dyDescent="0.3">
      <c r="B2463" s="9">
        <v>43810</v>
      </c>
      <c r="C2463" s="29" t="str">
        <f t="shared" si="38"/>
        <v/>
      </c>
      <c r="D2463" s="8">
        <v>0.5</v>
      </c>
      <c r="E2463" s="28" t="s">
        <v>14</v>
      </c>
      <c r="F2463" s="7" t="s">
        <v>14</v>
      </c>
      <c r="G2463" s="27" t="s">
        <v>14</v>
      </c>
      <c r="H2463" s="27" t="s">
        <v>14</v>
      </c>
    </row>
    <row r="2464" spans="2:8" x14ac:dyDescent="0.3">
      <c r="B2464" s="11">
        <v>43811</v>
      </c>
      <c r="C2464" s="29" t="str">
        <f t="shared" si="38"/>
        <v/>
      </c>
      <c r="D2464" s="8">
        <v>0.5</v>
      </c>
      <c r="E2464" s="28" t="s">
        <v>14</v>
      </c>
      <c r="F2464" s="7" t="s">
        <v>14</v>
      </c>
      <c r="G2464" s="27" t="s">
        <v>14</v>
      </c>
      <c r="H2464" s="27" t="s">
        <v>14</v>
      </c>
    </row>
    <row r="2465" spans="2:8" x14ac:dyDescent="0.3">
      <c r="B2465" s="9">
        <v>43812</v>
      </c>
      <c r="C2465" s="29" t="str">
        <f t="shared" si="38"/>
        <v/>
      </c>
      <c r="D2465" s="8">
        <v>0.5</v>
      </c>
      <c r="E2465" s="28" t="s">
        <v>14</v>
      </c>
      <c r="F2465" s="7" t="s">
        <v>14</v>
      </c>
      <c r="G2465" s="27" t="s">
        <v>14</v>
      </c>
      <c r="H2465" s="27" t="s">
        <v>14</v>
      </c>
    </row>
    <row r="2466" spans="2:8" x14ac:dyDescent="0.3">
      <c r="B2466" s="11">
        <v>43815</v>
      </c>
      <c r="C2466" s="29" t="str">
        <f t="shared" si="38"/>
        <v/>
      </c>
      <c r="D2466" s="8">
        <v>0.5</v>
      </c>
      <c r="E2466" s="28" t="s">
        <v>14</v>
      </c>
      <c r="F2466" s="7" t="s">
        <v>14</v>
      </c>
      <c r="G2466" s="27" t="s">
        <v>14</v>
      </c>
      <c r="H2466" s="27" t="s">
        <v>14</v>
      </c>
    </row>
    <row r="2467" spans="2:8" x14ac:dyDescent="0.3">
      <c r="B2467" s="9">
        <v>43816</v>
      </c>
      <c r="C2467" s="29" t="str">
        <f t="shared" si="38"/>
        <v/>
      </c>
      <c r="D2467" s="8">
        <v>0.5</v>
      </c>
      <c r="E2467" s="28" t="s">
        <v>14</v>
      </c>
      <c r="F2467" s="7" t="s">
        <v>14</v>
      </c>
      <c r="G2467" s="27" t="s">
        <v>14</v>
      </c>
      <c r="H2467" s="27" t="s">
        <v>14</v>
      </c>
    </row>
    <row r="2468" spans="2:8" x14ac:dyDescent="0.3">
      <c r="B2468" s="11">
        <v>43817</v>
      </c>
      <c r="C2468" s="29" t="str">
        <f t="shared" si="38"/>
        <v/>
      </c>
      <c r="D2468" s="8">
        <v>0.5</v>
      </c>
      <c r="E2468" s="28" t="s">
        <v>14</v>
      </c>
      <c r="F2468" s="7" t="s">
        <v>14</v>
      </c>
      <c r="G2468" s="27" t="s">
        <v>14</v>
      </c>
      <c r="H2468" s="27" t="s">
        <v>14</v>
      </c>
    </row>
    <row r="2469" spans="2:8" x14ac:dyDescent="0.3">
      <c r="B2469" s="9">
        <v>43818</v>
      </c>
      <c r="C2469" s="29" t="str">
        <f t="shared" si="38"/>
        <v/>
      </c>
      <c r="D2469" s="8">
        <v>0.5</v>
      </c>
      <c r="E2469" s="28" t="s">
        <v>14</v>
      </c>
      <c r="F2469" s="7" t="s">
        <v>14</v>
      </c>
      <c r="G2469" s="27" t="s">
        <v>14</v>
      </c>
      <c r="H2469" s="27" t="s">
        <v>14</v>
      </c>
    </row>
    <row r="2470" spans="2:8" x14ac:dyDescent="0.3">
      <c r="B2470" s="11">
        <v>43819</v>
      </c>
      <c r="C2470" s="29" t="str">
        <f t="shared" si="38"/>
        <v/>
      </c>
      <c r="D2470" s="8">
        <v>0.5</v>
      </c>
      <c r="E2470" s="28" t="s">
        <v>14</v>
      </c>
      <c r="F2470" s="7" t="s">
        <v>14</v>
      </c>
      <c r="G2470" s="27" t="s">
        <v>14</v>
      </c>
      <c r="H2470" s="27" t="s">
        <v>14</v>
      </c>
    </row>
    <row r="2471" spans="2:8" x14ac:dyDescent="0.3">
      <c r="B2471" s="9">
        <v>43822</v>
      </c>
      <c r="C2471" s="29" t="str">
        <f t="shared" si="38"/>
        <v/>
      </c>
      <c r="D2471" s="8">
        <v>0.5</v>
      </c>
      <c r="E2471" s="28" t="s">
        <v>14</v>
      </c>
      <c r="F2471" s="7" t="s">
        <v>14</v>
      </c>
      <c r="G2471" s="27" t="s">
        <v>14</v>
      </c>
      <c r="H2471" s="27" t="s">
        <v>14</v>
      </c>
    </row>
    <row r="2472" spans="2:8" x14ac:dyDescent="0.3">
      <c r="B2472" s="11">
        <v>43825</v>
      </c>
      <c r="C2472" s="29" t="str">
        <f t="shared" si="38"/>
        <v/>
      </c>
      <c r="D2472" s="8">
        <v>0.5</v>
      </c>
      <c r="E2472" s="28" t="s">
        <v>14</v>
      </c>
      <c r="F2472" s="7" t="s">
        <v>14</v>
      </c>
      <c r="G2472" s="27" t="s">
        <v>14</v>
      </c>
      <c r="H2472" s="27" t="s">
        <v>14</v>
      </c>
    </row>
    <row r="2473" spans="2:8" x14ac:dyDescent="0.3">
      <c r="B2473" s="9">
        <v>43826</v>
      </c>
      <c r="C2473" s="29" t="str">
        <f t="shared" si="38"/>
        <v/>
      </c>
      <c r="D2473" s="8">
        <v>0.5</v>
      </c>
      <c r="E2473" s="28" t="s">
        <v>14</v>
      </c>
      <c r="F2473" s="7" t="s">
        <v>14</v>
      </c>
      <c r="G2473" s="27" t="s">
        <v>14</v>
      </c>
      <c r="H2473" s="27" t="s">
        <v>14</v>
      </c>
    </row>
    <row r="2474" spans="2:8" x14ac:dyDescent="0.3">
      <c r="B2474" s="11">
        <v>43829</v>
      </c>
      <c r="C2474" s="29">
        <f t="shared" si="38"/>
        <v>0.5</v>
      </c>
      <c r="D2474" s="8">
        <v>0.5</v>
      </c>
      <c r="E2474" s="28">
        <v>0.5</v>
      </c>
      <c r="F2474" s="7">
        <v>0.5</v>
      </c>
      <c r="G2474" s="27">
        <v>0.5</v>
      </c>
      <c r="H2474" s="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Rebalance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USER</cp:lastModifiedBy>
  <dcterms:created xsi:type="dcterms:W3CDTF">2020-05-18T21:32:44Z</dcterms:created>
  <dcterms:modified xsi:type="dcterms:W3CDTF">2020-06-29T10:43:27Z</dcterms:modified>
</cp:coreProperties>
</file>